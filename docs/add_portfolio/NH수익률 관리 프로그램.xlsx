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고객정보_백서연\03_백서연_Remark_NH\New_관리 프로그램\"/>
    </mc:Choice>
  </mc:AlternateContent>
  <xr:revisionPtr revIDLastSave="0" documentId="13_ncr:1_{AD8DF8DA-045B-460B-B54D-FC258962B850}" xr6:coauthVersionLast="47" xr6:coauthVersionMax="47" xr10:uidLastSave="{00000000-0000-0000-0000-000000000000}"/>
  <bookViews>
    <workbookView xWindow="-120" yWindow="-120" windowWidth="29040" windowHeight="15720" tabRatio="771" activeTab="4" xr2:uid="{2F8062A1-E8A2-4B78-B94E-3DFD40330A4C}"/>
  </bookViews>
  <sheets>
    <sheet name="Data_Input" sheetId="1" r:id="rId1"/>
    <sheet name="DB_연금저축_History" sheetId="6" r:id="rId2"/>
    <sheet name="DB_IRP_History" sheetId="7" r:id="rId3"/>
    <sheet name="Data_Templet" sheetId="3" r:id="rId4"/>
    <sheet name="Dashboard" sheetId="9" r:id="rId5"/>
    <sheet name="DB_연금저축_거치_History" sheetId="8" r:id="rId6"/>
  </sheets>
  <definedNames>
    <definedName name="_xlnm._FilterDatabase" localSheetId="3" hidden="1">Data_Templet!$W$13:$Z$13</definedName>
    <definedName name="_xlnm._FilterDatabase" localSheetId="2" hidden="1">DB_IRP_History!$B$5:$B$399</definedName>
    <definedName name="_xlnm._FilterDatabase" localSheetId="1" hidden="1">DB_연금저축_History!$B$5:$B$399</definedName>
    <definedName name="_xlnm._FilterDatabase" localSheetId="5" hidden="1">DB_연금저축_거치_History!$B$5:$B$399</definedName>
    <definedName name="_xlnm.Print_Area" localSheetId="4">Dashboard!$B$3:$L$291</definedName>
    <definedName name="상품종류">Data_Input!$I$2:$I$5</definedName>
  </definedNames>
  <calcPr calcId="191029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2" i="9" l="1"/>
  <c r="L109" i="9"/>
  <c r="L16" i="9"/>
  <c r="A4" i="1"/>
  <c r="A3" i="1"/>
  <c r="A2" i="1"/>
  <c r="L7" i="8" a="1"/>
  <c r="L7" i="8" s="1"/>
  <c r="L8" i="8" a="1"/>
  <c r="L8" i="8" s="1"/>
  <c r="L9" i="8" a="1"/>
  <c r="L9" i="8" s="1"/>
  <c r="L10" i="8" a="1"/>
  <c r="L10" i="8" s="1"/>
  <c r="L11" i="8" a="1"/>
  <c r="L11" i="8" s="1"/>
  <c r="L12" i="8" a="1"/>
  <c r="L12" i="8" s="1"/>
  <c r="L13" i="8" a="1"/>
  <c r="L13" i="8" s="1"/>
  <c r="L14" i="8" a="1"/>
  <c r="L14" i="8" s="1"/>
  <c r="L15" i="8" a="1"/>
  <c r="L15" i="8" s="1"/>
  <c r="L16" i="8" a="1"/>
  <c r="L16" i="8" s="1"/>
  <c r="L17" i="8" a="1"/>
  <c r="L17" i="8" s="1"/>
  <c r="L18" i="8" a="1"/>
  <c r="L18" i="8" s="1"/>
  <c r="L19" i="8" a="1"/>
  <c r="L19" i="8" s="1"/>
  <c r="L20" i="8" a="1"/>
  <c r="L20" i="8" s="1"/>
  <c r="L21" i="8" a="1"/>
  <c r="L21" i="8" s="1"/>
  <c r="L22" i="8" a="1"/>
  <c r="L22" i="8" s="1"/>
  <c r="L23" i="8" a="1"/>
  <c r="L23" i="8" s="1"/>
  <c r="L24" i="8" a="1"/>
  <c r="L24" i="8" s="1"/>
  <c r="L25" i="8" a="1"/>
  <c r="L25" i="8" s="1"/>
  <c r="L26" i="8" a="1"/>
  <c r="L26" i="8" s="1"/>
  <c r="L27" i="8" a="1"/>
  <c r="L27" i="8" s="1"/>
  <c r="L28" i="8" a="1"/>
  <c r="L28" i="8" s="1"/>
  <c r="L29" i="8" a="1"/>
  <c r="L29" i="8" s="1"/>
  <c r="L30" i="8" a="1"/>
  <c r="L30" i="8" s="1"/>
  <c r="L31" i="8" a="1"/>
  <c r="L31" i="8" s="1"/>
  <c r="L32" i="8" a="1"/>
  <c r="L32" i="8" s="1"/>
  <c r="L33" i="8" a="1"/>
  <c r="L33" i="8" s="1"/>
  <c r="L34" i="8" a="1"/>
  <c r="L34" i="8" s="1"/>
  <c r="L35" i="8" a="1"/>
  <c r="L35" i="8" s="1"/>
  <c r="L36" i="8" a="1"/>
  <c r="L36" i="8" s="1"/>
  <c r="L37" i="8" a="1"/>
  <c r="L37" i="8" s="1"/>
  <c r="L38" i="8" a="1"/>
  <c r="L38" i="8" s="1"/>
  <c r="L39" i="8" a="1"/>
  <c r="L39" i="8" s="1"/>
  <c r="L40" i="8" a="1"/>
  <c r="L40" i="8" s="1"/>
  <c r="L41" i="8" a="1"/>
  <c r="L41" i="8" s="1"/>
  <c r="L42" i="8" a="1"/>
  <c r="L42" i="8" s="1"/>
  <c r="L43" i="8" a="1"/>
  <c r="L43" i="8" s="1"/>
  <c r="L44" i="8" a="1"/>
  <c r="L44" i="8" s="1"/>
  <c r="L45" i="8" a="1"/>
  <c r="L45" i="8" s="1"/>
  <c r="L46" i="8" a="1"/>
  <c r="L46" i="8" s="1"/>
  <c r="L47" i="8" a="1"/>
  <c r="L47" i="8" s="1"/>
  <c r="L48" i="8" a="1"/>
  <c r="L48" i="8" s="1"/>
  <c r="L49" i="8" a="1"/>
  <c r="L49" i="8" s="1"/>
  <c r="L50" i="8" a="1"/>
  <c r="L50" i="8" s="1"/>
  <c r="L51" i="8" a="1"/>
  <c r="L51" i="8" s="1"/>
  <c r="L52" i="8" a="1"/>
  <c r="L52" i="8" s="1"/>
  <c r="L53" i="8" a="1"/>
  <c r="L53" i="8" s="1"/>
  <c r="L54" i="8" a="1"/>
  <c r="L54" i="8" s="1"/>
  <c r="L55" i="8" a="1"/>
  <c r="L55" i="8" s="1"/>
  <c r="L56" i="8" a="1"/>
  <c r="L56" i="8" s="1"/>
  <c r="L57" i="8" a="1"/>
  <c r="L57" i="8" s="1"/>
  <c r="L58" i="8" a="1"/>
  <c r="L58" i="8" s="1"/>
  <c r="L59" i="8" a="1"/>
  <c r="L59" i="8" s="1"/>
  <c r="L60" i="8" a="1"/>
  <c r="L60" i="8" s="1"/>
  <c r="L61" i="8" a="1"/>
  <c r="L61" i="8" s="1"/>
  <c r="L62" i="8" a="1"/>
  <c r="L62" i="8" s="1"/>
  <c r="L63" i="8" a="1"/>
  <c r="L63" i="8" s="1"/>
  <c r="L64" i="8" a="1"/>
  <c r="L64" i="8" s="1"/>
  <c r="L65" i="8" a="1"/>
  <c r="L65" i="8" s="1"/>
  <c r="L66" i="8" a="1"/>
  <c r="L66" i="8" s="1"/>
  <c r="L67" i="8" a="1"/>
  <c r="L67" i="8" s="1"/>
  <c r="L68" i="8" a="1"/>
  <c r="L68" i="8" s="1"/>
  <c r="L69" i="8" a="1"/>
  <c r="L69" i="8" s="1"/>
  <c r="L70" i="8" a="1"/>
  <c r="L70" i="8" s="1"/>
  <c r="L71" i="8" a="1"/>
  <c r="L71" i="8" s="1"/>
  <c r="L72" i="8" a="1"/>
  <c r="L72" i="8" s="1"/>
  <c r="L73" i="8" a="1"/>
  <c r="L73" i="8" s="1"/>
  <c r="L74" i="8" a="1"/>
  <c r="L74" i="8" s="1"/>
  <c r="L75" i="8" a="1"/>
  <c r="L75" i="8" s="1"/>
  <c r="L76" i="8" a="1"/>
  <c r="L76" i="8" s="1"/>
  <c r="L77" i="8" a="1"/>
  <c r="L77" i="8" s="1"/>
  <c r="L78" i="8" a="1"/>
  <c r="L78" i="8" s="1"/>
  <c r="L79" i="8" a="1"/>
  <c r="L79" i="8" s="1"/>
  <c r="L80" i="8" a="1"/>
  <c r="L80" i="8" s="1"/>
  <c r="L81" i="8" a="1"/>
  <c r="L81" i="8" s="1"/>
  <c r="L82" i="8" a="1"/>
  <c r="L82" i="8" s="1"/>
  <c r="L83" i="8" a="1"/>
  <c r="L83" i="8" s="1"/>
  <c r="L84" i="8" a="1"/>
  <c r="L84" i="8" s="1"/>
  <c r="L85" i="8" a="1"/>
  <c r="L85" i="8" s="1"/>
  <c r="L86" i="8" a="1"/>
  <c r="L86" i="8" s="1"/>
  <c r="L87" i="8" a="1"/>
  <c r="L87" i="8" s="1"/>
  <c r="L88" i="8" a="1"/>
  <c r="L88" i="8" s="1"/>
  <c r="L89" i="8" a="1"/>
  <c r="L89" i="8" s="1"/>
  <c r="L90" i="8" a="1"/>
  <c r="L90" i="8" s="1"/>
  <c r="L91" i="8" a="1"/>
  <c r="L91" i="8" s="1"/>
  <c r="L92" i="8" a="1"/>
  <c r="L92" i="8" s="1"/>
  <c r="L93" i="8" a="1"/>
  <c r="L93" i="8" s="1"/>
  <c r="L94" i="8" a="1"/>
  <c r="L94" i="8" s="1"/>
  <c r="L95" i="8" a="1"/>
  <c r="L95" i="8" s="1"/>
  <c r="L96" i="8" a="1"/>
  <c r="L96" i="8" s="1"/>
  <c r="L97" i="8" a="1"/>
  <c r="L97" i="8" s="1"/>
  <c r="L98" i="8" a="1"/>
  <c r="L98" i="8" s="1"/>
  <c r="L99" i="8" a="1"/>
  <c r="L99" i="8" s="1"/>
  <c r="L100" i="8" a="1"/>
  <c r="L100" i="8" s="1"/>
  <c r="L101" i="8" a="1"/>
  <c r="L101" i="8" s="1"/>
  <c r="L102" i="8" a="1"/>
  <c r="L102" i="8" s="1"/>
  <c r="L103" i="8" a="1"/>
  <c r="L103" i="8" s="1"/>
  <c r="L104" i="8" a="1"/>
  <c r="L104" i="8" s="1"/>
  <c r="L105" i="8" a="1"/>
  <c r="L105" i="8" s="1"/>
  <c r="L106" i="8" a="1"/>
  <c r="L106" i="8" s="1"/>
  <c r="L107" i="8" a="1"/>
  <c r="L107" i="8" s="1"/>
  <c r="L108" i="8" a="1"/>
  <c r="L108" i="8" s="1"/>
  <c r="L109" i="8" a="1"/>
  <c r="L109" i="8" s="1"/>
  <c r="L110" i="8" a="1"/>
  <c r="L110" i="8" s="1"/>
  <c r="L111" i="8" a="1"/>
  <c r="L111" i="8" s="1"/>
  <c r="L112" i="8" a="1"/>
  <c r="L112" i="8" s="1"/>
  <c r="L113" i="8" a="1"/>
  <c r="L113" i="8" s="1"/>
  <c r="L114" i="8" a="1"/>
  <c r="L114" i="8" s="1"/>
  <c r="L115" i="8" a="1"/>
  <c r="L115" i="8" s="1"/>
  <c r="L116" i="8" a="1"/>
  <c r="L116" i="8" s="1"/>
  <c r="L117" i="8" a="1"/>
  <c r="L117" i="8" s="1"/>
  <c r="L118" i="8" a="1"/>
  <c r="L118" i="8" s="1"/>
  <c r="L119" i="8" a="1"/>
  <c r="L119" i="8" s="1"/>
  <c r="L120" i="8" a="1"/>
  <c r="L120" i="8" s="1"/>
  <c r="L121" i="8" a="1"/>
  <c r="L121" i="8" s="1"/>
  <c r="L122" i="8" a="1"/>
  <c r="L122" i="8" s="1"/>
  <c r="L123" i="8" a="1"/>
  <c r="L123" i="8" s="1"/>
  <c r="L124" i="8" a="1"/>
  <c r="L124" i="8" s="1"/>
  <c r="L125" i="8" a="1"/>
  <c r="L125" i="8" s="1"/>
  <c r="L126" i="8" a="1"/>
  <c r="L126" i="8" s="1"/>
  <c r="L127" i="8" a="1"/>
  <c r="L127" i="8" s="1"/>
  <c r="L128" i="8" a="1"/>
  <c r="L128" i="8" s="1"/>
  <c r="L129" i="8" a="1"/>
  <c r="L129" i="8" s="1"/>
  <c r="L130" i="8" a="1"/>
  <c r="L130" i="8" s="1"/>
  <c r="L131" i="8" a="1"/>
  <c r="L131" i="8" s="1"/>
  <c r="L132" i="8" a="1"/>
  <c r="L132" i="8" s="1"/>
  <c r="L133" i="8" a="1"/>
  <c r="L133" i="8" s="1"/>
  <c r="L134" i="8" a="1"/>
  <c r="L134" i="8" s="1"/>
  <c r="L135" i="8" a="1"/>
  <c r="L135" i="8" s="1"/>
  <c r="L136" i="8" a="1"/>
  <c r="L136" i="8" s="1"/>
  <c r="L137" i="8" a="1"/>
  <c r="L137" i="8" s="1"/>
  <c r="L138" i="8" a="1"/>
  <c r="L138" i="8" s="1"/>
  <c r="L139" i="8" a="1"/>
  <c r="L139" i="8" s="1"/>
  <c r="L140" i="8" a="1"/>
  <c r="L140" i="8" s="1"/>
  <c r="L141" i="8" a="1"/>
  <c r="L141" i="8" s="1"/>
  <c r="L142" i="8" a="1"/>
  <c r="L142" i="8" s="1"/>
  <c r="L143" i="8" a="1"/>
  <c r="L143" i="8" s="1"/>
  <c r="L144" i="8" a="1"/>
  <c r="L144" i="8" s="1"/>
  <c r="L145" i="8" a="1"/>
  <c r="L145" i="8" s="1"/>
  <c r="L146" i="8" a="1"/>
  <c r="L146" i="8" s="1"/>
  <c r="L147" i="8" a="1"/>
  <c r="L147" i="8" s="1"/>
  <c r="L148" i="8" a="1"/>
  <c r="L148" i="8" s="1"/>
  <c r="L149" i="8" a="1"/>
  <c r="L149" i="8" s="1"/>
  <c r="L150" i="8" a="1"/>
  <c r="L150" i="8" s="1"/>
  <c r="L151" i="8" a="1"/>
  <c r="L151" i="8" s="1"/>
  <c r="L152" i="8" a="1"/>
  <c r="L152" i="8" s="1"/>
  <c r="L153" i="8" a="1"/>
  <c r="L153" i="8" s="1"/>
  <c r="L154" i="8" a="1"/>
  <c r="L154" i="8" s="1"/>
  <c r="L155" i="8" a="1"/>
  <c r="L155" i="8" s="1"/>
  <c r="L156" i="8" a="1"/>
  <c r="L156" i="8" s="1"/>
  <c r="L157" i="8" a="1"/>
  <c r="L157" i="8" s="1"/>
  <c r="L158" i="8" a="1"/>
  <c r="L158" i="8" s="1"/>
  <c r="L159" i="8" a="1"/>
  <c r="L159" i="8" s="1"/>
  <c r="L160" i="8" a="1"/>
  <c r="L160" i="8" s="1"/>
  <c r="L161" i="8" a="1"/>
  <c r="L161" i="8" s="1"/>
  <c r="L162" i="8" a="1"/>
  <c r="L162" i="8" s="1"/>
  <c r="L163" i="8" a="1"/>
  <c r="L163" i="8" s="1"/>
  <c r="L164" i="8" a="1"/>
  <c r="L164" i="8" s="1"/>
  <c r="L165" i="8" a="1"/>
  <c r="L165" i="8" s="1"/>
  <c r="L166" i="8" a="1"/>
  <c r="L166" i="8" s="1"/>
  <c r="L167" i="8" a="1"/>
  <c r="L167" i="8" s="1"/>
  <c r="L168" i="8" a="1"/>
  <c r="L168" i="8" s="1"/>
  <c r="L169" i="8" a="1"/>
  <c r="L169" i="8" s="1"/>
  <c r="L170" i="8" a="1"/>
  <c r="L170" i="8" s="1"/>
  <c r="L171" i="8" a="1"/>
  <c r="L171" i="8" s="1"/>
  <c r="L172" i="8" a="1"/>
  <c r="L172" i="8" s="1"/>
  <c r="L173" i="8" a="1"/>
  <c r="L173" i="8" s="1"/>
  <c r="L174" i="8" a="1"/>
  <c r="L174" i="8" s="1"/>
  <c r="L175" i="8" a="1"/>
  <c r="L175" i="8" s="1"/>
  <c r="L176" i="8" a="1"/>
  <c r="L176" i="8" s="1"/>
  <c r="L177" i="8" a="1"/>
  <c r="L177" i="8" s="1"/>
  <c r="L178" i="8" a="1"/>
  <c r="L178" i="8" s="1"/>
  <c r="L179" i="8" a="1"/>
  <c r="L179" i="8" s="1"/>
  <c r="L180" i="8" a="1"/>
  <c r="L180" i="8" s="1"/>
  <c r="L181" i="8" a="1"/>
  <c r="L181" i="8" s="1"/>
  <c r="L182" i="8" a="1"/>
  <c r="L182" i="8" s="1"/>
  <c r="L183" i="8" a="1"/>
  <c r="L183" i="8" s="1"/>
  <c r="L184" i="8" a="1"/>
  <c r="L184" i="8" s="1"/>
  <c r="L185" i="8" a="1"/>
  <c r="L185" i="8" s="1"/>
  <c r="L186" i="8" a="1"/>
  <c r="L186" i="8" s="1"/>
  <c r="L187" i="8" a="1"/>
  <c r="L187" i="8" s="1"/>
  <c r="L188" i="8" a="1"/>
  <c r="L188" i="8" s="1"/>
  <c r="L189" i="8" a="1"/>
  <c r="L189" i="8" s="1"/>
  <c r="L190" i="8" a="1"/>
  <c r="L190" i="8" s="1"/>
  <c r="L191" i="8" a="1"/>
  <c r="L191" i="8" s="1"/>
  <c r="L192" i="8" a="1"/>
  <c r="L192" i="8" s="1"/>
  <c r="L193" i="8" a="1"/>
  <c r="L193" i="8" s="1"/>
  <c r="L194" i="8" a="1"/>
  <c r="L194" i="8" s="1"/>
  <c r="L195" i="8" a="1"/>
  <c r="L195" i="8" s="1"/>
  <c r="L196" i="8" a="1"/>
  <c r="L196" i="8" s="1"/>
  <c r="L197" i="8" a="1"/>
  <c r="L197" i="8" s="1"/>
  <c r="L198" i="8" a="1"/>
  <c r="L198" i="8" s="1"/>
  <c r="L199" i="8" a="1"/>
  <c r="L199" i="8" s="1"/>
  <c r="L200" i="8" a="1"/>
  <c r="L200" i="8" s="1"/>
  <c r="L201" i="8" a="1"/>
  <c r="L201" i="8" s="1"/>
  <c r="L202" i="8" a="1"/>
  <c r="L202" i="8" s="1"/>
  <c r="L203" i="8" a="1"/>
  <c r="L203" i="8" s="1"/>
  <c r="L204" i="8" a="1"/>
  <c r="L204" i="8" s="1"/>
  <c r="L205" i="8" a="1"/>
  <c r="L205" i="8" s="1"/>
  <c r="L206" i="8" a="1"/>
  <c r="L206" i="8" s="1"/>
  <c r="L207" i="8" a="1"/>
  <c r="L207" i="8" s="1"/>
  <c r="L208" i="8" a="1"/>
  <c r="L208" i="8" s="1"/>
  <c r="L209" i="8" a="1"/>
  <c r="L209" i="8" s="1"/>
  <c r="L210" i="8" a="1"/>
  <c r="L210" i="8" s="1"/>
  <c r="L211" i="8" a="1"/>
  <c r="L211" i="8" s="1"/>
  <c r="L212" i="8" a="1"/>
  <c r="L212" i="8" s="1"/>
  <c r="L213" i="8" a="1"/>
  <c r="L213" i="8" s="1"/>
  <c r="L214" i="8" a="1"/>
  <c r="L214" i="8" s="1"/>
  <c r="L215" i="8" a="1"/>
  <c r="L215" i="8" s="1"/>
  <c r="L216" i="8" a="1"/>
  <c r="L216" i="8" s="1"/>
  <c r="L217" i="8" a="1"/>
  <c r="L217" i="8" s="1"/>
  <c r="L218" i="8" a="1"/>
  <c r="L218" i="8" s="1"/>
  <c r="L219" i="8" a="1"/>
  <c r="L219" i="8" s="1"/>
  <c r="L220" i="8" a="1"/>
  <c r="L220" i="8" s="1"/>
  <c r="L221" i="8" a="1"/>
  <c r="L221" i="8" s="1"/>
  <c r="L222" i="8" a="1"/>
  <c r="L222" i="8" s="1"/>
  <c r="L223" i="8" a="1"/>
  <c r="L223" i="8" s="1"/>
  <c r="L224" i="8" a="1"/>
  <c r="L224" i="8" s="1"/>
  <c r="L225" i="8" a="1"/>
  <c r="L225" i="8" s="1"/>
  <c r="L226" i="8" a="1"/>
  <c r="L226" i="8" s="1"/>
  <c r="L227" i="8" a="1"/>
  <c r="L227" i="8" s="1"/>
  <c r="L228" i="8" a="1"/>
  <c r="L228" i="8" s="1"/>
  <c r="L229" i="8" a="1"/>
  <c r="L229" i="8" s="1"/>
  <c r="L230" i="8" a="1"/>
  <c r="L230" i="8" s="1"/>
  <c r="L231" i="8" a="1"/>
  <c r="L231" i="8" s="1"/>
  <c r="L232" i="8" a="1"/>
  <c r="L232" i="8" s="1"/>
  <c r="L233" i="8" a="1"/>
  <c r="L233" i="8" s="1"/>
  <c r="L234" i="8" a="1"/>
  <c r="L234" i="8" s="1"/>
  <c r="L235" i="8" a="1"/>
  <c r="L235" i="8" s="1"/>
  <c r="L236" i="8" a="1"/>
  <c r="L236" i="8" s="1"/>
  <c r="L237" i="8" a="1"/>
  <c r="L237" i="8" s="1"/>
  <c r="L238" i="8" a="1"/>
  <c r="L238" i="8" s="1"/>
  <c r="L239" i="8" a="1"/>
  <c r="L239" i="8" s="1"/>
  <c r="L240" i="8" a="1"/>
  <c r="L240" i="8" s="1"/>
  <c r="L241" i="8" a="1"/>
  <c r="L241" i="8" s="1"/>
  <c r="L242" i="8" a="1"/>
  <c r="L242" i="8" s="1"/>
  <c r="L243" i="8" a="1"/>
  <c r="L243" i="8" s="1"/>
  <c r="L244" i="8" a="1"/>
  <c r="L244" i="8" s="1"/>
  <c r="L245" i="8" a="1"/>
  <c r="L245" i="8" s="1"/>
  <c r="L246" i="8" a="1"/>
  <c r="L246" i="8" s="1"/>
  <c r="L247" i="8" a="1"/>
  <c r="L247" i="8" s="1"/>
  <c r="L248" i="8" a="1"/>
  <c r="L248" i="8" s="1"/>
  <c r="L249" i="8" a="1"/>
  <c r="L249" i="8" s="1"/>
  <c r="L250" i="8" a="1"/>
  <c r="L250" i="8" s="1"/>
  <c r="L251" i="8" a="1"/>
  <c r="L251" i="8" s="1"/>
  <c r="L252" i="8" a="1"/>
  <c r="L252" i="8" s="1"/>
  <c r="L253" i="8" a="1"/>
  <c r="L253" i="8" s="1"/>
  <c r="L254" i="8" a="1"/>
  <c r="L254" i="8" s="1"/>
  <c r="L255" i="8" a="1"/>
  <c r="L255" i="8" s="1"/>
  <c r="L256" i="8" a="1"/>
  <c r="L256" i="8" s="1"/>
  <c r="L257" i="8" a="1"/>
  <c r="L257" i="8" s="1"/>
  <c r="L258" i="8" a="1"/>
  <c r="L258" i="8" s="1"/>
  <c r="L259" i="8" a="1"/>
  <c r="L259" i="8" s="1"/>
  <c r="L260" i="8" a="1"/>
  <c r="L260" i="8" s="1"/>
  <c r="L261" i="8" a="1"/>
  <c r="L261" i="8" s="1"/>
  <c r="L262" i="8" a="1"/>
  <c r="L262" i="8" s="1"/>
  <c r="L263" i="8" a="1"/>
  <c r="L263" i="8" s="1"/>
  <c r="L264" i="8" a="1"/>
  <c r="L264" i="8" s="1"/>
  <c r="L265" i="8" a="1"/>
  <c r="L265" i="8" s="1"/>
  <c r="L266" i="8" a="1"/>
  <c r="L266" i="8" s="1"/>
  <c r="L267" i="8" a="1"/>
  <c r="L267" i="8" s="1"/>
  <c r="L268" i="8" a="1"/>
  <c r="L268" i="8" s="1"/>
  <c r="L269" i="8" a="1"/>
  <c r="L269" i="8" s="1"/>
  <c r="L270" i="8" a="1"/>
  <c r="L270" i="8" s="1"/>
  <c r="L271" i="8" a="1"/>
  <c r="L271" i="8" s="1"/>
  <c r="L272" i="8" a="1"/>
  <c r="L272" i="8" s="1"/>
  <c r="L273" i="8" a="1"/>
  <c r="L273" i="8" s="1"/>
  <c r="L274" i="8" a="1"/>
  <c r="L274" i="8" s="1"/>
  <c r="L275" i="8" a="1"/>
  <c r="L275" i="8" s="1"/>
  <c r="L276" i="8" a="1"/>
  <c r="L276" i="8" s="1"/>
  <c r="L277" i="8" a="1"/>
  <c r="L277" i="8" s="1"/>
  <c r="L278" i="8" a="1"/>
  <c r="L278" i="8" s="1"/>
  <c r="L279" i="8" a="1"/>
  <c r="L279" i="8" s="1"/>
  <c r="L280" i="8" a="1"/>
  <c r="L280" i="8" s="1"/>
  <c r="L281" i="8" a="1"/>
  <c r="L281" i="8" s="1"/>
  <c r="L282" i="8" a="1"/>
  <c r="L282" i="8" s="1"/>
  <c r="L283" i="8" a="1"/>
  <c r="L283" i="8" s="1"/>
  <c r="L284" i="8" a="1"/>
  <c r="L284" i="8" s="1"/>
  <c r="L285" i="8" a="1"/>
  <c r="L285" i="8" s="1"/>
  <c r="L286" i="8" a="1"/>
  <c r="L286" i="8" s="1"/>
  <c r="L287" i="8" a="1"/>
  <c r="L287" i="8" s="1"/>
  <c r="L288" i="8" a="1"/>
  <c r="L288" i="8" s="1"/>
  <c r="L289" i="8" a="1"/>
  <c r="L289" i="8" s="1"/>
  <c r="L290" i="8" a="1"/>
  <c r="L290" i="8" s="1"/>
  <c r="L291" i="8" a="1"/>
  <c r="L291" i="8" s="1"/>
  <c r="L292" i="8" a="1"/>
  <c r="L292" i="8" s="1"/>
  <c r="L293" i="8" a="1"/>
  <c r="L293" i="8" s="1"/>
  <c r="L294" i="8" a="1"/>
  <c r="L294" i="8" s="1"/>
  <c r="L295" i="8" a="1"/>
  <c r="L295" i="8" s="1"/>
  <c r="L296" i="8" a="1"/>
  <c r="L296" i="8" s="1"/>
  <c r="L297" i="8" a="1"/>
  <c r="L297" i="8" s="1"/>
  <c r="L298" i="8" a="1"/>
  <c r="L298" i="8" s="1"/>
  <c r="L299" i="8" a="1"/>
  <c r="L299" i="8" s="1"/>
  <c r="L300" i="8" a="1"/>
  <c r="L300" i="8" s="1"/>
  <c r="L301" i="8" a="1"/>
  <c r="L301" i="8" s="1"/>
  <c r="L302" i="8" a="1"/>
  <c r="L302" i="8" s="1"/>
  <c r="L303" i="8" a="1"/>
  <c r="L303" i="8" s="1"/>
  <c r="L304" i="8" a="1"/>
  <c r="L304" i="8" s="1"/>
  <c r="L305" i="8" a="1"/>
  <c r="L305" i="8" s="1"/>
  <c r="L306" i="8" a="1"/>
  <c r="L306" i="8" s="1"/>
  <c r="L307" i="8" a="1"/>
  <c r="L307" i="8" s="1"/>
  <c r="L308" i="8" a="1"/>
  <c r="L308" i="8" s="1"/>
  <c r="L309" i="8" a="1"/>
  <c r="L309" i="8" s="1"/>
  <c r="L310" i="8" a="1"/>
  <c r="L310" i="8" s="1"/>
  <c r="L311" i="8" a="1"/>
  <c r="L311" i="8" s="1"/>
  <c r="L312" i="8" a="1"/>
  <c r="L312" i="8" s="1"/>
  <c r="L313" i="8" a="1"/>
  <c r="L313" i="8" s="1"/>
  <c r="L314" i="8" a="1"/>
  <c r="L314" i="8" s="1"/>
  <c r="L315" i="8" a="1"/>
  <c r="L315" i="8" s="1"/>
  <c r="L316" i="8" a="1"/>
  <c r="L316" i="8" s="1"/>
  <c r="L317" i="8" a="1"/>
  <c r="L317" i="8" s="1"/>
  <c r="L318" i="8" a="1"/>
  <c r="L318" i="8" s="1"/>
  <c r="L319" i="8" a="1"/>
  <c r="L319" i="8" s="1"/>
  <c r="L320" i="8" a="1"/>
  <c r="L320" i="8" s="1"/>
  <c r="L321" i="8" a="1"/>
  <c r="L321" i="8" s="1"/>
  <c r="L322" i="8" a="1"/>
  <c r="L322" i="8" s="1"/>
  <c r="L323" i="8" a="1"/>
  <c r="L323" i="8" s="1"/>
  <c r="L324" i="8" a="1"/>
  <c r="L324" i="8" s="1"/>
  <c r="L325" i="8" a="1"/>
  <c r="L325" i="8" s="1"/>
  <c r="L326" i="8" a="1"/>
  <c r="L326" i="8" s="1"/>
  <c r="L327" i="8" a="1"/>
  <c r="L327" i="8" s="1"/>
  <c r="L328" i="8" a="1"/>
  <c r="L328" i="8" s="1"/>
  <c r="L329" i="8" a="1"/>
  <c r="L329" i="8" s="1"/>
  <c r="L330" i="8" a="1"/>
  <c r="L330" i="8" s="1"/>
  <c r="L331" i="8" a="1"/>
  <c r="L331" i="8" s="1"/>
  <c r="L332" i="8" a="1"/>
  <c r="L332" i="8" s="1"/>
  <c r="L333" i="8" a="1"/>
  <c r="L333" i="8" s="1"/>
  <c r="L334" i="8" a="1"/>
  <c r="L334" i="8" s="1"/>
  <c r="L335" i="8" a="1"/>
  <c r="L335" i="8" s="1"/>
  <c r="L336" i="8" a="1"/>
  <c r="L336" i="8" s="1"/>
  <c r="L337" i="8" a="1"/>
  <c r="L337" i="8" s="1"/>
  <c r="L338" i="8" a="1"/>
  <c r="L338" i="8" s="1"/>
  <c r="L339" i="8" a="1"/>
  <c r="L339" i="8" s="1"/>
  <c r="L340" i="8" a="1"/>
  <c r="L340" i="8" s="1"/>
  <c r="L341" i="8" a="1"/>
  <c r="L341" i="8" s="1"/>
  <c r="L342" i="8" a="1"/>
  <c r="L342" i="8" s="1"/>
  <c r="L343" i="8" a="1"/>
  <c r="L343" i="8" s="1"/>
  <c r="L344" i="8" a="1"/>
  <c r="L344" i="8" s="1"/>
  <c r="L345" i="8" a="1"/>
  <c r="L345" i="8" s="1"/>
  <c r="L346" i="8" a="1"/>
  <c r="L346" i="8" s="1"/>
  <c r="L347" i="8" a="1"/>
  <c r="L347" i="8" s="1"/>
  <c r="L348" i="8" a="1"/>
  <c r="L348" i="8" s="1"/>
  <c r="L349" i="8" a="1"/>
  <c r="L349" i="8" s="1"/>
  <c r="L350" i="8" a="1"/>
  <c r="L350" i="8" s="1"/>
  <c r="L351" i="8" a="1"/>
  <c r="L351" i="8" s="1"/>
  <c r="L352" i="8" a="1"/>
  <c r="L352" i="8" s="1"/>
  <c r="L353" i="8" a="1"/>
  <c r="L353" i="8" s="1"/>
  <c r="L354" i="8" a="1"/>
  <c r="L354" i="8" s="1"/>
  <c r="L355" i="8" a="1"/>
  <c r="L355" i="8" s="1"/>
  <c r="L356" i="8" a="1"/>
  <c r="L356" i="8" s="1"/>
  <c r="L357" i="8" a="1"/>
  <c r="L357" i="8" s="1"/>
  <c r="L358" i="8" a="1"/>
  <c r="L358" i="8" s="1"/>
  <c r="L359" i="8" a="1"/>
  <c r="L359" i="8" s="1"/>
  <c r="L360" i="8" a="1"/>
  <c r="L360" i="8" s="1"/>
  <c r="L361" i="8" a="1"/>
  <c r="L361" i="8" s="1"/>
  <c r="L362" i="8" a="1"/>
  <c r="L362" i="8" s="1"/>
  <c r="L363" i="8" a="1"/>
  <c r="L363" i="8" s="1"/>
  <c r="L364" i="8" a="1"/>
  <c r="L364" i="8" s="1"/>
  <c r="L365" i="8" a="1"/>
  <c r="L365" i="8" s="1"/>
  <c r="L366" i="8" a="1"/>
  <c r="L366" i="8" s="1"/>
  <c r="L367" i="8" a="1"/>
  <c r="L367" i="8" s="1"/>
  <c r="L368" i="8" a="1"/>
  <c r="L368" i="8" s="1"/>
  <c r="L369" i="8" a="1"/>
  <c r="L369" i="8" s="1"/>
  <c r="L370" i="8" a="1"/>
  <c r="L370" i="8" s="1"/>
  <c r="L371" i="8" a="1"/>
  <c r="L371" i="8" s="1"/>
  <c r="L372" i="8" a="1"/>
  <c r="L372" i="8" s="1"/>
  <c r="L373" i="8" a="1"/>
  <c r="L373" i="8" s="1"/>
  <c r="L374" i="8" a="1"/>
  <c r="L374" i="8" s="1"/>
  <c r="L375" i="8" a="1"/>
  <c r="L375" i="8" s="1"/>
  <c r="L376" i="8" a="1"/>
  <c r="L376" i="8" s="1"/>
  <c r="L377" i="8" a="1"/>
  <c r="L377" i="8" s="1"/>
  <c r="L378" i="8" a="1"/>
  <c r="L378" i="8" s="1"/>
  <c r="L379" i="8" a="1"/>
  <c r="L379" i="8" s="1"/>
  <c r="L380" i="8" a="1"/>
  <c r="L380" i="8" s="1"/>
  <c r="L381" i="8" a="1"/>
  <c r="L381" i="8" s="1"/>
  <c r="L382" i="8" a="1"/>
  <c r="L382" i="8" s="1"/>
  <c r="L383" i="8" a="1"/>
  <c r="L383" i="8" s="1"/>
  <c r="L384" i="8" a="1"/>
  <c r="L384" i="8" s="1"/>
  <c r="L385" i="8" a="1"/>
  <c r="L385" i="8" s="1"/>
  <c r="L386" i="8" a="1"/>
  <c r="L386" i="8" s="1"/>
  <c r="L387" i="8" a="1"/>
  <c r="L387" i="8" s="1"/>
  <c r="L388" i="8" a="1"/>
  <c r="L388" i="8" s="1"/>
  <c r="L389" i="8" a="1"/>
  <c r="L389" i="8" s="1"/>
  <c r="L390" i="8" a="1"/>
  <c r="L390" i="8" s="1"/>
  <c r="L391" i="8" a="1"/>
  <c r="L391" i="8" s="1"/>
  <c r="L392" i="8" a="1"/>
  <c r="L392" i="8" s="1"/>
  <c r="L393" i="8" a="1"/>
  <c r="L393" i="8" s="1"/>
  <c r="L394" i="8" a="1"/>
  <c r="L394" i="8" s="1"/>
  <c r="L395" i="8" a="1"/>
  <c r="L395" i="8" s="1"/>
  <c r="L396" i="8" a="1"/>
  <c r="L396" i="8" s="1"/>
  <c r="L397" i="8" a="1"/>
  <c r="L397" i="8" s="1"/>
  <c r="L398" i="8" a="1"/>
  <c r="L398" i="8" s="1"/>
  <c r="L399" i="8" a="1"/>
  <c r="L399" i="8" s="1"/>
  <c r="K268" i="9"/>
  <c r="L268" i="9" s="1"/>
  <c r="K269" i="9"/>
  <c r="L269" i="9" s="1"/>
  <c r="K270" i="9"/>
  <c r="L270" i="9" s="1"/>
  <c r="K271" i="9"/>
  <c r="L271" i="9" s="1"/>
  <c r="K272" i="9"/>
  <c r="L272" i="9" s="1"/>
  <c r="K273" i="9"/>
  <c r="L273" i="9" s="1"/>
  <c r="K274" i="9"/>
  <c r="L274" i="9" s="1"/>
  <c r="K275" i="9"/>
  <c r="L275" i="9" s="1"/>
  <c r="K276" i="9"/>
  <c r="L276" i="9" s="1"/>
  <c r="K277" i="9"/>
  <c r="L277" i="9" s="1"/>
  <c r="K278" i="9"/>
  <c r="L278" i="9" s="1"/>
  <c r="K279" i="9"/>
  <c r="L279" i="9" s="1"/>
  <c r="K280" i="9"/>
  <c r="L280" i="9" s="1"/>
  <c r="K281" i="9"/>
  <c r="L281" i="9" s="1"/>
  <c r="K282" i="9"/>
  <c r="L282" i="9" s="1"/>
  <c r="K283" i="9"/>
  <c r="L283" i="9" s="1"/>
  <c r="K284" i="9"/>
  <c r="L284" i="9" s="1"/>
  <c r="K285" i="9"/>
  <c r="L285" i="9" s="1"/>
  <c r="K286" i="9"/>
  <c r="L286" i="9" s="1"/>
  <c r="K287" i="9"/>
  <c r="L287" i="9" s="1"/>
  <c r="K288" i="9"/>
  <c r="L288" i="9" s="1"/>
  <c r="K289" i="9"/>
  <c r="L289" i="9" s="1"/>
  <c r="K290" i="9"/>
  <c r="L290" i="9" s="1"/>
  <c r="K267" i="9"/>
  <c r="L267" i="9" s="1"/>
  <c r="J266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H266" i="9"/>
  <c r="B205" i="9"/>
  <c r="L130" i="9"/>
  <c r="L131" i="9"/>
  <c r="L132" i="9"/>
  <c r="L133" i="9"/>
  <c r="L134" i="9"/>
  <c r="L135" i="9"/>
  <c r="L136" i="9"/>
  <c r="I130" i="9"/>
  <c r="I131" i="9"/>
  <c r="I132" i="9"/>
  <c r="I133" i="9"/>
  <c r="I134" i="9"/>
  <c r="I135" i="9"/>
  <c r="I136" i="9"/>
  <c r="H130" i="9"/>
  <c r="K130" i="9" s="1"/>
  <c r="H131" i="9"/>
  <c r="H132" i="9"/>
  <c r="H133" i="9"/>
  <c r="H134" i="9"/>
  <c r="H135" i="9"/>
  <c r="H136" i="9"/>
  <c r="C128" i="9"/>
  <c r="B128" i="9" s="1"/>
  <c r="C129" i="9"/>
  <c r="B129" i="9" s="1"/>
  <c r="C130" i="9"/>
  <c r="B130" i="9" s="1"/>
  <c r="C131" i="9"/>
  <c r="B131" i="9" s="1"/>
  <c r="C132" i="9"/>
  <c r="B132" i="9" s="1"/>
  <c r="C133" i="9"/>
  <c r="B133" i="9" s="1"/>
  <c r="C134" i="9"/>
  <c r="B134" i="9" s="1"/>
  <c r="C135" i="9"/>
  <c r="B135" i="9" s="1"/>
  <c r="B266" i="9"/>
  <c r="B267" i="9" s="1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F185" i="9"/>
  <c r="G185" i="9"/>
  <c r="H185" i="9"/>
  <c r="F186" i="9"/>
  <c r="G186" i="9"/>
  <c r="H186" i="9"/>
  <c r="F187" i="9"/>
  <c r="G187" i="9"/>
  <c r="H187" i="9"/>
  <c r="F188" i="9"/>
  <c r="G188" i="9"/>
  <c r="H188" i="9"/>
  <c r="F189" i="9"/>
  <c r="G189" i="9"/>
  <c r="H189" i="9"/>
  <c r="F190" i="9"/>
  <c r="G190" i="9"/>
  <c r="H190" i="9"/>
  <c r="F191" i="9"/>
  <c r="G191" i="9"/>
  <c r="H191" i="9"/>
  <c r="F192" i="9"/>
  <c r="G192" i="9"/>
  <c r="H192" i="9"/>
  <c r="F193" i="9"/>
  <c r="G193" i="9"/>
  <c r="H193" i="9"/>
  <c r="F194" i="9"/>
  <c r="G194" i="9"/>
  <c r="H194" i="9"/>
  <c r="F195" i="9"/>
  <c r="G195" i="9"/>
  <c r="H195" i="9"/>
  <c r="F196" i="9"/>
  <c r="G196" i="9"/>
  <c r="H196" i="9"/>
  <c r="F197" i="9"/>
  <c r="G197" i="9"/>
  <c r="H197" i="9"/>
  <c r="C185" i="9"/>
  <c r="B185" i="9" s="1"/>
  <c r="C186" i="9"/>
  <c r="B186" i="9" s="1"/>
  <c r="C187" i="9"/>
  <c r="B187" i="9" s="1"/>
  <c r="C188" i="9"/>
  <c r="B188" i="9" s="1"/>
  <c r="C189" i="9"/>
  <c r="B189" i="9" s="1"/>
  <c r="C190" i="9"/>
  <c r="B190" i="9" s="1"/>
  <c r="C191" i="9"/>
  <c r="B191" i="9" s="1"/>
  <c r="C192" i="9"/>
  <c r="B192" i="9" s="1"/>
  <c r="C193" i="9"/>
  <c r="B193" i="9" s="1"/>
  <c r="C194" i="9"/>
  <c r="B194" i="9" s="1"/>
  <c r="C195" i="9"/>
  <c r="B195" i="9" s="1"/>
  <c r="C196" i="9"/>
  <c r="B196" i="9" s="1"/>
  <c r="C197" i="9"/>
  <c r="B197" i="9" s="1"/>
  <c r="J198" i="9"/>
  <c r="AF90" i="3"/>
  <c r="AF89" i="3"/>
  <c r="AF88" i="3"/>
  <c r="AF87" i="3"/>
  <c r="AF86" i="3"/>
  <c r="AF85" i="3"/>
  <c r="AF84" i="3"/>
  <c r="AF83" i="3"/>
  <c r="AF79" i="3"/>
  <c r="AF80" i="3" s="1"/>
  <c r="AF81" i="3" s="1"/>
  <c r="AF82" i="3" s="1"/>
  <c r="AJ90" i="3"/>
  <c r="AJ89" i="3"/>
  <c r="AJ88" i="3"/>
  <c r="AJ87" i="3"/>
  <c r="AJ86" i="3"/>
  <c r="AJ85" i="3"/>
  <c r="AJ84" i="3"/>
  <c r="AJ83" i="3"/>
  <c r="AJ79" i="3"/>
  <c r="AJ80" i="3" s="1"/>
  <c r="AJ81" i="3" s="1"/>
  <c r="AJ82" i="3" s="1"/>
  <c r="AJ58" i="3"/>
  <c r="AJ57" i="3"/>
  <c r="AJ56" i="3"/>
  <c r="AJ55" i="3"/>
  <c r="AJ54" i="3"/>
  <c r="AJ53" i="3"/>
  <c r="AJ52" i="3"/>
  <c r="AJ51" i="3"/>
  <c r="AJ47" i="3"/>
  <c r="AJ48" i="3" s="1"/>
  <c r="AJ49" i="3" s="1"/>
  <c r="AJ50" i="3" s="1"/>
  <c r="AF58" i="3"/>
  <c r="AF57" i="3"/>
  <c r="AF56" i="3"/>
  <c r="AF55" i="3"/>
  <c r="AF54" i="3"/>
  <c r="AF53" i="3"/>
  <c r="AF47" i="3"/>
  <c r="AF48" i="3" s="1"/>
  <c r="AF49" i="3" s="1"/>
  <c r="AF50" i="3" s="1"/>
  <c r="AF51" i="3" s="1"/>
  <c r="AF52" i="3" s="1"/>
  <c r="K87" i="9"/>
  <c r="L87" i="9" s="1"/>
  <c r="K88" i="9"/>
  <c r="L88" i="9" s="1"/>
  <c r="K89" i="9"/>
  <c r="L89" i="9" s="1"/>
  <c r="K90" i="9"/>
  <c r="L90" i="9" s="1"/>
  <c r="K91" i="9"/>
  <c r="L91" i="9" s="1"/>
  <c r="K92" i="9"/>
  <c r="L92" i="9" s="1"/>
  <c r="K93" i="9"/>
  <c r="L93" i="9" s="1"/>
  <c r="K94" i="9"/>
  <c r="L94" i="9" s="1"/>
  <c r="K95" i="9"/>
  <c r="L95" i="9" s="1"/>
  <c r="K96" i="9"/>
  <c r="L96" i="9" s="1"/>
  <c r="K97" i="9"/>
  <c r="L97" i="9" s="1"/>
  <c r="K98" i="9"/>
  <c r="L98" i="9" s="1"/>
  <c r="K99" i="9"/>
  <c r="L99" i="9" s="1"/>
  <c r="K100" i="9"/>
  <c r="L100" i="9" s="1"/>
  <c r="K101" i="9"/>
  <c r="L101" i="9" s="1"/>
  <c r="K102" i="9"/>
  <c r="L102" i="9" s="1"/>
  <c r="K103" i="9"/>
  <c r="L103" i="9" s="1"/>
  <c r="K104" i="9"/>
  <c r="L104" i="9" s="1"/>
  <c r="J80" i="9"/>
  <c r="H80" i="9"/>
  <c r="B80" i="9"/>
  <c r="B19" i="9"/>
  <c r="K5" i="9"/>
  <c r="AF19" i="3"/>
  <c r="AF20" i="3"/>
  <c r="AF21" i="3"/>
  <c r="AF22" i="3"/>
  <c r="AF23" i="3"/>
  <c r="AF24" i="3"/>
  <c r="AF25" i="3"/>
  <c r="AF14" i="3"/>
  <c r="AF15" i="3" s="1"/>
  <c r="AF16" i="3" s="1"/>
  <c r="AF17" i="3" s="1"/>
  <c r="AF18" i="3" s="1"/>
  <c r="AJ25" i="3"/>
  <c r="AJ24" i="3"/>
  <c r="AJ23" i="3"/>
  <c r="AJ22" i="3"/>
  <c r="AJ21" i="3"/>
  <c r="AJ20" i="3"/>
  <c r="AJ19" i="3"/>
  <c r="AJ14" i="3"/>
  <c r="AJ15" i="3" s="1"/>
  <c r="AJ16" i="3" s="1"/>
  <c r="AJ17" i="3" s="1"/>
  <c r="AJ18" i="3" s="1"/>
  <c r="B6" i="8" a="1"/>
  <c r="B6" i="8" s="1"/>
  <c r="L6" i="8" s="1" a="1"/>
  <c r="L6" i="8" s="1"/>
  <c r="B6" i="7" a="1"/>
  <c r="B6" i="7" s="1"/>
  <c r="B6" i="6" a="1"/>
  <c r="B6" i="6" s="1"/>
  <c r="L6" i="6" s="1" a="1"/>
  <c r="L6" i="6" s="1"/>
  <c r="AB90" i="3"/>
  <c r="AB89" i="3"/>
  <c r="AB88" i="3"/>
  <c r="AB87" i="3"/>
  <c r="AB86" i="3"/>
  <c r="AB85" i="3"/>
  <c r="AB84" i="3"/>
  <c r="AB83" i="3"/>
  <c r="AB82" i="3"/>
  <c r="AB58" i="3"/>
  <c r="AB57" i="3"/>
  <c r="AB56" i="3"/>
  <c r="AB55" i="3"/>
  <c r="AB54" i="3"/>
  <c r="AB53" i="3"/>
  <c r="AB52" i="3"/>
  <c r="AB51" i="3"/>
  <c r="AB19" i="3"/>
  <c r="AB20" i="3"/>
  <c r="AB21" i="3"/>
  <c r="AB22" i="3"/>
  <c r="AB23" i="3"/>
  <c r="AB24" i="3"/>
  <c r="AB25" i="3"/>
  <c r="S59" i="3"/>
  <c r="I185" i="9" s="1"/>
  <c r="S60" i="3"/>
  <c r="I186" i="9" s="1"/>
  <c r="S61" i="3"/>
  <c r="I187" i="9" s="1"/>
  <c r="S62" i="3"/>
  <c r="I188" i="9" s="1"/>
  <c r="S63" i="3"/>
  <c r="I189" i="9" s="1"/>
  <c r="S64" i="3"/>
  <c r="I190" i="9" s="1"/>
  <c r="S65" i="3"/>
  <c r="I191" i="9" s="1"/>
  <c r="S66" i="3"/>
  <c r="I192" i="9" s="1"/>
  <c r="S67" i="3"/>
  <c r="I193" i="9" s="1"/>
  <c r="S68" i="3"/>
  <c r="I194" i="9" s="1"/>
  <c r="S69" i="3"/>
  <c r="I195" i="9" s="1"/>
  <c r="S70" i="3"/>
  <c r="I196" i="9" s="1"/>
  <c r="S71" i="3"/>
  <c r="I197" i="9" s="1"/>
  <c r="F62" i="3"/>
  <c r="T62" i="3"/>
  <c r="G127" i="9" s="1"/>
  <c r="U62" i="3"/>
  <c r="F63" i="3"/>
  <c r="T63" i="3"/>
  <c r="G128" i="9" s="1"/>
  <c r="U63" i="3"/>
  <c r="F64" i="3"/>
  <c r="T64" i="3"/>
  <c r="G129" i="9" s="1"/>
  <c r="U64" i="3"/>
  <c r="F65" i="3"/>
  <c r="T65" i="3"/>
  <c r="G130" i="9" s="1"/>
  <c r="U65" i="3"/>
  <c r="F66" i="3"/>
  <c r="T66" i="3"/>
  <c r="G131" i="9" s="1"/>
  <c r="U66" i="3"/>
  <c r="F67" i="3"/>
  <c r="T67" i="3"/>
  <c r="G132" i="9" s="1"/>
  <c r="U67" i="3"/>
  <c r="F68" i="3"/>
  <c r="T68" i="3"/>
  <c r="G133" i="9" s="1"/>
  <c r="U68" i="3"/>
  <c r="F69" i="3"/>
  <c r="T69" i="3"/>
  <c r="G134" i="9" s="1"/>
  <c r="U69" i="3"/>
  <c r="F70" i="3"/>
  <c r="T70" i="3"/>
  <c r="G135" i="9" s="1"/>
  <c r="U70" i="3"/>
  <c r="F71" i="3"/>
  <c r="T71" i="3"/>
  <c r="G136" i="9" s="1"/>
  <c r="U71" i="3"/>
  <c r="U59" i="3"/>
  <c r="U60" i="3"/>
  <c r="U61" i="3"/>
  <c r="C124" i="9"/>
  <c r="B124" i="9" s="1"/>
  <c r="H124" i="9"/>
  <c r="I124" i="9"/>
  <c r="L124" i="9"/>
  <c r="C125" i="9"/>
  <c r="B125" i="9" s="1"/>
  <c r="H125" i="9"/>
  <c r="I125" i="9"/>
  <c r="L125" i="9"/>
  <c r="C126" i="9"/>
  <c r="B126" i="9" s="1"/>
  <c r="H126" i="9"/>
  <c r="I126" i="9"/>
  <c r="L126" i="9"/>
  <c r="C127" i="9"/>
  <c r="B127" i="9" s="1"/>
  <c r="H127" i="9"/>
  <c r="I127" i="9"/>
  <c r="L127" i="9"/>
  <c r="H128" i="9"/>
  <c r="I128" i="9"/>
  <c r="L128" i="9"/>
  <c r="H129" i="9"/>
  <c r="I129" i="9"/>
  <c r="L129" i="9"/>
  <c r="C136" i="9"/>
  <c r="B136" i="9" s="1"/>
  <c r="C7" i="9"/>
  <c r="T59" i="3"/>
  <c r="G124" i="9" s="1"/>
  <c r="T60" i="3"/>
  <c r="G125" i="9" s="1"/>
  <c r="T61" i="3"/>
  <c r="G126" i="9" s="1"/>
  <c r="F43" i="3"/>
  <c r="F59" i="3"/>
  <c r="F60" i="3"/>
  <c r="F61" i="3"/>
  <c r="D9" i="3"/>
  <c r="B5" i="3"/>
  <c r="C11" i="9" s="1"/>
  <c r="B4" i="3"/>
  <c r="C10" i="9" s="1"/>
  <c r="B3" i="3"/>
  <c r="B10" i="3" s="1" a="1"/>
  <c r="B10" i="3" s="1"/>
  <c r="D3" i="3" s="1"/>
  <c r="D9" i="9" s="1"/>
  <c r="C9" i="3"/>
  <c r="B9" i="3"/>
  <c r="C10" i="8"/>
  <c r="D10" i="8" a="1"/>
  <c r="D10" i="8" s="1"/>
  <c r="C11" i="8"/>
  <c r="D11" i="8" a="1"/>
  <c r="D11" i="8" s="1"/>
  <c r="C12" i="8"/>
  <c r="D12" i="8" a="1"/>
  <c r="D12" i="8" s="1"/>
  <c r="C13" i="8"/>
  <c r="D13" i="8" a="1"/>
  <c r="D13" i="8" s="1"/>
  <c r="C14" i="8"/>
  <c r="D14" i="8" a="1"/>
  <c r="D14" i="8" s="1"/>
  <c r="C15" i="8"/>
  <c r="D15" i="8" a="1"/>
  <c r="D15" i="8" s="1"/>
  <c r="C16" i="8"/>
  <c r="D16" i="8" a="1"/>
  <c r="D16" i="8" s="1"/>
  <c r="C17" i="8"/>
  <c r="D17" i="8" a="1"/>
  <c r="D17" i="8" s="1"/>
  <c r="C18" i="8"/>
  <c r="D18" i="8" a="1"/>
  <c r="D18" i="8" s="1"/>
  <c r="C19" i="8"/>
  <c r="D19" i="8" a="1"/>
  <c r="D19" i="8" s="1"/>
  <c r="C20" i="8"/>
  <c r="D20" i="8" a="1"/>
  <c r="D20" i="8" s="1"/>
  <c r="C21" i="8"/>
  <c r="D21" i="8" a="1"/>
  <c r="D21" i="8" s="1"/>
  <c r="C22" i="8"/>
  <c r="D22" i="8" a="1"/>
  <c r="D22" i="8" s="1"/>
  <c r="C23" i="8"/>
  <c r="D23" i="8" a="1"/>
  <c r="D23" i="8" s="1"/>
  <c r="C24" i="8"/>
  <c r="D24" i="8" a="1"/>
  <c r="D24" i="8" s="1"/>
  <c r="C25" i="8"/>
  <c r="D25" i="8" a="1"/>
  <c r="D25" i="8" s="1"/>
  <c r="C26" i="8"/>
  <c r="D26" i="8" a="1"/>
  <c r="D26" i="8" s="1"/>
  <c r="C27" i="8"/>
  <c r="D27" i="8" a="1"/>
  <c r="D27" i="8" s="1"/>
  <c r="C28" i="8"/>
  <c r="D28" i="8" a="1"/>
  <c r="D28" i="8" s="1"/>
  <c r="C29" i="8"/>
  <c r="D29" i="8" a="1"/>
  <c r="D29" i="8" s="1"/>
  <c r="C30" i="8"/>
  <c r="D30" i="8" a="1"/>
  <c r="D30" i="8" s="1"/>
  <c r="C31" i="8"/>
  <c r="D31" i="8" a="1"/>
  <c r="D31" i="8" s="1"/>
  <c r="C32" i="8"/>
  <c r="D32" i="8" a="1"/>
  <c r="D32" i="8" s="1"/>
  <c r="C33" i="8"/>
  <c r="D33" i="8" a="1"/>
  <c r="D33" i="8" s="1"/>
  <c r="C34" i="8"/>
  <c r="D34" i="8" a="1"/>
  <c r="D34" i="8" s="1"/>
  <c r="C35" i="8"/>
  <c r="D35" i="8" a="1"/>
  <c r="D35" i="8" s="1"/>
  <c r="C36" i="8"/>
  <c r="D36" i="8" a="1"/>
  <c r="D36" i="8" s="1"/>
  <c r="C37" i="8"/>
  <c r="D37" i="8" a="1"/>
  <c r="D37" i="8" s="1"/>
  <c r="C38" i="8"/>
  <c r="D38" i="8" a="1"/>
  <c r="D38" i="8" s="1"/>
  <c r="C39" i="8"/>
  <c r="D39" i="8" a="1"/>
  <c r="D39" i="8" s="1"/>
  <c r="C40" i="8"/>
  <c r="D40" i="8" a="1"/>
  <c r="D40" i="8" s="1"/>
  <c r="C41" i="8"/>
  <c r="D41" i="8" a="1"/>
  <c r="D41" i="8" s="1"/>
  <c r="C42" i="8"/>
  <c r="D42" i="8" a="1"/>
  <c r="D42" i="8" s="1"/>
  <c r="C43" i="8"/>
  <c r="D43" i="8" a="1"/>
  <c r="D43" i="8" s="1"/>
  <c r="C44" i="8"/>
  <c r="D44" i="8" a="1"/>
  <c r="D44" i="8" s="1"/>
  <c r="C45" i="8"/>
  <c r="D45" i="8" a="1"/>
  <c r="D45" i="8" s="1"/>
  <c r="C46" i="8"/>
  <c r="D46" i="8" a="1"/>
  <c r="D46" i="8" s="1"/>
  <c r="C47" i="8"/>
  <c r="D47" i="8" a="1"/>
  <c r="D47" i="8" s="1"/>
  <c r="C48" i="8"/>
  <c r="D48" i="8" a="1"/>
  <c r="D48" i="8" s="1"/>
  <c r="C49" i="8"/>
  <c r="D49" i="8" a="1"/>
  <c r="D49" i="8" s="1"/>
  <c r="C50" i="8"/>
  <c r="D50" i="8" a="1"/>
  <c r="D50" i="8" s="1"/>
  <c r="C51" i="8"/>
  <c r="D51" i="8" a="1"/>
  <c r="D51" i="8" s="1"/>
  <c r="C52" i="8"/>
  <c r="D52" i="8" a="1"/>
  <c r="D52" i="8" s="1"/>
  <c r="C53" i="8"/>
  <c r="D53" i="8" a="1"/>
  <c r="D53" i="8" s="1"/>
  <c r="C54" i="8"/>
  <c r="D54" i="8" a="1"/>
  <c r="D54" i="8" s="1"/>
  <c r="C55" i="8"/>
  <c r="D55" i="8" a="1"/>
  <c r="D55" i="8" s="1"/>
  <c r="C56" i="8"/>
  <c r="D56" i="8" a="1"/>
  <c r="D56" i="8" s="1"/>
  <c r="C57" i="8"/>
  <c r="D57" i="8" a="1"/>
  <c r="D57" i="8" s="1"/>
  <c r="C58" i="8"/>
  <c r="D58" i="8" a="1"/>
  <c r="D58" i="8" s="1"/>
  <c r="C59" i="8"/>
  <c r="D59" i="8" a="1"/>
  <c r="D59" i="8" s="1"/>
  <c r="C60" i="8"/>
  <c r="D60" i="8" a="1"/>
  <c r="D60" i="8" s="1"/>
  <c r="C61" i="8"/>
  <c r="D61" i="8" a="1"/>
  <c r="D61" i="8" s="1"/>
  <c r="C62" i="8"/>
  <c r="D62" i="8" a="1"/>
  <c r="D62" i="8" s="1"/>
  <c r="C63" i="8"/>
  <c r="D63" i="8" a="1"/>
  <c r="D63" i="8" s="1"/>
  <c r="C64" i="8"/>
  <c r="D64" i="8" a="1"/>
  <c r="D64" i="8" s="1"/>
  <c r="C65" i="8"/>
  <c r="D65" i="8" a="1"/>
  <c r="D65" i="8" s="1"/>
  <c r="C66" i="8"/>
  <c r="D66" i="8" a="1"/>
  <c r="D66" i="8" s="1"/>
  <c r="C67" i="8"/>
  <c r="D67" i="8" a="1"/>
  <c r="D67" i="8" s="1"/>
  <c r="C68" i="8"/>
  <c r="D68" i="8" a="1"/>
  <c r="D68" i="8" s="1"/>
  <c r="C69" i="8"/>
  <c r="D69" i="8" a="1"/>
  <c r="D69" i="8" s="1"/>
  <c r="C70" i="8"/>
  <c r="D70" i="8" a="1"/>
  <c r="D70" i="8" s="1"/>
  <c r="C71" i="8"/>
  <c r="D71" i="8" a="1"/>
  <c r="D71" i="8" s="1"/>
  <c r="C72" i="8"/>
  <c r="D72" i="8" a="1"/>
  <c r="D72" i="8" s="1"/>
  <c r="C73" i="8"/>
  <c r="D73" i="8" a="1"/>
  <c r="D73" i="8" s="1"/>
  <c r="C74" i="8"/>
  <c r="D74" i="8" a="1"/>
  <c r="D74" i="8" s="1"/>
  <c r="C75" i="8"/>
  <c r="D75" i="8" a="1"/>
  <c r="D75" i="8" s="1"/>
  <c r="C76" i="8"/>
  <c r="D76" i="8" a="1"/>
  <c r="D76" i="8" s="1"/>
  <c r="C77" i="8"/>
  <c r="D77" i="8" a="1"/>
  <c r="D77" i="8" s="1"/>
  <c r="C78" i="8"/>
  <c r="D78" i="8" a="1"/>
  <c r="D78" i="8" s="1"/>
  <c r="C79" i="8"/>
  <c r="D79" i="8" a="1"/>
  <c r="D79" i="8" s="1"/>
  <c r="C80" i="8"/>
  <c r="D80" i="8" a="1"/>
  <c r="D80" i="8" s="1"/>
  <c r="C81" i="8"/>
  <c r="D81" i="8" a="1"/>
  <c r="D81" i="8" s="1"/>
  <c r="C82" i="8"/>
  <c r="D82" i="8" a="1"/>
  <c r="D82" i="8" s="1"/>
  <c r="C83" i="8"/>
  <c r="D83" i="8" a="1"/>
  <c r="D83" i="8" s="1"/>
  <c r="C84" i="8"/>
  <c r="D84" i="8" a="1"/>
  <c r="D84" i="8" s="1"/>
  <c r="C85" i="8"/>
  <c r="D85" i="8" a="1"/>
  <c r="D85" i="8" s="1"/>
  <c r="C86" i="8"/>
  <c r="D86" i="8" a="1"/>
  <c r="D86" i="8" s="1"/>
  <c r="C87" i="8"/>
  <c r="D87" i="8" a="1"/>
  <c r="D87" i="8" s="1"/>
  <c r="C88" i="8"/>
  <c r="D88" i="8" a="1"/>
  <c r="D88" i="8" s="1"/>
  <c r="C89" i="8"/>
  <c r="D89" i="8" a="1"/>
  <c r="D89" i="8" s="1"/>
  <c r="C90" i="8"/>
  <c r="D90" i="8" a="1"/>
  <c r="D90" i="8" s="1"/>
  <c r="C91" i="8"/>
  <c r="D91" i="8" a="1"/>
  <c r="D91" i="8" s="1"/>
  <c r="C92" i="8"/>
  <c r="D92" i="8" a="1"/>
  <c r="D92" i="8" s="1"/>
  <c r="C93" i="8"/>
  <c r="D93" i="8" a="1"/>
  <c r="D93" i="8" s="1"/>
  <c r="C94" i="8"/>
  <c r="D94" i="8" a="1"/>
  <c r="D94" i="8" s="1"/>
  <c r="C95" i="8"/>
  <c r="D95" i="8" a="1"/>
  <c r="D95" i="8" s="1"/>
  <c r="C96" i="8"/>
  <c r="D96" i="8" a="1"/>
  <c r="D96" i="8" s="1"/>
  <c r="C97" i="8"/>
  <c r="D97" i="8" a="1"/>
  <c r="D97" i="8" s="1"/>
  <c r="C98" i="8"/>
  <c r="D98" i="8" a="1"/>
  <c r="D98" i="8" s="1"/>
  <c r="C99" i="8"/>
  <c r="D99" i="8" a="1"/>
  <c r="D99" i="8" s="1"/>
  <c r="C100" i="8"/>
  <c r="D100" i="8" a="1"/>
  <c r="D100" i="8" s="1"/>
  <c r="C101" i="8"/>
  <c r="D101" i="8" a="1"/>
  <c r="D101" i="8" s="1"/>
  <c r="C102" i="8"/>
  <c r="D102" i="8" a="1"/>
  <c r="D102" i="8" s="1"/>
  <c r="C103" i="8"/>
  <c r="D103" i="8" a="1"/>
  <c r="D103" i="8" s="1"/>
  <c r="C104" i="8"/>
  <c r="D104" i="8" a="1"/>
  <c r="D104" i="8" s="1"/>
  <c r="C105" i="8"/>
  <c r="D105" i="8" a="1"/>
  <c r="D105" i="8" s="1"/>
  <c r="C106" i="8"/>
  <c r="D106" i="8" a="1"/>
  <c r="D106" i="8" s="1"/>
  <c r="C107" i="8"/>
  <c r="D107" i="8" a="1"/>
  <c r="D107" i="8" s="1"/>
  <c r="C108" i="8"/>
  <c r="D108" i="8" a="1"/>
  <c r="D108" i="8" s="1"/>
  <c r="C109" i="8"/>
  <c r="D109" i="8" a="1"/>
  <c r="D109" i="8" s="1"/>
  <c r="C110" i="8"/>
  <c r="D110" i="8" a="1"/>
  <c r="D110" i="8" s="1"/>
  <c r="C111" i="8"/>
  <c r="D111" i="8" a="1"/>
  <c r="D111" i="8" s="1"/>
  <c r="C112" i="8"/>
  <c r="D112" i="8" a="1"/>
  <c r="D112" i="8" s="1"/>
  <c r="C113" i="8"/>
  <c r="D113" i="8" a="1"/>
  <c r="D113" i="8" s="1"/>
  <c r="C114" i="8"/>
  <c r="D114" i="8" a="1"/>
  <c r="D114" i="8" s="1"/>
  <c r="C115" i="8"/>
  <c r="D115" i="8" a="1"/>
  <c r="D115" i="8" s="1"/>
  <c r="C116" i="8"/>
  <c r="D116" i="8" a="1"/>
  <c r="D116" i="8" s="1"/>
  <c r="C117" i="8"/>
  <c r="D117" i="8" a="1"/>
  <c r="D117" i="8" s="1"/>
  <c r="C118" i="8"/>
  <c r="D118" i="8" a="1"/>
  <c r="D118" i="8" s="1"/>
  <c r="C119" i="8"/>
  <c r="D119" i="8" a="1"/>
  <c r="D119" i="8" s="1"/>
  <c r="C120" i="8"/>
  <c r="D120" i="8" a="1"/>
  <c r="D120" i="8" s="1"/>
  <c r="C121" i="8"/>
  <c r="D121" i="8" a="1"/>
  <c r="D121" i="8" s="1"/>
  <c r="C122" i="8"/>
  <c r="D122" i="8" a="1"/>
  <c r="D122" i="8" s="1"/>
  <c r="C123" i="8"/>
  <c r="D123" i="8" a="1"/>
  <c r="D123" i="8" s="1"/>
  <c r="C124" i="8"/>
  <c r="D124" i="8" a="1"/>
  <c r="D124" i="8" s="1"/>
  <c r="C125" i="8"/>
  <c r="D125" i="8" a="1"/>
  <c r="D125" i="8" s="1"/>
  <c r="C126" i="8"/>
  <c r="D126" i="8" a="1"/>
  <c r="D126" i="8" s="1"/>
  <c r="C127" i="8"/>
  <c r="D127" i="8" a="1"/>
  <c r="D127" i="8" s="1"/>
  <c r="C128" i="8"/>
  <c r="D128" i="8" a="1"/>
  <c r="D128" i="8" s="1"/>
  <c r="C129" i="8"/>
  <c r="D129" i="8" a="1"/>
  <c r="D129" i="8" s="1"/>
  <c r="C130" i="8"/>
  <c r="D130" i="8" a="1"/>
  <c r="D130" i="8" s="1"/>
  <c r="C131" i="8"/>
  <c r="D131" i="8" a="1"/>
  <c r="D131" i="8" s="1"/>
  <c r="C132" i="8"/>
  <c r="D132" i="8" a="1"/>
  <c r="D132" i="8" s="1"/>
  <c r="C133" i="8"/>
  <c r="D133" i="8" a="1"/>
  <c r="D133" i="8" s="1"/>
  <c r="C134" i="8"/>
  <c r="D134" i="8" a="1"/>
  <c r="D134" i="8" s="1"/>
  <c r="C135" i="8"/>
  <c r="D135" i="8" a="1"/>
  <c r="D135" i="8" s="1"/>
  <c r="C136" i="8"/>
  <c r="D136" i="8" a="1"/>
  <c r="D136" i="8" s="1"/>
  <c r="C137" i="8"/>
  <c r="D137" i="8" a="1"/>
  <c r="D137" i="8" s="1"/>
  <c r="C138" i="8"/>
  <c r="D138" i="8" a="1"/>
  <c r="D138" i="8" s="1"/>
  <c r="C139" i="8"/>
  <c r="D139" i="8" a="1"/>
  <c r="D139" i="8" s="1"/>
  <c r="C140" i="8"/>
  <c r="D140" i="8" a="1"/>
  <c r="D140" i="8" s="1"/>
  <c r="C141" i="8"/>
  <c r="D141" i="8" a="1"/>
  <c r="D141" i="8" s="1"/>
  <c r="C142" i="8"/>
  <c r="D142" i="8" a="1"/>
  <c r="D142" i="8" s="1"/>
  <c r="C143" i="8"/>
  <c r="D143" i="8" a="1"/>
  <c r="D143" i="8" s="1"/>
  <c r="C144" i="8"/>
  <c r="D144" i="8" a="1"/>
  <c r="D144" i="8" s="1"/>
  <c r="C145" i="8"/>
  <c r="D145" i="8" a="1"/>
  <c r="D145" i="8" s="1"/>
  <c r="C146" i="8"/>
  <c r="D146" i="8" a="1"/>
  <c r="D146" i="8" s="1"/>
  <c r="C147" i="8"/>
  <c r="D147" i="8" a="1"/>
  <c r="D147" i="8" s="1"/>
  <c r="C148" i="8"/>
  <c r="D148" i="8" a="1"/>
  <c r="D148" i="8" s="1"/>
  <c r="C149" i="8"/>
  <c r="D149" i="8" a="1"/>
  <c r="D149" i="8" s="1"/>
  <c r="C150" i="8"/>
  <c r="D150" i="8" a="1"/>
  <c r="D150" i="8" s="1"/>
  <c r="C151" i="8"/>
  <c r="D151" i="8" a="1"/>
  <c r="D151" i="8" s="1"/>
  <c r="C152" i="8"/>
  <c r="D152" i="8" a="1"/>
  <c r="D152" i="8" s="1"/>
  <c r="C153" i="8"/>
  <c r="D153" i="8" a="1"/>
  <c r="D153" i="8" s="1"/>
  <c r="C154" i="8"/>
  <c r="D154" i="8" a="1"/>
  <c r="D154" i="8" s="1"/>
  <c r="C155" i="8"/>
  <c r="D155" i="8" a="1"/>
  <c r="D155" i="8" s="1"/>
  <c r="C156" i="8"/>
  <c r="D156" i="8" a="1"/>
  <c r="D156" i="8" s="1"/>
  <c r="C157" i="8"/>
  <c r="D157" i="8" a="1"/>
  <c r="D157" i="8" s="1"/>
  <c r="C158" i="8"/>
  <c r="D158" i="8" a="1"/>
  <c r="D158" i="8" s="1"/>
  <c r="C159" i="8"/>
  <c r="D159" i="8" a="1"/>
  <c r="D159" i="8" s="1"/>
  <c r="C160" i="8"/>
  <c r="D160" i="8" a="1"/>
  <c r="D160" i="8" s="1"/>
  <c r="C161" i="8"/>
  <c r="D161" i="8" a="1"/>
  <c r="D161" i="8" s="1"/>
  <c r="C162" i="8"/>
  <c r="D162" i="8" a="1"/>
  <c r="D162" i="8" s="1"/>
  <c r="C163" i="8"/>
  <c r="D163" i="8" a="1"/>
  <c r="D163" i="8" s="1"/>
  <c r="C164" i="8"/>
  <c r="D164" i="8" a="1"/>
  <c r="D164" i="8" s="1"/>
  <c r="C165" i="8"/>
  <c r="D165" i="8" a="1"/>
  <c r="D165" i="8" s="1"/>
  <c r="C166" i="8"/>
  <c r="D166" i="8" a="1"/>
  <c r="D166" i="8" s="1"/>
  <c r="C167" i="8"/>
  <c r="D167" i="8" a="1"/>
  <c r="D167" i="8" s="1"/>
  <c r="C168" i="8"/>
  <c r="D168" i="8" a="1"/>
  <c r="D168" i="8" s="1"/>
  <c r="C169" i="8"/>
  <c r="D169" i="8" a="1"/>
  <c r="D169" i="8" s="1"/>
  <c r="C170" i="8"/>
  <c r="D170" i="8" a="1"/>
  <c r="D170" i="8" s="1"/>
  <c r="C171" i="8"/>
  <c r="D171" i="8" a="1"/>
  <c r="D171" i="8" s="1"/>
  <c r="C172" i="8"/>
  <c r="D172" i="8" a="1"/>
  <c r="D172" i="8" s="1"/>
  <c r="C173" i="8"/>
  <c r="D173" i="8" a="1"/>
  <c r="D173" i="8" s="1"/>
  <c r="C174" i="8"/>
  <c r="D174" i="8" a="1"/>
  <c r="D174" i="8" s="1"/>
  <c r="C175" i="8"/>
  <c r="D175" i="8" a="1"/>
  <c r="D175" i="8" s="1"/>
  <c r="C176" i="8"/>
  <c r="D176" i="8" a="1"/>
  <c r="D176" i="8" s="1"/>
  <c r="C177" i="8"/>
  <c r="D177" i="8" a="1"/>
  <c r="D177" i="8" s="1"/>
  <c r="C178" i="8"/>
  <c r="D178" i="8" a="1"/>
  <c r="D178" i="8" s="1"/>
  <c r="C179" i="8"/>
  <c r="D179" i="8" a="1"/>
  <c r="D179" i="8" s="1"/>
  <c r="C180" i="8"/>
  <c r="D180" i="8" a="1"/>
  <c r="D180" i="8" s="1"/>
  <c r="C181" i="8"/>
  <c r="D181" i="8" a="1"/>
  <c r="D181" i="8" s="1"/>
  <c r="C182" i="8"/>
  <c r="D182" i="8" a="1"/>
  <c r="D182" i="8" s="1"/>
  <c r="C183" i="8"/>
  <c r="D183" i="8" a="1"/>
  <c r="D183" i="8" s="1"/>
  <c r="C184" i="8"/>
  <c r="D184" i="8" a="1"/>
  <c r="D184" i="8" s="1"/>
  <c r="C185" i="8"/>
  <c r="D185" i="8" a="1"/>
  <c r="D185" i="8" s="1"/>
  <c r="C186" i="8"/>
  <c r="D186" i="8" a="1"/>
  <c r="D186" i="8" s="1"/>
  <c r="C187" i="8"/>
  <c r="D187" i="8" a="1"/>
  <c r="D187" i="8" s="1"/>
  <c r="C188" i="8"/>
  <c r="D188" i="8" a="1"/>
  <c r="D188" i="8" s="1"/>
  <c r="C189" i="8"/>
  <c r="D189" i="8" a="1"/>
  <c r="D189" i="8" s="1"/>
  <c r="C190" i="8"/>
  <c r="D190" i="8" a="1"/>
  <c r="D190" i="8" s="1"/>
  <c r="C191" i="8"/>
  <c r="D191" i="8" a="1"/>
  <c r="D191" i="8" s="1"/>
  <c r="C192" i="8"/>
  <c r="D192" i="8" a="1"/>
  <c r="D192" i="8" s="1"/>
  <c r="C193" i="8"/>
  <c r="D193" i="8" a="1"/>
  <c r="D193" i="8" s="1"/>
  <c r="C194" i="8"/>
  <c r="D194" i="8" a="1"/>
  <c r="D194" i="8" s="1"/>
  <c r="C195" i="8"/>
  <c r="D195" i="8" a="1"/>
  <c r="D195" i="8" s="1"/>
  <c r="C196" i="8"/>
  <c r="D196" i="8" a="1"/>
  <c r="D196" i="8" s="1"/>
  <c r="C197" i="8"/>
  <c r="D197" i="8" a="1"/>
  <c r="D197" i="8" s="1"/>
  <c r="C198" i="8"/>
  <c r="D198" i="8" a="1"/>
  <c r="D198" i="8" s="1"/>
  <c r="C199" i="8"/>
  <c r="D199" i="8" a="1"/>
  <c r="D199" i="8" s="1"/>
  <c r="C200" i="8"/>
  <c r="D200" i="8" a="1"/>
  <c r="D200" i="8" s="1"/>
  <c r="C201" i="8"/>
  <c r="D201" i="8" a="1"/>
  <c r="D201" i="8" s="1"/>
  <c r="C202" i="8"/>
  <c r="D202" i="8" a="1"/>
  <c r="D202" i="8" s="1"/>
  <c r="C203" i="8"/>
  <c r="D203" i="8" a="1"/>
  <c r="D203" i="8" s="1"/>
  <c r="C204" i="8"/>
  <c r="D204" i="8" a="1"/>
  <c r="D204" i="8" s="1"/>
  <c r="C205" i="8"/>
  <c r="D205" i="8" a="1"/>
  <c r="D205" i="8" s="1"/>
  <c r="C206" i="8"/>
  <c r="D206" i="8" a="1"/>
  <c r="D206" i="8" s="1"/>
  <c r="C207" i="8"/>
  <c r="D207" i="8" a="1"/>
  <c r="D207" i="8" s="1"/>
  <c r="C208" i="8"/>
  <c r="D208" i="8" a="1"/>
  <c r="D208" i="8" s="1"/>
  <c r="C209" i="8"/>
  <c r="D209" i="8" a="1"/>
  <c r="D209" i="8" s="1"/>
  <c r="C210" i="8"/>
  <c r="D210" i="8" a="1"/>
  <c r="D210" i="8" s="1"/>
  <c r="C211" i="8"/>
  <c r="D211" i="8" a="1"/>
  <c r="D211" i="8" s="1"/>
  <c r="C212" i="8"/>
  <c r="D212" i="8" a="1"/>
  <c r="D212" i="8" s="1"/>
  <c r="C213" i="8"/>
  <c r="D213" i="8" a="1"/>
  <c r="D213" i="8" s="1"/>
  <c r="C214" i="8"/>
  <c r="D214" i="8" a="1"/>
  <c r="D214" i="8" s="1"/>
  <c r="C215" i="8"/>
  <c r="D215" i="8" a="1"/>
  <c r="D215" i="8" s="1"/>
  <c r="C216" i="8"/>
  <c r="D216" i="8" a="1"/>
  <c r="D216" i="8" s="1"/>
  <c r="C217" i="8"/>
  <c r="D217" i="8" a="1"/>
  <c r="D217" i="8" s="1"/>
  <c r="C218" i="8"/>
  <c r="D218" i="8" a="1"/>
  <c r="D218" i="8" s="1"/>
  <c r="C219" i="8"/>
  <c r="D219" i="8" a="1"/>
  <c r="D219" i="8" s="1"/>
  <c r="C220" i="8"/>
  <c r="D220" i="8" a="1"/>
  <c r="D220" i="8" s="1"/>
  <c r="C221" i="8"/>
  <c r="D221" i="8" a="1"/>
  <c r="D221" i="8" s="1"/>
  <c r="C222" i="8"/>
  <c r="D222" i="8" a="1"/>
  <c r="D222" i="8" s="1"/>
  <c r="C223" i="8"/>
  <c r="D223" i="8" a="1"/>
  <c r="D223" i="8" s="1"/>
  <c r="C224" i="8"/>
  <c r="D224" i="8" a="1"/>
  <c r="D224" i="8" s="1"/>
  <c r="C225" i="8"/>
  <c r="D225" i="8" a="1"/>
  <c r="D225" i="8" s="1"/>
  <c r="C226" i="8"/>
  <c r="D226" i="8" a="1"/>
  <c r="D226" i="8" s="1"/>
  <c r="C227" i="8"/>
  <c r="D227" i="8" a="1"/>
  <c r="D227" i="8" s="1"/>
  <c r="C228" i="8"/>
  <c r="D228" i="8" a="1"/>
  <c r="D228" i="8" s="1"/>
  <c r="C229" i="8"/>
  <c r="D229" i="8" a="1"/>
  <c r="D229" i="8" s="1"/>
  <c r="C230" i="8"/>
  <c r="D230" i="8" a="1"/>
  <c r="D230" i="8" s="1"/>
  <c r="C231" i="8"/>
  <c r="D231" i="8" a="1"/>
  <c r="D231" i="8" s="1"/>
  <c r="C232" i="8"/>
  <c r="D232" i="8" a="1"/>
  <c r="D232" i="8" s="1"/>
  <c r="C233" i="8"/>
  <c r="D233" i="8" a="1"/>
  <c r="D233" i="8" s="1"/>
  <c r="C234" i="8"/>
  <c r="D234" i="8" a="1"/>
  <c r="D234" i="8" s="1"/>
  <c r="C235" i="8"/>
  <c r="D235" i="8" a="1"/>
  <c r="D235" i="8" s="1"/>
  <c r="C236" i="8"/>
  <c r="D236" i="8" a="1"/>
  <c r="D236" i="8" s="1"/>
  <c r="C237" i="8"/>
  <c r="D237" i="8" a="1"/>
  <c r="D237" i="8" s="1"/>
  <c r="C238" i="8"/>
  <c r="D238" i="8" a="1"/>
  <c r="D238" i="8" s="1"/>
  <c r="C239" i="8"/>
  <c r="D239" i="8" a="1"/>
  <c r="D239" i="8" s="1"/>
  <c r="C240" i="8"/>
  <c r="D240" i="8" a="1"/>
  <c r="D240" i="8" s="1"/>
  <c r="C241" i="8"/>
  <c r="D241" i="8" a="1"/>
  <c r="D241" i="8" s="1"/>
  <c r="C242" i="8"/>
  <c r="D242" i="8" a="1"/>
  <c r="D242" i="8" s="1"/>
  <c r="C243" i="8"/>
  <c r="D243" i="8" a="1"/>
  <c r="D243" i="8" s="1"/>
  <c r="C244" i="8"/>
  <c r="D244" i="8" a="1"/>
  <c r="D244" i="8" s="1"/>
  <c r="C245" i="8"/>
  <c r="D245" i="8" a="1"/>
  <c r="D245" i="8" s="1"/>
  <c r="C246" i="8"/>
  <c r="D246" i="8" a="1"/>
  <c r="D246" i="8" s="1"/>
  <c r="C247" i="8"/>
  <c r="D247" i="8" a="1"/>
  <c r="D247" i="8" s="1"/>
  <c r="C248" i="8"/>
  <c r="D248" i="8" a="1"/>
  <c r="D248" i="8" s="1"/>
  <c r="C249" i="8"/>
  <c r="D249" i="8" a="1"/>
  <c r="D249" i="8" s="1"/>
  <c r="C250" i="8"/>
  <c r="D250" i="8" a="1"/>
  <c r="D250" i="8" s="1"/>
  <c r="C251" i="8"/>
  <c r="D251" i="8" a="1"/>
  <c r="D251" i="8" s="1"/>
  <c r="C252" i="8"/>
  <c r="D252" i="8" a="1"/>
  <c r="D252" i="8" s="1"/>
  <c r="C253" i="8"/>
  <c r="D253" i="8" a="1"/>
  <c r="D253" i="8" s="1"/>
  <c r="C254" i="8"/>
  <c r="D254" i="8" a="1"/>
  <c r="D254" i="8" s="1"/>
  <c r="C255" i="8"/>
  <c r="D255" i="8" a="1"/>
  <c r="D255" i="8" s="1"/>
  <c r="C256" i="8"/>
  <c r="D256" i="8" a="1"/>
  <c r="D256" i="8" s="1"/>
  <c r="C257" i="8"/>
  <c r="D257" i="8" a="1"/>
  <c r="D257" i="8" s="1"/>
  <c r="C258" i="8"/>
  <c r="D258" i="8" a="1"/>
  <c r="D258" i="8" s="1"/>
  <c r="C259" i="8"/>
  <c r="D259" i="8" a="1"/>
  <c r="D259" i="8" s="1"/>
  <c r="C260" i="8"/>
  <c r="D260" i="8" a="1"/>
  <c r="D260" i="8" s="1"/>
  <c r="C261" i="8"/>
  <c r="D261" i="8" a="1"/>
  <c r="D261" i="8" s="1"/>
  <c r="C262" i="8"/>
  <c r="D262" i="8" a="1"/>
  <c r="D262" i="8" s="1"/>
  <c r="C263" i="8"/>
  <c r="D263" i="8" a="1"/>
  <c r="D263" i="8" s="1"/>
  <c r="C264" i="8"/>
  <c r="D264" i="8" a="1"/>
  <c r="D264" i="8" s="1"/>
  <c r="C265" i="8"/>
  <c r="D265" i="8" a="1"/>
  <c r="D265" i="8" s="1"/>
  <c r="C266" i="8"/>
  <c r="D266" i="8" a="1"/>
  <c r="D266" i="8" s="1"/>
  <c r="C267" i="8"/>
  <c r="D267" i="8" a="1"/>
  <c r="D267" i="8" s="1"/>
  <c r="C268" i="8"/>
  <c r="D268" i="8" a="1"/>
  <c r="D268" i="8" s="1"/>
  <c r="C269" i="8"/>
  <c r="D269" i="8" a="1"/>
  <c r="D269" i="8" s="1"/>
  <c r="C270" i="8"/>
  <c r="D270" i="8" a="1"/>
  <c r="D270" i="8" s="1"/>
  <c r="C271" i="8"/>
  <c r="D271" i="8" a="1"/>
  <c r="D271" i="8" s="1"/>
  <c r="C272" i="8"/>
  <c r="D272" i="8" a="1"/>
  <c r="D272" i="8" s="1"/>
  <c r="C273" i="8"/>
  <c r="D273" i="8" a="1"/>
  <c r="D273" i="8" s="1"/>
  <c r="C274" i="8"/>
  <c r="D274" i="8" a="1"/>
  <c r="D274" i="8" s="1"/>
  <c r="C275" i="8"/>
  <c r="D275" i="8" a="1"/>
  <c r="D275" i="8" s="1"/>
  <c r="C276" i="8"/>
  <c r="D276" i="8" a="1"/>
  <c r="D276" i="8" s="1"/>
  <c r="C277" i="8"/>
  <c r="D277" i="8" a="1"/>
  <c r="D277" i="8" s="1"/>
  <c r="C278" i="8"/>
  <c r="D278" i="8" a="1"/>
  <c r="D278" i="8" s="1"/>
  <c r="C279" i="8"/>
  <c r="D279" i="8" a="1"/>
  <c r="D279" i="8" s="1"/>
  <c r="C280" i="8"/>
  <c r="D280" i="8" a="1"/>
  <c r="D280" i="8" s="1"/>
  <c r="C281" i="8"/>
  <c r="D281" i="8" a="1"/>
  <c r="D281" i="8" s="1"/>
  <c r="C282" i="8"/>
  <c r="D282" i="8" a="1"/>
  <c r="D282" i="8" s="1"/>
  <c r="C283" i="8"/>
  <c r="D283" i="8" a="1"/>
  <c r="D283" i="8" s="1"/>
  <c r="C284" i="8"/>
  <c r="D284" i="8" a="1"/>
  <c r="D284" i="8" s="1"/>
  <c r="C285" i="8"/>
  <c r="D285" i="8" a="1"/>
  <c r="D285" i="8" s="1"/>
  <c r="C286" i="8"/>
  <c r="D286" i="8" a="1"/>
  <c r="D286" i="8" s="1"/>
  <c r="C287" i="8"/>
  <c r="D287" i="8" a="1"/>
  <c r="D287" i="8" s="1"/>
  <c r="C288" i="8"/>
  <c r="D288" i="8" a="1"/>
  <c r="D288" i="8" s="1"/>
  <c r="C289" i="8"/>
  <c r="D289" i="8" a="1"/>
  <c r="D289" i="8" s="1"/>
  <c r="C290" i="8"/>
  <c r="D290" i="8" a="1"/>
  <c r="D290" i="8" s="1"/>
  <c r="C291" i="8"/>
  <c r="D291" i="8" a="1"/>
  <c r="D291" i="8" s="1"/>
  <c r="C292" i="8"/>
  <c r="D292" i="8" a="1"/>
  <c r="D292" i="8" s="1"/>
  <c r="C293" i="8"/>
  <c r="D293" i="8" a="1"/>
  <c r="D293" i="8" s="1"/>
  <c r="C294" i="8"/>
  <c r="D294" i="8" a="1"/>
  <c r="D294" i="8" s="1"/>
  <c r="C295" i="8"/>
  <c r="D295" i="8" a="1"/>
  <c r="D295" i="8" s="1"/>
  <c r="C296" i="8"/>
  <c r="D296" i="8" a="1"/>
  <c r="D296" i="8" s="1"/>
  <c r="C297" i="8"/>
  <c r="D297" i="8" a="1"/>
  <c r="D297" i="8" s="1"/>
  <c r="C298" i="8"/>
  <c r="D298" i="8" a="1"/>
  <c r="D298" i="8" s="1"/>
  <c r="C299" i="8"/>
  <c r="D299" i="8" a="1"/>
  <c r="D299" i="8" s="1"/>
  <c r="C300" i="8"/>
  <c r="D300" i="8" a="1"/>
  <c r="D300" i="8" s="1"/>
  <c r="C301" i="8"/>
  <c r="D301" i="8" a="1"/>
  <c r="D301" i="8" s="1"/>
  <c r="C302" i="8"/>
  <c r="D302" i="8" a="1"/>
  <c r="D302" i="8" s="1"/>
  <c r="C303" i="8"/>
  <c r="D303" i="8" a="1"/>
  <c r="D303" i="8" s="1"/>
  <c r="C304" i="8"/>
  <c r="D304" i="8" a="1"/>
  <c r="D304" i="8" s="1"/>
  <c r="C305" i="8"/>
  <c r="D305" i="8" a="1"/>
  <c r="D305" i="8" s="1"/>
  <c r="C306" i="8"/>
  <c r="D306" i="8" a="1"/>
  <c r="D306" i="8" s="1"/>
  <c r="C307" i="8"/>
  <c r="D307" i="8" a="1"/>
  <c r="D307" i="8" s="1"/>
  <c r="C308" i="8"/>
  <c r="D308" i="8" a="1"/>
  <c r="D308" i="8" s="1"/>
  <c r="C309" i="8"/>
  <c r="D309" i="8" a="1"/>
  <c r="D309" i="8" s="1"/>
  <c r="C310" i="8"/>
  <c r="D310" i="8" a="1"/>
  <c r="D310" i="8" s="1"/>
  <c r="C311" i="8"/>
  <c r="D311" i="8" a="1"/>
  <c r="D311" i="8" s="1"/>
  <c r="C312" i="8"/>
  <c r="D312" i="8" a="1"/>
  <c r="D312" i="8" s="1"/>
  <c r="C313" i="8"/>
  <c r="D313" i="8" a="1"/>
  <c r="D313" i="8" s="1"/>
  <c r="C314" i="8"/>
  <c r="D314" i="8" a="1"/>
  <c r="D314" i="8" s="1"/>
  <c r="C315" i="8"/>
  <c r="D315" i="8" a="1"/>
  <c r="D315" i="8" s="1"/>
  <c r="C316" i="8"/>
  <c r="D316" i="8" a="1"/>
  <c r="D316" i="8" s="1"/>
  <c r="C317" i="8"/>
  <c r="D317" i="8" a="1"/>
  <c r="D317" i="8" s="1"/>
  <c r="C318" i="8"/>
  <c r="D318" i="8" a="1"/>
  <c r="D318" i="8" s="1"/>
  <c r="C319" i="8"/>
  <c r="D319" i="8" a="1"/>
  <c r="D319" i="8" s="1"/>
  <c r="C320" i="8"/>
  <c r="D320" i="8" a="1"/>
  <c r="D320" i="8" s="1"/>
  <c r="C321" i="8"/>
  <c r="D321" i="8" a="1"/>
  <c r="D321" i="8" s="1"/>
  <c r="C322" i="8"/>
  <c r="D322" i="8" a="1"/>
  <c r="D322" i="8" s="1"/>
  <c r="C323" i="8"/>
  <c r="D323" i="8" a="1"/>
  <c r="D323" i="8" s="1"/>
  <c r="C324" i="8"/>
  <c r="D324" i="8" a="1"/>
  <c r="D324" i="8" s="1"/>
  <c r="C325" i="8"/>
  <c r="D325" i="8" a="1"/>
  <c r="D325" i="8" s="1"/>
  <c r="C326" i="8"/>
  <c r="D326" i="8" a="1"/>
  <c r="D326" i="8" s="1"/>
  <c r="C327" i="8"/>
  <c r="D327" i="8" a="1"/>
  <c r="D327" i="8" s="1"/>
  <c r="C328" i="8"/>
  <c r="D328" i="8" a="1"/>
  <c r="D328" i="8" s="1"/>
  <c r="C329" i="8"/>
  <c r="D329" i="8" a="1"/>
  <c r="D329" i="8" s="1"/>
  <c r="C330" i="8"/>
  <c r="D330" i="8" a="1"/>
  <c r="D330" i="8" s="1"/>
  <c r="C331" i="8"/>
  <c r="D331" i="8" a="1"/>
  <c r="D331" i="8" s="1"/>
  <c r="C332" i="8"/>
  <c r="D332" i="8" a="1"/>
  <c r="D332" i="8" s="1"/>
  <c r="C333" i="8"/>
  <c r="D333" i="8" a="1"/>
  <c r="D333" i="8" s="1"/>
  <c r="C334" i="8"/>
  <c r="D334" i="8" a="1"/>
  <c r="D334" i="8" s="1"/>
  <c r="C335" i="8"/>
  <c r="D335" i="8" a="1"/>
  <c r="D335" i="8" s="1"/>
  <c r="C336" i="8"/>
  <c r="D336" i="8" a="1"/>
  <c r="D336" i="8" s="1"/>
  <c r="C337" i="8"/>
  <c r="D337" i="8" a="1"/>
  <c r="D337" i="8" s="1"/>
  <c r="C338" i="8"/>
  <c r="D338" i="8" a="1"/>
  <c r="D338" i="8" s="1"/>
  <c r="C339" i="8"/>
  <c r="D339" i="8" a="1"/>
  <c r="D339" i="8" s="1"/>
  <c r="C340" i="8"/>
  <c r="D340" i="8" a="1"/>
  <c r="D340" i="8" s="1"/>
  <c r="C341" i="8"/>
  <c r="D341" i="8" a="1"/>
  <c r="D341" i="8" s="1"/>
  <c r="C342" i="8"/>
  <c r="D342" i="8" a="1"/>
  <c r="D342" i="8" s="1"/>
  <c r="C343" i="8"/>
  <c r="D343" i="8" a="1"/>
  <c r="D343" i="8" s="1"/>
  <c r="C344" i="8"/>
  <c r="D344" i="8" a="1"/>
  <c r="D344" i="8" s="1"/>
  <c r="C345" i="8"/>
  <c r="D345" i="8" a="1"/>
  <c r="D345" i="8" s="1"/>
  <c r="C346" i="8"/>
  <c r="D346" i="8" a="1"/>
  <c r="D346" i="8" s="1"/>
  <c r="C347" i="8"/>
  <c r="D347" i="8" a="1"/>
  <c r="D347" i="8" s="1"/>
  <c r="C348" i="8"/>
  <c r="D348" i="8" a="1"/>
  <c r="D348" i="8" s="1"/>
  <c r="C349" i="8"/>
  <c r="D349" i="8" a="1"/>
  <c r="D349" i="8" s="1"/>
  <c r="C350" i="8"/>
  <c r="D350" i="8" a="1"/>
  <c r="D350" i="8" s="1"/>
  <c r="C351" i="8"/>
  <c r="D351" i="8" a="1"/>
  <c r="D351" i="8" s="1"/>
  <c r="C352" i="8"/>
  <c r="D352" i="8" a="1"/>
  <c r="D352" i="8" s="1"/>
  <c r="C353" i="8"/>
  <c r="D353" i="8" a="1"/>
  <c r="D353" i="8" s="1"/>
  <c r="C354" i="8"/>
  <c r="D354" i="8" a="1"/>
  <c r="D354" i="8" s="1"/>
  <c r="C355" i="8"/>
  <c r="D355" i="8" a="1"/>
  <c r="D355" i="8" s="1"/>
  <c r="C356" i="8"/>
  <c r="D356" i="8" a="1"/>
  <c r="D356" i="8" s="1"/>
  <c r="C357" i="8"/>
  <c r="D357" i="8" a="1"/>
  <c r="D357" i="8" s="1"/>
  <c r="C358" i="8"/>
  <c r="D358" i="8" a="1"/>
  <c r="D358" i="8" s="1"/>
  <c r="C359" i="8"/>
  <c r="D359" i="8" a="1"/>
  <c r="D359" i="8" s="1"/>
  <c r="C360" i="8"/>
  <c r="D360" i="8" a="1"/>
  <c r="D360" i="8" s="1"/>
  <c r="C361" i="8"/>
  <c r="D361" i="8" a="1"/>
  <c r="D361" i="8" s="1"/>
  <c r="C362" i="8"/>
  <c r="D362" i="8" a="1"/>
  <c r="D362" i="8" s="1"/>
  <c r="C363" i="8"/>
  <c r="D363" i="8" a="1"/>
  <c r="D363" i="8" s="1"/>
  <c r="C364" i="8"/>
  <c r="D364" i="8" a="1"/>
  <c r="D364" i="8" s="1"/>
  <c r="C365" i="8"/>
  <c r="D365" i="8" a="1"/>
  <c r="D365" i="8" s="1"/>
  <c r="C366" i="8"/>
  <c r="D366" i="8" a="1"/>
  <c r="D366" i="8" s="1"/>
  <c r="C367" i="8"/>
  <c r="D367" i="8" a="1"/>
  <c r="D367" i="8" s="1"/>
  <c r="C368" i="8"/>
  <c r="D368" i="8" a="1"/>
  <c r="D368" i="8" s="1"/>
  <c r="C369" i="8"/>
  <c r="D369" i="8" a="1"/>
  <c r="D369" i="8" s="1"/>
  <c r="C370" i="8"/>
  <c r="D370" i="8" a="1"/>
  <c r="D370" i="8" s="1"/>
  <c r="C371" i="8"/>
  <c r="D371" i="8" a="1"/>
  <c r="D371" i="8" s="1"/>
  <c r="C372" i="8"/>
  <c r="D372" i="8" a="1"/>
  <c r="D372" i="8" s="1"/>
  <c r="C373" i="8"/>
  <c r="D373" i="8" a="1"/>
  <c r="D373" i="8" s="1"/>
  <c r="C374" i="8"/>
  <c r="D374" i="8" a="1"/>
  <c r="D374" i="8" s="1"/>
  <c r="C375" i="8"/>
  <c r="D375" i="8" a="1"/>
  <c r="D375" i="8" s="1"/>
  <c r="C376" i="8"/>
  <c r="D376" i="8" a="1"/>
  <c r="D376" i="8" s="1"/>
  <c r="C377" i="8"/>
  <c r="D377" i="8" a="1"/>
  <c r="D377" i="8" s="1"/>
  <c r="C378" i="8"/>
  <c r="D378" i="8" a="1"/>
  <c r="D378" i="8" s="1"/>
  <c r="C379" i="8"/>
  <c r="D379" i="8" a="1"/>
  <c r="D379" i="8" s="1"/>
  <c r="C380" i="8"/>
  <c r="D380" i="8" a="1"/>
  <c r="D380" i="8" s="1"/>
  <c r="C381" i="8"/>
  <c r="D381" i="8" a="1"/>
  <c r="D381" i="8" s="1"/>
  <c r="C382" i="8"/>
  <c r="D382" i="8" a="1"/>
  <c r="D382" i="8" s="1"/>
  <c r="C383" i="8"/>
  <c r="D383" i="8" a="1"/>
  <c r="D383" i="8" s="1"/>
  <c r="C384" i="8"/>
  <c r="D384" i="8" a="1"/>
  <c r="D384" i="8" s="1"/>
  <c r="C385" i="8"/>
  <c r="D385" i="8" a="1"/>
  <c r="D385" i="8" s="1"/>
  <c r="C386" i="8"/>
  <c r="D386" i="8" a="1"/>
  <c r="D386" i="8" s="1"/>
  <c r="C387" i="8"/>
  <c r="D387" i="8" a="1"/>
  <c r="D387" i="8" s="1"/>
  <c r="C388" i="8"/>
  <c r="D388" i="8" a="1"/>
  <c r="D388" i="8" s="1"/>
  <c r="C389" i="8"/>
  <c r="D389" i="8" a="1"/>
  <c r="D389" i="8" s="1"/>
  <c r="C390" i="8"/>
  <c r="D390" i="8" a="1"/>
  <c r="D390" i="8" s="1"/>
  <c r="C391" i="8"/>
  <c r="D391" i="8" a="1"/>
  <c r="D391" i="8" s="1"/>
  <c r="C392" i="8"/>
  <c r="D392" i="8" a="1"/>
  <c r="D392" i="8" s="1"/>
  <c r="C393" i="8"/>
  <c r="D393" i="8" a="1"/>
  <c r="D393" i="8" s="1"/>
  <c r="C394" i="8"/>
  <c r="D394" i="8" a="1"/>
  <c r="D394" i="8" s="1"/>
  <c r="C395" i="8"/>
  <c r="D395" i="8" a="1"/>
  <c r="D395" i="8" s="1"/>
  <c r="C396" i="8"/>
  <c r="D396" i="8" a="1"/>
  <c r="D396" i="8" s="1"/>
  <c r="C397" i="8"/>
  <c r="D397" i="8" a="1"/>
  <c r="D397" i="8" s="1"/>
  <c r="C398" i="8"/>
  <c r="D398" i="8" a="1"/>
  <c r="D398" i="8" s="1"/>
  <c r="C399" i="8"/>
  <c r="D399" i="8" a="1"/>
  <c r="D399" i="8" s="1"/>
  <c r="D7" i="8" a="1"/>
  <c r="D7" i="8" s="1"/>
  <c r="D8" i="8" a="1"/>
  <c r="D8" i="8" s="1"/>
  <c r="D9" i="8" a="1"/>
  <c r="D9" i="8" s="1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7" i="8"/>
  <c r="A8" i="8" s="1"/>
  <c r="A9" i="8" s="1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11" i="6"/>
  <c r="C12" i="6"/>
  <c r="C13" i="6"/>
  <c r="C14" i="6"/>
  <c r="C15" i="6"/>
  <c r="C16" i="6"/>
  <c r="C17" i="6"/>
  <c r="C18" i="6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K136" i="9" l="1"/>
  <c r="K133" i="9"/>
  <c r="K135" i="9"/>
  <c r="K134" i="9"/>
  <c r="K132" i="9"/>
  <c r="K131" i="9"/>
  <c r="B200" i="9"/>
  <c r="D10" i="3" a="1"/>
  <c r="D10" i="3" s="1"/>
  <c r="D5" i="3" s="1"/>
  <c r="D11" i="9" s="1"/>
  <c r="D6" i="6" a="1"/>
  <c r="D6" i="6" s="1"/>
  <c r="J291" i="9"/>
  <c r="L266" i="9"/>
  <c r="L197" i="9"/>
  <c r="L185" i="9"/>
  <c r="L187" i="9"/>
  <c r="L186" i="9"/>
  <c r="L196" i="9"/>
  <c r="L195" i="9"/>
  <c r="L194" i="9"/>
  <c r="L188" i="9"/>
  <c r="L193" i="9"/>
  <c r="L192" i="9"/>
  <c r="L191" i="9"/>
  <c r="L190" i="9"/>
  <c r="L189" i="9"/>
  <c r="K128" i="9"/>
  <c r="K125" i="9"/>
  <c r="K127" i="9"/>
  <c r="K124" i="9"/>
  <c r="K129" i="9"/>
  <c r="K126" i="9"/>
  <c r="J105" i="9"/>
  <c r="D6" i="8" a="1"/>
  <c r="D6" i="8" s="1"/>
  <c r="C6" i="8"/>
  <c r="AB80" i="3"/>
  <c r="AB81" i="3"/>
  <c r="C9" i="9"/>
  <c r="C10" i="3" a="1"/>
  <c r="C10" i="3" s="1"/>
  <c r="F42" i="3"/>
  <c r="F9" i="3"/>
  <c r="F74" i="3"/>
  <c r="G6" i="6" a="1"/>
  <c r="G6" i="6" s="1"/>
  <c r="F6" i="6" a="1"/>
  <c r="F6" i="6" s="1"/>
  <c r="I6" i="6" a="1"/>
  <c r="I6" i="6" s="1"/>
  <c r="C6" i="6"/>
  <c r="C7" i="6" s="1"/>
  <c r="C8" i="6" s="1"/>
  <c r="K6" i="6" a="1"/>
  <c r="K6" i="6" s="1"/>
  <c r="J6" i="6" a="1"/>
  <c r="J6" i="6" s="1"/>
  <c r="H6" i="6" a="1"/>
  <c r="H6" i="6" s="1"/>
  <c r="E6" i="6" a="1"/>
  <c r="E6" i="6" s="1"/>
  <c r="C6" i="7"/>
  <c r="C7" i="7" s="1"/>
  <c r="C8" i="7" s="1"/>
  <c r="C9" i="7" s="1"/>
  <c r="C7" i="8"/>
  <c r="C8" i="8" s="1"/>
  <c r="C9" i="8" s="1"/>
  <c r="A7" i="7"/>
  <c r="A8" i="7" s="1"/>
  <c r="A9" i="7" s="1"/>
  <c r="A7" i="6"/>
  <c r="A8" i="6" s="1"/>
  <c r="A9" i="6" s="1"/>
  <c r="A10" i="6" s="1"/>
  <c r="D4" i="3" l="1"/>
  <c r="L393" i="6" a="1"/>
  <c r="L393" i="6" s="1"/>
  <c r="L381" i="6" a="1"/>
  <c r="L381" i="6" s="1"/>
  <c r="L369" i="6" a="1"/>
  <c r="L369" i="6" s="1"/>
  <c r="L357" i="6" a="1"/>
  <c r="L357" i="6" s="1"/>
  <c r="L345" i="6" a="1"/>
  <c r="L345" i="6" s="1"/>
  <c r="L333" i="6" a="1"/>
  <c r="L333" i="6" s="1"/>
  <c r="L321" i="6" a="1"/>
  <c r="L321" i="6" s="1"/>
  <c r="L309" i="6" a="1"/>
  <c r="L309" i="6" s="1"/>
  <c r="L297" i="6" a="1"/>
  <c r="L297" i="6" s="1"/>
  <c r="L285" i="6" a="1"/>
  <c r="L285" i="6" s="1"/>
  <c r="L213" i="6" a="1"/>
  <c r="L213" i="6" s="1"/>
  <c r="L189" i="6" a="1"/>
  <c r="L189" i="6" s="1"/>
  <c r="L105" i="6" a="1"/>
  <c r="L105" i="6" s="1"/>
  <c r="L33" i="6" a="1"/>
  <c r="L33" i="6" s="1"/>
  <c r="L392" i="6" a="1"/>
  <c r="L392" i="6" s="1"/>
  <c r="L380" i="6" a="1"/>
  <c r="L380" i="6" s="1"/>
  <c r="L368" i="6" a="1"/>
  <c r="L368" i="6" s="1"/>
  <c r="L356" i="6" a="1"/>
  <c r="L356" i="6" s="1"/>
  <c r="L344" i="6" a="1"/>
  <c r="L344" i="6" s="1"/>
  <c r="L332" i="6" a="1"/>
  <c r="L332" i="6" s="1"/>
  <c r="L320" i="6" a="1"/>
  <c r="L320" i="6" s="1"/>
  <c r="L308" i="6" a="1"/>
  <c r="L308" i="6" s="1"/>
  <c r="L296" i="6" a="1"/>
  <c r="L296" i="6" s="1"/>
  <c r="L284" i="6" a="1"/>
  <c r="L284" i="6" s="1"/>
  <c r="L272" i="6" a="1"/>
  <c r="L272" i="6" s="1"/>
  <c r="L260" i="6" a="1"/>
  <c r="L260" i="6" s="1"/>
  <c r="L248" i="6" a="1"/>
  <c r="L248" i="6" s="1"/>
  <c r="L236" i="6" a="1"/>
  <c r="L236" i="6" s="1"/>
  <c r="L224" i="6" a="1"/>
  <c r="L224" i="6" s="1"/>
  <c r="L212" i="6" a="1"/>
  <c r="L212" i="6" s="1"/>
  <c r="L200" i="6" a="1"/>
  <c r="L200" i="6" s="1"/>
  <c r="L188" i="6" a="1"/>
  <c r="L188" i="6" s="1"/>
  <c r="L176" i="6" a="1"/>
  <c r="L176" i="6" s="1"/>
  <c r="L164" i="6" a="1"/>
  <c r="L164" i="6" s="1"/>
  <c r="L152" i="6" a="1"/>
  <c r="L152" i="6" s="1"/>
  <c r="L140" i="6" a="1"/>
  <c r="L140" i="6" s="1"/>
  <c r="L128" i="6" a="1"/>
  <c r="L128" i="6" s="1"/>
  <c r="L116" i="6" a="1"/>
  <c r="L116" i="6" s="1"/>
  <c r="L104" i="6" a="1"/>
  <c r="L104" i="6" s="1"/>
  <c r="L92" i="6" a="1"/>
  <c r="L92" i="6" s="1"/>
  <c r="L80" i="6" a="1"/>
  <c r="L80" i="6" s="1"/>
  <c r="L68" i="6" a="1"/>
  <c r="L68" i="6" s="1"/>
  <c r="L56" i="6" a="1"/>
  <c r="L56" i="6" s="1"/>
  <c r="L44" i="6" a="1"/>
  <c r="L44" i="6" s="1"/>
  <c r="L32" i="6" a="1"/>
  <c r="L32" i="6" s="1"/>
  <c r="L20" i="6" a="1"/>
  <c r="L20" i="6" s="1"/>
  <c r="L8" i="6" a="1"/>
  <c r="L8" i="6" s="1"/>
  <c r="L77" i="6" a="1"/>
  <c r="L77" i="6" s="1"/>
  <c r="L391" i="6" a="1"/>
  <c r="L391" i="6" s="1"/>
  <c r="L379" i="6" a="1"/>
  <c r="L379" i="6" s="1"/>
  <c r="L367" i="6" a="1"/>
  <c r="L367" i="6" s="1"/>
  <c r="L355" i="6" a="1"/>
  <c r="L355" i="6" s="1"/>
  <c r="L343" i="6" a="1"/>
  <c r="L343" i="6" s="1"/>
  <c r="L331" i="6" a="1"/>
  <c r="L331" i="6" s="1"/>
  <c r="L319" i="6" a="1"/>
  <c r="L319" i="6" s="1"/>
  <c r="L307" i="6" a="1"/>
  <c r="L307" i="6" s="1"/>
  <c r="L295" i="6" a="1"/>
  <c r="L295" i="6" s="1"/>
  <c r="L283" i="6" a="1"/>
  <c r="L283" i="6" s="1"/>
  <c r="L271" i="6" a="1"/>
  <c r="L271" i="6" s="1"/>
  <c r="L259" i="6" a="1"/>
  <c r="L259" i="6" s="1"/>
  <c r="L247" i="6" a="1"/>
  <c r="L247" i="6" s="1"/>
  <c r="L235" i="6" a="1"/>
  <c r="L235" i="6" s="1"/>
  <c r="L223" i="6" a="1"/>
  <c r="L223" i="6" s="1"/>
  <c r="L211" i="6" a="1"/>
  <c r="L211" i="6" s="1"/>
  <c r="L199" i="6" a="1"/>
  <c r="L199" i="6" s="1"/>
  <c r="L187" i="6" a="1"/>
  <c r="L187" i="6" s="1"/>
  <c r="L175" i="6" a="1"/>
  <c r="L175" i="6" s="1"/>
  <c r="L163" i="6" a="1"/>
  <c r="L163" i="6" s="1"/>
  <c r="L151" i="6" a="1"/>
  <c r="L151" i="6" s="1"/>
  <c r="L139" i="6" a="1"/>
  <c r="L139" i="6" s="1"/>
  <c r="L127" i="6" a="1"/>
  <c r="L127" i="6" s="1"/>
  <c r="L115" i="6" a="1"/>
  <c r="L115" i="6" s="1"/>
  <c r="L103" i="6" a="1"/>
  <c r="L103" i="6" s="1"/>
  <c r="L91" i="6" a="1"/>
  <c r="L91" i="6" s="1"/>
  <c r="L79" i="6" a="1"/>
  <c r="L79" i="6" s="1"/>
  <c r="L67" i="6" a="1"/>
  <c r="L67" i="6" s="1"/>
  <c r="L55" i="6" a="1"/>
  <c r="L55" i="6" s="1"/>
  <c r="L43" i="6" a="1"/>
  <c r="L43" i="6" s="1"/>
  <c r="L31" i="6" a="1"/>
  <c r="L31" i="6" s="1"/>
  <c r="L19" i="6" a="1"/>
  <c r="L19" i="6" s="1"/>
  <c r="L7" i="6" a="1"/>
  <c r="L7" i="6" s="1"/>
  <c r="L89" i="6" a="1"/>
  <c r="L89" i="6" s="1"/>
  <c r="L390" i="6" a="1"/>
  <c r="L390" i="6" s="1"/>
  <c r="L378" i="6" a="1"/>
  <c r="L378" i="6" s="1"/>
  <c r="L366" i="6" a="1"/>
  <c r="L366" i="6" s="1"/>
  <c r="L354" i="6" a="1"/>
  <c r="L354" i="6" s="1"/>
  <c r="L342" i="6" a="1"/>
  <c r="L342" i="6" s="1"/>
  <c r="L330" i="6" a="1"/>
  <c r="L330" i="6" s="1"/>
  <c r="L318" i="6" a="1"/>
  <c r="L318" i="6" s="1"/>
  <c r="L306" i="6" a="1"/>
  <c r="L306" i="6" s="1"/>
  <c r="L294" i="6" a="1"/>
  <c r="L294" i="6" s="1"/>
  <c r="L282" i="6" a="1"/>
  <c r="L282" i="6" s="1"/>
  <c r="L270" i="6" a="1"/>
  <c r="L270" i="6" s="1"/>
  <c r="L258" i="6" a="1"/>
  <c r="L258" i="6" s="1"/>
  <c r="L246" i="6" a="1"/>
  <c r="L246" i="6" s="1"/>
  <c r="L234" i="6" a="1"/>
  <c r="L234" i="6" s="1"/>
  <c r="L222" i="6" a="1"/>
  <c r="L222" i="6" s="1"/>
  <c r="L210" i="6" a="1"/>
  <c r="L210" i="6" s="1"/>
  <c r="L198" i="6" a="1"/>
  <c r="L198" i="6" s="1"/>
  <c r="L186" i="6" a="1"/>
  <c r="L186" i="6" s="1"/>
  <c r="L174" i="6" a="1"/>
  <c r="L174" i="6" s="1"/>
  <c r="L162" i="6" a="1"/>
  <c r="L162" i="6" s="1"/>
  <c r="L150" i="6" a="1"/>
  <c r="L150" i="6" s="1"/>
  <c r="L138" i="6" a="1"/>
  <c r="L138" i="6" s="1"/>
  <c r="L126" i="6" a="1"/>
  <c r="L126" i="6" s="1"/>
  <c r="L114" i="6" a="1"/>
  <c r="L114" i="6" s="1"/>
  <c r="L102" i="6" a="1"/>
  <c r="L102" i="6" s="1"/>
  <c r="L90" i="6" a="1"/>
  <c r="L90" i="6" s="1"/>
  <c r="L78" i="6" a="1"/>
  <c r="L78" i="6" s="1"/>
  <c r="L66" i="6" a="1"/>
  <c r="L66" i="6" s="1"/>
  <c r="L54" i="6" a="1"/>
  <c r="L54" i="6" s="1"/>
  <c r="L42" i="6" a="1"/>
  <c r="L42" i="6" s="1"/>
  <c r="L30" i="6" a="1"/>
  <c r="L30" i="6" s="1"/>
  <c r="L18" i="6" a="1"/>
  <c r="L18" i="6" s="1"/>
  <c r="L137" i="6" a="1"/>
  <c r="L137" i="6" s="1"/>
  <c r="L101" i="6" a="1"/>
  <c r="L101" i="6" s="1"/>
  <c r="L389" i="6" a="1"/>
  <c r="L389" i="6" s="1"/>
  <c r="L377" i="6" a="1"/>
  <c r="L377" i="6" s="1"/>
  <c r="L365" i="6" a="1"/>
  <c r="L365" i="6" s="1"/>
  <c r="L353" i="6" a="1"/>
  <c r="L353" i="6" s="1"/>
  <c r="L341" i="6" a="1"/>
  <c r="L341" i="6" s="1"/>
  <c r="L329" i="6" a="1"/>
  <c r="L329" i="6" s="1"/>
  <c r="L317" i="6" a="1"/>
  <c r="L317" i="6" s="1"/>
  <c r="L305" i="6" a="1"/>
  <c r="L305" i="6" s="1"/>
  <c r="L293" i="6" a="1"/>
  <c r="L293" i="6" s="1"/>
  <c r="L281" i="6" a="1"/>
  <c r="L281" i="6" s="1"/>
  <c r="L269" i="6" a="1"/>
  <c r="L269" i="6" s="1"/>
  <c r="L257" i="6" a="1"/>
  <c r="L257" i="6" s="1"/>
  <c r="L245" i="6" a="1"/>
  <c r="L245" i="6" s="1"/>
  <c r="L233" i="6" a="1"/>
  <c r="L233" i="6" s="1"/>
  <c r="L221" i="6" a="1"/>
  <c r="L221" i="6" s="1"/>
  <c r="L209" i="6" a="1"/>
  <c r="L209" i="6" s="1"/>
  <c r="L197" i="6" a="1"/>
  <c r="L197" i="6" s="1"/>
  <c r="L185" i="6" a="1"/>
  <c r="L185" i="6" s="1"/>
  <c r="L173" i="6" a="1"/>
  <c r="L173" i="6" s="1"/>
  <c r="L161" i="6" a="1"/>
  <c r="L161" i="6" s="1"/>
  <c r="L149" i="6" a="1"/>
  <c r="L149" i="6" s="1"/>
  <c r="L125" i="6" a="1"/>
  <c r="L125" i="6" s="1"/>
  <c r="L113" i="6" a="1"/>
  <c r="L113" i="6" s="1"/>
  <c r="L388" i="6" a="1"/>
  <c r="L388" i="6" s="1"/>
  <c r="L376" i="6" a="1"/>
  <c r="L376" i="6" s="1"/>
  <c r="L364" i="6" a="1"/>
  <c r="L364" i="6" s="1"/>
  <c r="L352" i="6" a="1"/>
  <c r="L352" i="6" s="1"/>
  <c r="L340" i="6" a="1"/>
  <c r="L340" i="6" s="1"/>
  <c r="L328" i="6" a="1"/>
  <c r="L328" i="6" s="1"/>
  <c r="L316" i="6" a="1"/>
  <c r="L316" i="6" s="1"/>
  <c r="L304" i="6" a="1"/>
  <c r="L304" i="6" s="1"/>
  <c r="L292" i="6" a="1"/>
  <c r="L292" i="6" s="1"/>
  <c r="L280" i="6" a="1"/>
  <c r="L280" i="6" s="1"/>
  <c r="L268" i="6" a="1"/>
  <c r="L268" i="6" s="1"/>
  <c r="L256" i="6" a="1"/>
  <c r="L256" i="6" s="1"/>
  <c r="L244" i="6" a="1"/>
  <c r="L244" i="6" s="1"/>
  <c r="L232" i="6" a="1"/>
  <c r="L232" i="6" s="1"/>
  <c r="L220" i="6" a="1"/>
  <c r="L220" i="6" s="1"/>
  <c r="L208" i="6" a="1"/>
  <c r="L208" i="6" s="1"/>
  <c r="L196" i="6" a="1"/>
  <c r="L196" i="6" s="1"/>
  <c r="L184" i="6" a="1"/>
  <c r="L184" i="6" s="1"/>
  <c r="L172" i="6" a="1"/>
  <c r="L172" i="6" s="1"/>
  <c r="L160" i="6" a="1"/>
  <c r="L160" i="6" s="1"/>
  <c r="L148" i="6" a="1"/>
  <c r="L148" i="6" s="1"/>
  <c r="L136" i="6" a="1"/>
  <c r="L136" i="6" s="1"/>
  <c r="L124" i="6" a="1"/>
  <c r="L124" i="6" s="1"/>
  <c r="L112" i="6" a="1"/>
  <c r="L112" i="6" s="1"/>
  <c r="L100" i="6" a="1"/>
  <c r="L100" i="6" s="1"/>
  <c r="L88" i="6" a="1"/>
  <c r="L88" i="6" s="1"/>
  <c r="L76" i="6" a="1"/>
  <c r="L76" i="6" s="1"/>
  <c r="L64" i="6" a="1"/>
  <c r="L64" i="6" s="1"/>
  <c r="L52" i="6" a="1"/>
  <c r="L52" i="6" s="1"/>
  <c r="L40" i="6" a="1"/>
  <c r="L40" i="6" s="1"/>
  <c r="L28" i="6" a="1"/>
  <c r="L28" i="6" s="1"/>
  <c r="L16" i="6" a="1"/>
  <c r="L16" i="6" s="1"/>
  <c r="L399" i="6" a="1"/>
  <c r="L399" i="6" s="1"/>
  <c r="L387" i="6" a="1"/>
  <c r="L387" i="6" s="1"/>
  <c r="L375" i="6" a="1"/>
  <c r="L375" i="6" s="1"/>
  <c r="L363" i="6" a="1"/>
  <c r="L363" i="6" s="1"/>
  <c r="L351" i="6" a="1"/>
  <c r="L351" i="6" s="1"/>
  <c r="L339" i="6" a="1"/>
  <c r="L339" i="6" s="1"/>
  <c r="L327" i="6" a="1"/>
  <c r="L327" i="6" s="1"/>
  <c r="L315" i="6" a="1"/>
  <c r="L315" i="6" s="1"/>
  <c r="L303" i="6" a="1"/>
  <c r="L303" i="6" s="1"/>
  <c r="L291" i="6" a="1"/>
  <c r="L291" i="6" s="1"/>
  <c r="L279" i="6" a="1"/>
  <c r="L279" i="6" s="1"/>
  <c r="L267" i="6" a="1"/>
  <c r="L267" i="6" s="1"/>
  <c r="L255" i="6" a="1"/>
  <c r="L255" i="6" s="1"/>
  <c r="L243" i="6" a="1"/>
  <c r="L243" i="6" s="1"/>
  <c r="L231" i="6" a="1"/>
  <c r="L231" i="6" s="1"/>
  <c r="L219" i="6" a="1"/>
  <c r="L219" i="6" s="1"/>
  <c r="L207" i="6" a="1"/>
  <c r="L207" i="6" s="1"/>
  <c r="L195" i="6" a="1"/>
  <c r="L195" i="6" s="1"/>
  <c r="L183" i="6" a="1"/>
  <c r="L183" i="6" s="1"/>
  <c r="L171" i="6" a="1"/>
  <c r="L171" i="6" s="1"/>
  <c r="L159" i="6" a="1"/>
  <c r="L159" i="6" s="1"/>
  <c r="L147" i="6" a="1"/>
  <c r="L147" i="6" s="1"/>
  <c r="L135" i="6" a="1"/>
  <c r="L135" i="6" s="1"/>
  <c r="L123" i="6" a="1"/>
  <c r="L123" i="6" s="1"/>
  <c r="L111" i="6" a="1"/>
  <c r="L111" i="6" s="1"/>
  <c r="L99" i="6" a="1"/>
  <c r="L99" i="6" s="1"/>
  <c r="L87" i="6" a="1"/>
  <c r="L87" i="6" s="1"/>
  <c r="L75" i="6" a="1"/>
  <c r="L75" i="6" s="1"/>
  <c r="L63" i="6" a="1"/>
  <c r="L63" i="6" s="1"/>
  <c r="L51" i="6" a="1"/>
  <c r="L51" i="6" s="1"/>
  <c r="L39" i="6" a="1"/>
  <c r="L39" i="6" s="1"/>
  <c r="L27" i="6" a="1"/>
  <c r="L27" i="6" s="1"/>
  <c r="L15" i="6" a="1"/>
  <c r="L15" i="6" s="1"/>
  <c r="L60" i="6" a="1"/>
  <c r="L60" i="6" s="1"/>
  <c r="L12" i="6" a="1"/>
  <c r="L12" i="6" s="1"/>
  <c r="L225" i="6" a="1"/>
  <c r="L225" i="6" s="1"/>
  <c r="L129" i="6" a="1"/>
  <c r="L129" i="6" s="1"/>
  <c r="L45" i="6" a="1"/>
  <c r="L45" i="6" s="1"/>
  <c r="L41" i="6" a="1"/>
  <c r="L41" i="6" s="1"/>
  <c r="L398" i="6" a="1"/>
  <c r="L398" i="6" s="1"/>
  <c r="L386" i="6" a="1"/>
  <c r="L386" i="6" s="1"/>
  <c r="L374" i="6" a="1"/>
  <c r="L374" i="6" s="1"/>
  <c r="L362" i="6" a="1"/>
  <c r="L362" i="6" s="1"/>
  <c r="L350" i="6" a="1"/>
  <c r="L350" i="6" s="1"/>
  <c r="L338" i="6" a="1"/>
  <c r="L338" i="6" s="1"/>
  <c r="L326" i="6" a="1"/>
  <c r="L326" i="6" s="1"/>
  <c r="L314" i="6" a="1"/>
  <c r="L314" i="6" s="1"/>
  <c r="L302" i="6" a="1"/>
  <c r="L302" i="6" s="1"/>
  <c r="L290" i="6" a="1"/>
  <c r="L290" i="6" s="1"/>
  <c r="L278" i="6" a="1"/>
  <c r="L278" i="6" s="1"/>
  <c r="L266" i="6" a="1"/>
  <c r="L266" i="6" s="1"/>
  <c r="L254" i="6" a="1"/>
  <c r="L254" i="6" s="1"/>
  <c r="L242" i="6" a="1"/>
  <c r="L242" i="6" s="1"/>
  <c r="L230" i="6" a="1"/>
  <c r="L230" i="6" s="1"/>
  <c r="L218" i="6" a="1"/>
  <c r="L218" i="6" s="1"/>
  <c r="L206" i="6" a="1"/>
  <c r="L206" i="6" s="1"/>
  <c r="L194" i="6" a="1"/>
  <c r="L194" i="6" s="1"/>
  <c r="L182" i="6" a="1"/>
  <c r="L182" i="6" s="1"/>
  <c r="L170" i="6" a="1"/>
  <c r="L170" i="6" s="1"/>
  <c r="L158" i="6" a="1"/>
  <c r="L158" i="6" s="1"/>
  <c r="L146" i="6" a="1"/>
  <c r="L146" i="6" s="1"/>
  <c r="L134" i="6" a="1"/>
  <c r="L134" i="6" s="1"/>
  <c r="L122" i="6" a="1"/>
  <c r="L122" i="6" s="1"/>
  <c r="L110" i="6" a="1"/>
  <c r="L110" i="6" s="1"/>
  <c r="L98" i="6" a="1"/>
  <c r="L98" i="6" s="1"/>
  <c r="L86" i="6" a="1"/>
  <c r="L86" i="6" s="1"/>
  <c r="L74" i="6" a="1"/>
  <c r="L74" i="6" s="1"/>
  <c r="L62" i="6" a="1"/>
  <c r="L62" i="6" s="1"/>
  <c r="L50" i="6" a="1"/>
  <c r="L50" i="6" s="1"/>
  <c r="L38" i="6" a="1"/>
  <c r="L38" i="6" s="1"/>
  <c r="L26" i="6" a="1"/>
  <c r="L26" i="6" s="1"/>
  <c r="L14" i="6" a="1"/>
  <c r="L14" i="6" s="1"/>
  <c r="L169" i="6" a="1"/>
  <c r="L169" i="6" s="1"/>
  <c r="L133" i="6" a="1"/>
  <c r="L133" i="6" s="1"/>
  <c r="L109" i="6" a="1"/>
  <c r="L109" i="6" s="1"/>
  <c r="L85" i="6" a="1"/>
  <c r="L85" i="6" s="1"/>
  <c r="L61" i="6" a="1"/>
  <c r="L61" i="6" s="1"/>
  <c r="L25" i="6" a="1"/>
  <c r="L25" i="6" s="1"/>
  <c r="L168" i="6" a="1"/>
  <c r="L168" i="6" s="1"/>
  <c r="L132" i="6" a="1"/>
  <c r="L132" i="6" s="1"/>
  <c r="L96" i="6" a="1"/>
  <c r="L96" i="6" s="1"/>
  <c r="L48" i="6" a="1"/>
  <c r="L48" i="6" s="1"/>
  <c r="L273" i="6" a="1"/>
  <c r="L273" i="6" s="1"/>
  <c r="L153" i="6" a="1"/>
  <c r="L153" i="6" s="1"/>
  <c r="L69" i="6" a="1"/>
  <c r="L69" i="6" s="1"/>
  <c r="L53" i="6" a="1"/>
  <c r="L53" i="6" s="1"/>
  <c r="L397" i="6" a="1"/>
  <c r="L397" i="6" s="1"/>
  <c r="L385" i="6" a="1"/>
  <c r="L385" i="6" s="1"/>
  <c r="L373" i="6" a="1"/>
  <c r="L373" i="6" s="1"/>
  <c r="L361" i="6" a="1"/>
  <c r="L361" i="6" s="1"/>
  <c r="L349" i="6" a="1"/>
  <c r="L349" i="6" s="1"/>
  <c r="L337" i="6" a="1"/>
  <c r="L337" i="6" s="1"/>
  <c r="L325" i="6" a="1"/>
  <c r="L325" i="6" s="1"/>
  <c r="L313" i="6" a="1"/>
  <c r="L313" i="6" s="1"/>
  <c r="L301" i="6" a="1"/>
  <c r="L301" i="6" s="1"/>
  <c r="L289" i="6" a="1"/>
  <c r="L289" i="6" s="1"/>
  <c r="L277" i="6" a="1"/>
  <c r="L277" i="6" s="1"/>
  <c r="L265" i="6" a="1"/>
  <c r="L265" i="6" s="1"/>
  <c r="L253" i="6" a="1"/>
  <c r="L253" i="6" s="1"/>
  <c r="L241" i="6" a="1"/>
  <c r="L241" i="6" s="1"/>
  <c r="L229" i="6" a="1"/>
  <c r="L229" i="6" s="1"/>
  <c r="L217" i="6" a="1"/>
  <c r="L217" i="6" s="1"/>
  <c r="L205" i="6" a="1"/>
  <c r="L205" i="6" s="1"/>
  <c r="L193" i="6" a="1"/>
  <c r="L193" i="6" s="1"/>
  <c r="L181" i="6" a="1"/>
  <c r="L181" i="6" s="1"/>
  <c r="L157" i="6" a="1"/>
  <c r="L157" i="6" s="1"/>
  <c r="L145" i="6" a="1"/>
  <c r="L145" i="6" s="1"/>
  <c r="L121" i="6" a="1"/>
  <c r="L121" i="6" s="1"/>
  <c r="L97" i="6" a="1"/>
  <c r="L97" i="6" s="1"/>
  <c r="L73" i="6" a="1"/>
  <c r="L73" i="6" s="1"/>
  <c r="L49" i="6" a="1"/>
  <c r="L49" i="6" s="1"/>
  <c r="L37" i="6" a="1"/>
  <c r="L37" i="6" s="1"/>
  <c r="L13" i="6" a="1"/>
  <c r="L13" i="6" s="1"/>
  <c r="L180" i="6" a="1"/>
  <c r="L180" i="6" s="1"/>
  <c r="L144" i="6" a="1"/>
  <c r="L144" i="6" s="1"/>
  <c r="L108" i="6" a="1"/>
  <c r="L108" i="6" s="1"/>
  <c r="L72" i="6" a="1"/>
  <c r="L72" i="6" s="1"/>
  <c r="L36" i="6" a="1"/>
  <c r="L36" i="6" s="1"/>
  <c r="L261" i="6" a="1"/>
  <c r="L261" i="6" s="1"/>
  <c r="L177" i="6" a="1"/>
  <c r="L177" i="6" s="1"/>
  <c r="L93" i="6" a="1"/>
  <c r="L93" i="6" s="1"/>
  <c r="L65" i="6" a="1"/>
  <c r="L65" i="6" s="1"/>
  <c r="L396" i="6" a="1"/>
  <c r="L396" i="6" s="1"/>
  <c r="L384" i="6" a="1"/>
  <c r="L384" i="6" s="1"/>
  <c r="L372" i="6" a="1"/>
  <c r="L372" i="6" s="1"/>
  <c r="L360" i="6" a="1"/>
  <c r="L360" i="6" s="1"/>
  <c r="L348" i="6" a="1"/>
  <c r="L348" i="6" s="1"/>
  <c r="L336" i="6" a="1"/>
  <c r="L336" i="6" s="1"/>
  <c r="L324" i="6" a="1"/>
  <c r="L324" i="6" s="1"/>
  <c r="L312" i="6" a="1"/>
  <c r="L312" i="6" s="1"/>
  <c r="L300" i="6" a="1"/>
  <c r="L300" i="6" s="1"/>
  <c r="L288" i="6" a="1"/>
  <c r="L288" i="6" s="1"/>
  <c r="L276" i="6" a="1"/>
  <c r="L276" i="6" s="1"/>
  <c r="L264" i="6" a="1"/>
  <c r="L264" i="6" s="1"/>
  <c r="L252" i="6" a="1"/>
  <c r="L252" i="6" s="1"/>
  <c r="L240" i="6" a="1"/>
  <c r="L240" i="6" s="1"/>
  <c r="L228" i="6" a="1"/>
  <c r="L228" i="6" s="1"/>
  <c r="L216" i="6" a="1"/>
  <c r="L216" i="6" s="1"/>
  <c r="L204" i="6" a="1"/>
  <c r="L204" i="6" s="1"/>
  <c r="L192" i="6" a="1"/>
  <c r="L192" i="6" s="1"/>
  <c r="L156" i="6" a="1"/>
  <c r="L156" i="6" s="1"/>
  <c r="L120" i="6" a="1"/>
  <c r="L120" i="6" s="1"/>
  <c r="L84" i="6" a="1"/>
  <c r="L84" i="6" s="1"/>
  <c r="L24" i="6" a="1"/>
  <c r="L24" i="6" s="1"/>
  <c r="L201" i="6" a="1"/>
  <c r="L201" i="6" s="1"/>
  <c r="L141" i="6" a="1"/>
  <c r="L141" i="6" s="1"/>
  <c r="L57" i="6" a="1"/>
  <c r="L57" i="6" s="1"/>
  <c r="L29" i="6" a="1"/>
  <c r="L29" i="6" s="1"/>
  <c r="L395" i="6" a="1"/>
  <c r="L395" i="6" s="1"/>
  <c r="L383" i="6" a="1"/>
  <c r="L383" i="6" s="1"/>
  <c r="L371" i="6" a="1"/>
  <c r="L371" i="6" s="1"/>
  <c r="L359" i="6" a="1"/>
  <c r="L359" i="6" s="1"/>
  <c r="L347" i="6" a="1"/>
  <c r="L347" i="6" s="1"/>
  <c r="L335" i="6" a="1"/>
  <c r="L335" i="6" s="1"/>
  <c r="L323" i="6" a="1"/>
  <c r="L323" i="6" s="1"/>
  <c r="L311" i="6" a="1"/>
  <c r="L311" i="6" s="1"/>
  <c r="L299" i="6" a="1"/>
  <c r="L299" i="6" s="1"/>
  <c r="L287" i="6" a="1"/>
  <c r="L287" i="6" s="1"/>
  <c r="L275" i="6" a="1"/>
  <c r="L275" i="6" s="1"/>
  <c r="L263" i="6" a="1"/>
  <c r="L263" i="6" s="1"/>
  <c r="L251" i="6" a="1"/>
  <c r="L251" i="6" s="1"/>
  <c r="L239" i="6" a="1"/>
  <c r="L239" i="6" s="1"/>
  <c r="L227" i="6" a="1"/>
  <c r="L227" i="6" s="1"/>
  <c r="L215" i="6" a="1"/>
  <c r="L215" i="6" s="1"/>
  <c r="L203" i="6" a="1"/>
  <c r="L203" i="6" s="1"/>
  <c r="L191" i="6" a="1"/>
  <c r="L191" i="6" s="1"/>
  <c r="L179" i="6" a="1"/>
  <c r="L179" i="6" s="1"/>
  <c r="L167" i="6" a="1"/>
  <c r="L167" i="6" s="1"/>
  <c r="L155" i="6" a="1"/>
  <c r="L155" i="6" s="1"/>
  <c r="L143" i="6" a="1"/>
  <c r="L143" i="6" s="1"/>
  <c r="L131" i="6" a="1"/>
  <c r="L131" i="6" s="1"/>
  <c r="L119" i="6" a="1"/>
  <c r="L119" i="6" s="1"/>
  <c r="L107" i="6" a="1"/>
  <c r="L107" i="6" s="1"/>
  <c r="L95" i="6" a="1"/>
  <c r="L95" i="6" s="1"/>
  <c r="L83" i="6" a="1"/>
  <c r="L83" i="6" s="1"/>
  <c r="L71" i="6" a="1"/>
  <c r="L71" i="6" s="1"/>
  <c r="L59" i="6" a="1"/>
  <c r="L59" i="6" s="1"/>
  <c r="L47" i="6" a="1"/>
  <c r="L47" i="6" s="1"/>
  <c r="L35" i="6" a="1"/>
  <c r="L35" i="6" s="1"/>
  <c r="L23" i="6" a="1"/>
  <c r="L23" i="6" s="1"/>
  <c r="L11" i="6" a="1"/>
  <c r="L11" i="6" s="1"/>
  <c r="L370" i="6" a="1"/>
  <c r="L370" i="6" s="1"/>
  <c r="L346" i="6" a="1"/>
  <c r="L346" i="6" s="1"/>
  <c r="L310" i="6" a="1"/>
  <c r="L310" i="6" s="1"/>
  <c r="L286" i="6" a="1"/>
  <c r="L286" i="6" s="1"/>
  <c r="L262" i="6" a="1"/>
  <c r="L262" i="6" s="1"/>
  <c r="L238" i="6" a="1"/>
  <c r="L238" i="6" s="1"/>
  <c r="L202" i="6" a="1"/>
  <c r="L202" i="6" s="1"/>
  <c r="L178" i="6" a="1"/>
  <c r="L178" i="6" s="1"/>
  <c r="L142" i="6" a="1"/>
  <c r="L142" i="6" s="1"/>
  <c r="L118" i="6" a="1"/>
  <c r="L118" i="6" s="1"/>
  <c r="L94" i="6" a="1"/>
  <c r="L94" i="6" s="1"/>
  <c r="L70" i="6" a="1"/>
  <c r="L70" i="6" s="1"/>
  <c r="L34" i="6" a="1"/>
  <c r="L34" i="6" s="1"/>
  <c r="L10" i="6" a="1"/>
  <c r="L10" i="6" s="1"/>
  <c r="L249" i="6" a="1"/>
  <c r="L249" i="6" s="1"/>
  <c r="L165" i="6" a="1"/>
  <c r="L165" i="6" s="1"/>
  <c r="L81" i="6" a="1"/>
  <c r="L81" i="6" s="1"/>
  <c r="L9" i="6" a="1"/>
  <c r="L9" i="6" s="1"/>
  <c r="L17" i="6" a="1"/>
  <c r="L17" i="6" s="1"/>
  <c r="L394" i="6" a="1"/>
  <c r="L394" i="6" s="1"/>
  <c r="L382" i="6" a="1"/>
  <c r="L382" i="6" s="1"/>
  <c r="L358" i="6" a="1"/>
  <c r="L358" i="6" s="1"/>
  <c r="L334" i="6" a="1"/>
  <c r="L334" i="6" s="1"/>
  <c r="L322" i="6" a="1"/>
  <c r="L322" i="6" s="1"/>
  <c r="L298" i="6" a="1"/>
  <c r="L298" i="6" s="1"/>
  <c r="L274" i="6" a="1"/>
  <c r="L274" i="6" s="1"/>
  <c r="L250" i="6" a="1"/>
  <c r="L250" i="6" s="1"/>
  <c r="L226" i="6" a="1"/>
  <c r="L226" i="6" s="1"/>
  <c r="L214" i="6" a="1"/>
  <c r="L214" i="6" s="1"/>
  <c r="L190" i="6" a="1"/>
  <c r="L190" i="6" s="1"/>
  <c r="L166" i="6" a="1"/>
  <c r="L166" i="6" s="1"/>
  <c r="L154" i="6" a="1"/>
  <c r="L154" i="6" s="1"/>
  <c r="L130" i="6" a="1"/>
  <c r="L130" i="6" s="1"/>
  <c r="L106" i="6" a="1"/>
  <c r="L106" i="6" s="1"/>
  <c r="L82" i="6" a="1"/>
  <c r="L82" i="6" s="1"/>
  <c r="L58" i="6" a="1"/>
  <c r="L58" i="6" s="1"/>
  <c r="L46" i="6" a="1"/>
  <c r="L46" i="6" s="1"/>
  <c r="L22" i="6" a="1"/>
  <c r="L22" i="6" s="1"/>
  <c r="L237" i="6" a="1"/>
  <c r="L237" i="6" s="1"/>
  <c r="L117" i="6" a="1"/>
  <c r="L117" i="6" s="1"/>
  <c r="L21" i="6" a="1"/>
  <c r="L21" i="6" s="1"/>
  <c r="D18" i="6" a="1"/>
  <c r="D18" i="6" s="1"/>
  <c r="D30" i="6" a="1"/>
  <c r="D30" i="6" s="1"/>
  <c r="D42" i="6" a="1"/>
  <c r="D42" i="6" s="1"/>
  <c r="D54" i="6" a="1"/>
  <c r="D54" i="6" s="1"/>
  <c r="D66" i="6" a="1"/>
  <c r="D66" i="6" s="1"/>
  <c r="D78" i="6" a="1"/>
  <c r="D78" i="6" s="1"/>
  <c r="D90" i="6" a="1"/>
  <c r="D90" i="6" s="1"/>
  <c r="D102" i="6" a="1"/>
  <c r="D102" i="6" s="1"/>
  <c r="D114" i="6" a="1"/>
  <c r="D114" i="6" s="1"/>
  <c r="D126" i="6" a="1"/>
  <c r="D126" i="6" s="1"/>
  <c r="D138" i="6" a="1"/>
  <c r="D138" i="6" s="1"/>
  <c r="D150" i="6" a="1"/>
  <c r="D150" i="6" s="1"/>
  <c r="D162" i="6" a="1"/>
  <c r="D162" i="6" s="1"/>
  <c r="D174" i="6" a="1"/>
  <c r="D174" i="6" s="1"/>
  <c r="D186" i="6" a="1"/>
  <c r="D186" i="6" s="1"/>
  <c r="D198" i="6" a="1"/>
  <c r="D198" i="6" s="1"/>
  <c r="D210" i="6" a="1"/>
  <c r="D210" i="6" s="1"/>
  <c r="D222" i="6" a="1"/>
  <c r="D222" i="6" s="1"/>
  <c r="D234" i="6" a="1"/>
  <c r="D234" i="6" s="1"/>
  <c r="D246" i="6" a="1"/>
  <c r="D246" i="6" s="1"/>
  <c r="D258" i="6" a="1"/>
  <c r="D258" i="6" s="1"/>
  <c r="D270" i="6" a="1"/>
  <c r="D270" i="6" s="1"/>
  <c r="D282" i="6" a="1"/>
  <c r="D282" i="6" s="1"/>
  <c r="D294" i="6" a="1"/>
  <c r="D294" i="6" s="1"/>
  <c r="D306" i="6" a="1"/>
  <c r="D306" i="6" s="1"/>
  <c r="D318" i="6" a="1"/>
  <c r="D318" i="6" s="1"/>
  <c r="D330" i="6" a="1"/>
  <c r="D330" i="6" s="1"/>
  <c r="D342" i="6" a="1"/>
  <c r="D342" i="6" s="1"/>
  <c r="D354" i="6" a="1"/>
  <c r="D354" i="6" s="1"/>
  <c r="D366" i="6" a="1"/>
  <c r="D366" i="6" s="1"/>
  <c r="D378" i="6" a="1"/>
  <c r="D378" i="6" s="1"/>
  <c r="D319" i="6" a="1"/>
  <c r="D319" i="6" s="1"/>
  <c r="D7" i="6" a="1"/>
  <c r="D7" i="6" s="1"/>
  <c r="D19" i="6" a="1"/>
  <c r="D19" i="6" s="1"/>
  <c r="D31" i="6" a="1"/>
  <c r="D31" i="6" s="1"/>
  <c r="D43" i="6" a="1"/>
  <c r="D43" i="6" s="1"/>
  <c r="D55" i="6" a="1"/>
  <c r="D55" i="6" s="1"/>
  <c r="D67" i="6" a="1"/>
  <c r="D67" i="6" s="1"/>
  <c r="D79" i="6" a="1"/>
  <c r="D79" i="6" s="1"/>
  <c r="D91" i="6" a="1"/>
  <c r="D91" i="6" s="1"/>
  <c r="D103" i="6" a="1"/>
  <c r="D103" i="6" s="1"/>
  <c r="D115" i="6" a="1"/>
  <c r="D115" i="6" s="1"/>
  <c r="D127" i="6" a="1"/>
  <c r="D127" i="6" s="1"/>
  <c r="D139" i="6" a="1"/>
  <c r="D139" i="6" s="1"/>
  <c r="D151" i="6" a="1"/>
  <c r="D151" i="6" s="1"/>
  <c r="D163" i="6" a="1"/>
  <c r="D163" i="6" s="1"/>
  <c r="D175" i="6" a="1"/>
  <c r="D175" i="6" s="1"/>
  <c r="D187" i="6" a="1"/>
  <c r="D187" i="6" s="1"/>
  <c r="D199" i="6" a="1"/>
  <c r="D199" i="6" s="1"/>
  <c r="D211" i="6" a="1"/>
  <c r="D211" i="6" s="1"/>
  <c r="D331" i="6" a="1"/>
  <c r="D331" i="6" s="1"/>
  <c r="D8" i="6" a="1"/>
  <c r="D8" i="6" s="1"/>
  <c r="D20" i="6" a="1"/>
  <c r="D20" i="6" s="1"/>
  <c r="D32" i="6" a="1"/>
  <c r="D32" i="6" s="1"/>
  <c r="D44" i="6" a="1"/>
  <c r="D44" i="6" s="1"/>
  <c r="D56" i="6" a="1"/>
  <c r="D56" i="6" s="1"/>
  <c r="D68" i="6" a="1"/>
  <c r="D68" i="6" s="1"/>
  <c r="D80" i="6" a="1"/>
  <c r="D80" i="6" s="1"/>
  <c r="D92" i="6" a="1"/>
  <c r="D92" i="6" s="1"/>
  <c r="D104" i="6" a="1"/>
  <c r="D104" i="6" s="1"/>
  <c r="D116" i="6" a="1"/>
  <c r="D116" i="6" s="1"/>
  <c r="D128" i="6" a="1"/>
  <c r="D128" i="6" s="1"/>
  <c r="D140" i="6" a="1"/>
  <c r="D140" i="6" s="1"/>
  <c r="D152" i="6" a="1"/>
  <c r="D152" i="6" s="1"/>
  <c r="D164" i="6" a="1"/>
  <c r="D164" i="6" s="1"/>
  <c r="D176" i="6" a="1"/>
  <c r="D176" i="6" s="1"/>
  <c r="D188" i="6" a="1"/>
  <c r="D188" i="6" s="1"/>
  <c r="D200" i="6" a="1"/>
  <c r="D200" i="6" s="1"/>
  <c r="D212" i="6" a="1"/>
  <c r="D212" i="6" s="1"/>
  <c r="D224" i="6" a="1"/>
  <c r="D224" i="6" s="1"/>
  <c r="D236" i="6" a="1"/>
  <c r="D236" i="6" s="1"/>
  <c r="D248" i="6" a="1"/>
  <c r="D248" i="6" s="1"/>
  <c r="D260" i="6" a="1"/>
  <c r="D260" i="6" s="1"/>
  <c r="D272" i="6" a="1"/>
  <c r="D272" i="6" s="1"/>
  <c r="D284" i="6" a="1"/>
  <c r="D284" i="6" s="1"/>
  <c r="D296" i="6" a="1"/>
  <c r="D296" i="6" s="1"/>
  <c r="D308" i="6" a="1"/>
  <c r="D308" i="6" s="1"/>
  <c r="D320" i="6" a="1"/>
  <c r="D320" i="6" s="1"/>
  <c r="D332" i="6" a="1"/>
  <c r="D332" i="6" s="1"/>
  <c r="D344" i="6" a="1"/>
  <c r="D344" i="6" s="1"/>
  <c r="D356" i="6" a="1"/>
  <c r="D356" i="6" s="1"/>
  <c r="D368" i="6" a="1"/>
  <c r="D368" i="6" s="1"/>
  <c r="D380" i="6" a="1"/>
  <c r="D380" i="6" s="1"/>
  <c r="D392" i="6" a="1"/>
  <c r="D392" i="6" s="1"/>
  <c r="D295" i="6" a="1"/>
  <c r="D295" i="6" s="1"/>
  <c r="D9" i="6" a="1"/>
  <c r="D9" i="6" s="1"/>
  <c r="D21" i="6" a="1"/>
  <c r="D21" i="6" s="1"/>
  <c r="D33" i="6" a="1"/>
  <c r="D33" i="6" s="1"/>
  <c r="D45" i="6" a="1"/>
  <c r="D45" i="6" s="1"/>
  <c r="D57" i="6" a="1"/>
  <c r="D57" i="6" s="1"/>
  <c r="D69" i="6" a="1"/>
  <c r="D69" i="6" s="1"/>
  <c r="D81" i="6" a="1"/>
  <c r="D81" i="6" s="1"/>
  <c r="D93" i="6" a="1"/>
  <c r="D93" i="6" s="1"/>
  <c r="D105" i="6" a="1"/>
  <c r="D105" i="6" s="1"/>
  <c r="D117" i="6" a="1"/>
  <c r="D117" i="6" s="1"/>
  <c r="D129" i="6" a="1"/>
  <c r="D129" i="6" s="1"/>
  <c r="D141" i="6" a="1"/>
  <c r="D141" i="6" s="1"/>
  <c r="D153" i="6" a="1"/>
  <c r="D153" i="6" s="1"/>
  <c r="D165" i="6" a="1"/>
  <c r="D165" i="6" s="1"/>
  <c r="D177" i="6" a="1"/>
  <c r="D177" i="6" s="1"/>
  <c r="D189" i="6" a="1"/>
  <c r="D189" i="6" s="1"/>
  <c r="D201" i="6" a="1"/>
  <c r="D201" i="6" s="1"/>
  <c r="D213" i="6" a="1"/>
  <c r="D213" i="6" s="1"/>
  <c r="D225" i="6" a="1"/>
  <c r="D225" i="6" s="1"/>
  <c r="D237" i="6" a="1"/>
  <c r="D237" i="6" s="1"/>
  <c r="D249" i="6" a="1"/>
  <c r="D249" i="6" s="1"/>
  <c r="D261" i="6" a="1"/>
  <c r="D261" i="6" s="1"/>
  <c r="D273" i="6" a="1"/>
  <c r="D273" i="6" s="1"/>
  <c r="D285" i="6" a="1"/>
  <c r="D285" i="6" s="1"/>
  <c r="D297" i="6" a="1"/>
  <c r="D297" i="6" s="1"/>
  <c r="D309" i="6" a="1"/>
  <c r="D309" i="6" s="1"/>
  <c r="D321" i="6" a="1"/>
  <c r="D321" i="6" s="1"/>
  <c r="D333" i="6" a="1"/>
  <c r="D333" i="6" s="1"/>
  <c r="D345" i="6" a="1"/>
  <c r="D345" i="6" s="1"/>
  <c r="D357" i="6" a="1"/>
  <c r="D357" i="6" s="1"/>
  <c r="D369" i="6" a="1"/>
  <c r="D369" i="6" s="1"/>
  <c r="D381" i="6" a="1"/>
  <c r="D381" i="6" s="1"/>
  <c r="D393" i="6" a="1"/>
  <c r="D393" i="6" s="1"/>
  <c r="D328" i="6" a="1"/>
  <c r="D328" i="6" s="1"/>
  <c r="D271" i="6" a="1"/>
  <c r="D271" i="6" s="1"/>
  <c r="D10" i="6" a="1"/>
  <c r="D10" i="6" s="1"/>
  <c r="D22" i="6" a="1"/>
  <c r="D22" i="6" s="1"/>
  <c r="D34" i="6" a="1"/>
  <c r="D34" i="6" s="1"/>
  <c r="D46" i="6" a="1"/>
  <c r="D46" i="6" s="1"/>
  <c r="D58" i="6" a="1"/>
  <c r="D58" i="6" s="1"/>
  <c r="D70" i="6" a="1"/>
  <c r="D70" i="6" s="1"/>
  <c r="D82" i="6" a="1"/>
  <c r="D82" i="6" s="1"/>
  <c r="D94" i="6" a="1"/>
  <c r="D94" i="6" s="1"/>
  <c r="D106" i="6" a="1"/>
  <c r="D106" i="6" s="1"/>
  <c r="D118" i="6" a="1"/>
  <c r="D118" i="6" s="1"/>
  <c r="D130" i="6" a="1"/>
  <c r="D130" i="6" s="1"/>
  <c r="D142" i="6" a="1"/>
  <c r="D142" i="6" s="1"/>
  <c r="D154" i="6" a="1"/>
  <c r="D154" i="6" s="1"/>
  <c r="D166" i="6" a="1"/>
  <c r="D166" i="6" s="1"/>
  <c r="D178" i="6" a="1"/>
  <c r="D178" i="6" s="1"/>
  <c r="D190" i="6" a="1"/>
  <c r="D190" i="6" s="1"/>
  <c r="D202" i="6" a="1"/>
  <c r="D202" i="6" s="1"/>
  <c r="D214" i="6" a="1"/>
  <c r="D214" i="6" s="1"/>
  <c r="D226" i="6" a="1"/>
  <c r="D226" i="6" s="1"/>
  <c r="D238" i="6" a="1"/>
  <c r="D238" i="6" s="1"/>
  <c r="D250" i="6" a="1"/>
  <c r="D250" i="6" s="1"/>
  <c r="D262" i="6" a="1"/>
  <c r="D262" i="6" s="1"/>
  <c r="D274" i="6" a="1"/>
  <c r="D274" i="6" s="1"/>
  <c r="D286" i="6" a="1"/>
  <c r="D286" i="6" s="1"/>
  <c r="D298" i="6" a="1"/>
  <c r="D298" i="6" s="1"/>
  <c r="D310" i="6" a="1"/>
  <c r="D310" i="6" s="1"/>
  <c r="D322" i="6" a="1"/>
  <c r="D322" i="6" s="1"/>
  <c r="D334" i="6" a="1"/>
  <c r="D334" i="6" s="1"/>
  <c r="D346" i="6" a="1"/>
  <c r="D346" i="6" s="1"/>
  <c r="D358" i="6" a="1"/>
  <c r="D358" i="6" s="1"/>
  <c r="D370" i="6" a="1"/>
  <c r="D370" i="6" s="1"/>
  <c r="D382" i="6" a="1"/>
  <c r="D382" i="6" s="1"/>
  <c r="D394" i="6" a="1"/>
  <c r="D394" i="6" s="1"/>
  <c r="D383" i="6" a="1"/>
  <c r="D383" i="6" s="1"/>
  <c r="D316" i="6" a="1"/>
  <c r="D316" i="6" s="1"/>
  <c r="D389" i="6" a="1"/>
  <c r="D389" i="6" s="1"/>
  <c r="D343" i="6" a="1"/>
  <c r="D343" i="6" s="1"/>
  <c r="D11" i="6" a="1"/>
  <c r="D11" i="6" s="1"/>
  <c r="D23" i="6" a="1"/>
  <c r="D23" i="6" s="1"/>
  <c r="D35" i="6" a="1"/>
  <c r="D35" i="6" s="1"/>
  <c r="D47" i="6" a="1"/>
  <c r="D47" i="6" s="1"/>
  <c r="D59" i="6" a="1"/>
  <c r="D59" i="6" s="1"/>
  <c r="D71" i="6" a="1"/>
  <c r="D71" i="6" s="1"/>
  <c r="D83" i="6" a="1"/>
  <c r="D83" i="6" s="1"/>
  <c r="D95" i="6" a="1"/>
  <c r="D95" i="6" s="1"/>
  <c r="D107" i="6" a="1"/>
  <c r="D107" i="6" s="1"/>
  <c r="D119" i="6" a="1"/>
  <c r="D119" i="6" s="1"/>
  <c r="D131" i="6" a="1"/>
  <c r="D131" i="6" s="1"/>
  <c r="D143" i="6" a="1"/>
  <c r="D143" i="6" s="1"/>
  <c r="D155" i="6" a="1"/>
  <c r="D155" i="6" s="1"/>
  <c r="D167" i="6" a="1"/>
  <c r="D167" i="6" s="1"/>
  <c r="D179" i="6" a="1"/>
  <c r="D179" i="6" s="1"/>
  <c r="D191" i="6" a="1"/>
  <c r="D191" i="6" s="1"/>
  <c r="D203" i="6" a="1"/>
  <c r="D203" i="6" s="1"/>
  <c r="D215" i="6" a="1"/>
  <c r="D215" i="6" s="1"/>
  <c r="D227" i="6" a="1"/>
  <c r="D227" i="6" s="1"/>
  <c r="D239" i="6" a="1"/>
  <c r="D239" i="6" s="1"/>
  <c r="D251" i="6" a="1"/>
  <c r="D251" i="6" s="1"/>
  <c r="D263" i="6" a="1"/>
  <c r="D263" i="6" s="1"/>
  <c r="D275" i="6" a="1"/>
  <c r="D275" i="6" s="1"/>
  <c r="D287" i="6" a="1"/>
  <c r="D287" i="6" s="1"/>
  <c r="D299" i="6" a="1"/>
  <c r="D299" i="6" s="1"/>
  <c r="D311" i="6" a="1"/>
  <c r="D311" i="6" s="1"/>
  <c r="D323" i="6" a="1"/>
  <c r="D323" i="6" s="1"/>
  <c r="D335" i="6" a="1"/>
  <c r="D335" i="6" s="1"/>
  <c r="D347" i="6" a="1"/>
  <c r="D347" i="6" s="1"/>
  <c r="D359" i="6" a="1"/>
  <c r="D359" i="6" s="1"/>
  <c r="D371" i="6" a="1"/>
  <c r="D371" i="6" s="1"/>
  <c r="D395" i="6" a="1"/>
  <c r="D395" i="6" s="1"/>
  <c r="D340" i="6" a="1"/>
  <c r="D340" i="6" s="1"/>
  <c r="D307" i="6" a="1"/>
  <c r="D307" i="6" s="1"/>
  <c r="D379" i="6" a="1"/>
  <c r="D379" i="6" s="1"/>
  <c r="D12" i="6" a="1"/>
  <c r="D12" i="6" s="1"/>
  <c r="D24" i="6" a="1"/>
  <c r="D24" i="6" s="1"/>
  <c r="D36" i="6" a="1"/>
  <c r="D36" i="6" s="1"/>
  <c r="D48" i="6" a="1"/>
  <c r="D48" i="6" s="1"/>
  <c r="D60" i="6" a="1"/>
  <c r="D60" i="6" s="1"/>
  <c r="D72" i="6" a="1"/>
  <c r="D72" i="6" s="1"/>
  <c r="D84" i="6" a="1"/>
  <c r="D84" i="6" s="1"/>
  <c r="D96" i="6" a="1"/>
  <c r="D96" i="6" s="1"/>
  <c r="D108" i="6" a="1"/>
  <c r="D108" i="6" s="1"/>
  <c r="D120" i="6" a="1"/>
  <c r="D120" i="6" s="1"/>
  <c r="D132" i="6" a="1"/>
  <c r="D132" i="6" s="1"/>
  <c r="D144" i="6" a="1"/>
  <c r="D144" i="6" s="1"/>
  <c r="D156" i="6" a="1"/>
  <c r="D156" i="6" s="1"/>
  <c r="D168" i="6" a="1"/>
  <c r="D168" i="6" s="1"/>
  <c r="D180" i="6" a="1"/>
  <c r="D180" i="6" s="1"/>
  <c r="D192" i="6" a="1"/>
  <c r="D192" i="6" s="1"/>
  <c r="D204" i="6" a="1"/>
  <c r="D204" i="6" s="1"/>
  <c r="D216" i="6" a="1"/>
  <c r="D216" i="6" s="1"/>
  <c r="D228" i="6" a="1"/>
  <c r="D228" i="6" s="1"/>
  <c r="D240" i="6" a="1"/>
  <c r="D240" i="6" s="1"/>
  <c r="D252" i="6" a="1"/>
  <c r="D252" i="6" s="1"/>
  <c r="D264" i="6" a="1"/>
  <c r="D264" i="6" s="1"/>
  <c r="D276" i="6" a="1"/>
  <c r="D276" i="6" s="1"/>
  <c r="D288" i="6" a="1"/>
  <c r="D288" i="6" s="1"/>
  <c r="D300" i="6" a="1"/>
  <c r="D300" i="6" s="1"/>
  <c r="D312" i="6" a="1"/>
  <c r="D312" i="6" s="1"/>
  <c r="D324" i="6" a="1"/>
  <c r="D324" i="6" s="1"/>
  <c r="D336" i="6" a="1"/>
  <c r="D336" i="6" s="1"/>
  <c r="D348" i="6" a="1"/>
  <c r="D348" i="6" s="1"/>
  <c r="D360" i="6" a="1"/>
  <c r="D360" i="6" s="1"/>
  <c r="D372" i="6" a="1"/>
  <c r="D372" i="6" s="1"/>
  <c r="D384" i="6" a="1"/>
  <c r="D384" i="6" s="1"/>
  <c r="D396" i="6" a="1"/>
  <c r="D396" i="6" s="1"/>
  <c r="D304" i="6" a="1"/>
  <c r="D304" i="6" s="1"/>
  <c r="D388" i="6" a="1"/>
  <c r="D388" i="6" s="1"/>
  <c r="D235" i="6" a="1"/>
  <c r="D235" i="6" s="1"/>
  <c r="D13" i="6" a="1"/>
  <c r="D13" i="6" s="1"/>
  <c r="D25" i="6" a="1"/>
  <c r="D25" i="6" s="1"/>
  <c r="D37" i="6" a="1"/>
  <c r="D37" i="6" s="1"/>
  <c r="D49" i="6" a="1"/>
  <c r="D49" i="6" s="1"/>
  <c r="D61" i="6" a="1"/>
  <c r="D61" i="6" s="1"/>
  <c r="D73" i="6" a="1"/>
  <c r="D73" i="6" s="1"/>
  <c r="D85" i="6" a="1"/>
  <c r="D85" i="6" s="1"/>
  <c r="D97" i="6" a="1"/>
  <c r="D97" i="6" s="1"/>
  <c r="D109" i="6" a="1"/>
  <c r="D109" i="6" s="1"/>
  <c r="D121" i="6" a="1"/>
  <c r="D121" i="6" s="1"/>
  <c r="D133" i="6" a="1"/>
  <c r="D133" i="6" s="1"/>
  <c r="D145" i="6" a="1"/>
  <c r="D145" i="6" s="1"/>
  <c r="D157" i="6" a="1"/>
  <c r="D157" i="6" s="1"/>
  <c r="D169" i="6" a="1"/>
  <c r="D169" i="6" s="1"/>
  <c r="D181" i="6" a="1"/>
  <c r="D181" i="6" s="1"/>
  <c r="D193" i="6" a="1"/>
  <c r="D193" i="6" s="1"/>
  <c r="D205" i="6" a="1"/>
  <c r="D205" i="6" s="1"/>
  <c r="D217" i="6" a="1"/>
  <c r="D217" i="6" s="1"/>
  <c r="D229" i="6" a="1"/>
  <c r="D229" i="6" s="1"/>
  <c r="D241" i="6" a="1"/>
  <c r="D241" i="6" s="1"/>
  <c r="D253" i="6" a="1"/>
  <c r="D253" i="6" s="1"/>
  <c r="D265" i="6" a="1"/>
  <c r="D265" i="6" s="1"/>
  <c r="D277" i="6" a="1"/>
  <c r="D277" i="6" s="1"/>
  <c r="D289" i="6" a="1"/>
  <c r="D289" i="6" s="1"/>
  <c r="D301" i="6" a="1"/>
  <c r="D301" i="6" s="1"/>
  <c r="D313" i="6" a="1"/>
  <c r="D313" i="6" s="1"/>
  <c r="D325" i="6" a="1"/>
  <c r="D325" i="6" s="1"/>
  <c r="D337" i="6" a="1"/>
  <c r="D337" i="6" s="1"/>
  <c r="D349" i="6" a="1"/>
  <c r="D349" i="6" s="1"/>
  <c r="D361" i="6" a="1"/>
  <c r="D361" i="6" s="1"/>
  <c r="D373" i="6" a="1"/>
  <c r="D373" i="6" s="1"/>
  <c r="D385" i="6" a="1"/>
  <c r="D385" i="6" s="1"/>
  <c r="D397" i="6" a="1"/>
  <c r="D397" i="6" s="1"/>
  <c r="D292" i="6" a="1"/>
  <c r="D292" i="6" s="1"/>
  <c r="D247" i="6" a="1"/>
  <c r="D247" i="6" s="1"/>
  <c r="D14" i="6" a="1"/>
  <c r="D14" i="6" s="1"/>
  <c r="D26" i="6" a="1"/>
  <c r="D26" i="6" s="1"/>
  <c r="D38" i="6" a="1"/>
  <c r="D38" i="6" s="1"/>
  <c r="D50" i="6" a="1"/>
  <c r="D50" i="6" s="1"/>
  <c r="D62" i="6" a="1"/>
  <c r="D62" i="6" s="1"/>
  <c r="D74" i="6" a="1"/>
  <c r="D74" i="6" s="1"/>
  <c r="D86" i="6" a="1"/>
  <c r="D86" i="6" s="1"/>
  <c r="D98" i="6" a="1"/>
  <c r="D98" i="6" s="1"/>
  <c r="D110" i="6" a="1"/>
  <c r="D110" i="6" s="1"/>
  <c r="D122" i="6" a="1"/>
  <c r="D122" i="6" s="1"/>
  <c r="D134" i="6" a="1"/>
  <c r="D134" i="6" s="1"/>
  <c r="D146" i="6" a="1"/>
  <c r="D146" i="6" s="1"/>
  <c r="D158" i="6" a="1"/>
  <c r="D158" i="6" s="1"/>
  <c r="D170" i="6" a="1"/>
  <c r="D170" i="6" s="1"/>
  <c r="D182" i="6" a="1"/>
  <c r="D182" i="6" s="1"/>
  <c r="D194" i="6" a="1"/>
  <c r="D194" i="6" s="1"/>
  <c r="D206" i="6" a="1"/>
  <c r="D206" i="6" s="1"/>
  <c r="D218" i="6" a="1"/>
  <c r="D218" i="6" s="1"/>
  <c r="D230" i="6" a="1"/>
  <c r="D230" i="6" s="1"/>
  <c r="D242" i="6" a="1"/>
  <c r="D242" i="6" s="1"/>
  <c r="D254" i="6" a="1"/>
  <c r="D254" i="6" s="1"/>
  <c r="D266" i="6" a="1"/>
  <c r="D266" i="6" s="1"/>
  <c r="D278" i="6" a="1"/>
  <c r="D278" i="6" s="1"/>
  <c r="D290" i="6" a="1"/>
  <c r="D290" i="6" s="1"/>
  <c r="D302" i="6" a="1"/>
  <c r="D302" i="6" s="1"/>
  <c r="D314" i="6" a="1"/>
  <c r="D314" i="6" s="1"/>
  <c r="D326" i="6" a="1"/>
  <c r="D326" i="6" s="1"/>
  <c r="D338" i="6" a="1"/>
  <c r="D338" i="6" s="1"/>
  <c r="D350" i="6" a="1"/>
  <c r="D350" i="6" s="1"/>
  <c r="D362" i="6" a="1"/>
  <c r="D362" i="6" s="1"/>
  <c r="D374" i="6" a="1"/>
  <c r="D374" i="6" s="1"/>
  <c r="D386" i="6" a="1"/>
  <c r="D386" i="6" s="1"/>
  <c r="D398" i="6" a="1"/>
  <c r="D398" i="6" s="1"/>
  <c r="D280" i="6" a="1"/>
  <c r="D280" i="6" s="1"/>
  <c r="D376" i="6" a="1"/>
  <c r="D376" i="6" s="1"/>
  <c r="D390" i="6" a="1"/>
  <c r="D390" i="6" s="1"/>
  <c r="D15" i="6" a="1"/>
  <c r="D15" i="6" s="1"/>
  <c r="D27" i="6" a="1"/>
  <c r="D27" i="6" s="1"/>
  <c r="D39" i="6" a="1"/>
  <c r="D39" i="6" s="1"/>
  <c r="D51" i="6" a="1"/>
  <c r="D51" i="6" s="1"/>
  <c r="D63" i="6" a="1"/>
  <c r="D63" i="6" s="1"/>
  <c r="D75" i="6" a="1"/>
  <c r="D75" i="6" s="1"/>
  <c r="D87" i="6" a="1"/>
  <c r="D87" i="6" s="1"/>
  <c r="D99" i="6" a="1"/>
  <c r="D99" i="6" s="1"/>
  <c r="D111" i="6" a="1"/>
  <c r="D111" i="6" s="1"/>
  <c r="D123" i="6" a="1"/>
  <c r="D123" i="6" s="1"/>
  <c r="D135" i="6" a="1"/>
  <c r="D135" i="6" s="1"/>
  <c r="D147" i="6" a="1"/>
  <c r="D147" i="6" s="1"/>
  <c r="D159" i="6" a="1"/>
  <c r="D159" i="6" s="1"/>
  <c r="D171" i="6" a="1"/>
  <c r="D171" i="6" s="1"/>
  <c r="D183" i="6" a="1"/>
  <c r="D183" i="6" s="1"/>
  <c r="D195" i="6" a="1"/>
  <c r="D195" i="6" s="1"/>
  <c r="D207" i="6" a="1"/>
  <c r="D207" i="6" s="1"/>
  <c r="D219" i="6" a="1"/>
  <c r="D219" i="6" s="1"/>
  <c r="D231" i="6" a="1"/>
  <c r="D231" i="6" s="1"/>
  <c r="D243" i="6" a="1"/>
  <c r="D243" i="6" s="1"/>
  <c r="D255" i="6" a="1"/>
  <c r="D255" i="6" s="1"/>
  <c r="D267" i="6" a="1"/>
  <c r="D267" i="6" s="1"/>
  <c r="D279" i="6" a="1"/>
  <c r="D279" i="6" s="1"/>
  <c r="D291" i="6" a="1"/>
  <c r="D291" i="6" s="1"/>
  <c r="D303" i="6" a="1"/>
  <c r="D303" i="6" s="1"/>
  <c r="D315" i="6" a="1"/>
  <c r="D315" i="6" s="1"/>
  <c r="D327" i="6" a="1"/>
  <c r="D327" i="6" s="1"/>
  <c r="D339" i="6" a="1"/>
  <c r="D339" i="6" s="1"/>
  <c r="D351" i="6" a="1"/>
  <c r="D351" i="6" s="1"/>
  <c r="D363" i="6" a="1"/>
  <c r="D363" i="6" s="1"/>
  <c r="D375" i="6" a="1"/>
  <c r="D375" i="6" s="1"/>
  <c r="D387" i="6" a="1"/>
  <c r="D387" i="6" s="1"/>
  <c r="D399" i="6" a="1"/>
  <c r="D399" i="6" s="1"/>
  <c r="D244" i="6" a="1"/>
  <c r="D244" i="6" s="1"/>
  <c r="D268" i="6" a="1"/>
  <c r="D268" i="6" s="1"/>
  <c r="D364" i="6" a="1"/>
  <c r="D364" i="6" s="1"/>
  <c r="D223" i="6" a="1"/>
  <c r="D223" i="6" s="1"/>
  <c r="D391" i="6" a="1"/>
  <c r="D391" i="6" s="1"/>
  <c r="D16" i="6" a="1"/>
  <c r="D16" i="6" s="1"/>
  <c r="D28" i="6" a="1"/>
  <c r="D28" i="6" s="1"/>
  <c r="D40" i="6" a="1"/>
  <c r="D40" i="6" s="1"/>
  <c r="D52" i="6" a="1"/>
  <c r="D52" i="6" s="1"/>
  <c r="D64" i="6" a="1"/>
  <c r="D64" i="6" s="1"/>
  <c r="D76" i="6" a="1"/>
  <c r="D76" i="6" s="1"/>
  <c r="D88" i="6" a="1"/>
  <c r="D88" i="6" s="1"/>
  <c r="D100" i="6" a="1"/>
  <c r="D100" i="6" s="1"/>
  <c r="D112" i="6" a="1"/>
  <c r="D112" i="6" s="1"/>
  <c r="D124" i="6" a="1"/>
  <c r="D124" i="6" s="1"/>
  <c r="D136" i="6" a="1"/>
  <c r="D136" i="6" s="1"/>
  <c r="D148" i="6" a="1"/>
  <c r="D148" i="6" s="1"/>
  <c r="D160" i="6" a="1"/>
  <c r="D160" i="6" s="1"/>
  <c r="D172" i="6" a="1"/>
  <c r="D172" i="6" s="1"/>
  <c r="D184" i="6" a="1"/>
  <c r="D184" i="6" s="1"/>
  <c r="D196" i="6" a="1"/>
  <c r="D196" i="6" s="1"/>
  <c r="D208" i="6" a="1"/>
  <c r="D208" i="6" s="1"/>
  <c r="D220" i="6" a="1"/>
  <c r="D220" i="6" s="1"/>
  <c r="D232" i="6" a="1"/>
  <c r="D232" i="6" s="1"/>
  <c r="D256" i="6" a="1"/>
  <c r="D256" i="6" s="1"/>
  <c r="D352" i="6" a="1"/>
  <c r="D352" i="6" s="1"/>
  <c r="D283" i="6" a="1"/>
  <c r="D283" i="6" s="1"/>
  <c r="D367" i="6" a="1"/>
  <c r="D367" i="6" s="1"/>
  <c r="D17" i="6" a="1"/>
  <c r="D17" i="6" s="1"/>
  <c r="D29" i="6" a="1"/>
  <c r="D29" i="6" s="1"/>
  <c r="D41" i="6" a="1"/>
  <c r="D41" i="6" s="1"/>
  <c r="D53" i="6" a="1"/>
  <c r="D53" i="6" s="1"/>
  <c r="D65" i="6" a="1"/>
  <c r="D65" i="6" s="1"/>
  <c r="D77" i="6" a="1"/>
  <c r="D77" i="6" s="1"/>
  <c r="D89" i="6" a="1"/>
  <c r="D89" i="6" s="1"/>
  <c r="D101" i="6" a="1"/>
  <c r="D101" i="6" s="1"/>
  <c r="D113" i="6" a="1"/>
  <c r="D113" i="6" s="1"/>
  <c r="D125" i="6" a="1"/>
  <c r="D125" i="6" s="1"/>
  <c r="D137" i="6" a="1"/>
  <c r="D137" i="6" s="1"/>
  <c r="D149" i="6" a="1"/>
  <c r="D149" i="6" s="1"/>
  <c r="D161" i="6" a="1"/>
  <c r="D161" i="6" s="1"/>
  <c r="D173" i="6" a="1"/>
  <c r="D173" i="6" s="1"/>
  <c r="D185" i="6" a="1"/>
  <c r="D185" i="6" s="1"/>
  <c r="D197" i="6" a="1"/>
  <c r="D197" i="6" s="1"/>
  <c r="D209" i="6" a="1"/>
  <c r="D209" i="6" s="1"/>
  <c r="D221" i="6" a="1"/>
  <c r="D221" i="6" s="1"/>
  <c r="D233" i="6" a="1"/>
  <c r="D233" i="6" s="1"/>
  <c r="D245" i="6" a="1"/>
  <c r="D245" i="6" s="1"/>
  <c r="D257" i="6" a="1"/>
  <c r="D257" i="6" s="1"/>
  <c r="D269" i="6" a="1"/>
  <c r="D269" i="6" s="1"/>
  <c r="D281" i="6" a="1"/>
  <c r="D281" i="6" s="1"/>
  <c r="D293" i="6" a="1"/>
  <c r="D293" i="6" s="1"/>
  <c r="D305" i="6" a="1"/>
  <c r="D305" i="6" s="1"/>
  <c r="D317" i="6" a="1"/>
  <c r="D317" i="6" s="1"/>
  <c r="D329" i="6" a="1"/>
  <c r="D329" i="6" s="1"/>
  <c r="D341" i="6" a="1"/>
  <c r="D341" i="6" s="1"/>
  <c r="D353" i="6" a="1"/>
  <c r="D353" i="6" s="1"/>
  <c r="D365" i="6" a="1"/>
  <c r="D365" i="6" s="1"/>
  <c r="D377" i="6" a="1"/>
  <c r="D377" i="6" s="1"/>
  <c r="D259" i="6" a="1"/>
  <c r="D259" i="6" s="1"/>
  <c r="D355" i="6" a="1"/>
  <c r="D355" i="6" s="1"/>
  <c r="H26" i="6" a="1"/>
  <c r="H26" i="6" s="1"/>
  <c r="H29" i="6" a="1"/>
  <c r="H29" i="6" s="1"/>
  <c r="H32" i="6" a="1"/>
  <c r="H32" i="6" s="1"/>
  <c r="H35" i="6" a="1"/>
  <c r="H35" i="6" s="1"/>
  <c r="H38" i="6" a="1"/>
  <c r="H38" i="6" s="1"/>
  <c r="H41" i="6" a="1"/>
  <c r="H41" i="6" s="1"/>
  <c r="H44" i="6" a="1"/>
  <c r="H44" i="6" s="1"/>
  <c r="G47" i="6" a="1"/>
  <c r="G47" i="6" s="1"/>
  <c r="K48" i="6" a="1"/>
  <c r="K48" i="6" s="1"/>
  <c r="F50" i="6" a="1"/>
  <c r="F50" i="6" s="1"/>
  <c r="J51" i="6" a="1"/>
  <c r="J51" i="6" s="1"/>
  <c r="F53" i="6" a="1"/>
  <c r="F53" i="6" s="1"/>
  <c r="J54" i="6" a="1"/>
  <c r="J54" i="6" s="1"/>
  <c r="F56" i="6" a="1"/>
  <c r="F56" i="6" s="1"/>
  <c r="J57" i="6" a="1"/>
  <c r="J57" i="6" s="1"/>
  <c r="F59" i="6" a="1"/>
  <c r="F59" i="6" s="1"/>
  <c r="J60" i="6" a="1"/>
  <c r="J60" i="6" s="1"/>
  <c r="F62" i="6" a="1"/>
  <c r="F62" i="6" s="1"/>
  <c r="J63" i="6" a="1"/>
  <c r="J63" i="6" s="1"/>
  <c r="F65" i="6" a="1"/>
  <c r="F65" i="6" s="1"/>
  <c r="J66" i="6" a="1"/>
  <c r="J66" i="6" s="1"/>
  <c r="F68" i="6" a="1"/>
  <c r="F68" i="6" s="1"/>
  <c r="J69" i="6" a="1"/>
  <c r="J69" i="6" s="1"/>
  <c r="F71" i="6" a="1"/>
  <c r="F71" i="6" s="1"/>
  <c r="J72" i="6" a="1"/>
  <c r="J72" i="6" s="1"/>
  <c r="F74" i="6" a="1"/>
  <c r="F74" i="6" s="1"/>
  <c r="I75" i="6" a="1"/>
  <c r="I75" i="6" s="1"/>
  <c r="E77" i="6" a="1"/>
  <c r="E77" i="6" s="1"/>
  <c r="I78" i="6" a="1"/>
  <c r="I78" i="6" s="1"/>
  <c r="E80" i="6" a="1"/>
  <c r="E80" i="6" s="1"/>
  <c r="I81" i="6" a="1"/>
  <c r="I81" i="6" s="1"/>
  <c r="E83" i="6" a="1"/>
  <c r="E83" i="6" s="1"/>
  <c r="H84" i="6" a="1"/>
  <c r="H84" i="6" s="1"/>
  <c r="H87" i="6" a="1"/>
  <c r="H87" i="6" s="1"/>
  <c r="H90" i="6" a="1"/>
  <c r="H90" i="6" s="1"/>
  <c r="J91" i="6" a="1"/>
  <c r="J91" i="6" s="1"/>
  <c r="F93" i="6" a="1"/>
  <c r="F93" i="6" s="1"/>
  <c r="J94" i="6" a="1"/>
  <c r="J94" i="6" s="1"/>
  <c r="F96" i="6" a="1"/>
  <c r="F96" i="6" s="1"/>
  <c r="J97" i="6" a="1"/>
  <c r="J97" i="6" s="1"/>
  <c r="F99" i="6" a="1"/>
  <c r="F99" i="6" s="1"/>
  <c r="J100" i="6" a="1"/>
  <c r="J100" i="6" s="1"/>
  <c r="F102" i="6" a="1"/>
  <c r="F102" i="6" s="1"/>
  <c r="J103" i="6" a="1"/>
  <c r="J103" i="6" s="1"/>
  <c r="F105" i="6" a="1"/>
  <c r="F105" i="6" s="1"/>
  <c r="J106" i="6" a="1"/>
  <c r="J106" i="6" s="1"/>
  <c r="F108" i="6" a="1"/>
  <c r="F108" i="6" s="1"/>
  <c r="J109" i="6" a="1"/>
  <c r="J109" i="6" s="1"/>
  <c r="F111" i="6" a="1"/>
  <c r="F111" i="6" s="1"/>
  <c r="J112" i="6" a="1"/>
  <c r="J112" i="6" s="1"/>
  <c r="F114" i="6" a="1"/>
  <c r="F114" i="6" s="1"/>
  <c r="J115" i="6" a="1"/>
  <c r="J115" i="6" s="1"/>
  <c r="F117" i="6" a="1"/>
  <c r="F117" i="6" s="1"/>
  <c r="J118" i="6" a="1"/>
  <c r="J118" i="6" s="1"/>
  <c r="F120" i="6" a="1"/>
  <c r="F120" i="6" s="1"/>
  <c r="J121" i="6" a="1"/>
  <c r="J121" i="6" s="1"/>
  <c r="F123" i="6" a="1"/>
  <c r="F123" i="6" s="1"/>
  <c r="J124" i="6" a="1"/>
  <c r="J124" i="6" s="1"/>
  <c r="F126" i="6" a="1"/>
  <c r="F126" i="6" s="1"/>
  <c r="J127" i="6" a="1"/>
  <c r="J127" i="6" s="1"/>
  <c r="F129" i="6" a="1"/>
  <c r="F129" i="6" s="1"/>
  <c r="E25" i="6" a="1"/>
  <c r="E25" i="6" s="1"/>
  <c r="I26" i="6" a="1"/>
  <c r="I26" i="6" s="1"/>
  <c r="E28" i="6" a="1"/>
  <c r="E28" i="6" s="1"/>
  <c r="I29" i="6" a="1"/>
  <c r="I29" i="6" s="1"/>
  <c r="E31" i="6" a="1"/>
  <c r="E31" i="6" s="1"/>
  <c r="I32" i="6" a="1"/>
  <c r="I32" i="6" s="1"/>
  <c r="E34" i="6" a="1"/>
  <c r="E34" i="6" s="1"/>
  <c r="I35" i="6" a="1"/>
  <c r="I35" i="6" s="1"/>
  <c r="E37" i="6" a="1"/>
  <c r="E37" i="6" s="1"/>
  <c r="I38" i="6" a="1"/>
  <c r="I38" i="6" s="1"/>
  <c r="E40" i="6" a="1"/>
  <c r="E40" i="6" s="1"/>
  <c r="I41" i="6" a="1"/>
  <c r="I41" i="6" s="1"/>
  <c r="E43" i="6" a="1"/>
  <c r="E43" i="6" s="1"/>
  <c r="I44" i="6" a="1"/>
  <c r="I44" i="6" s="1"/>
  <c r="E46" i="6" a="1"/>
  <c r="E46" i="6" s="1"/>
  <c r="H47" i="6" a="1"/>
  <c r="H47" i="6" s="1"/>
  <c r="G50" i="6" a="1"/>
  <c r="G50" i="6" s="1"/>
  <c r="K51" i="6" a="1"/>
  <c r="K51" i="6" s="1"/>
  <c r="G53" i="6" a="1"/>
  <c r="G53" i="6" s="1"/>
  <c r="K54" i="6" a="1"/>
  <c r="K54" i="6" s="1"/>
  <c r="G56" i="6" a="1"/>
  <c r="G56" i="6" s="1"/>
  <c r="K57" i="6" a="1"/>
  <c r="K57" i="6" s="1"/>
  <c r="G59" i="6" a="1"/>
  <c r="G59" i="6" s="1"/>
  <c r="K60" i="6" a="1"/>
  <c r="K60" i="6" s="1"/>
  <c r="G62" i="6" a="1"/>
  <c r="G62" i="6" s="1"/>
  <c r="K63" i="6" a="1"/>
  <c r="K63" i="6" s="1"/>
  <c r="G65" i="6" a="1"/>
  <c r="G65" i="6" s="1"/>
  <c r="K66" i="6" a="1"/>
  <c r="K66" i="6" s="1"/>
  <c r="G68" i="6" a="1"/>
  <c r="G68" i="6" s="1"/>
  <c r="K69" i="6" a="1"/>
  <c r="K69" i="6" s="1"/>
  <c r="G71" i="6" a="1"/>
  <c r="G71" i="6" s="1"/>
  <c r="K72" i="6" a="1"/>
  <c r="K72" i="6" s="1"/>
  <c r="G74" i="6" a="1"/>
  <c r="G74" i="6" s="1"/>
  <c r="J75" i="6" a="1"/>
  <c r="J75" i="6" s="1"/>
  <c r="F77" i="6" a="1"/>
  <c r="F77" i="6" s="1"/>
  <c r="J78" i="6" a="1"/>
  <c r="J78" i="6" s="1"/>
  <c r="F80" i="6" a="1"/>
  <c r="F80" i="6" s="1"/>
  <c r="J81" i="6" a="1"/>
  <c r="J81" i="6" s="1"/>
  <c r="F83" i="6" a="1"/>
  <c r="F83" i="6" s="1"/>
  <c r="I84" i="6" a="1"/>
  <c r="I84" i="6" s="1"/>
  <c r="E86" i="6" a="1"/>
  <c r="E86" i="6" s="1"/>
  <c r="I87" i="6" a="1"/>
  <c r="I87" i="6" s="1"/>
  <c r="E89" i="6" a="1"/>
  <c r="E89" i="6" s="1"/>
  <c r="I90" i="6" a="1"/>
  <c r="I90" i="6" s="1"/>
  <c r="K91" i="6" a="1"/>
  <c r="K91" i="6" s="1"/>
  <c r="G93" i="6" a="1"/>
  <c r="G93" i="6" s="1"/>
  <c r="K94" i="6" a="1"/>
  <c r="K94" i="6" s="1"/>
  <c r="G96" i="6" a="1"/>
  <c r="G96" i="6" s="1"/>
  <c r="K97" i="6" a="1"/>
  <c r="K97" i="6" s="1"/>
  <c r="G99" i="6" a="1"/>
  <c r="G99" i="6" s="1"/>
  <c r="F25" i="6" a="1"/>
  <c r="F25" i="6" s="1"/>
  <c r="J26" i="6" a="1"/>
  <c r="J26" i="6" s="1"/>
  <c r="F28" i="6" a="1"/>
  <c r="F28" i="6" s="1"/>
  <c r="J29" i="6" a="1"/>
  <c r="J29" i="6" s="1"/>
  <c r="F31" i="6" a="1"/>
  <c r="F31" i="6" s="1"/>
  <c r="J32" i="6" a="1"/>
  <c r="J32" i="6" s="1"/>
  <c r="F34" i="6" a="1"/>
  <c r="F34" i="6" s="1"/>
  <c r="J35" i="6" a="1"/>
  <c r="J35" i="6" s="1"/>
  <c r="F37" i="6" a="1"/>
  <c r="F37" i="6" s="1"/>
  <c r="J38" i="6" a="1"/>
  <c r="J38" i="6" s="1"/>
  <c r="F40" i="6" a="1"/>
  <c r="F40" i="6" s="1"/>
  <c r="J41" i="6" a="1"/>
  <c r="J41" i="6" s="1"/>
  <c r="F43" i="6" a="1"/>
  <c r="F43" i="6" s="1"/>
  <c r="J44" i="6" a="1"/>
  <c r="J44" i="6" s="1"/>
  <c r="F46" i="6" a="1"/>
  <c r="F46" i="6" s="1"/>
  <c r="I47" i="6" a="1"/>
  <c r="I47" i="6" s="1"/>
  <c r="H50" i="6" a="1"/>
  <c r="H50" i="6" s="1"/>
  <c r="H53" i="6" a="1"/>
  <c r="H53" i="6" s="1"/>
  <c r="H56" i="6" a="1"/>
  <c r="H56" i="6" s="1"/>
  <c r="H59" i="6" a="1"/>
  <c r="H59" i="6" s="1"/>
  <c r="H62" i="6" a="1"/>
  <c r="H62" i="6" s="1"/>
  <c r="H65" i="6" a="1"/>
  <c r="H65" i="6" s="1"/>
  <c r="H68" i="6" a="1"/>
  <c r="H68" i="6" s="1"/>
  <c r="H71" i="6" a="1"/>
  <c r="H71" i="6" s="1"/>
  <c r="H74" i="6" a="1"/>
  <c r="H74" i="6" s="1"/>
  <c r="K75" i="6" a="1"/>
  <c r="K75" i="6" s="1"/>
  <c r="G77" i="6" a="1"/>
  <c r="G77" i="6" s="1"/>
  <c r="K78" i="6" a="1"/>
  <c r="K78" i="6" s="1"/>
  <c r="G80" i="6" a="1"/>
  <c r="G80" i="6" s="1"/>
  <c r="K81" i="6" a="1"/>
  <c r="K81" i="6" s="1"/>
  <c r="G83" i="6" a="1"/>
  <c r="G83" i="6" s="1"/>
  <c r="J84" i="6" a="1"/>
  <c r="J84" i="6" s="1"/>
  <c r="F86" i="6" a="1"/>
  <c r="F86" i="6" s="1"/>
  <c r="J87" i="6" a="1"/>
  <c r="J87" i="6" s="1"/>
  <c r="F89" i="6" a="1"/>
  <c r="F89" i="6" s="1"/>
  <c r="J90" i="6" a="1"/>
  <c r="J90" i="6" s="1"/>
  <c r="H93" i="6" a="1"/>
  <c r="H93" i="6" s="1"/>
  <c r="H96" i="6" a="1"/>
  <c r="H96" i="6" s="1"/>
  <c r="H99" i="6" a="1"/>
  <c r="H99" i="6" s="1"/>
  <c r="H102" i="6" a="1"/>
  <c r="H102" i="6" s="1"/>
  <c r="H105" i="6" a="1"/>
  <c r="H105" i="6" s="1"/>
  <c r="H108" i="6" a="1"/>
  <c r="H108" i="6" s="1"/>
  <c r="H111" i="6" a="1"/>
  <c r="H111" i="6" s="1"/>
  <c r="H114" i="6" a="1"/>
  <c r="H114" i="6" s="1"/>
  <c r="H117" i="6" a="1"/>
  <c r="H117" i="6" s="1"/>
  <c r="H120" i="6" a="1"/>
  <c r="H120" i="6" s="1"/>
  <c r="H123" i="6" a="1"/>
  <c r="H123" i="6" s="1"/>
  <c r="H126" i="6" a="1"/>
  <c r="H126" i="6" s="1"/>
  <c r="H129" i="6" a="1"/>
  <c r="H129" i="6" s="1"/>
  <c r="H132" i="6" a="1"/>
  <c r="H132" i="6" s="1"/>
  <c r="H135" i="6" a="1"/>
  <c r="H135" i="6" s="1"/>
  <c r="H138" i="6" a="1"/>
  <c r="H138" i="6" s="1"/>
  <c r="H141" i="6" a="1"/>
  <c r="H141" i="6" s="1"/>
  <c r="H144" i="6" a="1"/>
  <c r="H144" i="6" s="1"/>
  <c r="H147" i="6" a="1"/>
  <c r="H147" i="6" s="1"/>
  <c r="K148" i="6" a="1"/>
  <c r="K148" i="6" s="1"/>
  <c r="G150" i="6" a="1"/>
  <c r="G150" i="6" s="1"/>
  <c r="G25" i="6" a="1"/>
  <c r="G25" i="6" s="1"/>
  <c r="K26" i="6" a="1"/>
  <c r="K26" i="6" s="1"/>
  <c r="G28" i="6" a="1"/>
  <c r="G28" i="6" s="1"/>
  <c r="K29" i="6" a="1"/>
  <c r="K29" i="6" s="1"/>
  <c r="G31" i="6" a="1"/>
  <c r="G31" i="6" s="1"/>
  <c r="K32" i="6" a="1"/>
  <c r="K32" i="6" s="1"/>
  <c r="G34" i="6" a="1"/>
  <c r="G34" i="6" s="1"/>
  <c r="K35" i="6" a="1"/>
  <c r="K35" i="6" s="1"/>
  <c r="G37" i="6" a="1"/>
  <c r="G37" i="6" s="1"/>
  <c r="K38" i="6" a="1"/>
  <c r="K38" i="6" s="1"/>
  <c r="G40" i="6" a="1"/>
  <c r="G40" i="6" s="1"/>
  <c r="K41" i="6" a="1"/>
  <c r="K41" i="6" s="1"/>
  <c r="G43" i="6" a="1"/>
  <c r="G43" i="6" s="1"/>
  <c r="K44" i="6" a="1"/>
  <c r="K44" i="6" s="1"/>
  <c r="G46" i="6" a="1"/>
  <c r="G46" i="6" s="1"/>
  <c r="J47" i="6" a="1"/>
  <c r="J47" i="6" s="1"/>
  <c r="E49" i="6" a="1"/>
  <c r="E49" i="6" s="1"/>
  <c r="I50" i="6" a="1"/>
  <c r="I50" i="6" s="1"/>
  <c r="E52" i="6" a="1"/>
  <c r="E52" i="6" s="1"/>
  <c r="I53" i="6" a="1"/>
  <c r="I53" i="6" s="1"/>
  <c r="E55" i="6" a="1"/>
  <c r="E55" i="6" s="1"/>
  <c r="I56" i="6" a="1"/>
  <c r="I56" i="6" s="1"/>
  <c r="E58" i="6" a="1"/>
  <c r="E58" i="6" s="1"/>
  <c r="I59" i="6" a="1"/>
  <c r="I59" i="6" s="1"/>
  <c r="E61" i="6" a="1"/>
  <c r="E61" i="6" s="1"/>
  <c r="I62" i="6" a="1"/>
  <c r="I62" i="6" s="1"/>
  <c r="E64" i="6" a="1"/>
  <c r="E64" i="6" s="1"/>
  <c r="I65" i="6" a="1"/>
  <c r="I65" i="6" s="1"/>
  <c r="E67" i="6" a="1"/>
  <c r="E67" i="6" s="1"/>
  <c r="I68" i="6" a="1"/>
  <c r="I68" i="6" s="1"/>
  <c r="E70" i="6" a="1"/>
  <c r="E70" i="6" s="1"/>
  <c r="I71" i="6" a="1"/>
  <c r="I71" i="6" s="1"/>
  <c r="E73" i="6" a="1"/>
  <c r="E73" i="6" s="1"/>
  <c r="I74" i="6" a="1"/>
  <c r="I74" i="6" s="1"/>
  <c r="H77" i="6" a="1"/>
  <c r="H77" i="6" s="1"/>
  <c r="H80" i="6" a="1"/>
  <c r="H80" i="6" s="1"/>
  <c r="H83" i="6" a="1"/>
  <c r="H83" i="6" s="1"/>
  <c r="K84" i="6" a="1"/>
  <c r="K84" i="6" s="1"/>
  <c r="G86" i="6" a="1"/>
  <c r="G86" i="6" s="1"/>
  <c r="K87" i="6" a="1"/>
  <c r="K87" i="6" s="1"/>
  <c r="G89" i="6" a="1"/>
  <c r="G89" i="6" s="1"/>
  <c r="E92" i="6" a="1"/>
  <c r="E92" i="6" s="1"/>
  <c r="I93" i="6" a="1"/>
  <c r="I93" i="6" s="1"/>
  <c r="E95" i="6" a="1"/>
  <c r="E95" i="6" s="1"/>
  <c r="I96" i="6" a="1"/>
  <c r="I96" i="6" s="1"/>
  <c r="E98" i="6" a="1"/>
  <c r="E98" i="6" s="1"/>
  <c r="I99" i="6" a="1"/>
  <c r="I99" i="6" s="1"/>
  <c r="E101" i="6" a="1"/>
  <c r="E101" i="6" s="1"/>
  <c r="I102" i="6" a="1"/>
  <c r="I102" i="6" s="1"/>
  <c r="E104" i="6" a="1"/>
  <c r="E104" i="6" s="1"/>
  <c r="I105" i="6" a="1"/>
  <c r="I105" i="6" s="1"/>
  <c r="E107" i="6" a="1"/>
  <c r="E107" i="6" s="1"/>
  <c r="I108" i="6" a="1"/>
  <c r="I108" i="6" s="1"/>
  <c r="E110" i="6" a="1"/>
  <c r="E110" i="6" s="1"/>
  <c r="I111" i="6" a="1"/>
  <c r="I111" i="6" s="1"/>
  <c r="E113" i="6" a="1"/>
  <c r="E113" i="6" s="1"/>
  <c r="I114" i="6" a="1"/>
  <c r="I114" i="6" s="1"/>
  <c r="E116" i="6" a="1"/>
  <c r="E116" i="6" s="1"/>
  <c r="I117" i="6" a="1"/>
  <c r="I117" i="6" s="1"/>
  <c r="E119" i="6" a="1"/>
  <c r="E119" i="6" s="1"/>
  <c r="I120" i="6" a="1"/>
  <c r="I120" i="6" s="1"/>
  <c r="E122" i="6" a="1"/>
  <c r="E122" i="6" s="1"/>
  <c r="I123" i="6" a="1"/>
  <c r="I123" i="6" s="1"/>
  <c r="E125" i="6" a="1"/>
  <c r="E125" i="6" s="1"/>
  <c r="I126" i="6" a="1"/>
  <c r="I126" i="6" s="1"/>
  <c r="E128" i="6" a="1"/>
  <c r="E128" i="6" s="1"/>
  <c r="H25" i="6" a="1"/>
  <c r="H25" i="6" s="1"/>
  <c r="H28" i="6" a="1"/>
  <c r="H28" i="6" s="1"/>
  <c r="H31" i="6" a="1"/>
  <c r="H31" i="6" s="1"/>
  <c r="H34" i="6" a="1"/>
  <c r="H34" i="6" s="1"/>
  <c r="H37" i="6" a="1"/>
  <c r="H37" i="6" s="1"/>
  <c r="H40" i="6" a="1"/>
  <c r="H40" i="6" s="1"/>
  <c r="H43" i="6" a="1"/>
  <c r="H43" i="6" s="1"/>
  <c r="H46" i="6" a="1"/>
  <c r="H46" i="6" s="1"/>
  <c r="K47" i="6" a="1"/>
  <c r="K47" i="6" s="1"/>
  <c r="F49" i="6" a="1"/>
  <c r="F49" i="6" s="1"/>
  <c r="J50" i="6" a="1"/>
  <c r="J50" i="6" s="1"/>
  <c r="F52" i="6" a="1"/>
  <c r="F52" i="6" s="1"/>
  <c r="J53" i="6" a="1"/>
  <c r="J53" i="6" s="1"/>
  <c r="F55" i="6" a="1"/>
  <c r="F55" i="6" s="1"/>
  <c r="J56" i="6" a="1"/>
  <c r="J56" i="6" s="1"/>
  <c r="F58" i="6" a="1"/>
  <c r="F58" i="6" s="1"/>
  <c r="J59" i="6" a="1"/>
  <c r="J59" i="6" s="1"/>
  <c r="F61" i="6" a="1"/>
  <c r="F61" i="6" s="1"/>
  <c r="J62" i="6" a="1"/>
  <c r="J62" i="6" s="1"/>
  <c r="F64" i="6" a="1"/>
  <c r="F64" i="6" s="1"/>
  <c r="J65" i="6" a="1"/>
  <c r="J65" i="6" s="1"/>
  <c r="F67" i="6" a="1"/>
  <c r="F67" i="6" s="1"/>
  <c r="J68" i="6" a="1"/>
  <c r="J68" i="6" s="1"/>
  <c r="F70" i="6" a="1"/>
  <c r="F70" i="6" s="1"/>
  <c r="J71" i="6" a="1"/>
  <c r="J71" i="6" s="1"/>
  <c r="F73" i="6" a="1"/>
  <c r="F73" i="6" s="1"/>
  <c r="J74" i="6" a="1"/>
  <c r="J74" i="6" s="1"/>
  <c r="E76" i="6" a="1"/>
  <c r="E76" i="6" s="1"/>
  <c r="I77" i="6" a="1"/>
  <c r="I77" i="6" s="1"/>
  <c r="E79" i="6" a="1"/>
  <c r="E79" i="6" s="1"/>
  <c r="I80" i="6" a="1"/>
  <c r="I80" i="6" s="1"/>
  <c r="E82" i="6" a="1"/>
  <c r="E82" i="6" s="1"/>
  <c r="I83" i="6" a="1"/>
  <c r="I83" i="6" s="1"/>
  <c r="H86" i="6" a="1"/>
  <c r="H86" i="6" s="1"/>
  <c r="H89" i="6" a="1"/>
  <c r="H89" i="6" s="1"/>
  <c r="K90" i="6" a="1"/>
  <c r="K90" i="6" s="1"/>
  <c r="F92" i="6" a="1"/>
  <c r="F92" i="6" s="1"/>
  <c r="J93" i="6" a="1"/>
  <c r="J93" i="6" s="1"/>
  <c r="F95" i="6" a="1"/>
  <c r="F95" i="6" s="1"/>
  <c r="J96" i="6" a="1"/>
  <c r="J96" i="6" s="1"/>
  <c r="F98" i="6" a="1"/>
  <c r="F98" i="6" s="1"/>
  <c r="J99" i="6" a="1"/>
  <c r="J99" i="6" s="1"/>
  <c r="F101" i="6" a="1"/>
  <c r="F101" i="6" s="1"/>
  <c r="J102" i="6" a="1"/>
  <c r="J102" i="6" s="1"/>
  <c r="F104" i="6" a="1"/>
  <c r="F104" i="6" s="1"/>
  <c r="J105" i="6" a="1"/>
  <c r="J105" i="6" s="1"/>
  <c r="F107" i="6" a="1"/>
  <c r="F107" i="6" s="1"/>
  <c r="J108" i="6" a="1"/>
  <c r="J108" i="6" s="1"/>
  <c r="F110" i="6" a="1"/>
  <c r="F110" i="6" s="1"/>
  <c r="J111" i="6" a="1"/>
  <c r="J111" i="6" s="1"/>
  <c r="I25" i="6" a="1"/>
  <c r="I25" i="6" s="1"/>
  <c r="E27" i="6" a="1"/>
  <c r="E27" i="6" s="1"/>
  <c r="I28" i="6" a="1"/>
  <c r="I28" i="6" s="1"/>
  <c r="E30" i="6" a="1"/>
  <c r="E30" i="6" s="1"/>
  <c r="I31" i="6" a="1"/>
  <c r="I31" i="6" s="1"/>
  <c r="E33" i="6" a="1"/>
  <c r="E33" i="6" s="1"/>
  <c r="I34" i="6" a="1"/>
  <c r="I34" i="6" s="1"/>
  <c r="E36" i="6" a="1"/>
  <c r="E36" i="6" s="1"/>
  <c r="I37" i="6" a="1"/>
  <c r="I37" i="6" s="1"/>
  <c r="E39" i="6" a="1"/>
  <c r="E39" i="6" s="1"/>
  <c r="I40" i="6" a="1"/>
  <c r="I40" i="6" s="1"/>
  <c r="E42" i="6" a="1"/>
  <c r="E42" i="6" s="1"/>
  <c r="I43" i="6" a="1"/>
  <c r="I43" i="6" s="1"/>
  <c r="E45" i="6" a="1"/>
  <c r="E45" i="6" s="1"/>
  <c r="G49" i="6" a="1"/>
  <c r="G49" i="6" s="1"/>
  <c r="K50" i="6" a="1"/>
  <c r="K50" i="6" s="1"/>
  <c r="G52" i="6" a="1"/>
  <c r="G52" i="6" s="1"/>
  <c r="K53" i="6" a="1"/>
  <c r="K53" i="6" s="1"/>
  <c r="G55" i="6" a="1"/>
  <c r="G55" i="6" s="1"/>
  <c r="K56" i="6" a="1"/>
  <c r="K56" i="6" s="1"/>
  <c r="G58" i="6" a="1"/>
  <c r="G58" i="6" s="1"/>
  <c r="K59" i="6" a="1"/>
  <c r="K59" i="6" s="1"/>
  <c r="G61" i="6" a="1"/>
  <c r="G61" i="6" s="1"/>
  <c r="K62" i="6" a="1"/>
  <c r="K62" i="6" s="1"/>
  <c r="G64" i="6" a="1"/>
  <c r="G64" i="6" s="1"/>
  <c r="K65" i="6" a="1"/>
  <c r="K65" i="6" s="1"/>
  <c r="G67" i="6" a="1"/>
  <c r="G67" i="6" s="1"/>
  <c r="K68" i="6" a="1"/>
  <c r="K68" i="6" s="1"/>
  <c r="G70" i="6" a="1"/>
  <c r="G70" i="6" s="1"/>
  <c r="K71" i="6" a="1"/>
  <c r="K71" i="6" s="1"/>
  <c r="G73" i="6" a="1"/>
  <c r="G73" i="6" s="1"/>
  <c r="K74" i="6" a="1"/>
  <c r="K74" i="6" s="1"/>
  <c r="F76" i="6" a="1"/>
  <c r="F76" i="6" s="1"/>
  <c r="J77" i="6" a="1"/>
  <c r="J77" i="6" s="1"/>
  <c r="F79" i="6" a="1"/>
  <c r="F79" i="6" s="1"/>
  <c r="J80" i="6" a="1"/>
  <c r="J80" i="6" s="1"/>
  <c r="F82" i="6" a="1"/>
  <c r="F82" i="6" s="1"/>
  <c r="J83" i="6" a="1"/>
  <c r="J83" i="6" s="1"/>
  <c r="E85" i="6" a="1"/>
  <c r="E85" i="6" s="1"/>
  <c r="I86" i="6" a="1"/>
  <c r="I86" i="6" s="1"/>
  <c r="E88" i="6" a="1"/>
  <c r="E88" i="6" s="1"/>
  <c r="I89" i="6" a="1"/>
  <c r="I89" i="6" s="1"/>
  <c r="G92" i="6" a="1"/>
  <c r="G92" i="6" s="1"/>
  <c r="K93" i="6" a="1"/>
  <c r="K93" i="6" s="1"/>
  <c r="G95" i="6" a="1"/>
  <c r="G95" i="6" s="1"/>
  <c r="K96" i="6" a="1"/>
  <c r="K96" i="6" s="1"/>
  <c r="G98" i="6" a="1"/>
  <c r="G98" i="6" s="1"/>
  <c r="K99" i="6" a="1"/>
  <c r="K99" i="6" s="1"/>
  <c r="G101" i="6" a="1"/>
  <c r="G101" i="6" s="1"/>
  <c r="K102" i="6" a="1"/>
  <c r="K102" i="6" s="1"/>
  <c r="G104" i="6" a="1"/>
  <c r="G104" i="6" s="1"/>
  <c r="K105" i="6" a="1"/>
  <c r="K105" i="6" s="1"/>
  <c r="G107" i="6" a="1"/>
  <c r="G107" i="6" s="1"/>
  <c r="K108" i="6" a="1"/>
  <c r="K108" i="6" s="1"/>
  <c r="G110" i="6" a="1"/>
  <c r="G110" i="6" s="1"/>
  <c r="K111" i="6" a="1"/>
  <c r="K111" i="6" s="1"/>
  <c r="G113" i="6" a="1"/>
  <c r="G113" i="6" s="1"/>
  <c r="K114" i="6" a="1"/>
  <c r="K114" i="6" s="1"/>
  <c r="G116" i="6" a="1"/>
  <c r="G116" i="6" s="1"/>
  <c r="K117" i="6" a="1"/>
  <c r="K117" i="6" s="1"/>
  <c r="G119" i="6" a="1"/>
  <c r="G119" i="6" s="1"/>
  <c r="K120" i="6" a="1"/>
  <c r="K120" i="6" s="1"/>
  <c r="G122" i="6" a="1"/>
  <c r="G122" i="6" s="1"/>
  <c r="K123" i="6" a="1"/>
  <c r="K123" i="6" s="1"/>
  <c r="G125" i="6" a="1"/>
  <c r="G125" i="6" s="1"/>
  <c r="K126" i="6" a="1"/>
  <c r="K126" i="6" s="1"/>
  <c r="G128" i="6" a="1"/>
  <c r="G128" i="6" s="1"/>
  <c r="K129" i="6" a="1"/>
  <c r="K129" i="6" s="1"/>
  <c r="G131" i="6" a="1"/>
  <c r="G131" i="6" s="1"/>
  <c r="K132" i="6" a="1"/>
  <c r="K132" i="6" s="1"/>
  <c r="G134" i="6" a="1"/>
  <c r="G134" i="6" s="1"/>
  <c r="K135" i="6" a="1"/>
  <c r="K135" i="6" s="1"/>
  <c r="G137" i="6" a="1"/>
  <c r="G137" i="6" s="1"/>
  <c r="K138" i="6" a="1"/>
  <c r="K138" i="6" s="1"/>
  <c r="G140" i="6" a="1"/>
  <c r="G140" i="6" s="1"/>
  <c r="K141" i="6" a="1"/>
  <c r="K141" i="6" s="1"/>
  <c r="G143" i="6" a="1"/>
  <c r="G143" i="6" s="1"/>
  <c r="K144" i="6" a="1"/>
  <c r="K144" i="6" s="1"/>
  <c r="J25" i="6" a="1"/>
  <c r="J25" i="6" s="1"/>
  <c r="F27" i="6" a="1"/>
  <c r="F27" i="6" s="1"/>
  <c r="J28" i="6" a="1"/>
  <c r="J28" i="6" s="1"/>
  <c r="F30" i="6" a="1"/>
  <c r="F30" i="6" s="1"/>
  <c r="J31" i="6" a="1"/>
  <c r="J31" i="6" s="1"/>
  <c r="F33" i="6" a="1"/>
  <c r="F33" i="6" s="1"/>
  <c r="J34" i="6" a="1"/>
  <c r="J34" i="6" s="1"/>
  <c r="F36" i="6" a="1"/>
  <c r="F36" i="6" s="1"/>
  <c r="J37" i="6" a="1"/>
  <c r="J37" i="6" s="1"/>
  <c r="F39" i="6" a="1"/>
  <c r="F39" i="6" s="1"/>
  <c r="J40" i="6" a="1"/>
  <c r="J40" i="6" s="1"/>
  <c r="F42" i="6" a="1"/>
  <c r="F42" i="6" s="1"/>
  <c r="J43" i="6" a="1"/>
  <c r="J43" i="6" s="1"/>
  <c r="F45" i="6" a="1"/>
  <c r="F45" i="6" s="1"/>
  <c r="I46" i="6" a="1"/>
  <c r="I46" i="6" s="1"/>
  <c r="E48" i="6" a="1"/>
  <c r="E48" i="6" s="1"/>
  <c r="H49" i="6" a="1"/>
  <c r="H49" i="6" s="1"/>
  <c r="H52" i="6" a="1"/>
  <c r="H52" i="6" s="1"/>
  <c r="H55" i="6" a="1"/>
  <c r="H55" i="6" s="1"/>
  <c r="H58" i="6" a="1"/>
  <c r="H58" i="6" s="1"/>
  <c r="H61" i="6" a="1"/>
  <c r="H61" i="6" s="1"/>
  <c r="H64" i="6" a="1"/>
  <c r="H64" i="6" s="1"/>
  <c r="H67" i="6" a="1"/>
  <c r="H67" i="6" s="1"/>
  <c r="H70" i="6" a="1"/>
  <c r="H70" i="6" s="1"/>
  <c r="H73" i="6" a="1"/>
  <c r="H73" i="6" s="1"/>
  <c r="G76" i="6" a="1"/>
  <c r="G76" i="6" s="1"/>
  <c r="K77" i="6" a="1"/>
  <c r="K77" i="6" s="1"/>
  <c r="G79" i="6" a="1"/>
  <c r="G79" i="6" s="1"/>
  <c r="K80" i="6" a="1"/>
  <c r="K80" i="6" s="1"/>
  <c r="G82" i="6" a="1"/>
  <c r="G82" i="6" s="1"/>
  <c r="K83" i="6" a="1"/>
  <c r="K83" i="6" s="1"/>
  <c r="F85" i="6" a="1"/>
  <c r="F85" i="6" s="1"/>
  <c r="J86" i="6" a="1"/>
  <c r="J86" i="6" s="1"/>
  <c r="F88" i="6" a="1"/>
  <c r="F88" i="6" s="1"/>
  <c r="J89" i="6" a="1"/>
  <c r="J89" i="6" s="1"/>
  <c r="E91" i="6" a="1"/>
  <c r="E91" i="6" s="1"/>
  <c r="H92" i="6" a="1"/>
  <c r="H92" i="6" s="1"/>
  <c r="H95" i="6" a="1"/>
  <c r="H95" i="6" s="1"/>
  <c r="H98" i="6" a="1"/>
  <c r="H98" i="6" s="1"/>
  <c r="H101" i="6" a="1"/>
  <c r="H101" i="6" s="1"/>
  <c r="H104" i="6" a="1"/>
  <c r="H104" i="6" s="1"/>
  <c r="H107" i="6" a="1"/>
  <c r="H107" i="6" s="1"/>
  <c r="H110" i="6" a="1"/>
  <c r="H110" i="6" s="1"/>
  <c r="H113" i="6" a="1"/>
  <c r="H113" i="6" s="1"/>
  <c r="H116" i="6" a="1"/>
  <c r="H116" i="6" s="1"/>
  <c r="H119" i="6" a="1"/>
  <c r="H119" i="6" s="1"/>
  <c r="H122" i="6" a="1"/>
  <c r="H122" i="6" s="1"/>
  <c r="H125" i="6" a="1"/>
  <c r="H125" i="6" s="1"/>
  <c r="H128" i="6" a="1"/>
  <c r="H128" i="6" s="1"/>
  <c r="H131" i="6" a="1"/>
  <c r="H131" i="6" s="1"/>
  <c r="H134" i="6" a="1"/>
  <c r="H134" i="6" s="1"/>
  <c r="H137" i="6" a="1"/>
  <c r="H137" i="6" s="1"/>
  <c r="H140" i="6" a="1"/>
  <c r="H140" i="6" s="1"/>
  <c r="H143" i="6" a="1"/>
  <c r="H143" i="6" s="1"/>
  <c r="H146" i="6" a="1"/>
  <c r="H146" i="6" s="1"/>
  <c r="G149" i="6" a="1"/>
  <c r="G149" i="6" s="1"/>
  <c r="K150" i="6" a="1"/>
  <c r="K150" i="6" s="1"/>
  <c r="G152" i="6" a="1"/>
  <c r="G152" i="6" s="1"/>
  <c r="K153" i="6" a="1"/>
  <c r="K153" i="6" s="1"/>
  <c r="G155" i="6" a="1"/>
  <c r="G155" i="6" s="1"/>
  <c r="K156" i="6" a="1"/>
  <c r="K156" i="6" s="1"/>
  <c r="G158" i="6" a="1"/>
  <c r="G158" i="6" s="1"/>
  <c r="K159" i="6" a="1"/>
  <c r="K159" i="6" s="1"/>
  <c r="G161" i="6" a="1"/>
  <c r="G161" i="6" s="1"/>
  <c r="K162" i="6" a="1"/>
  <c r="K162" i="6" s="1"/>
  <c r="G164" i="6" a="1"/>
  <c r="G164" i="6" s="1"/>
  <c r="J165" i="6" a="1"/>
  <c r="J165" i="6" s="1"/>
  <c r="F167" i="6" a="1"/>
  <c r="F167" i="6" s="1"/>
  <c r="J168" i="6" a="1"/>
  <c r="J168" i="6" s="1"/>
  <c r="F170" i="6" a="1"/>
  <c r="F170" i="6" s="1"/>
  <c r="J171" i="6" a="1"/>
  <c r="J171" i="6" s="1"/>
  <c r="F173" i="6" a="1"/>
  <c r="F173" i="6" s="1"/>
  <c r="J174" i="6" a="1"/>
  <c r="J174" i="6" s="1"/>
  <c r="F176" i="6" a="1"/>
  <c r="F176" i="6" s="1"/>
  <c r="J177" i="6" a="1"/>
  <c r="J177" i="6" s="1"/>
  <c r="F179" i="6" a="1"/>
  <c r="F179" i="6" s="1"/>
  <c r="J180" i="6" a="1"/>
  <c r="J180" i="6" s="1"/>
  <c r="F182" i="6" a="1"/>
  <c r="F182" i="6" s="1"/>
  <c r="J183" i="6" a="1"/>
  <c r="J183" i="6" s="1"/>
  <c r="E185" i="6" a="1"/>
  <c r="E185" i="6" s="1"/>
  <c r="I186" i="6" a="1"/>
  <c r="I186" i="6" s="1"/>
  <c r="E188" i="6" a="1"/>
  <c r="E188" i="6" s="1"/>
  <c r="H189" i="6" a="1"/>
  <c r="H189" i="6" s="1"/>
  <c r="H192" i="6" a="1"/>
  <c r="H192" i="6" s="1"/>
  <c r="K25" i="6" a="1"/>
  <c r="K25" i="6" s="1"/>
  <c r="G27" i="6" a="1"/>
  <c r="G27" i="6" s="1"/>
  <c r="K28" i="6" a="1"/>
  <c r="K28" i="6" s="1"/>
  <c r="G30" i="6" a="1"/>
  <c r="G30" i="6" s="1"/>
  <c r="K31" i="6" a="1"/>
  <c r="K31" i="6" s="1"/>
  <c r="G33" i="6" a="1"/>
  <c r="G33" i="6" s="1"/>
  <c r="K34" i="6" a="1"/>
  <c r="K34" i="6" s="1"/>
  <c r="G36" i="6" a="1"/>
  <c r="G36" i="6" s="1"/>
  <c r="K37" i="6" a="1"/>
  <c r="K37" i="6" s="1"/>
  <c r="G39" i="6" a="1"/>
  <c r="G39" i="6" s="1"/>
  <c r="K40" i="6" a="1"/>
  <c r="K40" i="6" s="1"/>
  <c r="G42" i="6" a="1"/>
  <c r="G42" i="6" s="1"/>
  <c r="K43" i="6" a="1"/>
  <c r="K43" i="6" s="1"/>
  <c r="G45" i="6" a="1"/>
  <c r="G45" i="6" s="1"/>
  <c r="J46" i="6" a="1"/>
  <c r="J46" i="6" s="1"/>
  <c r="F48" i="6" a="1"/>
  <c r="F48" i="6" s="1"/>
  <c r="I49" i="6" a="1"/>
  <c r="I49" i="6" s="1"/>
  <c r="E51" i="6" a="1"/>
  <c r="E51" i="6" s="1"/>
  <c r="I52" i="6" a="1"/>
  <c r="I52" i="6" s="1"/>
  <c r="E54" i="6" a="1"/>
  <c r="E54" i="6" s="1"/>
  <c r="I55" i="6" a="1"/>
  <c r="I55" i="6" s="1"/>
  <c r="E57" i="6" a="1"/>
  <c r="E57" i="6" s="1"/>
  <c r="I58" i="6" a="1"/>
  <c r="I58" i="6" s="1"/>
  <c r="E60" i="6" a="1"/>
  <c r="E60" i="6" s="1"/>
  <c r="I61" i="6" a="1"/>
  <c r="I61" i="6" s="1"/>
  <c r="E63" i="6" a="1"/>
  <c r="E63" i="6" s="1"/>
  <c r="I64" i="6" a="1"/>
  <c r="I64" i="6" s="1"/>
  <c r="E66" i="6" a="1"/>
  <c r="E66" i="6" s="1"/>
  <c r="I67" i="6" a="1"/>
  <c r="I67" i="6" s="1"/>
  <c r="E69" i="6" a="1"/>
  <c r="E69" i="6" s="1"/>
  <c r="I70" i="6" a="1"/>
  <c r="I70" i="6" s="1"/>
  <c r="E72" i="6" a="1"/>
  <c r="E72" i="6" s="1"/>
  <c r="I73" i="6" a="1"/>
  <c r="I73" i="6" s="1"/>
  <c r="H76" i="6" a="1"/>
  <c r="H76" i="6" s="1"/>
  <c r="H79" i="6" a="1"/>
  <c r="H79" i="6" s="1"/>
  <c r="H82" i="6" a="1"/>
  <c r="H82" i="6" s="1"/>
  <c r="G85" i="6" a="1"/>
  <c r="G85" i="6" s="1"/>
  <c r="K86" i="6" a="1"/>
  <c r="K86" i="6" s="1"/>
  <c r="G88" i="6" a="1"/>
  <c r="G88" i="6" s="1"/>
  <c r="K89" i="6" a="1"/>
  <c r="K89" i="6" s="1"/>
  <c r="F91" i="6" a="1"/>
  <c r="F91" i="6" s="1"/>
  <c r="I92" i="6" a="1"/>
  <c r="I92" i="6" s="1"/>
  <c r="E94" i="6" a="1"/>
  <c r="E94" i="6" s="1"/>
  <c r="I95" i="6" a="1"/>
  <c r="I95" i="6" s="1"/>
  <c r="E97" i="6" a="1"/>
  <c r="E97" i="6" s="1"/>
  <c r="I98" i="6" a="1"/>
  <c r="I98" i="6" s="1"/>
  <c r="E100" i="6" a="1"/>
  <c r="E100" i="6" s="1"/>
  <c r="I101" i="6" a="1"/>
  <c r="I101" i="6" s="1"/>
  <c r="E103" i="6" a="1"/>
  <c r="E103" i="6" s="1"/>
  <c r="I104" i="6" a="1"/>
  <c r="I104" i="6" s="1"/>
  <c r="E106" i="6" a="1"/>
  <c r="E106" i="6" s="1"/>
  <c r="I107" i="6" a="1"/>
  <c r="I107" i="6" s="1"/>
  <c r="E109" i="6" a="1"/>
  <c r="E109" i="6" s="1"/>
  <c r="I110" i="6" a="1"/>
  <c r="I110" i="6" s="1"/>
  <c r="E112" i="6" a="1"/>
  <c r="E112" i="6" s="1"/>
  <c r="I113" i="6" a="1"/>
  <c r="I113" i="6" s="1"/>
  <c r="E115" i="6" a="1"/>
  <c r="E115" i="6" s="1"/>
  <c r="I116" i="6" a="1"/>
  <c r="I116" i="6" s="1"/>
  <c r="H27" i="6" a="1"/>
  <c r="H27" i="6" s="1"/>
  <c r="H30" i="6" a="1"/>
  <c r="H30" i="6" s="1"/>
  <c r="H33" i="6" a="1"/>
  <c r="H33" i="6" s="1"/>
  <c r="H36" i="6" a="1"/>
  <c r="H36" i="6" s="1"/>
  <c r="H39" i="6" a="1"/>
  <c r="H39" i="6" s="1"/>
  <c r="H42" i="6" a="1"/>
  <c r="H42" i="6" s="1"/>
  <c r="H45" i="6" a="1"/>
  <c r="H45" i="6" s="1"/>
  <c r="K46" i="6" a="1"/>
  <c r="K46" i="6" s="1"/>
  <c r="G48" i="6" a="1"/>
  <c r="G48" i="6" s="1"/>
  <c r="J49" i="6" a="1"/>
  <c r="J49" i="6" s="1"/>
  <c r="F51" i="6" a="1"/>
  <c r="F51" i="6" s="1"/>
  <c r="J52" i="6" a="1"/>
  <c r="J52" i="6" s="1"/>
  <c r="F54" i="6" a="1"/>
  <c r="F54" i="6" s="1"/>
  <c r="J55" i="6" a="1"/>
  <c r="J55" i="6" s="1"/>
  <c r="F57" i="6" a="1"/>
  <c r="F57" i="6" s="1"/>
  <c r="J58" i="6" a="1"/>
  <c r="J58" i="6" s="1"/>
  <c r="F60" i="6" a="1"/>
  <c r="F60" i="6" s="1"/>
  <c r="J61" i="6" a="1"/>
  <c r="J61" i="6" s="1"/>
  <c r="F63" i="6" a="1"/>
  <c r="F63" i="6" s="1"/>
  <c r="J64" i="6" a="1"/>
  <c r="J64" i="6" s="1"/>
  <c r="F66" i="6" a="1"/>
  <c r="F66" i="6" s="1"/>
  <c r="J67" i="6" a="1"/>
  <c r="J67" i="6" s="1"/>
  <c r="F69" i="6" a="1"/>
  <c r="F69" i="6" s="1"/>
  <c r="J70" i="6" a="1"/>
  <c r="J70" i="6" s="1"/>
  <c r="F72" i="6" a="1"/>
  <c r="F72" i="6" s="1"/>
  <c r="J73" i="6" a="1"/>
  <c r="J73" i="6" s="1"/>
  <c r="E75" i="6" a="1"/>
  <c r="E75" i="6" s="1"/>
  <c r="I76" i="6" a="1"/>
  <c r="I76" i="6" s="1"/>
  <c r="E78" i="6" a="1"/>
  <c r="E78" i="6" s="1"/>
  <c r="I79" i="6" a="1"/>
  <c r="I79" i="6" s="1"/>
  <c r="E81" i="6" a="1"/>
  <c r="E81" i="6" s="1"/>
  <c r="I82" i="6" a="1"/>
  <c r="I82" i="6" s="1"/>
  <c r="H85" i="6" a="1"/>
  <c r="H85" i="6" s="1"/>
  <c r="H88" i="6" a="1"/>
  <c r="H88" i="6" s="1"/>
  <c r="G91" i="6" a="1"/>
  <c r="G91" i="6" s="1"/>
  <c r="J92" i="6" a="1"/>
  <c r="J92" i="6" s="1"/>
  <c r="F94" i="6" a="1"/>
  <c r="F94" i="6" s="1"/>
  <c r="J95" i="6" a="1"/>
  <c r="J95" i="6" s="1"/>
  <c r="F97" i="6" a="1"/>
  <c r="F97" i="6" s="1"/>
  <c r="J98" i="6" a="1"/>
  <c r="J98" i="6" s="1"/>
  <c r="F100" i="6" a="1"/>
  <c r="F100" i="6" s="1"/>
  <c r="J101" i="6" a="1"/>
  <c r="J101" i="6" s="1"/>
  <c r="F103" i="6" a="1"/>
  <c r="F103" i="6" s="1"/>
  <c r="J104" i="6" a="1"/>
  <c r="J104" i="6" s="1"/>
  <c r="F106" i="6" a="1"/>
  <c r="F106" i="6" s="1"/>
  <c r="J107" i="6" a="1"/>
  <c r="J107" i="6" s="1"/>
  <c r="F109" i="6" a="1"/>
  <c r="F109" i="6" s="1"/>
  <c r="J110" i="6" a="1"/>
  <c r="J110" i="6" s="1"/>
  <c r="F112" i="6" a="1"/>
  <c r="F112" i="6" s="1"/>
  <c r="J113" i="6" a="1"/>
  <c r="J113" i="6" s="1"/>
  <c r="F115" i="6" a="1"/>
  <c r="F115" i="6" s="1"/>
  <c r="J116" i="6" a="1"/>
  <c r="J116" i="6" s="1"/>
  <c r="F118" i="6" a="1"/>
  <c r="F118" i="6" s="1"/>
  <c r="J119" i="6" a="1"/>
  <c r="J119" i="6" s="1"/>
  <c r="E26" i="6" a="1"/>
  <c r="E26" i="6" s="1"/>
  <c r="I27" i="6" a="1"/>
  <c r="I27" i="6" s="1"/>
  <c r="E29" i="6" a="1"/>
  <c r="E29" i="6" s="1"/>
  <c r="I30" i="6" a="1"/>
  <c r="I30" i="6" s="1"/>
  <c r="E32" i="6" a="1"/>
  <c r="E32" i="6" s="1"/>
  <c r="I33" i="6" a="1"/>
  <c r="I33" i="6" s="1"/>
  <c r="E35" i="6" a="1"/>
  <c r="E35" i="6" s="1"/>
  <c r="I36" i="6" a="1"/>
  <c r="I36" i="6" s="1"/>
  <c r="E38" i="6" a="1"/>
  <c r="E38" i="6" s="1"/>
  <c r="I39" i="6" a="1"/>
  <c r="I39" i="6" s="1"/>
  <c r="E41" i="6" a="1"/>
  <c r="E41" i="6" s="1"/>
  <c r="I42" i="6" a="1"/>
  <c r="I42" i="6" s="1"/>
  <c r="E44" i="6" a="1"/>
  <c r="E44" i="6" s="1"/>
  <c r="I45" i="6" a="1"/>
  <c r="I45" i="6" s="1"/>
  <c r="H48" i="6" a="1"/>
  <c r="H48" i="6" s="1"/>
  <c r="K49" i="6" a="1"/>
  <c r="K49" i="6" s="1"/>
  <c r="G51" i="6" a="1"/>
  <c r="G51" i="6" s="1"/>
  <c r="K52" i="6" a="1"/>
  <c r="K52" i="6" s="1"/>
  <c r="G54" i="6" a="1"/>
  <c r="G54" i="6" s="1"/>
  <c r="K55" i="6" a="1"/>
  <c r="K55" i="6" s="1"/>
  <c r="G57" i="6" a="1"/>
  <c r="G57" i="6" s="1"/>
  <c r="K58" i="6" a="1"/>
  <c r="K58" i="6" s="1"/>
  <c r="G60" i="6" a="1"/>
  <c r="G60" i="6" s="1"/>
  <c r="K61" i="6" a="1"/>
  <c r="K61" i="6" s="1"/>
  <c r="G63" i="6" a="1"/>
  <c r="G63" i="6" s="1"/>
  <c r="K64" i="6" a="1"/>
  <c r="K64" i="6" s="1"/>
  <c r="G66" i="6" a="1"/>
  <c r="G66" i="6" s="1"/>
  <c r="K67" i="6" a="1"/>
  <c r="K67" i="6" s="1"/>
  <c r="G69" i="6" a="1"/>
  <c r="G69" i="6" s="1"/>
  <c r="K70" i="6" a="1"/>
  <c r="K70" i="6" s="1"/>
  <c r="G72" i="6" a="1"/>
  <c r="G72" i="6" s="1"/>
  <c r="K73" i="6" a="1"/>
  <c r="K73" i="6" s="1"/>
  <c r="F75" i="6" a="1"/>
  <c r="F75" i="6" s="1"/>
  <c r="J76" i="6" a="1"/>
  <c r="J76" i="6" s="1"/>
  <c r="F78" i="6" a="1"/>
  <c r="F78" i="6" s="1"/>
  <c r="J79" i="6" a="1"/>
  <c r="J79" i="6" s="1"/>
  <c r="F81" i="6" a="1"/>
  <c r="F81" i="6" s="1"/>
  <c r="J82" i="6" a="1"/>
  <c r="J82" i="6" s="1"/>
  <c r="E84" i="6" a="1"/>
  <c r="E84" i="6" s="1"/>
  <c r="I85" i="6" a="1"/>
  <c r="I85" i="6" s="1"/>
  <c r="E87" i="6" a="1"/>
  <c r="E87" i="6" s="1"/>
  <c r="I88" i="6" a="1"/>
  <c r="I88" i="6" s="1"/>
  <c r="E90" i="6" a="1"/>
  <c r="E90" i="6" s="1"/>
  <c r="K92" i="6" a="1"/>
  <c r="K92" i="6" s="1"/>
  <c r="G94" i="6" a="1"/>
  <c r="G94" i="6" s="1"/>
  <c r="K95" i="6" a="1"/>
  <c r="K95" i="6" s="1"/>
  <c r="G97" i="6" a="1"/>
  <c r="G97" i="6" s="1"/>
  <c r="K98" i="6" a="1"/>
  <c r="K98" i="6" s="1"/>
  <c r="G100" i="6" a="1"/>
  <c r="G100" i="6" s="1"/>
  <c r="K101" i="6" a="1"/>
  <c r="K101" i="6" s="1"/>
  <c r="G103" i="6" a="1"/>
  <c r="G103" i="6" s="1"/>
  <c r="K104" i="6" a="1"/>
  <c r="K104" i="6" s="1"/>
  <c r="G106" i="6" a="1"/>
  <c r="G106" i="6" s="1"/>
  <c r="K107" i="6" a="1"/>
  <c r="K107" i="6" s="1"/>
  <c r="G109" i="6" a="1"/>
  <c r="G109" i="6" s="1"/>
  <c r="F26" i="6" a="1"/>
  <c r="F26" i="6" s="1"/>
  <c r="J27" i="6" a="1"/>
  <c r="J27" i="6" s="1"/>
  <c r="F29" i="6" a="1"/>
  <c r="F29" i="6" s="1"/>
  <c r="J30" i="6" a="1"/>
  <c r="J30" i="6" s="1"/>
  <c r="F32" i="6" a="1"/>
  <c r="F32" i="6" s="1"/>
  <c r="J33" i="6" a="1"/>
  <c r="J33" i="6" s="1"/>
  <c r="F35" i="6" a="1"/>
  <c r="F35" i="6" s="1"/>
  <c r="J36" i="6" a="1"/>
  <c r="J36" i="6" s="1"/>
  <c r="F38" i="6" a="1"/>
  <c r="F38" i="6" s="1"/>
  <c r="J39" i="6" a="1"/>
  <c r="J39" i="6" s="1"/>
  <c r="F41" i="6" a="1"/>
  <c r="F41" i="6" s="1"/>
  <c r="J42" i="6" a="1"/>
  <c r="J42" i="6" s="1"/>
  <c r="F44" i="6" a="1"/>
  <c r="F44" i="6" s="1"/>
  <c r="J45" i="6" a="1"/>
  <c r="J45" i="6" s="1"/>
  <c r="E47" i="6" a="1"/>
  <c r="E47" i="6" s="1"/>
  <c r="I48" i="6" a="1"/>
  <c r="I48" i="6" s="1"/>
  <c r="H51" i="6" a="1"/>
  <c r="H51" i="6" s="1"/>
  <c r="H54" i="6" a="1"/>
  <c r="H54" i="6" s="1"/>
  <c r="H57" i="6" a="1"/>
  <c r="H57" i="6" s="1"/>
  <c r="H60" i="6" a="1"/>
  <c r="H60" i="6" s="1"/>
  <c r="H63" i="6" a="1"/>
  <c r="H63" i="6" s="1"/>
  <c r="H66" i="6" a="1"/>
  <c r="H66" i="6" s="1"/>
  <c r="H69" i="6" a="1"/>
  <c r="H69" i="6" s="1"/>
  <c r="H72" i="6" a="1"/>
  <c r="H72" i="6" s="1"/>
  <c r="G75" i="6" a="1"/>
  <c r="G75" i="6" s="1"/>
  <c r="K76" i="6" a="1"/>
  <c r="K76" i="6" s="1"/>
  <c r="G78" i="6" a="1"/>
  <c r="G78" i="6" s="1"/>
  <c r="K79" i="6" a="1"/>
  <c r="K79" i="6" s="1"/>
  <c r="G81" i="6" a="1"/>
  <c r="G81" i="6" s="1"/>
  <c r="K82" i="6" a="1"/>
  <c r="K82" i="6" s="1"/>
  <c r="F84" i="6" a="1"/>
  <c r="F84" i="6" s="1"/>
  <c r="J85" i="6" a="1"/>
  <c r="J85" i="6" s="1"/>
  <c r="F87" i="6" a="1"/>
  <c r="F87" i="6" s="1"/>
  <c r="J88" i="6" a="1"/>
  <c r="J88" i="6" s="1"/>
  <c r="F90" i="6" a="1"/>
  <c r="F90" i="6" s="1"/>
  <c r="H91" i="6" a="1"/>
  <c r="H91" i="6" s="1"/>
  <c r="H94" i="6" a="1"/>
  <c r="H94" i="6" s="1"/>
  <c r="H97" i="6" a="1"/>
  <c r="H97" i="6" s="1"/>
  <c r="H100" i="6" a="1"/>
  <c r="H100" i="6" s="1"/>
  <c r="G26" i="6" a="1"/>
  <c r="G26" i="6" s="1"/>
  <c r="K27" i="6" a="1"/>
  <c r="K27" i="6" s="1"/>
  <c r="G29" i="6" a="1"/>
  <c r="G29" i="6" s="1"/>
  <c r="K30" i="6" a="1"/>
  <c r="K30" i="6" s="1"/>
  <c r="G32" i="6" a="1"/>
  <c r="G32" i="6" s="1"/>
  <c r="K33" i="6" a="1"/>
  <c r="K33" i="6" s="1"/>
  <c r="G35" i="6" a="1"/>
  <c r="G35" i="6" s="1"/>
  <c r="K36" i="6" a="1"/>
  <c r="K36" i="6" s="1"/>
  <c r="G38" i="6" a="1"/>
  <c r="G38" i="6" s="1"/>
  <c r="K39" i="6" a="1"/>
  <c r="K39" i="6" s="1"/>
  <c r="G41" i="6" a="1"/>
  <c r="G41" i="6" s="1"/>
  <c r="K42" i="6" a="1"/>
  <c r="K42" i="6" s="1"/>
  <c r="G44" i="6" a="1"/>
  <c r="G44" i="6" s="1"/>
  <c r="K45" i="6" a="1"/>
  <c r="K45" i="6" s="1"/>
  <c r="F47" i="6" a="1"/>
  <c r="F47" i="6" s="1"/>
  <c r="J48" i="6" a="1"/>
  <c r="J48" i="6" s="1"/>
  <c r="E50" i="6" a="1"/>
  <c r="E50" i="6" s="1"/>
  <c r="I51" i="6" a="1"/>
  <c r="I51" i="6" s="1"/>
  <c r="E53" i="6" a="1"/>
  <c r="E53" i="6" s="1"/>
  <c r="I54" i="6" a="1"/>
  <c r="I54" i="6" s="1"/>
  <c r="E56" i="6" a="1"/>
  <c r="E56" i="6" s="1"/>
  <c r="I57" i="6" a="1"/>
  <c r="I57" i="6" s="1"/>
  <c r="E59" i="6" a="1"/>
  <c r="E59" i="6" s="1"/>
  <c r="I60" i="6" a="1"/>
  <c r="I60" i="6" s="1"/>
  <c r="E62" i="6" a="1"/>
  <c r="E62" i="6" s="1"/>
  <c r="I63" i="6" a="1"/>
  <c r="I63" i="6" s="1"/>
  <c r="E65" i="6" a="1"/>
  <c r="E65" i="6" s="1"/>
  <c r="I66" i="6" a="1"/>
  <c r="I66" i="6" s="1"/>
  <c r="E68" i="6" a="1"/>
  <c r="E68" i="6" s="1"/>
  <c r="I69" i="6" a="1"/>
  <c r="I69" i="6" s="1"/>
  <c r="E71" i="6" a="1"/>
  <c r="E71" i="6" s="1"/>
  <c r="I72" i="6" a="1"/>
  <c r="I72" i="6" s="1"/>
  <c r="E74" i="6" a="1"/>
  <c r="E74" i="6" s="1"/>
  <c r="H75" i="6" a="1"/>
  <c r="H75" i="6" s="1"/>
  <c r="H78" i="6" a="1"/>
  <c r="H78" i="6" s="1"/>
  <c r="H81" i="6" a="1"/>
  <c r="H81" i="6" s="1"/>
  <c r="G84" i="6" a="1"/>
  <c r="G84" i="6" s="1"/>
  <c r="K85" i="6" a="1"/>
  <c r="K85" i="6" s="1"/>
  <c r="G87" i="6" a="1"/>
  <c r="G87" i="6" s="1"/>
  <c r="K88" i="6" a="1"/>
  <c r="K88" i="6" s="1"/>
  <c r="G90" i="6" a="1"/>
  <c r="G90" i="6" s="1"/>
  <c r="I91" i="6" a="1"/>
  <c r="I91" i="6" s="1"/>
  <c r="E93" i="6" a="1"/>
  <c r="E93" i="6" s="1"/>
  <c r="I94" i="6" a="1"/>
  <c r="I94" i="6" s="1"/>
  <c r="E96" i="6" a="1"/>
  <c r="E96" i="6" s="1"/>
  <c r="I97" i="6" a="1"/>
  <c r="I97" i="6" s="1"/>
  <c r="E99" i="6" a="1"/>
  <c r="E99" i="6" s="1"/>
  <c r="I100" i="6" a="1"/>
  <c r="I100" i="6" s="1"/>
  <c r="E102" i="6" a="1"/>
  <c r="E102" i="6" s="1"/>
  <c r="I103" i="6" a="1"/>
  <c r="I103" i="6" s="1"/>
  <c r="E105" i="6" a="1"/>
  <c r="E105" i="6" s="1"/>
  <c r="I106" i="6" a="1"/>
  <c r="I106" i="6" s="1"/>
  <c r="E108" i="6" a="1"/>
  <c r="E108" i="6" s="1"/>
  <c r="I109" i="6" a="1"/>
  <c r="I109" i="6" s="1"/>
  <c r="E111" i="6" a="1"/>
  <c r="E111" i="6" s="1"/>
  <c r="I112" i="6" a="1"/>
  <c r="I112" i="6" s="1"/>
  <c r="E114" i="6" a="1"/>
  <c r="E114" i="6" s="1"/>
  <c r="I115" i="6" a="1"/>
  <c r="I115" i="6" s="1"/>
  <c r="E117" i="6" a="1"/>
  <c r="E117" i="6" s="1"/>
  <c r="I118" i="6" a="1"/>
  <c r="I118" i="6" s="1"/>
  <c r="E120" i="6" a="1"/>
  <c r="E120" i="6" s="1"/>
  <c r="I121" i="6" a="1"/>
  <c r="I121" i="6" s="1"/>
  <c r="E123" i="6" a="1"/>
  <c r="E123" i="6" s="1"/>
  <c r="I124" i="6" a="1"/>
  <c r="I124" i="6" s="1"/>
  <c r="E126" i="6" a="1"/>
  <c r="E126" i="6" s="1"/>
  <c r="I127" i="6" a="1"/>
  <c r="I127" i="6" s="1"/>
  <c r="E129" i="6" a="1"/>
  <c r="E129" i="6" s="1"/>
  <c r="I130" i="6" a="1"/>
  <c r="I130" i="6" s="1"/>
  <c r="E132" i="6" a="1"/>
  <c r="E132" i="6" s="1"/>
  <c r="I133" i="6" a="1"/>
  <c r="I133" i="6" s="1"/>
  <c r="E135" i="6" a="1"/>
  <c r="E135" i="6" s="1"/>
  <c r="I136" i="6" a="1"/>
  <c r="I136" i="6" s="1"/>
  <c r="E138" i="6" a="1"/>
  <c r="E138" i="6" s="1"/>
  <c r="I139" i="6" a="1"/>
  <c r="I139" i="6" s="1"/>
  <c r="G105" i="6" a="1"/>
  <c r="G105" i="6" s="1"/>
  <c r="G118" i="6" a="1"/>
  <c r="G118" i="6" s="1"/>
  <c r="F121" i="6" a="1"/>
  <c r="F121" i="6" s="1"/>
  <c r="G126" i="6" a="1"/>
  <c r="G126" i="6" s="1"/>
  <c r="K128" i="6" a="1"/>
  <c r="K128" i="6" s="1"/>
  <c r="E133" i="6" a="1"/>
  <c r="E133" i="6" s="1"/>
  <c r="E139" i="6" a="1"/>
  <c r="E139" i="6" s="1"/>
  <c r="J142" i="6" a="1"/>
  <c r="J142" i="6" s="1"/>
  <c r="I144" i="6" a="1"/>
  <c r="I144" i="6" s="1"/>
  <c r="F146" i="6" a="1"/>
  <c r="F146" i="6" s="1"/>
  <c r="I149" i="6" a="1"/>
  <c r="I149" i="6" s="1"/>
  <c r="G151" i="6" a="1"/>
  <c r="G151" i="6" s="1"/>
  <c r="I154" i="6" a="1"/>
  <c r="I154" i="6" s="1"/>
  <c r="F156" i="6" a="1"/>
  <c r="F156" i="6" s="1"/>
  <c r="K157" i="6" a="1"/>
  <c r="K157" i="6" s="1"/>
  <c r="H159" i="6" a="1"/>
  <c r="H159" i="6" s="1"/>
  <c r="E161" i="6" a="1"/>
  <c r="E161" i="6" s="1"/>
  <c r="J162" i="6" a="1"/>
  <c r="J162" i="6" s="1"/>
  <c r="H164" i="6" a="1"/>
  <c r="H164" i="6" s="1"/>
  <c r="I167" i="6" a="1"/>
  <c r="I167" i="6" s="1"/>
  <c r="F169" i="6" a="1"/>
  <c r="F169" i="6" s="1"/>
  <c r="K170" i="6" a="1"/>
  <c r="K170" i="6" s="1"/>
  <c r="H172" i="6" a="1"/>
  <c r="H172" i="6" s="1"/>
  <c r="E174" i="6" a="1"/>
  <c r="E174" i="6" s="1"/>
  <c r="J175" i="6" a="1"/>
  <c r="J175" i="6" s="1"/>
  <c r="G177" i="6" a="1"/>
  <c r="G177" i="6" s="1"/>
  <c r="I180" i="6" a="1"/>
  <c r="I180" i="6" s="1"/>
  <c r="G182" i="6" a="1"/>
  <c r="G182" i="6" s="1"/>
  <c r="H185" i="6" a="1"/>
  <c r="H185" i="6" s="1"/>
  <c r="E187" i="6" a="1"/>
  <c r="E187" i="6" s="1"/>
  <c r="J188" i="6" a="1"/>
  <c r="J188" i="6" s="1"/>
  <c r="F190" i="6" a="1"/>
  <c r="F190" i="6" s="1"/>
  <c r="J191" i="6" a="1"/>
  <c r="J191" i="6" s="1"/>
  <c r="G193" i="6" a="1"/>
  <c r="G193" i="6" s="1"/>
  <c r="K194" i="6" a="1"/>
  <c r="K194" i="6" s="1"/>
  <c r="G196" i="6" a="1"/>
  <c r="G196" i="6" s="1"/>
  <c r="K197" i="6" a="1"/>
  <c r="K197" i="6" s="1"/>
  <c r="G199" i="6" a="1"/>
  <c r="G199" i="6" s="1"/>
  <c r="K200" i="6" a="1"/>
  <c r="K200" i="6" s="1"/>
  <c r="G202" i="6" a="1"/>
  <c r="G202" i="6" s="1"/>
  <c r="K203" i="6" a="1"/>
  <c r="K203" i="6" s="1"/>
  <c r="F205" i="6" a="1"/>
  <c r="F205" i="6" s="1"/>
  <c r="J206" i="6" a="1"/>
  <c r="J206" i="6" s="1"/>
  <c r="F208" i="6" a="1"/>
  <c r="F208" i="6" s="1"/>
  <c r="J209" i="6" a="1"/>
  <c r="J209" i="6" s="1"/>
  <c r="F211" i="6" a="1"/>
  <c r="F211" i="6" s="1"/>
  <c r="J212" i="6" a="1"/>
  <c r="J212" i="6" s="1"/>
  <c r="F214" i="6" a="1"/>
  <c r="F214" i="6" s="1"/>
  <c r="J215" i="6" a="1"/>
  <c r="J215" i="6" s="1"/>
  <c r="F217" i="6" a="1"/>
  <c r="F217" i="6" s="1"/>
  <c r="J218" i="6" a="1"/>
  <c r="J218" i="6" s="1"/>
  <c r="F220" i="6" a="1"/>
  <c r="F220" i="6" s="1"/>
  <c r="G111" i="6" a="1"/>
  <c r="G111" i="6" s="1"/>
  <c r="G115" i="6" a="1"/>
  <c r="G115" i="6" s="1"/>
  <c r="H118" i="6" a="1"/>
  <c r="H118" i="6" s="1"/>
  <c r="G121" i="6" a="1"/>
  <c r="G121" i="6" s="1"/>
  <c r="E124" i="6" a="1"/>
  <c r="E124" i="6" s="1"/>
  <c r="J126" i="6" a="1"/>
  <c r="J126" i="6" s="1"/>
  <c r="E131" i="6" a="1"/>
  <c r="E131" i="6" s="1"/>
  <c r="F133" i="6" a="1"/>
  <c r="F133" i="6" s="1"/>
  <c r="F135" i="6" a="1"/>
  <c r="F135" i="6" s="1"/>
  <c r="E137" i="6" a="1"/>
  <c r="E137" i="6" s="1"/>
  <c r="F139" i="6" a="1"/>
  <c r="F139" i="6" s="1"/>
  <c r="E141" i="6" a="1"/>
  <c r="E141" i="6" s="1"/>
  <c r="K142" i="6" a="1"/>
  <c r="K142" i="6" s="1"/>
  <c r="J144" i="6" a="1"/>
  <c r="J144" i="6" s="1"/>
  <c r="G146" i="6" a="1"/>
  <c r="G146" i="6" s="1"/>
  <c r="E148" i="6" a="1"/>
  <c r="E148" i="6" s="1"/>
  <c r="J149" i="6" a="1"/>
  <c r="J149" i="6" s="1"/>
  <c r="H151" i="6" a="1"/>
  <c r="H151" i="6" s="1"/>
  <c r="E153" i="6" a="1"/>
  <c r="E153" i="6" s="1"/>
  <c r="J154" i="6" a="1"/>
  <c r="J154" i="6" s="1"/>
  <c r="G156" i="6" a="1"/>
  <c r="G156" i="6" s="1"/>
  <c r="I159" i="6" a="1"/>
  <c r="I159" i="6" s="1"/>
  <c r="F161" i="6" a="1"/>
  <c r="F161" i="6" s="1"/>
  <c r="I164" i="6" a="1"/>
  <c r="I164" i="6" s="1"/>
  <c r="E166" i="6" a="1"/>
  <c r="E166" i="6" s="1"/>
  <c r="J167" i="6" a="1"/>
  <c r="J167" i="6" s="1"/>
  <c r="G169" i="6" a="1"/>
  <c r="G169" i="6" s="1"/>
  <c r="I172" i="6" a="1"/>
  <c r="I172" i="6" s="1"/>
  <c r="F174" i="6" a="1"/>
  <c r="F174" i="6" s="1"/>
  <c r="K175" i="6" a="1"/>
  <c r="K175" i="6" s="1"/>
  <c r="H177" i="6" a="1"/>
  <c r="H177" i="6" s="1"/>
  <c r="E179" i="6" a="1"/>
  <c r="E179" i="6" s="1"/>
  <c r="K180" i="6" a="1"/>
  <c r="K180" i="6" s="1"/>
  <c r="H182" i="6" a="1"/>
  <c r="H182" i="6" s="1"/>
  <c r="E184" i="6" a="1"/>
  <c r="E184" i="6" s="1"/>
  <c r="I185" i="6" a="1"/>
  <c r="I185" i="6" s="1"/>
  <c r="F187" i="6" a="1"/>
  <c r="F187" i="6" s="1"/>
  <c r="K188" i="6" a="1"/>
  <c r="K188" i="6" s="1"/>
  <c r="G190" i="6" a="1"/>
  <c r="G190" i="6" s="1"/>
  <c r="K191" i="6" a="1"/>
  <c r="K191" i="6" s="1"/>
  <c r="H193" i="6" a="1"/>
  <c r="H193" i="6" s="1"/>
  <c r="H196" i="6" a="1"/>
  <c r="H196" i="6" s="1"/>
  <c r="H199" i="6" a="1"/>
  <c r="H199" i="6" s="1"/>
  <c r="H202" i="6" a="1"/>
  <c r="H202" i="6" s="1"/>
  <c r="G205" i="6" a="1"/>
  <c r="G205" i="6" s="1"/>
  <c r="K206" i="6" a="1"/>
  <c r="K206" i="6" s="1"/>
  <c r="G208" i="6" a="1"/>
  <c r="G208" i="6" s="1"/>
  <c r="K209" i="6" a="1"/>
  <c r="K209" i="6" s="1"/>
  <c r="G211" i="6" a="1"/>
  <c r="G211" i="6" s="1"/>
  <c r="K212" i="6" a="1"/>
  <c r="K212" i="6" s="1"/>
  <c r="G214" i="6" a="1"/>
  <c r="G214" i="6" s="1"/>
  <c r="K215" i="6" a="1"/>
  <c r="K215" i="6" s="1"/>
  <c r="G217" i="6" a="1"/>
  <c r="G217" i="6" s="1"/>
  <c r="K218" i="6" a="1"/>
  <c r="K218" i="6" s="1"/>
  <c r="G220" i="6" a="1"/>
  <c r="G220" i="6" s="1"/>
  <c r="K221" i="6" a="1"/>
  <c r="K221" i="6" s="1"/>
  <c r="G223" i="6" a="1"/>
  <c r="G223" i="6" s="1"/>
  <c r="K224" i="6" a="1"/>
  <c r="K224" i="6" s="1"/>
  <c r="G226" i="6" a="1"/>
  <c r="G226" i="6" s="1"/>
  <c r="K227" i="6" a="1"/>
  <c r="K227" i="6" s="1"/>
  <c r="G229" i="6" a="1"/>
  <c r="G229" i="6" s="1"/>
  <c r="H106" i="6" a="1"/>
  <c r="H106" i="6" s="1"/>
  <c r="H115" i="6" a="1"/>
  <c r="H115" i="6" s="1"/>
  <c r="K118" i="6" a="1"/>
  <c r="K118" i="6" s="1"/>
  <c r="H121" i="6" a="1"/>
  <c r="H121" i="6" s="1"/>
  <c r="F124" i="6" a="1"/>
  <c r="F124" i="6" s="1"/>
  <c r="G129" i="6" a="1"/>
  <c r="G129" i="6" s="1"/>
  <c r="F131" i="6" a="1"/>
  <c r="F131" i="6" s="1"/>
  <c r="G133" i="6" a="1"/>
  <c r="G133" i="6" s="1"/>
  <c r="G135" i="6" a="1"/>
  <c r="G135" i="6" s="1"/>
  <c r="F137" i="6" a="1"/>
  <c r="F137" i="6" s="1"/>
  <c r="G139" i="6" a="1"/>
  <c r="G139" i="6" s="1"/>
  <c r="F141" i="6" a="1"/>
  <c r="F141" i="6" s="1"/>
  <c r="I146" i="6" a="1"/>
  <c r="I146" i="6" s="1"/>
  <c r="F148" i="6" a="1"/>
  <c r="F148" i="6" s="1"/>
  <c r="K149" i="6" a="1"/>
  <c r="K149" i="6" s="1"/>
  <c r="I151" i="6" a="1"/>
  <c r="I151" i="6" s="1"/>
  <c r="F153" i="6" a="1"/>
  <c r="F153" i="6" s="1"/>
  <c r="K154" i="6" a="1"/>
  <c r="K154" i="6" s="1"/>
  <c r="H156" i="6" a="1"/>
  <c r="H156" i="6" s="1"/>
  <c r="E158" i="6" a="1"/>
  <c r="E158" i="6" s="1"/>
  <c r="J159" i="6" a="1"/>
  <c r="J159" i="6" s="1"/>
  <c r="H161" i="6" a="1"/>
  <c r="H161" i="6" s="1"/>
  <c r="E163" i="6" a="1"/>
  <c r="E163" i="6" s="1"/>
  <c r="J164" i="6" a="1"/>
  <c r="J164" i="6" s="1"/>
  <c r="F166" i="6" a="1"/>
  <c r="F166" i="6" s="1"/>
  <c r="K167" i="6" a="1"/>
  <c r="K167" i="6" s="1"/>
  <c r="H169" i="6" a="1"/>
  <c r="H169" i="6" s="1"/>
  <c r="E171" i="6" a="1"/>
  <c r="E171" i="6" s="1"/>
  <c r="J172" i="6" a="1"/>
  <c r="J172" i="6" s="1"/>
  <c r="G174" i="6" a="1"/>
  <c r="G174" i="6" s="1"/>
  <c r="I177" i="6" a="1"/>
  <c r="I177" i="6" s="1"/>
  <c r="G179" i="6" a="1"/>
  <c r="G179" i="6" s="1"/>
  <c r="I182" i="6" a="1"/>
  <c r="I182" i="6" s="1"/>
  <c r="F184" i="6" a="1"/>
  <c r="F184" i="6" s="1"/>
  <c r="J185" i="6" a="1"/>
  <c r="J185" i="6" s="1"/>
  <c r="G187" i="6" a="1"/>
  <c r="G187" i="6" s="1"/>
  <c r="H190" i="6" a="1"/>
  <c r="H190" i="6" s="1"/>
  <c r="I193" i="6" a="1"/>
  <c r="I193" i="6" s="1"/>
  <c r="E195" i="6" a="1"/>
  <c r="E195" i="6" s="1"/>
  <c r="I196" i="6" a="1"/>
  <c r="I196" i="6" s="1"/>
  <c r="E198" i="6" a="1"/>
  <c r="E198" i="6" s="1"/>
  <c r="I199" i="6" a="1"/>
  <c r="I199" i="6" s="1"/>
  <c r="E201" i="6" a="1"/>
  <c r="E201" i="6" s="1"/>
  <c r="I202" i="6" a="1"/>
  <c r="I202" i="6" s="1"/>
  <c r="E204" i="6" a="1"/>
  <c r="E204" i="6" s="1"/>
  <c r="H205" i="6" a="1"/>
  <c r="H205" i="6" s="1"/>
  <c r="H208" i="6" a="1"/>
  <c r="H208" i="6" s="1"/>
  <c r="H211" i="6" a="1"/>
  <c r="H211" i="6" s="1"/>
  <c r="H214" i="6" a="1"/>
  <c r="H214" i="6" s="1"/>
  <c r="H217" i="6" a="1"/>
  <c r="H217" i="6" s="1"/>
  <c r="H220" i="6" a="1"/>
  <c r="H220" i="6" s="1"/>
  <c r="H223" i="6" a="1"/>
  <c r="H223" i="6" s="1"/>
  <c r="H226" i="6" a="1"/>
  <c r="H226" i="6" s="1"/>
  <c r="H229" i="6" a="1"/>
  <c r="H229" i="6" s="1"/>
  <c r="H232" i="6" a="1"/>
  <c r="H232" i="6" s="1"/>
  <c r="H235" i="6" a="1"/>
  <c r="H235" i="6" s="1"/>
  <c r="H238" i="6" a="1"/>
  <c r="H238" i="6" s="1"/>
  <c r="H241" i="6" a="1"/>
  <c r="H241" i="6" s="1"/>
  <c r="H244" i="6" a="1"/>
  <c r="H244" i="6" s="1"/>
  <c r="H247" i="6" a="1"/>
  <c r="H247" i="6" s="1"/>
  <c r="H250" i="6" a="1"/>
  <c r="H250" i="6" s="1"/>
  <c r="H253" i="6" a="1"/>
  <c r="H253" i="6" s="1"/>
  <c r="K257" i="6" a="1"/>
  <c r="K257" i="6" s="1"/>
  <c r="G259" i="6" a="1"/>
  <c r="G259" i="6" s="1"/>
  <c r="K260" i="6" a="1"/>
  <c r="K260" i="6" s="1"/>
  <c r="G262" i="6" a="1"/>
  <c r="G262" i="6" s="1"/>
  <c r="K263" i="6" a="1"/>
  <c r="K263" i="6" s="1"/>
  <c r="G265" i="6" a="1"/>
  <c r="G265" i="6" s="1"/>
  <c r="K266" i="6" a="1"/>
  <c r="K266" i="6" s="1"/>
  <c r="G268" i="6" a="1"/>
  <c r="G268" i="6" s="1"/>
  <c r="J269" i="6" a="1"/>
  <c r="J269" i="6" s="1"/>
  <c r="F271" i="6" a="1"/>
  <c r="F271" i="6" s="1"/>
  <c r="J272" i="6" a="1"/>
  <c r="J272" i="6" s="1"/>
  <c r="F274" i="6" a="1"/>
  <c r="F274" i="6" s="1"/>
  <c r="J275" i="6" a="1"/>
  <c r="J275" i="6" s="1"/>
  <c r="F277" i="6" a="1"/>
  <c r="F277" i="6" s="1"/>
  <c r="I278" i="6" a="1"/>
  <c r="I278" i="6" s="1"/>
  <c r="E280" i="6" a="1"/>
  <c r="E280" i="6" s="1"/>
  <c r="K100" i="6" a="1"/>
  <c r="K100" i="6" s="1"/>
  <c r="K106" i="6" a="1"/>
  <c r="K106" i="6" s="1"/>
  <c r="G112" i="6" a="1"/>
  <c r="G112" i="6" s="1"/>
  <c r="K115" i="6" a="1"/>
  <c r="K115" i="6" s="1"/>
  <c r="K121" i="6" a="1"/>
  <c r="K121" i="6" s="1"/>
  <c r="G124" i="6" a="1"/>
  <c r="G124" i="6" s="1"/>
  <c r="E127" i="6" a="1"/>
  <c r="E127" i="6" s="1"/>
  <c r="I129" i="6" a="1"/>
  <c r="I129" i="6" s="1"/>
  <c r="I131" i="6" a="1"/>
  <c r="I131" i="6" s="1"/>
  <c r="H133" i="6" a="1"/>
  <c r="H133" i="6" s="1"/>
  <c r="I135" i="6" a="1"/>
  <c r="I135" i="6" s="1"/>
  <c r="I137" i="6" a="1"/>
  <c r="I137" i="6" s="1"/>
  <c r="H139" i="6" a="1"/>
  <c r="H139" i="6" s="1"/>
  <c r="G141" i="6" a="1"/>
  <c r="G141" i="6" s="1"/>
  <c r="E143" i="6" a="1"/>
  <c r="E143" i="6" s="1"/>
  <c r="E145" i="6" a="1"/>
  <c r="E145" i="6" s="1"/>
  <c r="J146" i="6" a="1"/>
  <c r="J146" i="6" s="1"/>
  <c r="G148" i="6" a="1"/>
  <c r="G148" i="6" s="1"/>
  <c r="J151" i="6" a="1"/>
  <c r="J151" i="6" s="1"/>
  <c r="G153" i="6" a="1"/>
  <c r="G153" i="6" s="1"/>
  <c r="I156" i="6" a="1"/>
  <c r="I156" i="6" s="1"/>
  <c r="F158" i="6" a="1"/>
  <c r="F158" i="6" s="1"/>
  <c r="I161" i="6" a="1"/>
  <c r="I161" i="6" s="1"/>
  <c r="F163" i="6" a="1"/>
  <c r="F163" i="6" s="1"/>
  <c r="K164" i="6" a="1"/>
  <c r="K164" i="6" s="1"/>
  <c r="G166" i="6" a="1"/>
  <c r="G166" i="6" s="1"/>
  <c r="I169" i="6" a="1"/>
  <c r="I169" i="6" s="1"/>
  <c r="F171" i="6" a="1"/>
  <c r="F171" i="6" s="1"/>
  <c r="K172" i="6" a="1"/>
  <c r="K172" i="6" s="1"/>
  <c r="H174" i="6" a="1"/>
  <c r="H174" i="6" s="1"/>
  <c r="E176" i="6" a="1"/>
  <c r="E176" i="6" s="1"/>
  <c r="K177" i="6" a="1"/>
  <c r="K177" i="6" s="1"/>
  <c r="H179" i="6" a="1"/>
  <c r="H179" i="6" s="1"/>
  <c r="E181" i="6" a="1"/>
  <c r="E181" i="6" s="1"/>
  <c r="J182" i="6" a="1"/>
  <c r="J182" i="6" s="1"/>
  <c r="G184" i="6" a="1"/>
  <c r="G184" i="6" s="1"/>
  <c r="K185" i="6" a="1"/>
  <c r="K185" i="6" s="1"/>
  <c r="H187" i="6" a="1"/>
  <c r="H187" i="6" s="1"/>
  <c r="I190" i="6" a="1"/>
  <c r="I190" i="6" s="1"/>
  <c r="E192" i="6" a="1"/>
  <c r="E192" i="6" s="1"/>
  <c r="J193" i="6" a="1"/>
  <c r="J193" i="6" s="1"/>
  <c r="F195" i="6" a="1"/>
  <c r="F195" i="6" s="1"/>
  <c r="J196" i="6" a="1"/>
  <c r="J196" i="6" s="1"/>
  <c r="F198" i="6" a="1"/>
  <c r="F198" i="6" s="1"/>
  <c r="J199" i="6" a="1"/>
  <c r="J199" i="6" s="1"/>
  <c r="F201" i="6" a="1"/>
  <c r="F201" i="6" s="1"/>
  <c r="J202" i="6" a="1"/>
  <c r="J202" i="6" s="1"/>
  <c r="F204" i="6" a="1"/>
  <c r="F204" i="6" s="1"/>
  <c r="I205" i="6" a="1"/>
  <c r="I205" i="6" s="1"/>
  <c r="E207" i="6" a="1"/>
  <c r="E207" i="6" s="1"/>
  <c r="I208" i="6" a="1"/>
  <c r="I208" i="6" s="1"/>
  <c r="E210" i="6" a="1"/>
  <c r="E210" i="6" s="1"/>
  <c r="I211" i="6" a="1"/>
  <c r="I211" i="6" s="1"/>
  <c r="E213" i="6" a="1"/>
  <c r="E213" i="6" s="1"/>
  <c r="I214" i="6" a="1"/>
  <c r="I214" i="6" s="1"/>
  <c r="E216" i="6" a="1"/>
  <c r="E216" i="6" s="1"/>
  <c r="I217" i="6" a="1"/>
  <c r="I217" i="6" s="1"/>
  <c r="E219" i="6" a="1"/>
  <c r="E219" i="6" s="1"/>
  <c r="I220" i="6" a="1"/>
  <c r="I220" i="6" s="1"/>
  <c r="E222" i="6" a="1"/>
  <c r="E222" i="6" s="1"/>
  <c r="I223" i="6" a="1"/>
  <c r="I223" i="6" s="1"/>
  <c r="E225" i="6" a="1"/>
  <c r="E225" i="6" s="1"/>
  <c r="I226" i="6" a="1"/>
  <c r="I226" i="6" s="1"/>
  <c r="E228" i="6" a="1"/>
  <c r="E228" i="6" s="1"/>
  <c r="I229" i="6" a="1"/>
  <c r="I229" i="6" s="1"/>
  <c r="E231" i="6" a="1"/>
  <c r="E231" i="6" s="1"/>
  <c r="I232" i="6" a="1"/>
  <c r="I232" i="6" s="1"/>
  <c r="E234" i="6" a="1"/>
  <c r="E234" i="6" s="1"/>
  <c r="I235" i="6" a="1"/>
  <c r="I235" i="6" s="1"/>
  <c r="E237" i="6" a="1"/>
  <c r="E237" i="6" s="1"/>
  <c r="H112" i="6" a="1"/>
  <c r="H112" i="6" s="1"/>
  <c r="F119" i="6" a="1"/>
  <c r="F119" i="6" s="1"/>
  <c r="H124" i="6" a="1"/>
  <c r="H124" i="6" s="1"/>
  <c r="F127" i="6" a="1"/>
  <c r="F127" i="6" s="1"/>
  <c r="J129" i="6" a="1"/>
  <c r="J129" i="6" s="1"/>
  <c r="J131" i="6" a="1"/>
  <c r="J131" i="6" s="1"/>
  <c r="J133" i="6" a="1"/>
  <c r="J133" i="6" s="1"/>
  <c r="J135" i="6" a="1"/>
  <c r="J135" i="6" s="1"/>
  <c r="J137" i="6" a="1"/>
  <c r="J137" i="6" s="1"/>
  <c r="J139" i="6" a="1"/>
  <c r="J139" i="6" s="1"/>
  <c r="I141" i="6" a="1"/>
  <c r="I141" i="6" s="1"/>
  <c r="F143" i="6" a="1"/>
  <c r="F143" i="6" s="1"/>
  <c r="F145" i="6" a="1"/>
  <c r="F145" i="6" s="1"/>
  <c r="K146" i="6" a="1"/>
  <c r="K146" i="6" s="1"/>
  <c r="H148" i="6" a="1"/>
  <c r="H148" i="6" s="1"/>
  <c r="E150" i="6" a="1"/>
  <c r="E150" i="6" s="1"/>
  <c r="K151" i="6" a="1"/>
  <c r="K151" i="6" s="1"/>
  <c r="H153" i="6" a="1"/>
  <c r="H153" i="6" s="1"/>
  <c r="E155" i="6" a="1"/>
  <c r="E155" i="6" s="1"/>
  <c r="J156" i="6" a="1"/>
  <c r="J156" i="6" s="1"/>
  <c r="H158" i="6" a="1"/>
  <c r="H158" i="6" s="1"/>
  <c r="E160" i="6" a="1"/>
  <c r="E160" i="6" s="1"/>
  <c r="J161" i="6" a="1"/>
  <c r="J161" i="6" s="1"/>
  <c r="G163" i="6" a="1"/>
  <c r="G163" i="6" s="1"/>
  <c r="H166" i="6" a="1"/>
  <c r="H166" i="6" s="1"/>
  <c r="E168" i="6" a="1"/>
  <c r="E168" i="6" s="1"/>
  <c r="J169" i="6" a="1"/>
  <c r="J169" i="6" s="1"/>
  <c r="G171" i="6" a="1"/>
  <c r="G171" i="6" s="1"/>
  <c r="I174" i="6" a="1"/>
  <c r="I174" i="6" s="1"/>
  <c r="G176" i="6" a="1"/>
  <c r="G176" i="6" s="1"/>
  <c r="I179" i="6" a="1"/>
  <c r="I179" i="6" s="1"/>
  <c r="F181" i="6" a="1"/>
  <c r="F181" i="6" s="1"/>
  <c r="K182" i="6" a="1"/>
  <c r="K182" i="6" s="1"/>
  <c r="H184" i="6" a="1"/>
  <c r="H184" i="6" s="1"/>
  <c r="I187" i="6" a="1"/>
  <c r="I187" i="6" s="1"/>
  <c r="E189" i="6" a="1"/>
  <c r="E189" i="6" s="1"/>
  <c r="J190" i="6" a="1"/>
  <c r="J190" i="6" s="1"/>
  <c r="F192" i="6" a="1"/>
  <c r="F192" i="6" s="1"/>
  <c r="K193" i="6" a="1"/>
  <c r="K193" i="6" s="1"/>
  <c r="G195" i="6" a="1"/>
  <c r="G195" i="6" s="1"/>
  <c r="K196" i="6" a="1"/>
  <c r="K196" i="6" s="1"/>
  <c r="G198" i="6" a="1"/>
  <c r="G198" i="6" s="1"/>
  <c r="K199" i="6" a="1"/>
  <c r="K199" i="6" s="1"/>
  <c r="G201" i="6" a="1"/>
  <c r="G201" i="6" s="1"/>
  <c r="K202" i="6" a="1"/>
  <c r="K202" i="6" s="1"/>
  <c r="J205" i="6" a="1"/>
  <c r="J205" i="6" s="1"/>
  <c r="F207" i="6" a="1"/>
  <c r="F207" i="6" s="1"/>
  <c r="J208" i="6" a="1"/>
  <c r="J208" i="6" s="1"/>
  <c r="F210" i="6" a="1"/>
  <c r="F210" i="6" s="1"/>
  <c r="J211" i="6" a="1"/>
  <c r="J211" i="6" s="1"/>
  <c r="F213" i="6" a="1"/>
  <c r="F213" i="6" s="1"/>
  <c r="J214" i="6" a="1"/>
  <c r="J214" i="6" s="1"/>
  <c r="F216" i="6" a="1"/>
  <c r="F216" i="6" s="1"/>
  <c r="J217" i="6" a="1"/>
  <c r="J217" i="6" s="1"/>
  <c r="F219" i="6" a="1"/>
  <c r="F219" i="6" s="1"/>
  <c r="J220" i="6" a="1"/>
  <c r="J220" i="6" s="1"/>
  <c r="F222" i="6" a="1"/>
  <c r="F222" i="6" s="1"/>
  <c r="J223" i="6" a="1"/>
  <c r="J223" i="6" s="1"/>
  <c r="F225" i="6" a="1"/>
  <c r="F225" i="6" s="1"/>
  <c r="J226" i="6" a="1"/>
  <c r="J226" i="6" s="1"/>
  <c r="F228" i="6" a="1"/>
  <c r="F228" i="6" s="1"/>
  <c r="J229" i="6" a="1"/>
  <c r="J229" i="6" s="1"/>
  <c r="F231" i="6" a="1"/>
  <c r="F231" i="6" s="1"/>
  <c r="J232" i="6" a="1"/>
  <c r="J232" i="6" s="1"/>
  <c r="F234" i="6" a="1"/>
  <c r="F234" i="6" s="1"/>
  <c r="J235" i="6" a="1"/>
  <c r="J235" i="6" s="1"/>
  <c r="F237" i="6" a="1"/>
  <c r="F237" i="6" s="1"/>
  <c r="J238" i="6" a="1"/>
  <c r="J238" i="6" s="1"/>
  <c r="F240" i="6" a="1"/>
  <c r="F240" i="6" s="1"/>
  <c r="J241" i="6" a="1"/>
  <c r="J241" i="6" s="1"/>
  <c r="F243" i="6" a="1"/>
  <c r="F243" i="6" s="1"/>
  <c r="J244" i="6" a="1"/>
  <c r="J244" i="6" s="1"/>
  <c r="F246" i="6" a="1"/>
  <c r="F246" i="6" s="1"/>
  <c r="J247" i="6" a="1"/>
  <c r="J247" i="6" s="1"/>
  <c r="F249" i="6" a="1"/>
  <c r="F249" i="6" s="1"/>
  <c r="J250" i="6" a="1"/>
  <c r="J250" i="6" s="1"/>
  <c r="F252" i="6" a="1"/>
  <c r="F252" i="6" s="1"/>
  <c r="J253" i="6" a="1"/>
  <c r="J253" i="6" s="1"/>
  <c r="K112" i="6" a="1"/>
  <c r="K112" i="6" s="1"/>
  <c r="F116" i="6" a="1"/>
  <c r="F116" i="6" s="1"/>
  <c r="I119" i="6" a="1"/>
  <c r="I119" i="6" s="1"/>
  <c r="F122" i="6" a="1"/>
  <c r="F122" i="6" s="1"/>
  <c r="K124" i="6" a="1"/>
  <c r="K124" i="6" s="1"/>
  <c r="G127" i="6" a="1"/>
  <c r="G127" i="6" s="1"/>
  <c r="K131" i="6" a="1"/>
  <c r="K131" i="6" s="1"/>
  <c r="K133" i="6" a="1"/>
  <c r="K133" i="6" s="1"/>
  <c r="K137" i="6" a="1"/>
  <c r="K137" i="6" s="1"/>
  <c r="K139" i="6" a="1"/>
  <c r="K139" i="6" s="1"/>
  <c r="J141" i="6" a="1"/>
  <c r="J141" i="6" s="1"/>
  <c r="I143" i="6" a="1"/>
  <c r="I143" i="6" s="1"/>
  <c r="G145" i="6" a="1"/>
  <c r="G145" i="6" s="1"/>
  <c r="F150" i="6" a="1"/>
  <c r="F150" i="6" s="1"/>
  <c r="I153" i="6" a="1"/>
  <c r="I153" i="6" s="1"/>
  <c r="F155" i="6" a="1"/>
  <c r="F155" i="6" s="1"/>
  <c r="I158" i="6" a="1"/>
  <c r="I158" i="6" s="1"/>
  <c r="F160" i="6" a="1"/>
  <c r="F160" i="6" s="1"/>
  <c r="K161" i="6" a="1"/>
  <c r="K161" i="6" s="1"/>
  <c r="H163" i="6" a="1"/>
  <c r="H163" i="6" s="1"/>
  <c r="I166" i="6" a="1"/>
  <c r="I166" i="6" s="1"/>
  <c r="F168" i="6" a="1"/>
  <c r="F168" i="6" s="1"/>
  <c r="K169" i="6" a="1"/>
  <c r="K169" i="6" s="1"/>
  <c r="H171" i="6" a="1"/>
  <c r="H171" i="6" s="1"/>
  <c r="E173" i="6" a="1"/>
  <c r="E173" i="6" s="1"/>
  <c r="K174" i="6" a="1"/>
  <c r="K174" i="6" s="1"/>
  <c r="H176" i="6" a="1"/>
  <c r="H176" i="6" s="1"/>
  <c r="E178" i="6" a="1"/>
  <c r="E178" i="6" s="1"/>
  <c r="J179" i="6" a="1"/>
  <c r="J179" i="6" s="1"/>
  <c r="G181" i="6" a="1"/>
  <c r="G181" i="6" s="1"/>
  <c r="I184" i="6" a="1"/>
  <c r="I184" i="6" s="1"/>
  <c r="E186" i="6" a="1"/>
  <c r="E186" i="6" s="1"/>
  <c r="J187" i="6" a="1"/>
  <c r="J187" i="6" s="1"/>
  <c r="F189" i="6" a="1"/>
  <c r="F189" i="6" s="1"/>
  <c r="K190" i="6" a="1"/>
  <c r="K190" i="6" s="1"/>
  <c r="G192" i="6" a="1"/>
  <c r="G192" i="6" s="1"/>
  <c r="H195" i="6" a="1"/>
  <c r="H195" i="6" s="1"/>
  <c r="H198" i="6" a="1"/>
  <c r="H198" i="6" s="1"/>
  <c r="H201" i="6" a="1"/>
  <c r="H201" i="6" s="1"/>
  <c r="G204" i="6" a="1"/>
  <c r="G204" i="6" s="1"/>
  <c r="K205" i="6" a="1"/>
  <c r="K205" i="6" s="1"/>
  <c r="G207" i="6" a="1"/>
  <c r="G207" i="6" s="1"/>
  <c r="K208" i="6" a="1"/>
  <c r="K208" i="6" s="1"/>
  <c r="G210" i="6" a="1"/>
  <c r="G210" i="6" s="1"/>
  <c r="K211" i="6" a="1"/>
  <c r="K211" i="6" s="1"/>
  <c r="G213" i="6" a="1"/>
  <c r="G213" i="6" s="1"/>
  <c r="K214" i="6" a="1"/>
  <c r="K214" i="6" s="1"/>
  <c r="G216" i="6" a="1"/>
  <c r="G216" i="6" s="1"/>
  <c r="K217" i="6" a="1"/>
  <c r="K217" i="6" s="1"/>
  <c r="G219" i="6" a="1"/>
  <c r="G219" i="6" s="1"/>
  <c r="K220" i="6" a="1"/>
  <c r="K220" i="6" s="1"/>
  <c r="G222" i="6" a="1"/>
  <c r="G222" i="6" s="1"/>
  <c r="K223" i="6" a="1"/>
  <c r="K223" i="6" s="1"/>
  <c r="G225" i="6" a="1"/>
  <c r="G225" i="6" s="1"/>
  <c r="K226" i="6" a="1"/>
  <c r="K226" i="6" s="1"/>
  <c r="G228" i="6" a="1"/>
  <c r="G228" i="6" s="1"/>
  <c r="K229" i="6" a="1"/>
  <c r="K229" i="6" s="1"/>
  <c r="G231" i="6" a="1"/>
  <c r="G231" i="6" s="1"/>
  <c r="K232" i="6" a="1"/>
  <c r="K232" i="6" s="1"/>
  <c r="G234" i="6" a="1"/>
  <c r="G234" i="6" s="1"/>
  <c r="K235" i="6" a="1"/>
  <c r="K235" i="6" s="1"/>
  <c r="G237" i="6" a="1"/>
  <c r="G237" i="6" s="1"/>
  <c r="K238" i="6" a="1"/>
  <c r="K238" i="6" s="1"/>
  <c r="G240" i="6" a="1"/>
  <c r="G240" i="6" s="1"/>
  <c r="K241" i="6" a="1"/>
  <c r="K241" i="6" s="1"/>
  <c r="G243" i="6" a="1"/>
  <c r="G243" i="6" s="1"/>
  <c r="K244" i="6" a="1"/>
  <c r="K244" i="6" s="1"/>
  <c r="G102" i="6" a="1"/>
  <c r="G102" i="6" s="1"/>
  <c r="G108" i="6" a="1"/>
  <c r="G108" i="6" s="1"/>
  <c r="K116" i="6" a="1"/>
  <c r="K116" i="6" s="1"/>
  <c r="K119" i="6" a="1"/>
  <c r="K119" i="6" s="1"/>
  <c r="I122" i="6" a="1"/>
  <c r="I122" i="6" s="1"/>
  <c r="H127" i="6" a="1"/>
  <c r="H127" i="6" s="1"/>
  <c r="E130" i="6" a="1"/>
  <c r="E130" i="6" s="1"/>
  <c r="E136" i="6" a="1"/>
  <c r="E136" i="6" s="1"/>
  <c r="J143" i="6" a="1"/>
  <c r="J143" i="6" s="1"/>
  <c r="H145" i="6" a="1"/>
  <c r="H145" i="6" s="1"/>
  <c r="E147" i="6" a="1"/>
  <c r="E147" i="6" s="1"/>
  <c r="I148" i="6" a="1"/>
  <c r="I148" i="6" s="1"/>
  <c r="H150" i="6" a="1"/>
  <c r="H150" i="6" s="1"/>
  <c r="E152" i="6" a="1"/>
  <c r="E152" i="6" s="1"/>
  <c r="J153" i="6" a="1"/>
  <c r="J153" i="6" s="1"/>
  <c r="H155" i="6" a="1"/>
  <c r="H155" i="6" s="1"/>
  <c r="E157" i="6" a="1"/>
  <c r="E157" i="6" s="1"/>
  <c r="J158" i="6" a="1"/>
  <c r="J158" i="6" s="1"/>
  <c r="G160" i="6" a="1"/>
  <c r="G160" i="6" s="1"/>
  <c r="I163" i="6" a="1"/>
  <c r="I163" i="6" s="1"/>
  <c r="E165" i="6" a="1"/>
  <c r="E165" i="6" s="1"/>
  <c r="J166" i="6" a="1"/>
  <c r="J166" i="6" s="1"/>
  <c r="G168" i="6" a="1"/>
  <c r="G168" i="6" s="1"/>
  <c r="I171" i="6" a="1"/>
  <c r="I171" i="6" s="1"/>
  <c r="G173" i="6" a="1"/>
  <c r="G173" i="6" s="1"/>
  <c r="I176" i="6" a="1"/>
  <c r="I176" i="6" s="1"/>
  <c r="F178" i="6" a="1"/>
  <c r="F178" i="6" s="1"/>
  <c r="K179" i="6" a="1"/>
  <c r="K179" i="6" s="1"/>
  <c r="H181" i="6" a="1"/>
  <c r="H181" i="6" s="1"/>
  <c r="E183" i="6" a="1"/>
  <c r="E183" i="6" s="1"/>
  <c r="F186" i="6" a="1"/>
  <c r="F186" i="6" s="1"/>
  <c r="K187" i="6" a="1"/>
  <c r="K187" i="6" s="1"/>
  <c r="G189" i="6" a="1"/>
  <c r="G189" i="6" s="1"/>
  <c r="I192" i="6" a="1"/>
  <c r="I192" i="6" s="1"/>
  <c r="E194" i="6" a="1"/>
  <c r="E194" i="6" s="1"/>
  <c r="I195" i="6" a="1"/>
  <c r="I195" i="6" s="1"/>
  <c r="E197" i="6" a="1"/>
  <c r="E197" i="6" s="1"/>
  <c r="I198" i="6" a="1"/>
  <c r="I198" i="6" s="1"/>
  <c r="E200" i="6" a="1"/>
  <c r="E200" i="6" s="1"/>
  <c r="I201" i="6" a="1"/>
  <c r="I201" i="6" s="1"/>
  <c r="E203" i="6" a="1"/>
  <c r="E203" i="6" s="1"/>
  <c r="H204" i="6" a="1"/>
  <c r="H204" i="6" s="1"/>
  <c r="H207" i="6" a="1"/>
  <c r="H207" i="6" s="1"/>
  <c r="H210" i="6" a="1"/>
  <c r="H210" i="6" s="1"/>
  <c r="H213" i="6" a="1"/>
  <c r="H213" i="6" s="1"/>
  <c r="H216" i="6" a="1"/>
  <c r="H216" i="6" s="1"/>
  <c r="H219" i="6" a="1"/>
  <c r="H219" i="6" s="1"/>
  <c r="H222" i="6" a="1"/>
  <c r="H222" i="6" s="1"/>
  <c r="H225" i="6" a="1"/>
  <c r="H225" i="6" s="1"/>
  <c r="H228" i="6" a="1"/>
  <c r="H228" i="6" s="1"/>
  <c r="H231" i="6" a="1"/>
  <c r="H231" i="6" s="1"/>
  <c r="H234" i="6" a="1"/>
  <c r="H234" i="6" s="1"/>
  <c r="H237" i="6" a="1"/>
  <c r="H237" i="6" s="1"/>
  <c r="H240" i="6" a="1"/>
  <c r="H240" i="6" s="1"/>
  <c r="H243" i="6" a="1"/>
  <c r="H243" i="6" s="1"/>
  <c r="H246" i="6" a="1"/>
  <c r="H246" i="6" s="1"/>
  <c r="H249" i="6" a="1"/>
  <c r="H249" i="6" s="1"/>
  <c r="H252" i="6" a="1"/>
  <c r="H252" i="6" s="1"/>
  <c r="H255" i="6" a="1"/>
  <c r="H255" i="6" s="1"/>
  <c r="K256" i="6" a="1"/>
  <c r="K256" i="6" s="1"/>
  <c r="G258" i="6" a="1"/>
  <c r="G258" i="6" s="1"/>
  <c r="K259" i="6" a="1"/>
  <c r="K259" i="6" s="1"/>
  <c r="G261" i="6" a="1"/>
  <c r="G261" i="6" s="1"/>
  <c r="K262" i="6" a="1"/>
  <c r="K262" i="6" s="1"/>
  <c r="G264" i="6" a="1"/>
  <c r="G264" i="6" s="1"/>
  <c r="K265" i="6" a="1"/>
  <c r="K265" i="6" s="1"/>
  <c r="G267" i="6" a="1"/>
  <c r="G267" i="6" s="1"/>
  <c r="F113" i="6" a="1"/>
  <c r="F113" i="6" s="1"/>
  <c r="J122" i="6" a="1"/>
  <c r="J122" i="6" s="1"/>
  <c r="F125" i="6" a="1"/>
  <c r="F125" i="6" s="1"/>
  <c r="K127" i="6" a="1"/>
  <c r="K127" i="6" s="1"/>
  <c r="F130" i="6" a="1"/>
  <c r="F130" i="6" s="1"/>
  <c r="F132" i="6" a="1"/>
  <c r="F132" i="6" s="1"/>
  <c r="E134" i="6" a="1"/>
  <c r="E134" i="6" s="1"/>
  <c r="F136" i="6" a="1"/>
  <c r="F136" i="6" s="1"/>
  <c r="F138" i="6" a="1"/>
  <c r="F138" i="6" s="1"/>
  <c r="E140" i="6" a="1"/>
  <c r="E140" i="6" s="1"/>
  <c r="E142" i="6" a="1"/>
  <c r="E142" i="6" s="1"/>
  <c r="K143" i="6" a="1"/>
  <c r="K143" i="6" s="1"/>
  <c r="I145" i="6" a="1"/>
  <c r="I145" i="6" s="1"/>
  <c r="F147" i="6" a="1"/>
  <c r="F147" i="6" s="1"/>
  <c r="J148" i="6" a="1"/>
  <c r="J148" i="6" s="1"/>
  <c r="I150" i="6" a="1"/>
  <c r="I150" i="6" s="1"/>
  <c r="F152" i="6" a="1"/>
  <c r="F152" i="6" s="1"/>
  <c r="I155" i="6" a="1"/>
  <c r="I155" i="6" s="1"/>
  <c r="F157" i="6" a="1"/>
  <c r="F157" i="6" s="1"/>
  <c r="K158" i="6" a="1"/>
  <c r="K158" i="6" s="1"/>
  <c r="H160" i="6" a="1"/>
  <c r="H160" i="6" s="1"/>
  <c r="E162" i="6" a="1"/>
  <c r="E162" i="6" s="1"/>
  <c r="J163" i="6" a="1"/>
  <c r="J163" i="6" s="1"/>
  <c r="F165" i="6" a="1"/>
  <c r="F165" i="6" s="1"/>
  <c r="K166" i="6" a="1"/>
  <c r="K166" i="6" s="1"/>
  <c r="H168" i="6" a="1"/>
  <c r="H168" i="6" s="1"/>
  <c r="E170" i="6" a="1"/>
  <c r="E170" i="6" s="1"/>
  <c r="K171" i="6" a="1"/>
  <c r="K171" i="6" s="1"/>
  <c r="H173" i="6" a="1"/>
  <c r="H173" i="6" s="1"/>
  <c r="E175" i="6" a="1"/>
  <c r="E175" i="6" s="1"/>
  <c r="J176" i="6" a="1"/>
  <c r="J176" i="6" s="1"/>
  <c r="G178" i="6" a="1"/>
  <c r="G178" i="6" s="1"/>
  <c r="I181" i="6" a="1"/>
  <c r="I181" i="6" s="1"/>
  <c r="F183" i="6" a="1"/>
  <c r="F183" i="6" s="1"/>
  <c r="J184" i="6" a="1"/>
  <c r="J184" i="6" s="1"/>
  <c r="G186" i="6" a="1"/>
  <c r="G186" i="6" s="1"/>
  <c r="I189" i="6" a="1"/>
  <c r="I189" i="6" s="1"/>
  <c r="E191" i="6" a="1"/>
  <c r="E191" i="6" s="1"/>
  <c r="J192" i="6" a="1"/>
  <c r="J192" i="6" s="1"/>
  <c r="F194" i="6" a="1"/>
  <c r="F194" i="6" s="1"/>
  <c r="J195" i="6" a="1"/>
  <c r="J195" i="6" s="1"/>
  <c r="F197" i="6" a="1"/>
  <c r="F197" i="6" s="1"/>
  <c r="J198" i="6" a="1"/>
  <c r="J198" i="6" s="1"/>
  <c r="F200" i="6" a="1"/>
  <c r="F200" i="6" s="1"/>
  <c r="J201" i="6" a="1"/>
  <c r="J201" i="6" s="1"/>
  <c r="F203" i="6" a="1"/>
  <c r="F203" i="6" s="1"/>
  <c r="I204" i="6" a="1"/>
  <c r="I204" i="6" s="1"/>
  <c r="E206" i="6" a="1"/>
  <c r="E206" i="6" s="1"/>
  <c r="I207" i="6" a="1"/>
  <c r="I207" i="6" s="1"/>
  <c r="E209" i="6" a="1"/>
  <c r="E209" i="6" s="1"/>
  <c r="I210" i="6" a="1"/>
  <c r="I210" i="6" s="1"/>
  <c r="E212" i="6" a="1"/>
  <c r="E212" i="6" s="1"/>
  <c r="I213" i="6" a="1"/>
  <c r="I213" i="6" s="1"/>
  <c r="E215" i="6" a="1"/>
  <c r="E215" i="6" s="1"/>
  <c r="I216" i="6" a="1"/>
  <c r="I216" i="6" s="1"/>
  <c r="E218" i="6" a="1"/>
  <c r="E218" i="6" s="1"/>
  <c r="I219" i="6" a="1"/>
  <c r="I219" i="6" s="1"/>
  <c r="E221" i="6" a="1"/>
  <c r="E221" i="6" s="1"/>
  <c r="I222" i="6" a="1"/>
  <c r="I222" i="6" s="1"/>
  <c r="E224" i="6" a="1"/>
  <c r="E224" i="6" s="1"/>
  <c r="I225" i="6" a="1"/>
  <c r="I225" i="6" s="1"/>
  <c r="E227" i="6" a="1"/>
  <c r="E227" i="6" s="1"/>
  <c r="H103" i="6" a="1"/>
  <c r="H103" i="6" s="1"/>
  <c r="H109" i="6" a="1"/>
  <c r="H109" i="6" s="1"/>
  <c r="K113" i="6" a="1"/>
  <c r="K113" i="6" s="1"/>
  <c r="G117" i="6" a="1"/>
  <c r="G117" i="6" s="1"/>
  <c r="G120" i="6" a="1"/>
  <c r="G120" i="6" s="1"/>
  <c r="K122" i="6" a="1"/>
  <c r="K122" i="6" s="1"/>
  <c r="I125" i="6" a="1"/>
  <c r="I125" i="6" s="1"/>
  <c r="G130" i="6" a="1"/>
  <c r="G130" i="6" s="1"/>
  <c r="G132" i="6" a="1"/>
  <c r="G132" i="6" s="1"/>
  <c r="F134" i="6" a="1"/>
  <c r="F134" i="6" s="1"/>
  <c r="G136" i="6" a="1"/>
  <c r="G136" i="6" s="1"/>
  <c r="G138" i="6" a="1"/>
  <c r="G138" i="6" s="1"/>
  <c r="F140" i="6" a="1"/>
  <c r="F140" i="6" s="1"/>
  <c r="F142" i="6" a="1"/>
  <c r="F142" i="6" s="1"/>
  <c r="J145" i="6" a="1"/>
  <c r="J145" i="6" s="1"/>
  <c r="G147" i="6" a="1"/>
  <c r="G147" i="6" s="1"/>
  <c r="J150" i="6" a="1"/>
  <c r="J150" i="6" s="1"/>
  <c r="H152" i="6" a="1"/>
  <c r="H152" i="6" s="1"/>
  <c r="E154" i="6" a="1"/>
  <c r="E154" i="6" s="1"/>
  <c r="J155" i="6" a="1"/>
  <c r="J155" i="6" s="1"/>
  <c r="G157" i="6" a="1"/>
  <c r="G157" i="6" s="1"/>
  <c r="I160" i="6" a="1"/>
  <c r="I160" i="6" s="1"/>
  <c r="F162" i="6" a="1"/>
  <c r="F162" i="6" s="1"/>
  <c r="K163" i="6" a="1"/>
  <c r="K163" i="6" s="1"/>
  <c r="G165" i="6" a="1"/>
  <c r="G165" i="6" s="1"/>
  <c r="I168" i="6" a="1"/>
  <c r="I168" i="6" s="1"/>
  <c r="G170" i="6" a="1"/>
  <c r="G170" i="6" s="1"/>
  <c r="I173" i="6" a="1"/>
  <c r="I173" i="6" s="1"/>
  <c r="F175" i="6" a="1"/>
  <c r="F175" i="6" s="1"/>
  <c r="K176" i="6" a="1"/>
  <c r="K176" i="6" s="1"/>
  <c r="H178" i="6" a="1"/>
  <c r="H178" i="6" s="1"/>
  <c r="E180" i="6" a="1"/>
  <c r="E180" i="6" s="1"/>
  <c r="J181" i="6" a="1"/>
  <c r="J181" i="6" s="1"/>
  <c r="G183" i="6" a="1"/>
  <c r="G183" i="6" s="1"/>
  <c r="K184" i="6" a="1"/>
  <c r="K184" i="6" s="1"/>
  <c r="H186" i="6" a="1"/>
  <c r="H186" i="6" s="1"/>
  <c r="F188" i="6" a="1"/>
  <c r="F188" i="6" s="1"/>
  <c r="J189" i="6" a="1"/>
  <c r="J189" i="6" s="1"/>
  <c r="F191" i="6" a="1"/>
  <c r="F191" i="6" s="1"/>
  <c r="K192" i="6" a="1"/>
  <c r="K192" i="6" s="1"/>
  <c r="G194" i="6" a="1"/>
  <c r="G194" i="6" s="1"/>
  <c r="K195" i="6" a="1"/>
  <c r="K195" i="6" s="1"/>
  <c r="G197" i="6" a="1"/>
  <c r="G197" i="6" s="1"/>
  <c r="K198" i="6" a="1"/>
  <c r="K198" i="6" s="1"/>
  <c r="G200" i="6" a="1"/>
  <c r="G200" i="6" s="1"/>
  <c r="K201" i="6" a="1"/>
  <c r="K201" i="6" s="1"/>
  <c r="G203" i="6" a="1"/>
  <c r="G203" i="6" s="1"/>
  <c r="J204" i="6" a="1"/>
  <c r="J204" i="6" s="1"/>
  <c r="F206" i="6" a="1"/>
  <c r="F206" i="6" s="1"/>
  <c r="J207" i="6" a="1"/>
  <c r="J207" i="6" s="1"/>
  <c r="F209" i="6" a="1"/>
  <c r="F209" i="6" s="1"/>
  <c r="J210" i="6" a="1"/>
  <c r="J210" i="6" s="1"/>
  <c r="F212" i="6" a="1"/>
  <c r="F212" i="6" s="1"/>
  <c r="J213" i="6" a="1"/>
  <c r="J213" i="6" s="1"/>
  <c r="F215" i="6" a="1"/>
  <c r="F215" i="6" s="1"/>
  <c r="J216" i="6" a="1"/>
  <c r="J216" i="6" s="1"/>
  <c r="F218" i="6" a="1"/>
  <c r="F218" i="6" s="1"/>
  <c r="J219" i="6" a="1"/>
  <c r="J219" i="6" s="1"/>
  <c r="F221" i="6" a="1"/>
  <c r="F221" i="6" s="1"/>
  <c r="J222" i="6" a="1"/>
  <c r="J222" i="6" s="1"/>
  <c r="F224" i="6" a="1"/>
  <c r="F224" i="6" s="1"/>
  <c r="J225" i="6" a="1"/>
  <c r="J225" i="6" s="1"/>
  <c r="K103" i="6" a="1"/>
  <c r="K103" i="6" s="1"/>
  <c r="K109" i="6" a="1"/>
  <c r="K109" i="6" s="1"/>
  <c r="J117" i="6" a="1"/>
  <c r="J117" i="6" s="1"/>
  <c r="J120" i="6" a="1"/>
  <c r="J120" i="6" s="1"/>
  <c r="J125" i="6" a="1"/>
  <c r="J125" i="6" s="1"/>
  <c r="F128" i="6" a="1"/>
  <c r="F128" i="6" s="1"/>
  <c r="H130" i="6" a="1"/>
  <c r="H130" i="6" s="1"/>
  <c r="I132" i="6" a="1"/>
  <c r="I132" i="6" s="1"/>
  <c r="I134" i="6" a="1"/>
  <c r="I134" i="6" s="1"/>
  <c r="H136" i="6" a="1"/>
  <c r="H136" i="6" s="1"/>
  <c r="I138" i="6" a="1"/>
  <c r="I138" i="6" s="1"/>
  <c r="I140" i="6" a="1"/>
  <c r="I140" i="6" s="1"/>
  <c r="G142" i="6" a="1"/>
  <c r="G142" i="6" s="1"/>
  <c r="E144" i="6" a="1"/>
  <c r="E144" i="6" s="1"/>
  <c r="K145" i="6" a="1"/>
  <c r="K145" i="6" s="1"/>
  <c r="I147" i="6" a="1"/>
  <c r="I147" i="6" s="1"/>
  <c r="E149" i="6" a="1"/>
  <c r="E149" i="6" s="1"/>
  <c r="I152" i="6" a="1"/>
  <c r="I152" i="6" s="1"/>
  <c r="F154" i="6" a="1"/>
  <c r="F154" i="6" s="1"/>
  <c r="K155" i="6" a="1"/>
  <c r="K155" i="6" s="1"/>
  <c r="H157" i="6" a="1"/>
  <c r="H157" i="6" s="1"/>
  <c r="E159" i="6" a="1"/>
  <c r="E159" i="6" s="1"/>
  <c r="J160" i="6" a="1"/>
  <c r="J160" i="6" s="1"/>
  <c r="G162" i="6" a="1"/>
  <c r="G162" i="6" s="1"/>
  <c r="H165" i="6" a="1"/>
  <c r="H165" i="6" s="1"/>
  <c r="E167" i="6" a="1"/>
  <c r="E167" i="6" s="1"/>
  <c r="K168" i="6" a="1"/>
  <c r="K168" i="6" s="1"/>
  <c r="H170" i="6" a="1"/>
  <c r="H170" i="6" s="1"/>
  <c r="E172" i="6" a="1"/>
  <c r="E172" i="6" s="1"/>
  <c r="J173" i="6" a="1"/>
  <c r="J173" i="6" s="1"/>
  <c r="G175" i="6" a="1"/>
  <c r="G175" i="6" s="1"/>
  <c r="I178" i="6" a="1"/>
  <c r="I178" i="6" s="1"/>
  <c r="F180" i="6" a="1"/>
  <c r="F180" i="6" s="1"/>
  <c r="K181" i="6" a="1"/>
  <c r="K181" i="6" s="1"/>
  <c r="H183" i="6" a="1"/>
  <c r="H183" i="6" s="1"/>
  <c r="J186" i="6" a="1"/>
  <c r="J186" i="6" s="1"/>
  <c r="G188" i="6" a="1"/>
  <c r="G188" i="6" s="1"/>
  <c r="K189" i="6" a="1"/>
  <c r="K189" i="6" s="1"/>
  <c r="G191" i="6" a="1"/>
  <c r="G191" i="6" s="1"/>
  <c r="H194" i="6" a="1"/>
  <c r="H194" i="6" s="1"/>
  <c r="H197" i="6" a="1"/>
  <c r="H197" i="6" s="1"/>
  <c r="H200" i="6" a="1"/>
  <c r="H200" i="6" s="1"/>
  <c r="H203" i="6" a="1"/>
  <c r="H203" i="6" s="1"/>
  <c r="K204" i="6" a="1"/>
  <c r="K204" i="6" s="1"/>
  <c r="G206" i="6" a="1"/>
  <c r="G206" i="6" s="1"/>
  <c r="K207" i="6" a="1"/>
  <c r="K207" i="6" s="1"/>
  <c r="G209" i="6" a="1"/>
  <c r="G209" i="6" s="1"/>
  <c r="K210" i="6" a="1"/>
  <c r="K210" i="6" s="1"/>
  <c r="G212" i="6" a="1"/>
  <c r="G212" i="6" s="1"/>
  <c r="K213" i="6" a="1"/>
  <c r="K213" i="6" s="1"/>
  <c r="G215" i="6" a="1"/>
  <c r="G215" i="6" s="1"/>
  <c r="K216" i="6" a="1"/>
  <c r="K216" i="6" s="1"/>
  <c r="G218" i="6" a="1"/>
  <c r="G218" i="6" s="1"/>
  <c r="K219" i="6" a="1"/>
  <c r="K219" i="6" s="1"/>
  <c r="G221" i="6" a="1"/>
  <c r="G221" i="6" s="1"/>
  <c r="K222" i="6" a="1"/>
  <c r="K222" i="6" s="1"/>
  <c r="G224" i="6" a="1"/>
  <c r="G224" i="6" s="1"/>
  <c r="K225" i="6" a="1"/>
  <c r="K225" i="6" s="1"/>
  <c r="G227" i="6" a="1"/>
  <c r="G227" i="6" s="1"/>
  <c r="K228" i="6" a="1"/>
  <c r="K228" i="6" s="1"/>
  <c r="G230" i="6" a="1"/>
  <c r="G230" i="6" s="1"/>
  <c r="K231" i="6" a="1"/>
  <c r="K231" i="6" s="1"/>
  <c r="G233" i="6" a="1"/>
  <c r="G233" i="6" s="1"/>
  <c r="K234" i="6" a="1"/>
  <c r="K234" i="6" s="1"/>
  <c r="G236" i="6" a="1"/>
  <c r="G236" i="6" s="1"/>
  <c r="K237" i="6" a="1"/>
  <c r="K237" i="6" s="1"/>
  <c r="G239" i="6" a="1"/>
  <c r="G239" i="6" s="1"/>
  <c r="K240" i="6" a="1"/>
  <c r="K240" i="6" s="1"/>
  <c r="G242" i="6" a="1"/>
  <c r="G242" i="6" s="1"/>
  <c r="K243" i="6" a="1"/>
  <c r="K243" i="6" s="1"/>
  <c r="G245" i="6" a="1"/>
  <c r="G245" i="6" s="1"/>
  <c r="K246" i="6" a="1"/>
  <c r="K246" i="6" s="1"/>
  <c r="G248" i="6" a="1"/>
  <c r="G248" i="6" s="1"/>
  <c r="K249" i="6" a="1"/>
  <c r="K249" i="6" s="1"/>
  <c r="G251" i="6" a="1"/>
  <c r="G251" i="6" s="1"/>
  <c r="K252" i="6" a="1"/>
  <c r="K252" i="6" s="1"/>
  <c r="G254" i="6" a="1"/>
  <c r="G254" i="6" s="1"/>
  <c r="K255" i="6" a="1"/>
  <c r="K255" i="6" s="1"/>
  <c r="F257" i="6" a="1"/>
  <c r="F257" i="6" s="1"/>
  <c r="J258" i="6" a="1"/>
  <c r="J258" i="6" s="1"/>
  <c r="F260" i="6" a="1"/>
  <c r="F260" i="6" s="1"/>
  <c r="J261" i="6" a="1"/>
  <c r="J261" i="6" s="1"/>
  <c r="F263" i="6" a="1"/>
  <c r="F263" i="6" s="1"/>
  <c r="J264" i="6" a="1"/>
  <c r="J264" i="6" s="1"/>
  <c r="F266" i="6" a="1"/>
  <c r="F266" i="6" s="1"/>
  <c r="G114" i="6" a="1"/>
  <c r="G114" i="6" s="1"/>
  <c r="G123" i="6" a="1"/>
  <c r="G123" i="6" s="1"/>
  <c r="K125" i="6" a="1"/>
  <c r="K125" i="6" s="1"/>
  <c r="I128" i="6" a="1"/>
  <c r="I128" i="6" s="1"/>
  <c r="J130" i="6" a="1"/>
  <c r="J130" i="6" s="1"/>
  <c r="J132" i="6" a="1"/>
  <c r="J132" i="6" s="1"/>
  <c r="J134" i="6" a="1"/>
  <c r="J134" i="6" s="1"/>
  <c r="J136" i="6" a="1"/>
  <c r="J136" i="6" s="1"/>
  <c r="J138" i="6" a="1"/>
  <c r="J138" i="6" s="1"/>
  <c r="J140" i="6" a="1"/>
  <c r="J140" i="6" s="1"/>
  <c r="H142" i="6" a="1"/>
  <c r="H142" i="6" s="1"/>
  <c r="F144" i="6" a="1"/>
  <c r="F144" i="6" s="1"/>
  <c r="J147" i="6" a="1"/>
  <c r="J147" i="6" s="1"/>
  <c r="F149" i="6" a="1"/>
  <c r="F149" i="6" s="1"/>
  <c r="E151" i="6" a="1"/>
  <c r="E151" i="6" s="1"/>
  <c r="J152" i="6" a="1"/>
  <c r="J152" i="6" s="1"/>
  <c r="G154" i="6" a="1"/>
  <c r="G154" i="6" s="1"/>
  <c r="I157" i="6" a="1"/>
  <c r="I157" i="6" s="1"/>
  <c r="F159" i="6" a="1"/>
  <c r="F159" i="6" s="1"/>
  <c r="K160" i="6" a="1"/>
  <c r="K160" i="6" s="1"/>
  <c r="H162" i="6" a="1"/>
  <c r="H162" i="6" s="1"/>
  <c r="E164" i="6" a="1"/>
  <c r="E164" i="6" s="1"/>
  <c r="I165" i="6" a="1"/>
  <c r="I165" i="6" s="1"/>
  <c r="G167" i="6" a="1"/>
  <c r="G167" i="6" s="1"/>
  <c r="I170" i="6" a="1"/>
  <c r="I170" i="6" s="1"/>
  <c r="F172" i="6" a="1"/>
  <c r="F172" i="6" s="1"/>
  <c r="K173" i="6" a="1"/>
  <c r="K173" i="6" s="1"/>
  <c r="H175" i="6" a="1"/>
  <c r="H175" i="6" s="1"/>
  <c r="E177" i="6" a="1"/>
  <c r="E177" i="6" s="1"/>
  <c r="J178" i="6" a="1"/>
  <c r="J178" i="6" s="1"/>
  <c r="G180" i="6" a="1"/>
  <c r="G180" i="6" s="1"/>
  <c r="I183" i="6" a="1"/>
  <c r="I183" i="6" s="1"/>
  <c r="F185" i="6" a="1"/>
  <c r="F185" i="6" s="1"/>
  <c r="K186" i="6" a="1"/>
  <c r="K186" i="6" s="1"/>
  <c r="H188" i="6" a="1"/>
  <c r="H188" i="6" s="1"/>
  <c r="H191" i="6" a="1"/>
  <c r="H191" i="6" s="1"/>
  <c r="E193" i="6" a="1"/>
  <c r="E193" i="6" s="1"/>
  <c r="I194" i="6" a="1"/>
  <c r="I194" i="6" s="1"/>
  <c r="E196" i="6" a="1"/>
  <c r="E196" i="6" s="1"/>
  <c r="I197" i="6" a="1"/>
  <c r="I197" i="6" s="1"/>
  <c r="E199" i="6" a="1"/>
  <c r="E199" i="6" s="1"/>
  <c r="I200" i="6" a="1"/>
  <c r="I200" i="6" s="1"/>
  <c r="E202" i="6" a="1"/>
  <c r="E202" i="6" s="1"/>
  <c r="I203" i="6" a="1"/>
  <c r="I203" i="6" s="1"/>
  <c r="H206" i="6" a="1"/>
  <c r="H206" i="6" s="1"/>
  <c r="H209" i="6" a="1"/>
  <c r="H209" i="6" s="1"/>
  <c r="H212" i="6" a="1"/>
  <c r="H212" i="6" s="1"/>
  <c r="H215" i="6" a="1"/>
  <c r="H215" i="6" s="1"/>
  <c r="H218" i="6" a="1"/>
  <c r="H218" i="6" s="1"/>
  <c r="H221" i="6" a="1"/>
  <c r="H221" i="6" s="1"/>
  <c r="H224" i="6" a="1"/>
  <c r="H224" i="6" s="1"/>
  <c r="H227" i="6" a="1"/>
  <c r="H227" i="6" s="1"/>
  <c r="H230" i="6" a="1"/>
  <c r="H230" i="6" s="1"/>
  <c r="H233" i="6" a="1"/>
  <c r="H233" i="6" s="1"/>
  <c r="H236" i="6" a="1"/>
  <c r="H236" i="6" s="1"/>
  <c r="H239" i="6" a="1"/>
  <c r="H239" i="6" s="1"/>
  <c r="H242" i="6" a="1"/>
  <c r="H242" i="6" s="1"/>
  <c r="H245" i="6" a="1"/>
  <c r="H245" i="6" s="1"/>
  <c r="H248" i="6" a="1"/>
  <c r="H248" i="6" s="1"/>
  <c r="H251" i="6" a="1"/>
  <c r="H251" i="6" s="1"/>
  <c r="K110" i="6" a="1"/>
  <c r="K110" i="6" s="1"/>
  <c r="J114" i="6" a="1"/>
  <c r="J114" i="6" s="1"/>
  <c r="E118" i="6" a="1"/>
  <c r="E118" i="6" s="1"/>
  <c r="E121" i="6" a="1"/>
  <c r="E121" i="6" s="1"/>
  <c r="J123" i="6" a="1"/>
  <c r="J123" i="6" s="1"/>
  <c r="J128" i="6" a="1"/>
  <c r="J128" i="6" s="1"/>
  <c r="K130" i="6" a="1"/>
  <c r="K130" i="6" s="1"/>
  <c r="K134" i="6" a="1"/>
  <c r="K134" i="6" s="1"/>
  <c r="K136" i="6" a="1"/>
  <c r="K136" i="6" s="1"/>
  <c r="K140" i="6" a="1"/>
  <c r="K140" i="6" s="1"/>
  <c r="I142" i="6" a="1"/>
  <c r="I142" i="6" s="1"/>
  <c r="G144" i="6" a="1"/>
  <c r="G144" i="6" s="1"/>
  <c r="E146" i="6" a="1"/>
  <c r="E146" i="6" s="1"/>
  <c r="K147" i="6" a="1"/>
  <c r="K147" i="6" s="1"/>
  <c r="H149" i="6" a="1"/>
  <c r="H149" i="6" s="1"/>
  <c r="F151" i="6" a="1"/>
  <c r="F151" i="6" s="1"/>
  <c r="K152" i="6" a="1"/>
  <c r="K152" i="6" s="1"/>
  <c r="H154" i="6" a="1"/>
  <c r="H154" i="6" s="1"/>
  <c r="E156" i="6" a="1"/>
  <c r="E156" i="6" s="1"/>
  <c r="J157" i="6" a="1"/>
  <c r="J157" i="6" s="1"/>
  <c r="G159" i="6" a="1"/>
  <c r="G159" i="6" s="1"/>
  <c r="I162" i="6" a="1"/>
  <c r="I162" i="6" s="1"/>
  <c r="F164" i="6" a="1"/>
  <c r="F164" i="6" s="1"/>
  <c r="K165" i="6" a="1"/>
  <c r="K165" i="6" s="1"/>
  <c r="H167" i="6" a="1"/>
  <c r="H167" i="6" s="1"/>
  <c r="E169" i="6" a="1"/>
  <c r="E169" i="6" s="1"/>
  <c r="J170" i="6" a="1"/>
  <c r="J170" i="6" s="1"/>
  <c r="G172" i="6" a="1"/>
  <c r="G172" i="6" s="1"/>
  <c r="I175" i="6" a="1"/>
  <c r="I175" i="6" s="1"/>
  <c r="F177" i="6" a="1"/>
  <c r="F177" i="6" s="1"/>
  <c r="K178" i="6" a="1"/>
  <c r="K178" i="6" s="1"/>
  <c r="H180" i="6" a="1"/>
  <c r="H180" i="6" s="1"/>
  <c r="E182" i="6" a="1"/>
  <c r="E182" i="6" s="1"/>
  <c r="K183" i="6" a="1"/>
  <c r="K183" i="6" s="1"/>
  <c r="G185" i="6" a="1"/>
  <c r="G185" i="6" s="1"/>
  <c r="I188" i="6" a="1"/>
  <c r="I188" i="6" s="1"/>
  <c r="E190" i="6" a="1"/>
  <c r="E190" i="6" s="1"/>
  <c r="I191" i="6" a="1"/>
  <c r="I191" i="6" s="1"/>
  <c r="F193" i="6" a="1"/>
  <c r="F193" i="6" s="1"/>
  <c r="J194" i="6" a="1"/>
  <c r="J194" i="6" s="1"/>
  <c r="F196" i="6" a="1"/>
  <c r="F196" i="6" s="1"/>
  <c r="J197" i="6" a="1"/>
  <c r="J197" i="6" s="1"/>
  <c r="F199" i="6" a="1"/>
  <c r="F199" i="6" s="1"/>
  <c r="J200" i="6" a="1"/>
  <c r="J200" i="6" s="1"/>
  <c r="F202" i="6" a="1"/>
  <c r="F202" i="6" s="1"/>
  <c r="J203" i="6" a="1"/>
  <c r="J203" i="6" s="1"/>
  <c r="E205" i="6" a="1"/>
  <c r="E205" i="6" s="1"/>
  <c r="I206" i="6" a="1"/>
  <c r="I206" i="6" s="1"/>
  <c r="E208" i="6" a="1"/>
  <c r="E208" i="6" s="1"/>
  <c r="I209" i="6" a="1"/>
  <c r="I209" i="6" s="1"/>
  <c r="E211" i="6" a="1"/>
  <c r="E211" i="6" s="1"/>
  <c r="I212" i="6" a="1"/>
  <c r="I212" i="6" s="1"/>
  <c r="E214" i="6" a="1"/>
  <c r="E214" i="6" s="1"/>
  <c r="I215" i="6" a="1"/>
  <c r="I215" i="6" s="1"/>
  <c r="E217" i="6" a="1"/>
  <c r="E217" i="6" s="1"/>
  <c r="I218" i="6" a="1"/>
  <c r="I218" i="6" s="1"/>
  <c r="E220" i="6" a="1"/>
  <c r="E220" i="6" s="1"/>
  <c r="I221" i="6" a="1"/>
  <c r="I221" i="6" s="1"/>
  <c r="E223" i="6" a="1"/>
  <c r="E223" i="6" s="1"/>
  <c r="I224" i="6" a="1"/>
  <c r="I224" i="6" s="1"/>
  <c r="E226" i="6" a="1"/>
  <c r="E226" i="6" s="1"/>
  <c r="G232" i="6" a="1"/>
  <c r="G232" i="6" s="1"/>
  <c r="F235" i="6" a="1"/>
  <c r="F235" i="6" s="1"/>
  <c r="E238" i="6" a="1"/>
  <c r="E238" i="6" s="1"/>
  <c r="I240" i="6" a="1"/>
  <c r="I240" i="6" s="1"/>
  <c r="K242" i="6" a="1"/>
  <c r="K242" i="6" s="1"/>
  <c r="F245" i="6" a="1"/>
  <c r="F245" i="6" s="1"/>
  <c r="G247" i="6" a="1"/>
  <c r="G247" i="6" s="1"/>
  <c r="I249" i="6" a="1"/>
  <c r="I249" i="6" s="1"/>
  <c r="J251" i="6" a="1"/>
  <c r="J251" i="6" s="1"/>
  <c r="K253" i="6" a="1"/>
  <c r="K253" i="6" s="1"/>
  <c r="I255" i="6" a="1"/>
  <c r="I255" i="6" s="1"/>
  <c r="H257" i="6" a="1"/>
  <c r="H257" i="6" s="1"/>
  <c r="H259" i="6" a="1"/>
  <c r="H259" i="6" s="1"/>
  <c r="H261" i="6" a="1"/>
  <c r="H261" i="6" s="1"/>
  <c r="H263" i="6" a="1"/>
  <c r="H263" i="6" s="1"/>
  <c r="H265" i="6" a="1"/>
  <c r="H265" i="6" s="1"/>
  <c r="H267" i="6" a="1"/>
  <c r="H267" i="6" s="1"/>
  <c r="I270" i="6" a="1"/>
  <c r="I270" i="6" s="1"/>
  <c r="F272" i="6" a="1"/>
  <c r="F272" i="6" s="1"/>
  <c r="K273" i="6" a="1"/>
  <c r="K273" i="6" s="1"/>
  <c r="H275" i="6" a="1"/>
  <c r="H275" i="6" s="1"/>
  <c r="E277" i="6" a="1"/>
  <c r="E277" i="6" s="1"/>
  <c r="J278" i="6" a="1"/>
  <c r="J278" i="6" s="1"/>
  <c r="G280" i="6" a="1"/>
  <c r="G280" i="6" s="1"/>
  <c r="K281" i="6" a="1"/>
  <c r="K281" i="6" s="1"/>
  <c r="G283" i="6" a="1"/>
  <c r="G283" i="6" s="1"/>
  <c r="K284" i="6" a="1"/>
  <c r="K284" i="6" s="1"/>
  <c r="G286" i="6" a="1"/>
  <c r="G286" i="6" s="1"/>
  <c r="K287" i="6" a="1"/>
  <c r="K287" i="6" s="1"/>
  <c r="G289" i="6" a="1"/>
  <c r="G289" i="6" s="1"/>
  <c r="K290" i="6" a="1"/>
  <c r="K290" i="6" s="1"/>
  <c r="G292" i="6" a="1"/>
  <c r="G292" i="6" s="1"/>
  <c r="K293" i="6" a="1"/>
  <c r="K293" i="6" s="1"/>
  <c r="G295" i="6" a="1"/>
  <c r="G295" i="6" s="1"/>
  <c r="K296" i="6" a="1"/>
  <c r="K296" i="6" s="1"/>
  <c r="G298" i="6" a="1"/>
  <c r="G298" i="6" s="1"/>
  <c r="K299" i="6" a="1"/>
  <c r="K299" i="6" s="1"/>
  <c r="G301" i="6" a="1"/>
  <c r="G301" i="6" s="1"/>
  <c r="K302" i="6" a="1"/>
  <c r="K302" i="6" s="1"/>
  <c r="G304" i="6" a="1"/>
  <c r="G304" i="6" s="1"/>
  <c r="K305" i="6" a="1"/>
  <c r="K305" i="6" s="1"/>
  <c r="G307" i="6" a="1"/>
  <c r="G307" i="6" s="1"/>
  <c r="K308" i="6" a="1"/>
  <c r="K308" i="6" s="1"/>
  <c r="G310" i="6" a="1"/>
  <c r="G310" i="6" s="1"/>
  <c r="K311" i="6" a="1"/>
  <c r="K311" i="6" s="1"/>
  <c r="F313" i="6" a="1"/>
  <c r="F313" i="6" s="1"/>
  <c r="J314" i="6" a="1"/>
  <c r="J314" i="6" s="1"/>
  <c r="F316" i="6" a="1"/>
  <c r="F316" i="6" s="1"/>
  <c r="J317" i="6" a="1"/>
  <c r="J317" i="6" s="1"/>
  <c r="F319" i="6" a="1"/>
  <c r="F319" i="6" s="1"/>
  <c r="J320" i="6" a="1"/>
  <c r="J320" i="6" s="1"/>
  <c r="F226" i="6" a="1"/>
  <c r="F226" i="6" s="1"/>
  <c r="E230" i="6" a="1"/>
  <c r="E230" i="6" s="1"/>
  <c r="G235" i="6" a="1"/>
  <c r="G235" i="6" s="1"/>
  <c r="F238" i="6" a="1"/>
  <c r="F238" i="6" s="1"/>
  <c r="J240" i="6" a="1"/>
  <c r="J240" i="6" s="1"/>
  <c r="I245" i="6" a="1"/>
  <c r="I245" i="6" s="1"/>
  <c r="I247" i="6" a="1"/>
  <c r="I247" i="6" s="1"/>
  <c r="J249" i="6" a="1"/>
  <c r="J249" i="6" s="1"/>
  <c r="K251" i="6" a="1"/>
  <c r="K251" i="6" s="1"/>
  <c r="J255" i="6" a="1"/>
  <c r="J255" i="6" s="1"/>
  <c r="I257" i="6" a="1"/>
  <c r="I257" i="6" s="1"/>
  <c r="I259" i="6" a="1"/>
  <c r="I259" i="6" s="1"/>
  <c r="I261" i="6" a="1"/>
  <c r="I261" i="6" s="1"/>
  <c r="I263" i="6" a="1"/>
  <c r="I263" i="6" s="1"/>
  <c r="I265" i="6" a="1"/>
  <c r="I265" i="6" s="1"/>
  <c r="I267" i="6" a="1"/>
  <c r="I267" i="6" s="1"/>
  <c r="E269" i="6" a="1"/>
  <c r="E269" i="6" s="1"/>
  <c r="J270" i="6" a="1"/>
  <c r="J270" i="6" s="1"/>
  <c r="G272" i="6" a="1"/>
  <c r="G272" i="6" s="1"/>
  <c r="I275" i="6" a="1"/>
  <c r="I275" i="6" s="1"/>
  <c r="G277" i="6" a="1"/>
  <c r="G277" i="6" s="1"/>
  <c r="K278" i="6" a="1"/>
  <c r="K278" i="6" s="1"/>
  <c r="H280" i="6" a="1"/>
  <c r="H280" i="6" s="1"/>
  <c r="H283" i="6" a="1"/>
  <c r="H283" i="6" s="1"/>
  <c r="H286" i="6" a="1"/>
  <c r="H286" i="6" s="1"/>
  <c r="H289" i="6" a="1"/>
  <c r="H289" i="6" s="1"/>
  <c r="H292" i="6" a="1"/>
  <c r="H292" i="6" s="1"/>
  <c r="H295" i="6" a="1"/>
  <c r="H295" i="6" s="1"/>
  <c r="H298" i="6" a="1"/>
  <c r="H298" i="6" s="1"/>
  <c r="H301" i="6" a="1"/>
  <c r="H301" i="6" s="1"/>
  <c r="H304" i="6" a="1"/>
  <c r="H304" i="6" s="1"/>
  <c r="H307" i="6" a="1"/>
  <c r="H307" i="6" s="1"/>
  <c r="H310" i="6" a="1"/>
  <c r="H310" i="6" s="1"/>
  <c r="G313" i="6" a="1"/>
  <c r="G313" i="6" s="1"/>
  <c r="K314" i="6" a="1"/>
  <c r="K314" i="6" s="1"/>
  <c r="G316" i="6" a="1"/>
  <c r="G316" i="6" s="1"/>
  <c r="K317" i="6" a="1"/>
  <c r="K317" i="6" s="1"/>
  <c r="G319" i="6" a="1"/>
  <c r="G319" i="6" s="1"/>
  <c r="K320" i="6" a="1"/>
  <c r="K320" i="6" s="1"/>
  <c r="G322" i="6" a="1"/>
  <c r="G322" i="6" s="1"/>
  <c r="K323" i="6" a="1"/>
  <c r="K323" i="6" s="1"/>
  <c r="G325" i="6" a="1"/>
  <c r="G325" i="6" s="1"/>
  <c r="K326" i="6" a="1"/>
  <c r="K326" i="6" s="1"/>
  <c r="G328" i="6" a="1"/>
  <c r="G328" i="6" s="1"/>
  <c r="K329" i="6" a="1"/>
  <c r="K329" i="6" s="1"/>
  <c r="G331" i="6" a="1"/>
  <c r="G331" i="6" s="1"/>
  <c r="K332" i="6" a="1"/>
  <c r="K332" i="6" s="1"/>
  <c r="G334" i="6" a="1"/>
  <c r="G334" i="6" s="1"/>
  <c r="K335" i="6" a="1"/>
  <c r="K335" i="6" s="1"/>
  <c r="G337" i="6" a="1"/>
  <c r="G337" i="6" s="1"/>
  <c r="K338" i="6" a="1"/>
  <c r="K338" i="6" s="1"/>
  <c r="G340" i="6" a="1"/>
  <c r="G340" i="6" s="1"/>
  <c r="K341" i="6" a="1"/>
  <c r="K341" i="6" s="1"/>
  <c r="G343" i="6" a="1"/>
  <c r="G343" i="6" s="1"/>
  <c r="K344" i="6" a="1"/>
  <c r="K344" i="6" s="1"/>
  <c r="G346" i="6" a="1"/>
  <c r="G346" i="6" s="1"/>
  <c r="K347" i="6" a="1"/>
  <c r="K347" i="6" s="1"/>
  <c r="F230" i="6" a="1"/>
  <c r="F230" i="6" s="1"/>
  <c r="E233" i="6" a="1"/>
  <c r="E233" i="6" s="1"/>
  <c r="G238" i="6" a="1"/>
  <c r="G238" i="6" s="1"/>
  <c r="E243" i="6" a="1"/>
  <c r="E243" i="6" s="1"/>
  <c r="J245" i="6" a="1"/>
  <c r="J245" i="6" s="1"/>
  <c r="K247" i="6" a="1"/>
  <c r="K247" i="6" s="1"/>
  <c r="E254" i="6" a="1"/>
  <c r="E254" i="6" s="1"/>
  <c r="J257" i="6" a="1"/>
  <c r="J257" i="6" s="1"/>
  <c r="J259" i="6" a="1"/>
  <c r="J259" i="6" s="1"/>
  <c r="K261" i="6" a="1"/>
  <c r="K261" i="6" s="1"/>
  <c r="J263" i="6" a="1"/>
  <c r="J263" i="6" s="1"/>
  <c r="J265" i="6" a="1"/>
  <c r="J265" i="6" s="1"/>
  <c r="J267" i="6" a="1"/>
  <c r="J267" i="6" s="1"/>
  <c r="F269" i="6" a="1"/>
  <c r="F269" i="6" s="1"/>
  <c r="K270" i="6" a="1"/>
  <c r="K270" i="6" s="1"/>
  <c r="H272" i="6" a="1"/>
  <c r="H272" i="6" s="1"/>
  <c r="E274" i="6" a="1"/>
  <c r="E274" i="6" s="1"/>
  <c r="K275" i="6" a="1"/>
  <c r="K275" i="6" s="1"/>
  <c r="I280" i="6" a="1"/>
  <c r="I280" i="6" s="1"/>
  <c r="E282" i="6" a="1"/>
  <c r="E282" i="6" s="1"/>
  <c r="I283" i="6" a="1"/>
  <c r="I283" i="6" s="1"/>
  <c r="E285" i="6" a="1"/>
  <c r="E285" i="6" s="1"/>
  <c r="I286" i="6" a="1"/>
  <c r="I286" i="6" s="1"/>
  <c r="E288" i="6" a="1"/>
  <c r="E288" i="6" s="1"/>
  <c r="I289" i="6" a="1"/>
  <c r="I289" i="6" s="1"/>
  <c r="E291" i="6" a="1"/>
  <c r="E291" i="6" s="1"/>
  <c r="I292" i="6" a="1"/>
  <c r="I292" i="6" s="1"/>
  <c r="E294" i="6" a="1"/>
  <c r="E294" i="6" s="1"/>
  <c r="I295" i="6" a="1"/>
  <c r="I295" i="6" s="1"/>
  <c r="E297" i="6" a="1"/>
  <c r="E297" i="6" s="1"/>
  <c r="I298" i="6" a="1"/>
  <c r="I298" i="6" s="1"/>
  <c r="E300" i="6" a="1"/>
  <c r="E300" i="6" s="1"/>
  <c r="I301" i="6" a="1"/>
  <c r="I301" i="6" s="1"/>
  <c r="E303" i="6" a="1"/>
  <c r="E303" i="6" s="1"/>
  <c r="I304" i="6" a="1"/>
  <c r="I304" i="6" s="1"/>
  <c r="E306" i="6" a="1"/>
  <c r="E306" i="6" s="1"/>
  <c r="I307" i="6" a="1"/>
  <c r="I307" i="6" s="1"/>
  <c r="E309" i="6" a="1"/>
  <c r="E309" i="6" s="1"/>
  <c r="I310" i="6" a="1"/>
  <c r="I310" i="6" s="1"/>
  <c r="H313" i="6" a="1"/>
  <c r="H313" i="6" s="1"/>
  <c r="H316" i="6" a="1"/>
  <c r="H316" i="6" s="1"/>
  <c r="H319" i="6" a="1"/>
  <c r="H319" i="6" s="1"/>
  <c r="H322" i="6" a="1"/>
  <c r="H322" i="6" s="1"/>
  <c r="H325" i="6" a="1"/>
  <c r="H325" i="6" s="1"/>
  <c r="H328" i="6" a="1"/>
  <c r="H328" i="6" s="1"/>
  <c r="H331" i="6" a="1"/>
  <c r="H331" i="6" s="1"/>
  <c r="H334" i="6" a="1"/>
  <c r="H334" i="6" s="1"/>
  <c r="H337" i="6" a="1"/>
  <c r="H337" i="6" s="1"/>
  <c r="H340" i="6" a="1"/>
  <c r="H340" i="6" s="1"/>
  <c r="H343" i="6" a="1"/>
  <c r="H343" i="6" s="1"/>
  <c r="H346" i="6" a="1"/>
  <c r="H346" i="6" s="1"/>
  <c r="F227" i="6" a="1"/>
  <c r="F227" i="6" s="1"/>
  <c r="I230" i="6" a="1"/>
  <c r="I230" i="6" s="1"/>
  <c r="F233" i="6" a="1"/>
  <c r="F233" i="6" s="1"/>
  <c r="E236" i="6" a="1"/>
  <c r="E236" i="6" s="1"/>
  <c r="I238" i="6" a="1"/>
  <c r="I238" i="6" s="1"/>
  <c r="E241" i="6" a="1"/>
  <c r="E241" i="6" s="1"/>
  <c r="I243" i="6" a="1"/>
  <c r="I243" i="6" s="1"/>
  <c r="K245" i="6" a="1"/>
  <c r="K245" i="6" s="1"/>
  <c r="E250" i="6" a="1"/>
  <c r="E250" i="6" s="1"/>
  <c r="E252" i="6" a="1"/>
  <c r="E252" i="6" s="1"/>
  <c r="F254" i="6" a="1"/>
  <c r="F254" i="6" s="1"/>
  <c r="E256" i="6" a="1"/>
  <c r="E256" i="6" s="1"/>
  <c r="K267" i="6" a="1"/>
  <c r="K267" i="6" s="1"/>
  <c r="G269" i="6" a="1"/>
  <c r="G269" i="6" s="1"/>
  <c r="I272" i="6" a="1"/>
  <c r="I272" i="6" s="1"/>
  <c r="G274" i="6" a="1"/>
  <c r="G274" i="6" s="1"/>
  <c r="H277" i="6" a="1"/>
  <c r="H277" i="6" s="1"/>
  <c r="E279" i="6" a="1"/>
  <c r="E279" i="6" s="1"/>
  <c r="J280" i="6" a="1"/>
  <c r="J280" i="6" s="1"/>
  <c r="F282" i="6" a="1"/>
  <c r="F282" i="6" s="1"/>
  <c r="J283" i="6" a="1"/>
  <c r="J283" i="6" s="1"/>
  <c r="F285" i="6" a="1"/>
  <c r="F285" i="6" s="1"/>
  <c r="J286" i="6" a="1"/>
  <c r="J286" i="6" s="1"/>
  <c r="F288" i="6" a="1"/>
  <c r="F288" i="6" s="1"/>
  <c r="J289" i="6" a="1"/>
  <c r="J289" i="6" s="1"/>
  <c r="F291" i="6" a="1"/>
  <c r="F291" i="6" s="1"/>
  <c r="J292" i="6" a="1"/>
  <c r="J292" i="6" s="1"/>
  <c r="F294" i="6" a="1"/>
  <c r="F294" i="6" s="1"/>
  <c r="J295" i="6" a="1"/>
  <c r="J295" i="6" s="1"/>
  <c r="F297" i="6" a="1"/>
  <c r="F297" i="6" s="1"/>
  <c r="J298" i="6" a="1"/>
  <c r="J298" i="6" s="1"/>
  <c r="F300" i="6" a="1"/>
  <c r="F300" i="6" s="1"/>
  <c r="J301" i="6" a="1"/>
  <c r="J301" i="6" s="1"/>
  <c r="F303" i="6" a="1"/>
  <c r="F303" i="6" s="1"/>
  <c r="J304" i="6" a="1"/>
  <c r="J304" i="6" s="1"/>
  <c r="F306" i="6" a="1"/>
  <c r="F306" i="6" s="1"/>
  <c r="J307" i="6" a="1"/>
  <c r="J307" i="6" s="1"/>
  <c r="F309" i="6" a="1"/>
  <c r="F309" i="6" s="1"/>
  <c r="J310" i="6" a="1"/>
  <c r="J310" i="6" s="1"/>
  <c r="E312" i="6" a="1"/>
  <c r="E312" i="6" s="1"/>
  <c r="I313" i="6" a="1"/>
  <c r="I313" i="6" s="1"/>
  <c r="E315" i="6" a="1"/>
  <c r="E315" i="6" s="1"/>
  <c r="I316" i="6" a="1"/>
  <c r="I316" i="6" s="1"/>
  <c r="E318" i="6" a="1"/>
  <c r="E318" i="6" s="1"/>
  <c r="I319" i="6" a="1"/>
  <c r="I319" i="6" s="1"/>
  <c r="E321" i="6" a="1"/>
  <c r="E321" i="6" s="1"/>
  <c r="I322" i="6" a="1"/>
  <c r="I322" i="6" s="1"/>
  <c r="E324" i="6" a="1"/>
  <c r="E324" i="6" s="1"/>
  <c r="I325" i="6" a="1"/>
  <c r="I325" i="6" s="1"/>
  <c r="E327" i="6" a="1"/>
  <c r="E327" i="6" s="1"/>
  <c r="I328" i="6" a="1"/>
  <c r="I328" i="6" s="1"/>
  <c r="E330" i="6" a="1"/>
  <c r="E330" i="6" s="1"/>
  <c r="I331" i="6" a="1"/>
  <c r="I331" i="6" s="1"/>
  <c r="E333" i="6" a="1"/>
  <c r="E333" i="6" s="1"/>
  <c r="I334" i="6" a="1"/>
  <c r="I334" i="6" s="1"/>
  <c r="E336" i="6" a="1"/>
  <c r="E336" i="6" s="1"/>
  <c r="I337" i="6" a="1"/>
  <c r="I337" i="6" s="1"/>
  <c r="E339" i="6" a="1"/>
  <c r="E339" i="6" s="1"/>
  <c r="I340" i="6" a="1"/>
  <c r="I340" i="6" s="1"/>
  <c r="E342" i="6" a="1"/>
  <c r="E342" i="6" s="1"/>
  <c r="I343" i="6" a="1"/>
  <c r="I343" i="6" s="1"/>
  <c r="E345" i="6" a="1"/>
  <c r="E345" i="6" s="1"/>
  <c r="I346" i="6" a="1"/>
  <c r="I346" i="6" s="1"/>
  <c r="E348" i="6" a="1"/>
  <c r="E348" i="6" s="1"/>
  <c r="I349" i="6" a="1"/>
  <c r="I349" i="6" s="1"/>
  <c r="J221" i="6" a="1"/>
  <c r="J221" i="6" s="1"/>
  <c r="I227" i="6" a="1"/>
  <c r="I227" i="6" s="1"/>
  <c r="J230" i="6" a="1"/>
  <c r="J230" i="6" s="1"/>
  <c r="I233" i="6" a="1"/>
  <c r="I233" i="6" s="1"/>
  <c r="F236" i="6" a="1"/>
  <c r="F236" i="6" s="1"/>
  <c r="F241" i="6" a="1"/>
  <c r="F241" i="6" s="1"/>
  <c r="J243" i="6" a="1"/>
  <c r="J243" i="6" s="1"/>
  <c r="E248" i="6" a="1"/>
  <c r="E248" i="6" s="1"/>
  <c r="F250" i="6" a="1"/>
  <c r="F250" i="6" s="1"/>
  <c r="G252" i="6" a="1"/>
  <c r="G252" i="6" s="1"/>
  <c r="H254" i="6" a="1"/>
  <c r="H254" i="6" s="1"/>
  <c r="F256" i="6" a="1"/>
  <c r="F256" i="6" s="1"/>
  <c r="E258" i="6" a="1"/>
  <c r="E258" i="6" s="1"/>
  <c r="E260" i="6" a="1"/>
  <c r="E260" i="6" s="1"/>
  <c r="E262" i="6" a="1"/>
  <c r="E262" i="6" s="1"/>
  <c r="E264" i="6" a="1"/>
  <c r="E264" i="6" s="1"/>
  <c r="E266" i="6" a="1"/>
  <c r="E266" i="6" s="1"/>
  <c r="H269" i="6" a="1"/>
  <c r="H269" i="6" s="1"/>
  <c r="E271" i="6" a="1"/>
  <c r="E271" i="6" s="1"/>
  <c r="K272" i="6" a="1"/>
  <c r="K272" i="6" s="1"/>
  <c r="H274" i="6" a="1"/>
  <c r="H274" i="6" s="1"/>
  <c r="E276" i="6" a="1"/>
  <c r="E276" i="6" s="1"/>
  <c r="I277" i="6" a="1"/>
  <c r="I277" i="6" s="1"/>
  <c r="F279" i="6" a="1"/>
  <c r="F279" i="6" s="1"/>
  <c r="K280" i="6" a="1"/>
  <c r="K280" i="6" s="1"/>
  <c r="G282" i="6" a="1"/>
  <c r="G282" i="6" s="1"/>
  <c r="K283" i="6" a="1"/>
  <c r="K283" i="6" s="1"/>
  <c r="G285" i="6" a="1"/>
  <c r="G285" i="6" s="1"/>
  <c r="K286" i="6" a="1"/>
  <c r="K286" i="6" s="1"/>
  <c r="G288" i="6" a="1"/>
  <c r="G288" i="6" s="1"/>
  <c r="K289" i="6" a="1"/>
  <c r="K289" i="6" s="1"/>
  <c r="G291" i="6" a="1"/>
  <c r="G291" i="6" s="1"/>
  <c r="K292" i="6" a="1"/>
  <c r="K292" i="6" s="1"/>
  <c r="G294" i="6" a="1"/>
  <c r="G294" i="6" s="1"/>
  <c r="K295" i="6" a="1"/>
  <c r="K295" i="6" s="1"/>
  <c r="G297" i="6" a="1"/>
  <c r="G297" i="6" s="1"/>
  <c r="K298" i="6" a="1"/>
  <c r="K298" i="6" s="1"/>
  <c r="G300" i="6" a="1"/>
  <c r="G300" i="6" s="1"/>
  <c r="K301" i="6" a="1"/>
  <c r="K301" i="6" s="1"/>
  <c r="G303" i="6" a="1"/>
  <c r="G303" i="6" s="1"/>
  <c r="K304" i="6" a="1"/>
  <c r="K304" i="6" s="1"/>
  <c r="G306" i="6" a="1"/>
  <c r="G306" i="6" s="1"/>
  <c r="K307" i="6" a="1"/>
  <c r="K307" i="6" s="1"/>
  <c r="G309" i="6" a="1"/>
  <c r="G309" i="6" s="1"/>
  <c r="K310" i="6" a="1"/>
  <c r="K310" i="6" s="1"/>
  <c r="F312" i="6" a="1"/>
  <c r="F312" i="6" s="1"/>
  <c r="J313" i="6" a="1"/>
  <c r="J313" i="6" s="1"/>
  <c r="F315" i="6" a="1"/>
  <c r="F315" i="6" s="1"/>
  <c r="J316" i="6" a="1"/>
  <c r="J316" i="6" s="1"/>
  <c r="F318" i="6" a="1"/>
  <c r="F318" i="6" s="1"/>
  <c r="J319" i="6" a="1"/>
  <c r="J319" i="6" s="1"/>
  <c r="F321" i="6" a="1"/>
  <c r="F321" i="6" s="1"/>
  <c r="J322" i="6" a="1"/>
  <c r="J322" i="6" s="1"/>
  <c r="F324" i="6" a="1"/>
  <c r="F324" i="6" s="1"/>
  <c r="J325" i="6" a="1"/>
  <c r="J325" i="6" s="1"/>
  <c r="F327" i="6" a="1"/>
  <c r="F327" i="6" s="1"/>
  <c r="J328" i="6" a="1"/>
  <c r="J328" i="6" s="1"/>
  <c r="F330" i="6" a="1"/>
  <c r="F330" i="6" s="1"/>
  <c r="J331" i="6" a="1"/>
  <c r="J331" i="6" s="1"/>
  <c r="F333" i="6" a="1"/>
  <c r="F333" i="6" s="1"/>
  <c r="J334" i="6" a="1"/>
  <c r="J334" i="6" s="1"/>
  <c r="F336" i="6" a="1"/>
  <c r="F336" i="6" s="1"/>
  <c r="J337" i="6" a="1"/>
  <c r="J337" i="6" s="1"/>
  <c r="F339" i="6" a="1"/>
  <c r="F339" i="6" s="1"/>
  <c r="J340" i="6" a="1"/>
  <c r="J340" i="6" s="1"/>
  <c r="F342" i="6" a="1"/>
  <c r="F342" i="6" s="1"/>
  <c r="J343" i="6" a="1"/>
  <c r="J343" i="6" s="1"/>
  <c r="F345" i="6" a="1"/>
  <c r="F345" i="6" s="1"/>
  <c r="J346" i="6" a="1"/>
  <c r="J346" i="6" s="1"/>
  <c r="F348" i="6" a="1"/>
  <c r="F348" i="6" s="1"/>
  <c r="J349" i="6" a="1"/>
  <c r="J349" i="6" s="1"/>
  <c r="J227" i="6" a="1"/>
  <c r="J227" i="6" s="1"/>
  <c r="K230" i="6" a="1"/>
  <c r="K230" i="6" s="1"/>
  <c r="J233" i="6" a="1"/>
  <c r="J233" i="6" s="1"/>
  <c r="I236" i="6" a="1"/>
  <c r="I236" i="6" s="1"/>
  <c r="E239" i="6" a="1"/>
  <c r="E239" i="6" s="1"/>
  <c r="G241" i="6" a="1"/>
  <c r="G241" i="6" s="1"/>
  <c r="E246" i="6" a="1"/>
  <c r="E246" i="6" s="1"/>
  <c r="F248" i="6" a="1"/>
  <c r="F248" i="6" s="1"/>
  <c r="G250" i="6" a="1"/>
  <c r="G250" i="6" s="1"/>
  <c r="I252" i="6" a="1"/>
  <c r="I252" i="6" s="1"/>
  <c r="I254" i="6" a="1"/>
  <c r="I254" i="6" s="1"/>
  <c r="G256" i="6" a="1"/>
  <c r="G256" i="6" s="1"/>
  <c r="F258" i="6" a="1"/>
  <c r="F258" i="6" s="1"/>
  <c r="G260" i="6" a="1"/>
  <c r="G260" i="6" s="1"/>
  <c r="F262" i="6" a="1"/>
  <c r="F262" i="6" s="1"/>
  <c r="F264" i="6" a="1"/>
  <c r="F264" i="6" s="1"/>
  <c r="G266" i="6" a="1"/>
  <c r="G266" i="6" s="1"/>
  <c r="E268" i="6" a="1"/>
  <c r="E268" i="6" s="1"/>
  <c r="I269" i="6" a="1"/>
  <c r="I269" i="6" s="1"/>
  <c r="G271" i="6" a="1"/>
  <c r="G271" i="6" s="1"/>
  <c r="I274" i="6" a="1"/>
  <c r="I274" i="6" s="1"/>
  <c r="F276" i="6" a="1"/>
  <c r="F276" i="6" s="1"/>
  <c r="J277" i="6" a="1"/>
  <c r="J277" i="6" s="1"/>
  <c r="G279" i="6" a="1"/>
  <c r="G279" i="6" s="1"/>
  <c r="H282" i="6" a="1"/>
  <c r="H282" i="6" s="1"/>
  <c r="H285" i="6" a="1"/>
  <c r="H285" i="6" s="1"/>
  <c r="H288" i="6" a="1"/>
  <c r="H288" i="6" s="1"/>
  <c r="H291" i="6" a="1"/>
  <c r="H291" i="6" s="1"/>
  <c r="H294" i="6" a="1"/>
  <c r="H294" i="6" s="1"/>
  <c r="H297" i="6" a="1"/>
  <c r="H297" i="6" s="1"/>
  <c r="H300" i="6" a="1"/>
  <c r="H300" i="6" s="1"/>
  <c r="H303" i="6" a="1"/>
  <c r="H303" i="6" s="1"/>
  <c r="H306" i="6" a="1"/>
  <c r="H306" i="6" s="1"/>
  <c r="H309" i="6" a="1"/>
  <c r="H309" i="6" s="1"/>
  <c r="G312" i="6" a="1"/>
  <c r="G312" i="6" s="1"/>
  <c r="K313" i="6" a="1"/>
  <c r="K313" i="6" s="1"/>
  <c r="G315" i="6" a="1"/>
  <c r="G315" i="6" s="1"/>
  <c r="K316" i="6" a="1"/>
  <c r="K316" i="6" s="1"/>
  <c r="G318" i="6" a="1"/>
  <c r="G318" i="6" s="1"/>
  <c r="K319" i="6" a="1"/>
  <c r="K319" i="6" s="1"/>
  <c r="G321" i="6" a="1"/>
  <c r="G321" i="6" s="1"/>
  <c r="K322" i="6" a="1"/>
  <c r="K322" i="6" s="1"/>
  <c r="G324" i="6" a="1"/>
  <c r="G324" i="6" s="1"/>
  <c r="K325" i="6" a="1"/>
  <c r="K325" i="6" s="1"/>
  <c r="G327" i="6" a="1"/>
  <c r="G327" i="6" s="1"/>
  <c r="K328" i="6" a="1"/>
  <c r="K328" i="6" s="1"/>
  <c r="G330" i="6" a="1"/>
  <c r="G330" i="6" s="1"/>
  <c r="K331" i="6" a="1"/>
  <c r="K331" i="6" s="1"/>
  <c r="G333" i="6" a="1"/>
  <c r="G333" i="6" s="1"/>
  <c r="K334" i="6" a="1"/>
  <c r="K334" i="6" s="1"/>
  <c r="G336" i="6" a="1"/>
  <c r="G336" i="6" s="1"/>
  <c r="K337" i="6" a="1"/>
  <c r="K337" i="6" s="1"/>
  <c r="G339" i="6" a="1"/>
  <c r="G339" i="6" s="1"/>
  <c r="K340" i="6" a="1"/>
  <c r="K340" i="6" s="1"/>
  <c r="G342" i="6" a="1"/>
  <c r="G342" i="6" s="1"/>
  <c r="K343" i="6" a="1"/>
  <c r="K343" i="6" s="1"/>
  <c r="G345" i="6" a="1"/>
  <c r="G345" i="6" s="1"/>
  <c r="K346" i="6" a="1"/>
  <c r="K346" i="6" s="1"/>
  <c r="G348" i="6" a="1"/>
  <c r="G348" i="6" s="1"/>
  <c r="K349" i="6" a="1"/>
  <c r="K349" i="6" s="1"/>
  <c r="G351" i="6" a="1"/>
  <c r="G351" i="6" s="1"/>
  <c r="K352" i="6" a="1"/>
  <c r="K352" i="6" s="1"/>
  <c r="G354" i="6" a="1"/>
  <c r="G354" i="6" s="1"/>
  <c r="K355" i="6" a="1"/>
  <c r="K355" i="6" s="1"/>
  <c r="G357" i="6" a="1"/>
  <c r="G357" i="6" s="1"/>
  <c r="K358" i="6" a="1"/>
  <c r="K358" i="6" s="1"/>
  <c r="G360" i="6" a="1"/>
  <c r="G360" i="6" s="1"/>
  <c r="K361" i="6" a="1"/>
  <c r="K361" i="6" s="1"/>
  <c r="G363" i="6" a="1"/>
  <c r="G363" i="6" s="1"/>
  <c r="K364" i="6" a="1"/>
  <c r="K364" i="6" s="1"/>
  <c r="G366" i="6" a="1"/>
  <c r="G366" i="6" s="1"/>
  <c r="K367" i="6" a="1"/>
  <c r="K367" i="6" s="1"/>
  <c r="F369" i="6" a="1"/>
  <c r="F369" i="6" s="1"/>
  <c r="J370" i="6" a="1"/>
  <c r="J370" i="6" s="1"/>
  <c r="F372" i="6" a="1"/>
  <c r="F372" i="6" s="1"/>
  <c r="J373" i="6" a="1"/>
  <c r="J373" i="6" s="1"/>
  <c r="F375" i="6" a="1"/>
  <c r="F375" i="6" s="1"/>
  <c r="J376" i="6" a="1"/>
  <c r="J376" i="6" s="1"/>
  <c r="F378" i="6" a="1"/>
  <c r="F378" i="6" s="1"/>
  <c r="J379" i="6" a="1"/>
  <c r="J379" i="6" s="1"/>
  <c r="F381" i="6" a="1"/>
  <c r="F381" i="6" s="1"/>
  <c r="J382" i="6" a="1"/>
  <c r="J382" i="6" s="1"/>
  <c r="F384" i="6" a="1"/>
  <c r="F384" i="6" s="1"/>
  <c r="J385" i="6" a="1"/>
  <c r="J385" i="6" s="1"/>
  <c r="F387" i="6" a="1"/>
  <c r="F387" i="6" s="1"/>
  <c r="K233" i="6" a="1"/>
  <c r="K233" i="6" s="1"/>
  <c r="J236" i="6" a="1"/>
  <c r="J236" i="6" s="1"/>
  <c r="F239" i="6" a="1"/>
  <c r="F239" i="6" s="1"/>
  <c r="I241" i="6" a="1"/>
  <c r="I241" i="6" s="1"/>
  <c r="E244" i="6" a="1"/>
  <c r="E244" i="6" s="1"/>
  <c r="G246" i="6" a="1"/>
  <c r="G246" i="6" s="1"/>
  <c r="I248" i="6" a="1"/>
  <c r="I248" i="6" s="1"/>
  <c r="I250" i="6" a="1"/>
  <c r="I250" i="6" s="1"/>
  <c r="J252" i="6" a="1"/>
  <c r="J252" i="6" s="1"/>
  <c r="J254" i="6" a="1"/>
  <c r="J254" i="6" s="1"/>
  <c r="H256" i="6" a="1"/>
  <c r="H256" i="6" s="1"/>
  <c r="H258" i="6" a="1"/>
  <c r="H258" i="6" s="1"/>
  <c r="H260" i="6" a="1"/>
  <c r="H260" i="6" s="1"/>
  <c r="H262" i="6" a="1"/>
  <c r="H262" i="6" s="1"/>
  <c r="H264" i="6" a="1"/>
  <c r="H264" i="6" s="1"/>
  <c r="H266" i="6" a="1"/>
  <c r="H266" i="6" s="1"/>
  <c r="F268" i="6" a="1"/>
  <c r="F268" i="6" s="1"/>
  <c r="K269" i="6" a="1"/>
  <c r="K269" i="6" s="1"/>
  <c r="H271" i="6" a="1"/>
  <c r="H271" i="6" s="1"/>
  <c r="E273" i="6" a="1"/>
  <c r="E273" i="6" s="1"/>
  <c r="J274" i="6" a="1"/>
  <c r="J274" i="6" s="1"/>
  <c r="G276" i="6" a="1"/>
  <c r="G276" i="6" s="1"/>
  <c r="K277" i="6" a="1"/>
  <c r="K277" i="6" s="1"/>
  <c r="H279" i="6" a="1"/>
  <c r="H279" i="6" s="1"/>
  <c r="E281" i="6" a="1"/>
  <c r="E281" i="6" s="1"/>
  <c r="I282" i="6" a="1"/>
  <c r="I282" i="6" s="1"/>
  <c r="E284" i="6" a="1"/>
  <c r="E284" i="6" s="1"/>
  <c r="I285" i="6" a="1"/>
  <c r="I285" i="6" s="1"/>
  <c r="E287" i="6" a="1"/>
  <c r="E287" i="6" s="1"/>
  <c r="I288" i="6" a="1"/>
  <c r="I288" i="6" s="1"/>
  <c r="E290" i="6" a="1"/>
  <c r="E290" i="6" s="1"/>
  <c r="I291" i="6" a="1"/>
  <c r="I291" i="6" s="1"/>
  <c r="E293" i="6" a="1"/>
  <c r="E293" i="6" s="1"/>
  <c r="I294" i="6" a="1"/>
  <c r="I294" i="6" s="1"/>
  <c r="E296" i="6" a="1"/>
  <c r="E296" i="6" s="1"/>
  <c r="I297" i="6" a="1"/>
  <c r="I297" i="6" s="1"/>
  <c r="E299" i="6" a="1"/>
  <c r="E299" i="6" s="1"/>
  <c r="I300" i="6" a="1"/>
  <c r="I300" i="6" s="1"/>
  <c r="E302" i="6" a="1"/>
  <c r="E302" i="6" s="1"/>
  <c r="I303" i="6" a="1"/>
  <c r="I303" i="6" s="1"/>
  <c r="E305" i="6" a="1"/>
  <c r="E305" i="6" s="1"/>
  <c r="I306" i="6" a="1"/>
  <c r="I306" i="6" s="1"/>
  <c r="E308" i="6" a="1"/>
  <c r="E308" i="6" s="1"/>
  <c r="I309" i="6" a="1"/>
  <c r="I309" i="6" s="1"/>
  <c r="E311" i="6" a="1"/>
  <c r="E311" i="6" s="1"/>
  <c r="H312" i="6" a="1"/>
  <c r="H312" i="6" s="1"/>
  <c r="H315" i="6" a="1"/>
  <c r="H315" i="6" s="1"/>
  <c r="H318" i="6" a="1"/>
  <c r="H318" i="6" s="1"/>
  <c r="H321" i="6" a="1"/>
  <c r="H321" i="6" s="1"/>
  <c r="H324" i="6" a="1"/>
  <c r="H324" i="6" s="1"/>
  <c r="H327" i="6" a="1"/>
  <c r="H327" i="6" s="1"/>
  <c r="H330" i="6" a="1"/>
  <c r="H330" i="6" s="1"/>
  <c r="H333" i="6" a="1"/>
  <c r="H333" i="6" s="1"/>
  <c r="H336" i="6" a="1"/>
  <c r="H336" i="6" s="1"/>
  <c r="H339" i="6" a="1"/>
  <c r="H339" i="6" s="1"/>
  <c r="H342" i="6" a="1"/>
  <c r="H342" i="6" s="1"/>
  <c r="H345" i="6" a="1"/>
  <c r="H345" i="6" s="1"/>
  <c r="H348" i="6" a="1"/>
  <c r="H348" i="6" s="1"/>
  <c r="F223" i="6" a="1"/>
  <c r="F223" i="6" s="1"/>
  <c r="I228" i="6" a="1"/>
  <c r="I228" i="6" s="1"/>
  <c r="I231" i="6" a="1"/>
  <c r="I231" i="6" s="1"/>
  <c r="K236" i="6" a="1"/>
  <c r="K236" i="6" s="1"/>
  <c r="I239" i="6" a="1"/>
  <c r="I239" i="6" s="1"/>
  <c r="F244" i="6" a="1"/>
  <c r="F244" i="6" s="1"/>
  <c r="I246" i="6" a="1"/>
  <c r="I246" i="6" s="1"/>
  <c r="J248" i="6" a="1"/>
  <c r="J248" i="6" s="1"/>
  <c r="K250" i="6" a="1"/>
  <c r="K250" i="6" s="1"/>
  <c r="K254" i="6" a="1"/>
  <c r="K254" i="6" s="1"/>
  <c r="I256" i="6" a="1"/>
  <c r="I256" i="6" s="1"/>
  <c r="I258" i="6" a="1"/>
  <c r="I258" i="6" s="1"/>
  <c r="I260" i="6" a="1"/>
  <c r="I260" i="6" s="1"/>
  <c r="I262" i="6" a="1"/>
  <c r="I262" i="6" s="1"/>
  <c r="I264" i="6" a="1"/>
  <c r="I264" i="6" s="1"/>
  <c r="I266" i="6" a="1"/>
  <c r="I266" i="6" s="1"/>
  <c r="I271" i="6" a="1"/>
  <c r="I271" i="6" s="1"/>
  <c r="F273" i="6" a="1"/>
  <c r="F273" i="6" s="1"/>
  <c r="K274" i="6" a="1"/>
  <c r="K274" i="6" s="1"/>
  <c r="H276" i="6" a="1"/>
  <c r="H276" i="6" s="1"/>
  <c r="I279" i="6" a="1"/>
  <c r="I279" i="6" s="1"/>
  <c r="F281" i="6" a="1"/>
  <c r="F281" i="6" s="1"/>
  <c r="J282" i="6" a="1"/>
  <c r="J282" i="6" s="1"/>
  <c r="F284" i="6" a="1"/>
  <c r="F284" i="6" s="1"/>
  <c r="J285" i="6" a="1"/>
  <c r="J285" i="6" s="1"/>
  <c r="F287" i="6" a="1"/>
  <c r="F287" i="6" s="1"/>
  <c r="J288" i="6" a="1"/>
  <c r="J288" i="6" s="1"/>
  <c r="F290" i="6" a="1"/>
  <c r="F290" i="6" s="1"/>
  <c r="J291" i="6" a="1"/>
  <c r="J291" i="6" s="1"/>
  <c r="F293" i="6" a="1"/>
  <c r="F293" i="6" s="1"/>
  <c r="J294" i="6" a="1"/>
  <c r="J294" i="6" s="1"/>
  <c r="F296" i="6" a="1"/>
  <c r="F296" i="6" s="1"/>
  <c r="J297" i="6" a="1"/>
  <c r="J297" i="6" s="1"/>
  <c r="F299" i="6" a="1"/>
  <c r="F299" i="6" s="1"/>
  <c r="J300" i="6" a="1"/>
  <c r="J300" i="6" s="1"/>
  <c r="F302" i="6" a="1"/>
  <c r="F302" i="6" s="1"/>
  <c r="J303" i="6" a="1"/>
  <c r="J303" i="6" s="1"/>
  <c r="F305" i="6" a="1"/>
  <c r="F305" i="6" s="1"/>
  <c r="J306" i="6" a="1"/>
  <c r="J306" i="6" s="1"/>
  <c r="F308" i="6" a="1"/>
  <c r="F308" i="6" s="1"/>
  <c r="J309" i="6" a="1"/>
  <c r="J309" i="6" s="1"/>
  <c r="F311" i="6" a="1"/>
  <c r="F311" i="6" s="1"/>
  <c r="I312" i="6" a="1"/>
  <c r="I312" i="6" s="1"/>
  <c r="E314" i="6" a="1"/>
  <c r="E314" i="6" s="1"/>
  <c r="I315" i="6" a="1"/>
  <c r="I315" i="6" s="1"/>
  <c r="E317" i="6" a="1"/>
  <c r="E317" i="6" s="1"/>
  <c r="I318" i="6" a="1"/>
  <c r="I318" i="6" s="1"/>
  <c r="J228" i="6" a="1"/>
  <c r="J228" i="6" s="1"/>
  <c r="J231" i="6" a="1"/>
  <c r="J231" i="6" s="1"/>
  <c r="I234" i="6" a="1"/>
  <c r="I234" i="6" s="1"/>
  <c r="J239" i="6" a="1"/>
  <c r="J239" i="6" s="1"/>
  <c r="E242" i="6" a="1"/>
  <c r="E242" i="6" s="1"/>
  <c r="G244" i="6" a="1"/>
  <c r="G244" i="6" s="1"/>
  <c r="J246" i="6" a="1"/>
  <c r="J246" i="6" s="1"/>
  <c r="K248" i="6" a="1"/>
  <c r="K248" i="6" s="1"/>
  <c r="E253" i="6" a="1"/>
  <c r="E253" i="6" s="1"/>
  <c r="J256" i="6" a="1"/>
  <c r="J256" i="6" s="1"/>
  <c r="K258" i="6" a="1"/>
  <c r="K258" i="6" s="1"/>
  <c r="J260" i="6" a="1"/>
  <c r="J260" i="6" s="1"/>
  <c r="J262" i="6" a="1"/>
  <c r="J262" i="6" s="1"/>
  <c r="K264" i="6" a="1"/>
  <c r="K264" i="6" s="1"/>
  <c r="J266" i="6" a="1"/>
  <c r="J266" i="6" s="1"/>
  <c r="H268" i="6" a="1"/>
  <c r="H268" i="6" s="1"/>
  <c r="E270" i="6" a="1"/>
  <c r="E270" i="6" s="1"/>
  <c r="J271" i="6" a="1"/>
  <c r="J271" i="6" s="1"/>
  <c r="G273" i="6" a="1"/>
  <c r="G273" i="6" s="1"/>
  <c r="I276" i="6" a="1"/>
  <c r="I276" i="6" s="1"/>
  <c r="E278" i="6" a="1"/>
  <c r="E278" i="6" s="1"/>
  <c r="J279" i="6" a="1"/>
  <c r="J279" i="6" s="1"/>
  <c r="G281" i="6" a="1"/>
  <c r="G281" i="6" s="1"/>
  <c r="K282" i="6" a="1"/>
  <c r="K282" i="6" s="1"/>
  <c r="G284" i="6" a="1"/>
  <c r="G284" i="6" s="1"/>
  <c r="K285" i="6" a="1"/>
  <c r="K285" i="6" s="1"/>
  <c r="G287" i="6" a="1"/>
  <c r="G287" i="6" s="1"/>
  <c r="K288" i="6" a="1"/>
  <c r="K288" i="6" s="1"/>
  <c r="G290" i="6" a="1"/>
  <c r="G290" i="6" s="1"/>
  <c r="K291" i="6" a="1"/>
  <c r="K291" i="6" s="1"/>
  <c r="G293" i="6" a="1"/>
  <c r="G293" i="6" s="1"/>
  <c r="K294" i="6" a="1"/>
  <c r="K294" i="6" s="1"/>
  <c r="G296" i="6" a="1"/>
  <c r="G296" i="6" s="1"/>
  <c r="K297" i="6" a="1"/>
  <c r="K297" i="6" s="1"/>
  <c r="G299" i="6" a="1"/>
  <c r="G299" i="6" s="1"/>
  <c r="K300" i="6" a="1"/>
  <c r="K300" i="6" s="1"/>
  <c r="G302" i="6" a="1"/>
  <c r="G302" i="6" s="1"/>
  <c r="K303" i="6" a="1"/>
  <c r="K303" i="6" s="1"/>
  <c r="G305" i="6" a="1"/>
  <c r="G305" i="6" s="1"/>
  <c r="K306" i="6" a="1"/>
  <c r="K306" i="6" s="1"/>
  <c r="G308" i="6" a="1"/>
  <c r="G308" i="6" s="1"/>
  <c r="K309" i="6" a="1"/>
  <c r="K309" i="6" s="1"/>
  <c r="G311" i="6" a="1"/>
  <c r="G311" i="6" s="1"/>
  <c r="J312" i="6" a="1"/>
  <c r="J312" i="6" s="1"/>
  <c r="F314" i="6" a="1"/>
  <c r="F314" i="6" s="1"/>
  <c r="J315" i="6" a="1"/>
  <c r="J315" i="6" s="1"/>
  <c r="F317" i="6" a="1"/>
  <c r="F317" i="6" s="1"/>
  <c r="J318" i="6" a="1"/>
  <c r="J318" i="6" s="1"/>
  <c r="F320" i="6" a="1"/>
  <c r="F320" i="6" s="1"/>
  <c r="J321" i="6" a="1"/>
  <c r="J321" i="6" s="1"/>
  <c r="F323" i="6" a="1"/>
  <c r="F323" i="6" s="1"/>
  <c r="J324" i="6" a="1"/>
  <c r="J324" i="6" s="1"/>
  <c r="F326" i="6" a="1"/>
  <c r="F326" i="6" s="1"/>
  <c r="J327" i="6" a="1"/>
  <c r="J327" i="6" s="1"/>
  <c r="F329" i="6" a="1"/>
  <c r="F329" i="6" s="1"/>
  <c r="J330" i="6" a="1"/>
  <c r="J330" i="6" s="1"/>
  <c r="F332" i="6" a="1"/>
  <c r="F332" i="6" s="1"/>
  <c r="J333" i="6" a="1"/>
  <c r="J333" i="6" s="1"/>
  <c r="F335" i="6" a="1"/>
  <c r="F335" i="6" s="1"/>
  <c r="J336" i="6" a="1"/>
  <c r="J336" i="6" s="1"/>
  <c r="F338" i="6" a="1"/>
  <c r="F338" i="6" s="1"/>
  <c r="J339" i="6" a="1"/>
  <c r="J339" i="6" s="1"/>
  <c r="J224" i="6" a="1"/>
  <c r="J224" i="6" s="1"/>
  <c r="J234" i="6" a="1"/>
  <c r="J234" i="6" s="1"/>
  <c r="I237" i="6" a="1"/>
  <c r="I237" i="6" s="1"/>
  <c r="K239" i="6" a="1"/>
  <c r="K239" i="6" s="1"/>
  <c r="F242" i="6" a="1"/>
  <c r="F242" i="6" s="1"/>
  <c r="I244" i="6" a="1"/>
  <c r="I244" i="6" s="1"/>
  <c r="E251" i="6" a="1"/>
  <c r="E251" i="6" s="1"/>
  <c r="F253" i="6" a="1"/>
  <c r="F253" i="6" s="1"/>
  <c r="E255" i="6" a="1"/>
  <c r="E255" i="6" s="1"/>
  <c r="I268" i="6" a="1"/>
  <c r="I268" i="6" s="1"/>
  <c r="F270" i="6" a="1"/>
  <c r="F270" i="6" s="1"/>
  <c r="K271" i="6" a="1"/>
  <c r="K271" i="6" s="1"/>
  <c r="H273" i="6" a="1"/>
  <c r="H273" i="6" s="1"/>
  <c r="E275" i="6" a="1"/>
  <c r="E275" i="6" s="1"/>
  <c r="J276" i="6" a="1"/>
  <c r="J276" i="6" s="1"/>
  <c r="F278" i="6" a="1"/>
  <c r="F278" i="6" s="1"/>
  <c r="K279" i="6" a="1"/>
  <c r="K279" i="6" s="1"/>
  <c r="H281" i="6" a="1"/>
  <c r="H281" i="6" s="1"/>
  <c r="H284" i="6" a="1"/>
  <c r="H284" i="6" s="1"/>
  <c r="H287" i="6" a="1"/>
  <c r="H287" i="6" s="1"/>
  <c r="H290" i="6" a="1"/>
  <c r="H290" i="6" s="1"/>
  <c r="H293" i="6" a="1"/>
  <c r="H293" i="6" s="1"/>
  <c r="H296" i="6" a="1"/>
  <c r="H296" i="6" s="1"/>
  <c r="H299" i="6" a="1"/>
  <c r="H299" i="6" s="1"/>
  <c r="H302" i="6" a="1"/>
  <c r="H302" i="6" s="1"/>
  <c r="H305" i="6" a="1"/>
  <c r="H305" i="6" s="1"/>
  <c r="H308" i="6" a="1"/>
  <c r="H308" i="6" s="1"/>
  <c r="H311" i="6" a="1"/>
  <c r="H311" i="6" s="1"/>
  <c r="K312" i="6" a="1"/>
  <c r="K312" i="6" s="1"/>
  <c r="G314" i="6" a="1"/>
  <c r="G314" i="6" s="1"/>
  <c r="K315" i="6" a="1"/>
  <c r="K315" i="6" s="1"/>
  <c r="G317" i="6" a="1"/>
  <c r="G317" i="6" s="1"/>
  <c r="K318" i="6" a="1"/>
  <c r="K318" i="6" s="1"/>
  <c r="G320" i="6" a="1"/>
  <c r="G320" i="6" s="1"/>
  <c r="K321" i="6" a="1"/>
  <c r="K321" i="6" s="1"/>
  <c r="G323" i="6" a="1"/>
  <c r="G323" i="6" s="1"/>
  <c r="K324" i="6" a="1"/>
  <c r="K324" i="6" s="1"/>
  <c r="G326" i="6" a="1"/>
  <c r="G326" i="6" s="1"/>
  <c r="K327" i="6" a="1"/>
  <c r="K327" i="6" s="1"/>
  <c r="G329" i="6" a="1"/>
  <c r="G329" i="6" s="1"/>
  <c r="K330" i="6" a="1"/>
  <c r="K330" i="6" s="1"/>
  <c r="G332" i="6" a="1"/>
  <c r="G332" i="6" s="1"/>
  <c r="K333" i="6" a="1"/>
  <c r="K333" i="6" s="1"/>
  <c r="G335" i="6" a="1"/>
  <c r="G335" i="6" s="1"/>
  <c r="K336" i="6" a="1"/>
  <c r="K336" i="6" s="1"/>
  <c r="G338" i="6" a="1"/>
  <c r="G338" i="6" s="1"/>
  <c r="K339" i="6" a="1"/>
  <c r="K339" i="6" s="1"/>
  <c r="G341" i="6" a="1"/>
  <c r="G341" i="6" s="1"/>
  <c r="K342" i="6" a="1"/>
  <c r="K342" i="6" s="1"/>
  <c r="G344" i="6" a="1"/>
  <c r="G344" i="6" s="1"/>
  <c r="K345" i="6" a="1"/>
  <c r="K345" i="6" s="1"/>
  <c r="G347" i="6" a="1"/>
  <c r="G347" i="6" s="1"/>
  <c r="K348" i="6" a="1"/>
  <c r="K348" i="6" s="1"/>
  <c r="G350" i="6" a="1"/>
  <c r="G350" i="6" s="1"/>
  <c r="K351" i="6" a="1"/>
  <c r="K351" i="6" s="1"/>
  <c r="G353" i="6" a="1"/>
  <c r="G353" i="6" s="1"/>
  <c r="K354" i="6" a="1"/>
  <c r="K354" i="6" s="1"/>
  <c r="G356" i="6" a="1"/>
  <c r="G356" i="6" s="1"/>
  <c r="K357" i="6" a="1"/>
  <c r="K357" i="6" s="1"/>
  <c r="G359" i="6" a="1"/>
  <c r="G359" i="6" s="1"/>
  <c r="K360" i="6" a="1"/>
  <c r="K360" i="6" s="1"/>
  <c r="G362" i="6" a="1"/>
  <c r="G362" i="6" s="1"/>
  <c r="K363" i="6" a="1"/>
  <c r="K363" i="6" s="1"/>
  <c r="G365" i="6" a="1"/>
  <c r="G365" i="6" s="1"/>
  <c r="K366" i="6" a="1"/>
  <c r="K366" i="6" s="1"/>
  <c r="G368" i="6" a="1"/>
  <c r="G368" i="6" s="1"/>
  <c r="J369" i="6" a="1"/>
  <c r="J369" i="6" s="1"/>
  <c r="F371" i="6" a="1"/>
  <c r="F371" i="6" s="1"/>
  <c r="J372" i="6" a="1"/>
  <c r="J372" i="6" s="1"/>
  <c r="F374" i="6" a="1"/>
  <c r="F374" i="6" s="1"/>
  <c r="J375" i="6" a="1"/>
  <c r="J375" i="6" s="1"/>
  <c r="F377" i="6" a="1"/>
  <c r="F377" i="6" s="1"/>
  <c r="J378" i="6" a="1"/>
  <c r="J378" i="6" s="1"/>
  <c r="F380" i="6" a="1"/>
  <c r="F380" i="6" s="1"/>
  <c r="J381" i="6" a="1"/>
  <c r="J381" i="6" s="1"/>
  <c r="F383" i="6" a="1"/>
  <c r="F383" i="6" s="1"/>
  <c r="J384" i="6" a="1"/>
  <c r="J384" i="6" s="1"/>
  <c r="F386" i="6" a="1"/>
  <c r="F386" i="6" s="1"/>
  <c r="J387" i="6" a="1"/>
  <c r="J387" i="6" s="1"/>
  <c r="F389" i="6" a="1"/>
  <c r="F389" i="6" s="1"/>
  <c r="J390" i="6" a="1"/>
  <c r="J390" i="6" s="1"/>
  <c r="F392" i="6" a="1"/>
  <c r="F392" i="6" s="1"/>
  <c r="J393" i="6" a="1"/>
  <c r="J393" i="6" s="1"/>
  <c r="F395" i="6" a="1"/>
  <c r="F395" i="6" s="1"/>
  <c r="I396" i="6" a="1"/>
  <c r="I396" i="6" s="1"/>
  <c r="E398" i="6" a="1"/>
  <c r="E398" i="6" s="1"/>
  <c r="I399" i="6" a="1"/>
  <c r="I399" i="6" s="1"/>
  <c r="J8" i="6" a="1"/>
  <c r="J8" i="6" s="1"/>
  <c r="H10" i="6" a="1"/>
  <c r="H10" i="6" s="1"/>
  <c r="H13" i="6" a="1"/>
  <c r="H13" i="6" s="1"/>
  <c r="E229" i="6" a="1"/>
  <c r="E229" i="6" s="1"/>
  <c r="E232" i="6" a="1"/>
  <c r="E232" i="6" s="1"/>
  <c r="J237" i="6" a="1"/>
  <c r="J237" i="6" s="1"/>
  <c r="I242" i="6" a="1"/>
  <c r="I242" i="6" s="1"/>
  <c r="E247" i="6" a="1"/>
  <c r="E247" i="6" s="1"/>
  <c r="E249" i="6" a="1"/>
  <c r="E249" i="6" s="1"/>
  <c r="F251" i="6" a="1"/>
  <c r="F251" i="6" s="1"/>
  <c r="G253" i="6" a="1"/>
  <c r="G253" i="6" s="1"/>
  <c r="F255" i="6" a="1"/>
  <c r="F255" i="6" s="1"/>
  <c r="E257" i="6" a="1"/>
  <c r="E257" i="6" s="1"/>
  <c r="E259" i="6" a="1"/>
  <c r="E259" i="6" s="1"/>
  <c r="E261" i="6" a="1"/>
  <c r="E261" i="6" s="1"/>
  <c r="E263" i="6" a="1"/>
  <c r="E263" i="6" s="1"/>
  <c r="E265" i="6" a="1"/>
  <c r="E265" i="6" s="1"/>
  <c r="E267" i="6" a="1"/>
  <c r="E267" i="6" s="1"/>
  <c r="J268" i="6" a="1"/>
  <c r="J268" i="6" s="1"/>
  <c r="G270" i="6" a="1"/>
  <c r="G270" i="6" s="1"/>
  <c r="I273" i="6" a="1"/>
  <c r="I273" i="6" s="1"/>
  <c r="F275" i="6" a="1"/>
  <c r="F275" i="6" s="1"/>
  <c r="K276" i="6" a="1"/>
  <c r="K276" i="6" s="1"/>
  <c r="G278" i="6" a="1"/>
  <c r="G278" i="6" s="1"/>
  <c r="I281" i="6" a="1"/>
  <c r="I281" i="6" s="1"/>
  <c r="E283" i="6" a="1"/>
  <c r="E283" i="6" s="1"/>
  <c r="I284" i="6" a="1"/>
  <c r="I284" i="6" s="1"/>
  <c r="E286" i="6" a="1"/>
  <c r="E286" i="6" s="1"/>
  <c r="I287" i="6" a="1"/>
  <c r="I287" i="6" s="1"/>
  <c r="E289" i="6" a="1"/>
  <c r="E289" i="6" s="1"/>
  <c r="I290" i="6" a="1"/>
  <c r="I290" i="6" s="1"/>
  <c r="E292" i="6" a="1"/>
  <c r="E292" i="6" s="1"/>
  <c r="I293" i="6" a="1"/>
  <c r="I293" i="6" s="1"/>
  <c r="E295" i="6" a="1"/>
  <c r="E295" i="6" s="1"/>
  <c r="I296" i="6" a="1"/>
  <c r="I296" i="6" s="1"/>
  <c r="E298" i="6" a="1"/>
  <c r="E298" i="6" s="1"/>
  <c r="I299" i="6" a="1"/>
  <c r="I299" i="6" s="1"/>
  <c r="E301" i="6" a="1"/>
  <c r="E301" i="6" s="1"/>
  <c r="I302" i="6" a="1"/>
  <c r="I302" i="6" s="1"/>
  <c r="E304" i="6" a="1"/>
  <c r="E304" i="6" s="1"/>
  <c r="I305" i="6" a="1"/>
  <c r="I305" i="6" s="1"/>
  <c r="E307" i="6" a="1"/>
  <c r="E307" i="6" s="1"/>
  <c r="I308" i="6" a="1"/>
  <c r="I308" i="6" s="1"/>
  <c r="E310" i="6" a="1"/>
  <c r="E310" i="6" s="1"/>
  <c r="I311" i="6" a="1"/>
  <c r="I311" i="6" s="1"/>
  <c r="H314" i="6" a="1"/>
  <c r="H314" i="6" s="1"/>
  <c r="H317" i="6" a="1"/>
  <c r="H317" i="6" s="1"/>
  <c r="H320" i="6" a="1"/>
  <c r="H320" i="6" s="1"/>
  <c r="H323" i="6" a="1"/>
  <c r="H323" i="6" s="1"/>
  <c r="H326" i="6" a="1"/>
  <c r="H326" i="6" s="1"/>
  <c r="H329" i="6" a="1"/>
  <c r="H329" i="6" s="1"/>
  <c r="H332" i="6" a="1"/>
  <c r="H332" i="6" s="1"/>
  <c r="H335" i="6" a="1"/>
  <c r="H335" i="6" s="1"/>
  <c r="H338" i="6" a="1"/>
  <c r="H338" i="6" s="1"/>
  <c r="H341" i="6" a="1"/>
  <c r="H341" i="6" s="1"/>
  <c r="H344" i="6" a="1"/>
  <c r="H344" i="6" s="1"/>
  <c r="H347" i="6" a="1"/>
  <c r="H347" i="6" s="1"/>
  <c r="H350" i="6" a="1"/>
  <c r="H350" i="6" s="1"/>
  <c r="H353" i="6" a="1"/>
  <c r="H353" i="6" s="1"/>
  <c r="H356" i="6" a="1"/>
  <c r="H356" i="6" s="1"/>
  <c r="H359" i="6" a="1"/>
  <c r="H359" i="6" s="1"/>
  <c r="H362" i="6" a="1"/>
  <c r="H362" i="6" s="1"/>
  <c r="H365" i="6" a="1"/>
  <c r="H365" i="6" s="1"/>
  <c r="H368" i="6" a="1"/>
  <c r="H368" i="6" s="1"/>
  <c r="K369" i="6" a="1"/>
  <c r="K369" i="6" s="1"/>
  <c r="G371" i="6" a="1"/>
  <c r="G371" i="6" s="1"/>
  <c r="K372" i="6" a="1"/>
  <c r="K372" i="6" s="1"/>
  <c r="G374" i="6" a="1"/>
  <c r="G374" i="6" s="1"/>
  <c r="K375" i="6" a="1"/>
  <c r="K375" i="6" s="1"/>
  <c r="G377" i="6" a="1"/>
  <c r="G377" i="6" s="1"/>
  <c r="K378" i="6" a="1"/>
  <c r="K378" i="6" s="1"/>
  <c r="G380" i="6" a="1"/>
  <c r="G380" i="6" s="1"/>
  <c r="K381" i="6" a="1"/>
  <c r="K381" i="6" s="1"/>
  <c r="G383" i="6" a="1"/>
  <c r="G383" i="6" s="1"/>
  <c r="K384" i="6" a="1"/>
  <c r="K384" i="6" s="1"/>
  <c r="G386" i="6" a="1"/>
  <c r="G386" i="6" s="1"/>
  <c r="F229" i="6" a="1"/>
  <c r="F229" i="6" s="1"/>
  <c r="F232" i="6" a="1"/>
  <c r="F232" i="6" s="1"/>
  <c r="E235" i="6" a="1"/>
  <c r="E235" i="6" s="1"/>
  <c r="E240" i="6" a="1"/>
  <c r="E240" i="6" s="1"/>
  <c r="J242" i="6" a="1"/>
  <c r="J242" i="6" s="1"/>
  <c r="E245" i="6" a="1"/>
  <c r="E245" i="6" s="1"/>
  <c r="F247" i="6" a="1"/>
  <c r="F247" i="6" s="1"/>
  <c r="G249" i="6" a="1"/>
  <c r="G249" i="6" s="1"/>
  <c r="I251" i="6" a="1"/>
  <c r="I251" i="6" s="1"/>
  <c r="I253" i="6" a="1"/>
  <c r="I253" i="6" s="1"/>
  <c r="G255" i="6" a="1"/>
  <c r="G255" i="6" s="1"/>
  <c r="G257" i="6" a="1"/>
  <c r="G257" i="6" s="1"/>
  <c r="F259" i="6" a="1"/>
  <c r="F259" i="6" s="1"/>
  <c r="F261" i="6" a="1"/>
  <c r="F261" i="6" s="1"/>
  <c r="G263" i="6" a="1"/>
  <c r="G263" i="6" s="1"/>
  <c r="F265" i="6" a="1"/>
  <c r="F265" i="6" s="1"/>
  <c r="F267" i="6" a="1"/>
  <c r="F267" i="6" s="1"/>
  <c r="K268" i="6" a="1"/>
  <c r="K268" i="6" s="1"/>
  <c r="H270" i="6" a="1"/>
  <c r="H270" i="6" s="1"/>
  <c r="E272" i="6" a="1"/>
  <c r="E272" i="6" s="1"/>
  <c r="J273" i="6" a="1"/>
  <c r="J273" i="6" s="1"/>
  <c r="G275" i="6" a="1"/>
  <c r="G275" i="6" s="1"/>
  <c r="H278" i="6" a="1"/>
  <c r="H278" i="6" s="1"/>
  <c r="F280" i="6" a="1"/>
  <c r="F280" i="6" s="1"/>
  <c r="J281" i="6" a="1"/>
  <c r="J281" i="6" s="1"/>
  <c r="F283" i="6" a="1"/>
  <c r="F283" i="6" s="1"/>
  <c r="J284" i="6" a="1"/>
  <c r="J284" i="6" s="1"/>
  <c r="F286" i="6" a="1"/>
  <c r="F286" i="6" s="1"/>
  <c r="J287" i="6" a="1"/>
  <c r="J287" i="6" s="1"/>
  <c r="F289" i="6" a="1"/>
  <c r="F289" i="6" s="1"/>
  <c r="J290" i="6" a="1"/>
  <c r="J290" i="6" s="1"/>
  <c r="F292" i="6" a="1"/>
  <c r="F292" i="6" s="1"/>
  <c r="J293" i="6" a="1"/>
  <c r="J293" i="6" s="1"/>
  <c r="F295" i="6" a="1"/>
  <c r="F295" i="6" s="1"/>
  <c r="J296" i="6" a="1"/>
  <c r="J296" i="6" s="1"/>
  <c r="F298" i="6" a="1"/>
  <c r="F298" i="6" s="1"/>
  <c r="J299" i="6" a="1"/>
  <c r="J299" i="6" s="1"/>
  <c r="F301" i="6" a="1"/>
  <c r="F301" i="6" s="1"/>
  <c r="J302" i="6" a="1"/>
  <c r="J302" i="6" s="1"/>
  <c r="F304" i="6" a="1"/>
  <c r="F304" i="6" s="1"/>
  <c r="J305" i="6" a="1"/>
  <c r="J305" i="6" s="1"/>
  <c r="F307" i="6" a="1"/>
  <c r="F307" i="6" s="1"/>
  <c r="J308" i="6" a="1"/>
  <c r="J308" i="6" s="1"/>
  <c r="F310" i="6" a="1"/>
  <c r="F310" i="6" s="1"/>
  <c r="J311" i="6" a="1"/>
  <c r="J311" i="6" s="1"/>
  <c r="E313" i="6" a="1"/>
  <c r="E313" i="6" s="1"/>
  <c r="I314" i="6" a="1"/>
  <c r="I314" i="6" s="1"/>
  <c r="E316" i="6" a="1"/>
  <c r="E316" i="6" s="1"/>
  <c r="I317" i="6" a="1"/>
  <c r="I317" i="6" s="1"/>
  <c r="E319" i="6" a="1"/>
  <c r="E319" i="6" s="1"/>
  <c r="I320" i="6" a="1"/>
  <c r="I320" i="6" s="1"/>
  <c r="E322" i="6" a="1"/>
  <c r="E322" i="6" s="1"/>
  <c r="I323" i="6" a="1"/>
  <c r="I323" i="6" s="1"/>
  <c r="E325" i="6" a="1"/>
  <c r="E325" i="6" s="1"/>
  <c r="I326" i="6" a="1"/>
  <c r="I326" i="6" s="1"/>
  <c r="E328" i="6" a="1"/>
  <c r="E328" i="6" s="1"/>
  <c r="I329" i="6" a="1"/>
  <c r="I329" i="6" s="1"/>
  <c r="E331" i="6" a="1"/>
  <c r="E331" i="6" s="1"/>
  <c r="I332" i="6" a="1"/>
  <c r="I332" i="6" s="1"/>
  <c r="E334" i="6" a="1"/>
  <c r="E334" i="6" s="1"/>
  <c r="I335" i="6" a="1"/>
  <c r="I335" i="6" s="1"/>
  <c r="E337" i="6" a="1"/>
  <c r="E337" i="6" s="1"/>
  <c r="I338" i="6" a="1"/>
  <c r="I338" i="6" s="1"/>
  <c r="E340" i="6" a="1"/>
  <c r="E340" i="6" s="1"/>
  <c r="I341" i="6" a="1"/>
  <c r="I341" i="6" s="1"/>
  <c r="E343" i="6" a="1"/>
  <c r="E343" i="6" s="1"/>
  <c r="I344" i="6" a="1"/>
  <c r="I344" i="6" s="1"/>
  <c r="E346" i="6" a="1"/>
  <c r="E346" i="6" s="1"/>
  <c r="I347" i="6" a="1"/>
  <c r="I347" i="6" s="1"/>
  <c r="E349" i="6" a="1"/>
  <c r="E349" i="6" s="1"/>
  <c r="F322" i="6" a="1"/>
  <c r="F322" i="6" s="1"/>
  <c r="I327" i="6" a="1"/>
  <c r="I327" i="6" s="1"/>
  <c r="J332" i="6" a="1"/>
  <c r="J332" i="6" s="1"/>
  <c r="I342" i="6" a="1"/>
  <c r="I342" i="6" s="1"/>
  <c r="F346" i="6" a="1"/>
  <c r="F346" i="6" s="1"/>
  <c r="K353" i="6" a="1"/>
  <c r="K353" i="6" s="1"/>
  <c r="I355" i="6" a="1"/>
  <c r="I355" i="6" s="1"/>
  <c r="I357" i="6" a="1"/>
  <c r="I357" i="6" s="1"/>
  <c r="I359" i="6" a="1"/>
  <c r="I359" i="6" s="1"/>
  <c r="G361" i="6" a="1"/>
  <c r="G361" i="6" s="1"/>
  <c r="F363" i="6" a="1"/>
  <c r="F363" i="6" s="1"/>
  <c r="E365" i="6" a="1"/>
  <c r="E365" i="6" s="1"/>
  <c r="E367" i="6" a="1"/>
  <c r="E367" i="6" s="1"/>
  <c r="K370" i="6" a="1"/>
  <c r="K370" i="6" s="1"/>
  <c r="K374" i="6" a="1"/>
  <c r="K374" i="6" s="1"/>
  <c r="K376" i="6" a="1"/>
  <c r="K376" i="6" s="1"/>
  <c r="K380" i="6" a="1"/>
  <c r="K380" i="6" s="1"/>
  <c r="K382" i="6" a="1"/>
  <c r="K382" i="6" s="1"/>
  <c r="K386" i="6" a="1"/>
  <c r="K386" i="6" s="1"/>
  <c r="I388" i="6" a="1"/>
  <c r="I388" i="6" s="1"/>
  <c r="F390" i="6" a="1"/>
  <c r="F390" i="6" s="1"/>
  <c r="K391" i="6" a="1"/>
  <c r="K391" i="6" s="1"/>
  <c r="H393" i="6" a="1"/>
  <c r="H393" i="6" s="1"/>
  <c r="E395" i="6" a="1"/>
  <c r="E395" i="6" s="1"/>
  <c r="J396" i="6" a="1"/>
  <c r="J396" i="6" s="1"/>
  <c r="G398" i="6" a="1"/>
  <c r="G398" i="6" s="1"/>
  <c r="E7" i="6" a="1"/>
  <c r="E7" i="6" s="1"/>
  <c r="G9" i="6" a="1"/>
  <c r="G9" i="6" s="1"/>
  <c r="E11" i="6" a="1"/>
  <c r="E11" i="6" s="1"/>
  <c r="I12" i="6" a="1"/>
  <c r="I12" i="6" s="1"/>
  <c r="F14" i="6" a="1"/>
  <c r="F14" i="6" s="1"/>
  <c r="J15" i="6" a="1"/>
  <c r="J15" i="6" s="1"/>
  <c r="F17" i="6" a="1"/>
  <c r="F17" i="6" s="1"/>
  <c r="J18" i="6" a="1"/>
  <c r="J18" i="6" s="1"/>
  <c r="F20" i="6" a="1"/>
  <c r="F20" i="6" s="1"/>
  <c r="J21" i="6" a="1"/>
  <c r="J21" i="6" s="1"/>
  <c r="F23" i="6" a="1"/>
  <c r="F23" i="6" s="1"/>
  <c r="J24" i="6" a="1"/>
  <c r="J24" i="6" s="1"/>
  <c r="E12" i="8" a="1"/>
  <c r="E12" i="8" s="1"/>
  <c r="G13" i="8" a="1"/>
  <c r="G13" i="8" s="1"/>
  <c r="I14" i="8" a="1"/>
  <c r="I14" i="8" s="1"/>
  <c r="K15" i="8" a="1"/>
  <c r="K15" i="8" s="1"/>
  <c r="E18" i="8" a="1"/>
  <c r="E18" i="8" s="1"/>
  <c r="G19" i="8" a="1"/>
  <c r="G19" i="8" s="1"/>
  <c r="I20" i="8" a="1"/>
  <c r="I20" i="8" s="1"/>
  <c r="K21" i="8" a="1"/>
  <c r="K21" i="8" s="1"/>
  <c r="E24" i="8" a="1"/>
  <c r="E24" i="8" s="1"/>
  <c r="G25" i="8" a="1"/>
  <c r="G25" i="8" s="1"/>
  <c r="I26" i="8" a="1"/>
  <c r="I26" i="8" s="1"/>
  <c r="K27" i="8" a="1"/>
  <c r="K27" i="8" s="1"/>
  <c r="E30" i="8" a="1"/>
  <c r="E30" i="8" s="1"/>
  <c r="G31" i="8" a="1"/>
  <c r="G31" i="8" s="1"/>
  <c r="I32" i="8" a="1"/>
  <c r="I32" i="8" s="1"/>
  <c r="K33" i="8" a="1"/>
  <c r="K33" i="8" s="1"/>
  <c r="E36" i="8" a="1"/>
  <c r="E36" i="8" s="1"/>
  <c r="G37" i="8" a="1"/>
  <c r="G37" i="8" s="1"/>
  <c r="I38" i="8" a="1"/>
  <c r="I38" i="8" s="1"/>
  <c r="K39" i="8" a="1"/>
  <c r="K39" i="8" s="1"/>
  <c r="E42" i="8" a="1"/>
  <c r="E42" i="8" s="1"/>
  <c r="G43" i="8" a="1"/>
  <c r="G43" i="8" s="1"/>
  <c r="I44" i="8" a="1"/>
  <c r="I44" i="8" s="1"/>
  <c r="K45" i="8" a="1"/>
  <c r="K45" i="8" s="1"/>
  <c r="E338" i="6" a="1"/>
  <c r="E338" i="6" s="1"/>
  <c r="J342" i="6" a="1"/>
  <c r="J342" i="6" s="1"/>
  <c r="E350" i="6" a="1"/>
  <c r="E350" i="6" s="1"/>
  <c r="E352" i="6" a="1"/>
  <c r="E352" i="6" s="1"/>
  <c r="J355" i="6" a="1"/>
  <c r="J355" i="6" s="1"/>
  <c r="J357" i="6" a="1"/>
  <c r="J357" i="6" s="1"/>
  <c r="J359" i="6" a="1"/>
  <c r="J359" i="6" s="1"/>
  <c r="H361" i="6" a="1"/>
  <c r="H361" i="6" s="1"/>
  <c r="H363" i="6" a="1"/>
  <c r="H363" i="6" s="1"/>
  <c r="F365" i="6" a="1"/>
  <c r="F365" i="6" s="1"/>
  <c r="F367" i="6" a="1"/>
  <c r="F367" i="6" s="1"/>
  <c r="E373" i="6" a="1"/>
  <c r="E373" i="6" s="1"/>
  <c r="E379" i="6" a="1"/>
  <c r="E379" i="6" s="1"/>
  <c r="E385" i="6" a="1"/>
  <c r="E385" i="6" s="1"/>
  <c r="J388" i="6" a="1"/>
  <c r="J388" i="6" s="1"/>
  <c r="G390" i="6" a="1"/>
  <c r="G390" i="6" s="1"/>
  <c r="I393" i="6" a="1"/>
  <c r="I393" i="6" s="1"/>
  <c r="G395" i="6" a="1"/>
  <c r="G395" i="6" s="1"/>
  <c r="K396" i="6" a="1"/>
  <c r="K396" i="6" s="1"/>
  <c r="H398" i="6" a="1"/>
  <c r="H398" i="6" s="1"/>
  <c r="I7" i="6" a="1"/>
  <c r="I7" i="6" s="1"/>
  <c r="H9" i="6" a="1"/>
  <c r="H9" i="6" s="1"/>
  <c r="F11" i="6" a="1"/>
  <c r="F11" i="6" s="1"/>
  <c r="J12" i="6" a="1"/>
  <c r="J12" i="6" s="1"/>
  <c r="G14" i="6" a="1"/>
  <c r="G14" i="6" s="1"/>
  <c r="K15" i="6" a="1"/>
  <c r="K15" i="6" s="1"/>
  <c r="G17" i="6" a="1"/>
  <c r="G17" i="6" s="1"/>
  <c r="K18" i="6" a="1"/>
  <c r="K18" i="6" s="1"/>
  <c r="G20" i="6" a="1"/>
  <c r="G20" i="6" s="1"/>
  <c r="K21" i="6" a="1"/>
  <c r="K21" i="6" s="1"/>
  <c r="G23" i="6" a="1"/>
  <c r="G23" i="6" s="1"/>
  <c r="K24" i="6" a="1"/>
  <c r="K24" i="6" s="1"/>
  <c r="F12" i="8" a="1"/>
  <c r="F12" i="8" s="1"/>
  <c r="H13" i="8" a="1"/>
  <c r="H13" i="8" s="1"/>
  <c r="J14" i="8" a="1"/>
  <c r="J14" i="8" s="1"/>
  <c r="F18" i="8" a="1"/>
  <c r="F18" i="8" s="1"/>
  <c r="H19" i="8" a="1"/>
  <c r="H19" i="8" s="1"/>
  <c r="J20" i="8" a="1"/>
  <c r="J20" i="8" s="1"/>
  <c r="F24" i="8" a="1"/>
  <c r="F24" i="8" s="1"/>
  <c r="H25" i="8" a="1"/>
  <c r="H25" i="8" s="1"/>
  <c r="J26" i="8" a="1"/>
  <c r="J26" i="8" s="1"/>
  <c r="F30" i="8" a="1"/>
  <c r="F30" i="8" s="1"/>
  <c r="H31" i="8" a="1"/>
  <c r="H31" i="8" s="1"/>
  <c r="J32" i="8" a="1"/>
  <c r="J32" i="8" s="1"/>
  <c r="F36" i="8" a="1"/>
  <c r="F36" i="8" s="1"/>
  <c r="H37" i="8" a="1"/>
  <c r="H37" i="8" s="1"/>
  <c r="J38" i="8" a="1"/>
  <c r="J38" i="8" s="1"/>
  <c r="F42" i="8" a="1"/>
  <c r="F42" i="8" s="1"/>
  <c r="H43" i="8" a="1"/>
  <c r="H43" i="8" s="1"/>
  <c r="J44" i="8" a="1"/>
  <c r="J44" i="8" s="1"/>
  <c r="E323" i="6" a="1"/>
  <c r="E323" i="6" s="1"/>
  <c r="F328" i="6" a="1"/>
  <c r="F328" i="6" s="1"/>
  <c r="I333" i="6" a="1"/>
  <c r="I333" i="6" s="1"/>
  <c r="J338" i="6" a="1"/>
  <c r="J338" i="6" s="1"/>
  <c r="E347" i="6" a="1"/>
  <c r="E347" i="6" s="1"/>
  <c r="F350" i="6" a="1"/>
  <c r="F350" i="6" s="1"/>
  <c r="F352" i="6" a="1"/>
  <c r="F352" i="6" s="1"/>
  <c r="E354" i="6" a="1"/>
  <c r="E354" i="6" s="1"/>
  <c r="K359" i="6" a="1"/>
  <c r="K359" i="6" s="1"/>
  <c r="I361" i="6" a="1"/>
  <c r="I361" i="6" s="1"/>
  <c r="I363" i="6" a="1"/>
  <c r="I363" i="6" s="1"/>
  <c r="I365" i="6" a="1"/>
  <c r="I365" i="6" s="1"/>
  <c r="G367" i="6" a="1"/>
  <c r="G367" i="6" s="1"/>
  <c r="E369" i="6" a="1"/>
  <c r="E369" i="6" s="1"/>
  <c r="E371" i="6" a="1"/>
  <c r="E371" i="6" s="1"/>
  <c r="F373" i="6" a="1"/>
  <c r="F373" i="6" s="1"/>
  <c r="E375" i="6" a="1"/>
  <c r="E375" i="6" s="1"/>
  <c r="E377" i="6" a="1"/>
  <c r="E377" i="6" s="1"/>
  <c r="F379" i="6" a="1"/>
  <c r="F379" i="6" s="1"/>
  <c r="E381" i="6" a="1"/>
  <c r="E381" i="6" s="1"/>
  <c r="E383" i="6" a="1"/>
  <c r="E383" i="6" s="1"/>
  <c r="F385" i="6" a="1"/>
  <c r="F385" i="6" s="1"/>
  <c r="E387" i="6" a="1"/>
  <c r="E387" i="6" s="1"/>
  <c r="K388" i="6" a="1"/>
  <c r="K388" i="6" s="1"/>
  <c r="H390" i="6" a="1"/>
  <c r="H390" i="6" s="1"/>
  <c r="E392" i="6" a="1"/>
  <c r="E392" i="6" s="1"/>
  <c r="K393" i="6" a="1"/>
  <c r="K393" i="6" s="1"/>
  <c r="H395" i="6" a="1"/>
  <c r="H395" i="6" s="1"/>
  <c r="I398" i="6" a="1"/>
  <c r="I398" i="6" s="1"/>
  <c r="J7" i="6" a="1"/>
  <c r="J7" i="6" s="1"/>
  <c r="I9" i="6" a="1"/>
  <c r="I9" i="6" s="1"/>
  <c r="G11" i="6" a="1"/>
  <c r="G11" i="6" s="1"/>
  <c r="K12" i="6" a="1"/>
  <c r="K12" i="6" s="1"/>
  <c r="H14" i="6" a="1"/>
  <c r="H14" i="6" s="1"/>
  <c r="H17" i="6" a="1"/>
  <c r="H17" i="6" s="1"/>
  <c r="H20" i="6" a="1"/>
  <c r="H20" i="6" s="1"/>
  <c r="H23" i="6" a="1"/>
  <c r="H23" i="6" s="1"/>
  <c r="E11" i="8" a="1"/>
  <c r="E11" i="8" s="1"/>
  <c r="G12" i="8" a="1"/>
  <c r="G12" i="8" s="1"/>
  <c r="I13" i="8" a="1"/>
  <c r="I13" i="8" s="1"/>
  <c r="K14" i="8" a="1"/>
  <c r="K14" i="8" s="1"/>
  <c r="E17" i="8" a="1"/>
  <c r="E17" i="8" s="1"/>
  <c r="G18" i="8" a="1"/>
  <c r="G18" i="8" s="1"/>
  <c r="I19" i="8" a="1"/>
  <c r="I19" i="8" s="1"/>
  <c r="K20" i="8" a="1"/>
  <c r="K20" i="8" s="1"/>
  <c r="E23" i="8" a="1"/>
  <c r="E23" i="8" s="1"/>
  <c r="G24" i="8" a="1"/>
  <c r="G24" i="8" s="1"/>
  <c r="I25" i="8" a="1"/>
  <c r="I25" i="8" s="1"/>
  <c r="K26" i="8" a="1"/>
  <c r="K26" i="8" s="1"/>
  <c r="E29" i="8" a="1"/>
  <c r="E29" i="8" s="1"/>
  <c r="G30" i="8" a="1"/>
  <c r="G30" i="8" s="1"/>
  <c r="I31" i="8" a="1"/>
  <c r="I31" i="8" s="1"/>
  <c r="J323" i="6" a="1"/>
  <c r="J323" i="6" s="1"/>
  <c r="F343" i="6" a="1"/>
  <c r="F343" i="6" s="1"/>
  <c r="F347" i="6" a="1"/>
  <c r="F347" i="6" s="1"/>
  <c r="I350" i="6" a="1"/>
  <c r="I350" i="6" s="1"/>
  <c r="G352" i="6" a="1"/>
  <c r="G352" i="6" s="1"/>
  <c r="F354" i="6" a="1"/>
  <c r="F354" i="6" s="1"/>
  <c r="E356" i="6" a="1"/>
  <c r="E356" i="6" s="1"/>
  <c r="E358" i="6" a="1"/>
  <c r="E358" i="6" s="1"/>
  <c r="J361" i="6" a="1"/>
  <c r="J361" i="6" s="1"/>
  <c r="J363" i="6" a="1"/>
  <c r="J363" i="6" s="1"/>
  <c r="J365" i="6" a="1"/>
  <c r="J365" i="6" s="1"/>
  <c r="H367" i="6" a="1"/>
  <c r="H367" i="6" s="1"/>
  <c r="G369" i="6" a="1"/>
  <c r="G369" i="6" s="1"/>
  <c r="H371" i="6" a="1"/>
  <c r="H371" i="6" s="1"/>
  <c r="G373" i="6" a="1"/>
  <c r="G373" i="6" s="1"/>
  <c r="G375" i="6" a="1"/>
  <c r="G375" i="6" s="1"/>
  <c r="H377" i="6" a="1"/>
  <c r="H377" i="6" s="1"/>
  <c r="G379" i="6" a="1"/>
  <c r="G379" i="6" s="1"/>
  <c r="G381" i="6" a="1"/>
  <c r="G381" i="6" s="1"/>
  <c r="H383" i="6" a="1"/>
  <c r="H383" i="6" s="1"/>
  <c r="G385" i="6" a="1"/>
  <c r="G385" i="6" s="1"/>
  <c r="G387" i="6" a="1"/>
  <c r="G387" i="6" s="1"/>
  <c r="I390" i="6" a="1"/>
  <c r="I390" i="6" s="1"/>
  <c r="G392" i="6" a="1"/>
  <c r="G392" i="6" s="1"/>
  <c r="I395" i="6" a="1"/>
  <c r="I395" i="6" s="1"/>
  <c r="E397" i="6" a="1"/>
  <c r="E397" i="6" s="1"/>
  <c r="J398" i="6" a="1"/>
  <c r="J398" i="6" s="1"/>
  <c r="K7" i="6" a="1"/>
  <c r="K7" i="6" s="1"/>
  <c r="J9" i="6" a="1"/>
  <c r="J9" i="6" s="1"/>
  <c r="H11" i="6" a="1"/>
  <c r="H11" i="6" s="1"/>
  <c r="I14" i="6" a="1"/>
  <c r="I14" i="6" s="1"/>
  <c r="E16" i="6" a="1"/>
  <c r="E16" i="6" s="1"/>
  <c r="I17" i="6" a="1"/>
  <c r="I17" i="6" s="1"/>
  <c r="E19" i="6" a="1"/>
  <c r="E19" i="6" s="1"/>
  <c r="I20" i="6" a="1"/>
  <c r="I20" i="6" s="1"/>
  <c r="E22" i="6" a="1"/>
  <c r="E22" i="6" s="1"/>
  <c r="I23" i="6" a="1"/>
  <c r="I23" i="6" s="1"/>
  <c r="F11" i="8" a="1"/>
  <c r="F11" i="8" s="1"/>
  <c r="H12" i="8" a="1"/>
  <c r="H12" i="8" s="1"/>
  <c r="J13" i="8" a="1"/>
  <c r="J13" i="8" s="1"/>
  <c r="F17" i="8" a="1"/>
  <c r="F17" i="8" s="1"/>
  <c r="H18" i="8" a="1"/>
  <c r="H18" i="8" s="1"/>
  <c r="J19" i="8" a="1"/>
  <c r="J19" i="8" s="1"/>
  <c r="F23" i="8" a="1"/>
  <c r="F23" i="8" s="1"/>
  <c r="H24" i="8" a="1"/>
  <c r="H24" i="8" s="1"/>
  <c r="J25" i="8" a="1"/>
  <c r="J25" i="8" s="1"/>
  <c r="F29" i="8" a="1"/>
  <c r="F29" i="8" s="1"/>
  <c r="H30" i="8" a="1"/>
  <c r="H30" i="8" s="1"/>
  <c r="J31" i="8" a="1"/>
  <c r="J31" i="8" s="1"/>
  <c r="F35" i="8" a="1"/>
  <c r="F35" i="8" s="1"/>
  <c r="H36" i="8" a="1"/>
  <c r="H36" i="8" s="1"/>
  <c r="J37" i="8" a="1"/>
  <c r="J37" i="8" s="1"/>
  <c r="F41" i="8" a="1"/>
  <c r="F41" i="8" s="1"/>
  <c r="H42" i="8" a="1"/>
  <c r="H42" i="8" s="1"/>
  <c r="J43" i="8" a="1"/>
  <c r="J43" i="8" s="1"/>
  <c r="F47" i="8" a="1"/>
  <c r="F47" i="8" s="1"/>
  <c r="H48" i="8" a="1"/>
  <c r="H48" i="8" s="1"/>
  <c r="J49" i="8" a="1"/>
  <c r="J49" i="8" s="1"/>
  <c r="F54" i="8" a="1"/>
  <c r="F54" i="8" s="1"/>
  <c r="H55" i="8" a="1"/>
  <c r="H55" i="8" s="1"/>
  <c r="J56" i="8" a="1"/>
  <c r="J56" i="8" s="1"/>
  <c r="F60" i="8" a="1"/>
  <c r="F60" i="8" s="1"/>
  <c r="H61" i="8" a="1"/>
  <c r="H61" i="8" s="1"/>
  <c r="J62" i="8" a="1"/>
  <c r="J62" i="8" s="1"/>
  <c r="E329" i="6" a="1"/>
  <c r="E329" i="6" s="1"/>
  <c r="F334" i="6" a="1"/>
  <c r="F334" i="6" s="1"/>
  <c r="I339" i="6" a="1"/>
  <c r="I339" i="6" s="1"/>
  <c r="J347" i="6" a="1"/>
  <c r="J347" i="6" s="1"/>
  <c r="J350" i="6" a="1"/>
  <c r="J350" i="6" s="1"/>
  <c r="H352" i="6" a="1"/>
  <c r="H352" i="6" s="1"/>
  <c r="H354" i="6" a="1"/>
  <c r="H354" i="6" s="1"/>
  <c r="F356" i="6" a="1"/>
  <c r="F356" i="6" s="1"/>
  <c r="F358" i="6" a="1"/>
  <c r="F358" i="6" s="1"/>
  <c r="E360" i="6" a="1"/>
  <c r="E360" i="6" s="1"/>
  <c r="K365" i="6" a="1"/>
  <c r="K365" i="6" s="1"/>
  <c r="I367" i="6" a="1"/>
  <c r="I367" i="6" s="1"/>
  <c r="H369" i="6" a="1"/>
  <c r="H369" i="6" s="1"/>
  <c r="I371" i="6" a="1"/>
  <c r="I371" i="6" s="1"/>
  <c r="H373" i="6" a="1"/>
  <c r="H373" i="6" s="1"/>
  <c r="H375" i="6" a="1"/>
  <c r="H375" i="6" s="1"/>
  <c r="I377" i="6" a="1"/>
  <c r="I377" i="6" s="1"/>
  <c r="H379" i="6" a="1"/>
  <c r="H379" i="6" s="1"/>
  <c r="H381" i="6" a="1"/>
  <c r="H381" i="6" s="1"/>
  <c r="I383" i="6" a="1"/>
  <c r="I383" i="6" s="1"/>
  <c r="H385" i="6" a="1"/>
  <c r="H385" i="6" s="1"/>
  <c r="H387" i="6" a="1"/>
  <c r="H387" i="6" s="1"/>
  <c r="E389" i="6" a="1"/>
  <c r="E389" i="6" s="1"/>
  <c r="K390" i="6" a="1"/>
  <c r="K390" i="6" s="1"/>
  <c r="H392" i="6" a="1"/>
  <c r="H392" i="6" s="1"/>
  <c r="E394" i="6" a="1"/>
  <c r="E394" i="6" s="1"/>
  <c r="J395" i="6" a="1"/>
  <c r="J395" i="6" s="1"/>
  <c r="F397" i="6" a="1"/>
  <c r="F397" i="6" s="1"/>
  <c r="K398" i="6" a="1"/>
  <c r="K398" i="6" s="1"/>
  <c r="E8" i="6" a="1"/>
  <c r="E8" i="6" s="1"/>
  <c r="K9" i="6" a="1"/>
  <c r="K9" i="6" s="1"/>
  <c r="I11" i="6" a="1"/>
  <c r="I11" i="6" s="1"/>
  <c r="E13" i="6" a="1"/>
  <c r="E13" i="6" s="1"/>
  <c r="J14" i="6" a="1"/>
  <c r="J14" i="6" s="1"/>
  <c r="F16" i="6" a="1"/>
  <c r="F16" i="6" s="1"/>
  <c r="J17" i="6" a="1"/>
  <c r="J17" i="6" s="1"/>
  <c r="F19" i="6" a="1"/>
  <c r="F19" i="6" s="1"/>
  <c r="J20" i="6" a="1"/>
  <c r="J20" i="6" s="1"/>
  <c r="F22" i="6" a="1"/>
  <c r="F22" i="6" s="1"/>
  <c r="J23" i="6" a="1"/>
  <c r="J23" i="6" s="1"/>
  <c r="E10" i="8" a="1"/>
  <c r="E10" i="8" s="1"/>
  <c r="G11" i="8" a="1"/>
  <c r="G11" i="8" s="1"/>
  <c r="I12" i="8" a="1"/>
  <c r="I12" i="8" s="1"/>
  <c r="K13" i="8" a="1"/>
  <c r="K13" i="8" s="1"/>
  <c r="E16" i="8" a="1"/>
  <c r="E16" i="8" s="1"/>
  <c r="G17" i="8" a="1"/>
  <c r="G17" i="8" s="1"/>
  <c r="I18" i="8" a="1"/>
  <c r="I18" i="8" s="1"/>
  <c r="K19" i="8" a="1"/>
  <c r="K19" i="8" s="1"/>
  <c r="E22" i="8" a="1"/>
  <c r="E22" i="8" s="1"/>
  <c r="G23" i="8" a="1"/>
  <c r="G23" i="8" s="1"/>
  <c r="I24" i="8" a="1"/>
  <c r="I24" i="8" s="1"/>
  <c r="K25" i="8" a="1"/>
  <c r="K25" i="8" s="1"/>
  <c r="E28" i="8" a="1"/>
  <c r="E28" i="8" s="1"/>
  <c r="G29" i="8" a="1"/>
  <c r="G29" i="8" s="1"/>
  <c r="I30" i="8" a="1"/>
  <c r="I30" i="8" s="1"/>
  <c r="K31" i="8" a="1"/>
  <c r="K31" i="8" s="1"/>
  <c r="E34" i="8" a="1"/>
  <c r="E34" i="8" s="1"/>
  <c r="G35" i="8" a="1"/>
  <c r="G35" i="8" s="1"/>
  <c r="I36" i="8" a="1"/>
  <c r="I36" i="8" s="1"/>
  <c r="K37" i="8" a="1"/>
  <c r="K37" i="8" s="1"/>
  <c r="E40" i="8" a="1"/>
  <c r="E40" i="8" s="1"/>
  <c r="G41" i="8" a="1"/>
  <c r="G41" i="8" s="1"/>
  <c r="I42" i="8" a="1"/>
  <c r="I42" i="8" s="1"/>
  <c r="K43" i="8" a="1"/>
  <c r="K43" i="8" s="1"/>
  <c r="E46" i="8" a="1"/>
  <c r="E46" i="8" s="1"/>
  <c r="G47" i="8" a="1"/>
  <c r="G47" i="8" s="1"/>
  <c r="I48" i="8" a="1"/>
  <c r="I48" i="8" s="1"/>
  <c r="K49" i="8" a="1"/>
  <c r="K49" i="8" s="1"/>
  <c r="E53" i="8" a="1"/>
  <c r="E53" i="8" s="1"/>
  <c r="G54" i="8" a="1"/>
  <c r="G54" i="8" s="1"/>
  <c r="I55" i="8" a="1"/>
  <c r="I55" i="8" s="1"/>
  <c r="K56" i="8" a="1"/>
  <c r="K56" i="8" s="1"/>
  <c r="E59" i="8" a="1"/>
  <c r="E59" i="8" s="1"/>
  <c r="G60" i="8" a="1"/>
  <c r="G60" i="8" s="1"/>
  <c r="I61" i="8" a="1"/>
  <c r="I61" i="8" s="1"/>
  <c r="K62" i="8" a="1"/>
  <c r="K62" i="8" s="1"/>
  <c r="F66" i="8" a="1"/>
  <c r="F66" i="8" s="1"/>
  <c r="H67" i="8" a="1"/>
  <c r="H67" i="8" s="1"/>
  <c r="J68" i="8" a="1"/>
  <c r="J68" i="8" s="1"/>
  <c r="I324" i="6" a="1"/>
  <c r="I324" i="6" s="1"/>
  <c r="J329" i="6" a="1"/>
  <c r="J329" i="6" s="1"/>
  <c r="E344" i="6" a="1"/>
  <c r="E344" i="6" s="1"/>
  <c r="K350" i="6" a="1"/>
  <c r="K350" i="6" s="1"/>
  <c r="I352" i="6" a="1"/>
  <c r="I352" i="6" s="1"/>
  <c r="I354" i="6" a="1"/>
  <c r="I354" i="6" s="1"/>
  <c r="I356" i="6" a="1"/>
  <c r="I356" i="6" s="1"/>
  <c r="G358" i="6" a="1"/>
  <c r="G358" i="6" s="1"/>
  <c r="F360" i="6" a="1"/>
  <c r="F360" i="6" s="1"/>
  <c r="E362" i="6" a="1"/>
  <c r="E362" i="6" s="1"/>
  <c r="E364" i="6" a="1"/>
  <c r="E364" i="6" s="1"/>
  <c r="J367" i="6" a="1"/>
  <c r="J367" i="6" s="1"/>
  <c r="I369" i="6" a="1"/>
  <c r="I369" i="6" s="1"/>
  <c r="J371" i="6" a="1"/>
  <c r="J371" i="6" s="1"/>
  <c r="I373" i="6" a="1"/>
  <c r="I373" i="6" s="1"/>
  <c r="I375" i="6" a="1"/>
  <c r="I375" i="6" s="1"/>
  <c r="J377" i="6" a="1"/>
  <c r="J377" i="6" s="1"/>
  <c r="I379" i="6" a="1"/>
  <c r="I379" i="6" s="1"/>
  <c r="I381" i="6" a="1"/>
  <c r="I381" i="6" s="1"/>
  <c r="J383" i="6" a="1"/>
  <c r="J383" i="6" s="1"/>
  <c r="I385" i="6" a="1"/>
  <c r="I385" i="6" s="1"/>
  <c r="I387" i="6" a="1"/>
  <c r="I387" i="6" s="1"/>
  <c r="G389" i="6" a="1"/>
  <c r="G389" i="6" s="1"/>
  <c r="I392" i="6" a="1"/>
  <c r="I392" i="6" s="1"/>
  <c r="F394" i="6" a="1"/>
  <c r="F394" i="6" s="1"/>
  <c r="K395" i="6" a="1"/>
  <c r="K395" i="6" s="1"/>
  <c r="G397" i="6" a="1"/>
  <c r="G397" i="6" s="1"/>
  <c r="F8" i="6" a="1"/>
  <c r="F8" i="6" s="1"/>
  <c r="E10" i="6" a="1"/>
  <c r="E10" i="6" s="1"/>
  <c r="J11" i="6" a="1"/>
  <c r="J11" i="6" s="1"/>
  <c r="F13" i="6" a="1"/>
  <c r="F13" i="6" s="1"/>
  <c r="K14" i="6" a="1"/>
  <c r="K14" i="6" s="1"/>
  <c r="G16" i="6" a="1"/>
  <c r="G16" i="6" s="1"/>
  <c r="K17" i="6" a="1"/>
  <c r="K17" i="6" s="1"/>
  <c r="G19" i="6" a="1"/>
  <c r="G19" i="6" s="1"/>
  <c r="K20" i="6" a="1"/>
  <c r="K20" i="6" s="1"/>
  <c r="G22" i="6" a="1"/>
  <c r="G22" i="6" s="1"/>
  <c r="K23" i="6" a="1"/>
  <c r="K23" i="6" s="1"/>
  <c r="F10" i="8" a="1"/>
  <c r="F10" i="8" s="1"/>
  <c r="H11" i="8" a="1"/>
  <c r="H11" i="8" s="1"/>
  <c r="J12" i="8" a="1"/>
  <c r="J12" i="8" s="1"/>
  <c r="F16" i="8" a="1"/>
  <c r="F16" i="8" s="1"/>
  <c r="H17" i="8" a="1"/>
  <c r="H17" i="8" s="1"/>
  <c r="J18" i="8" a="1"/>
  <c r="J18" i="8" s="1"/>
  <c r="F22" i="8" a="1"/>
  <c r="F22" i="8" s="1"/>
  <c r="H23" i="8" a="1"/>
  <c r="H23" i="8" s="1"/>
  <c r="J24" i="8" a="1"/>
  <c r="J24" i="8" s="1"/>
  <c r="F28" i="8" a="1"/>
  <c r="F28" i="8" s="1"/>
  <c r="H29" i="8" a="1"/>
  <c r="H29" i="8" s="1"/>
  <c r="J30" i="8" a="1"/>
  <c r="J30" i="8" s="1"/>
  <c r="F34" i="8" a="1"/>
  <c r="F34" i="8" s="1"/>
  <c r="H35" i="8" a="1"/>
  <c r="H35" i="8" s="1"/>
  <c r="J36" i="8" a="1"/>
  <c r="J36" i="8" s="1"/>
  <c r="F40" i="8" a="1"/>
  <c r="F40" i="8" s="1"/>
  <c r="H41" i="8" a="1"/>
  <c r="H41" i="8" s="1"/>
  <c r="J42" i="8" a="1"/>
  <c r="J42" i="8" s="1"/>
  <c r="F46" i="8" a="1"/>
  <c r="F46" i="8" s="1"/>
  <c r="H47" i="8" a="1"/>
  <c r="H47" i="8" s="1"/>
  <c r="J48" i="8" a="1"/>
  <c r="J48" i="8" s="1"/>
  <c r="E52" i="8" a="1"/>
  <c r="E52" i="8" s="1"/>
  <c r="F53" i="8" a="1"/>
  <c r="F53" i="8" s="1"/>
  <c r="H54" i="8" a="1"/>
  <c r="H54" i="8" s="1"/>
  <c r="J55" i="8" a="1"/>
  <c r="J55" i="8" s="1"/>
  <c r="F59" i="8" a="1"/>
  <c r="F59" i="8" s="1"/>
  <c r="H60" i="8" a="1"/>
  <c r="H60" i="8" s="1"/>
  <c r="J61" i="8" a="1"/>
  <c r="J61" i="8" s="1"/>
  <c r="E65" i="8" a="1"/>
  <c r="E65" i="8" s="1"/>
  <c r="G66" i="8" a="1"/>
  <c r="G66" i="8" s="1"/>
  <c r="I67" i="8" a="1"/>
  <c r="I67" i="8" s="1"/>
  <c r="K68" i="8" a="1"/>
  <c r="K68" i="8" s="1"/>
  <c r="F72" i="8" a="1"/>
  <c r="F72" i="8" s="1"/>
  <c r="H73" i="8" a="1"/>
  <c r="H73" i="8" s="1"/>
  <c r="J74" i="8" a="1"/>
  <c r="J74" i="8" s="1"/>
  <c r="E335" i="6" a="1"/>
  <c r="E335" i="6" s="1"/>
  <c r="F340" i="6" a="1"/>
  <c r="F340" i="6" s="1"/>
  <c r="F344" i="6" a="1"/>
  <c r="F344" i="6" s="1"/>
  <c r="I348" i="6" a="1"/>
  <c r="I348" i="6" s="1"/>
  <c r="J352" i="6" a="1"/>
  <c r="J352" i="6" s="1"/>
  <c r="J354" i="6" a="1"/>
  <c r="J354" i="6" s="1"/>
  <c r="J356" i="6" a="1"/>
  <c r="J356" i="6" s="1"/>
  <c r="H358" i="6" a="1"/>
  <c r="H358" i="6" s="1"/>
  <c r="H360" i="6" a="1"/>
  <c r="H360" i="6" s="1"/>
  <c r="F362" i="6" a="1"/>
  <c r="F362" i="6" s="1"/>
  <c r="F364" i="6" a="1"/>
  <c r="F364" i="6" s="1"/>
  <c r="E366" i="6" a="1"/>
  <c r="E366" i="6" s="1"/>
  <c r="K371" i="6" a="1"/>
  <c r="K371" i="6" s="1"/>
  <c r="K373" i="6" a="1"/>
  <c r="K373" i="6" s="1"/>
  <c r="K377" i="6" a="1"/>
  <c r="K377" i="6" s="1"/>
  <c r="K379" i="6" a="1"/>
  <c r="K379" i="6" s="1"/>
  <c r="K383" i="6" a="1"/>
  <c r="K383" i="6" s="1"/>
  <c r="K385" i="6" a="1"/>
  <c r="K385" i="6" s="1"/>
  <c r="K387" i="6" a="1"/>
  <c r="K387" i="6" s="1"/>
  <c r="H389" i="6" a="1"/>
  <c r="H389" i="6" s="1"/>
  <c r="E391" i="6" a="1"/>
  <c r="E391" i="6" s="1"/>
  <c r="J392" i="6" a="1"/>
  <c r="J392" i="6" s="1"/>
  <c r="G394" i="6" a="1"/>
  <c r="G394" i="6" s="1"/>
  <c r="H397" i="6" a="1"/>
  <c r="H397" i="6" s="1"/>
  <c r="E399" i="6" a="1"/>
  <c r="E399" i="6" s="1"/>
  <c r="G8" i="6" a="1"/>
  <c r="G8" i="6" s="1"/>
  <c r="F10" i="6" a="1"/>
  <c r="F10" i="6" s="1"/>
  <c r="K11" i="6" a="1"/>
  <c r="K11" i="6" s="1"/>
  <c r="G13" i="6" a="1"/>
  <c r="G13" i="6" s="1"/>
  <c r="H16" i="6" a="1"/>
  <c r="H16" i="6" s="1"/>
  <c r="H19" i="6" a="1"/>
  <c r="H19" i="6" s="1"/>
  <c r="H22" i="6" a="1"/>
  <c r="H22" i="6" s="1"/>
  <c r="G10" i="8" a="1"/>
  <c r="G10" i="8" s="1"/>
  <c r="I11" i="8" a="1"/>
  <c r="I11" i="8" s="1"/>
  <c r="K12" i="8" a="1"/>
  <c r="K12" i="8" s="1"/>
  <c r="E15" i="8" a="1"/>
  <c r="E15" i="8" s="1"/>
  <c r="G16" i="8" a="1"/>
  <c r="G16" i="8" s="1"/>
  <c r="I17" i="8" a="1"/>
  <c r="I17" i="8" s="1"/>
  <c r="K18" i="8" a="1"/>
  <c r="K18" i="8" s="1"/>
  <c r="E21" i="8" a="1"/>
  <c r="E21" i="8" s="1"/>
  <c r="G22" i="8" a="1"/>
  <c r="G22" i="8" s="1"/>
  <c r="I23" i="8" a="1"/>
  <c r="I23" i="8" s="1"/>
  <c r="K24" i="8" a="1"/>
  <c r="K24" i="8" s="1"/>
  <c r="E27" i="8" a="1"/>
  <c r="E27" i="8" s="1"/>
  <c r="G28" i="8" a="1"/>
  <c r="G28" i="8" s="1"/>
  <c r="I29" i="8" a="1"/>
  <c r="I29" i="8" s="1"/>
  <c r="K30" i="8" a="1"/>
  <c r="K30" i="8" s="1"/>
  <c r="E33" i="8" a="1"/>
  <c r="E33" i="8" s="1"/>
  <c r="G34" i="8" a="1"/>
  <c r="G34" i="8" s="1"/>
  <c r="I35" i="8" a="1"/>
  <c r="I35" i="8" s="1"/>
  <c r="K36" i="8" a="1"/>
  <c r="K36" i="8" s="1"/>
  <c r="E39" i="8" a="1"/>
  <c r="E39" i="8" s="1"/>
  <c r="G40" i="8" a="1"/>
  <c r="G40" i="8" s="1"/>
  <c r="I41" i="8" a="1"/>
  <c r="I41" i="8" s="1"/>
  <c r="K42" i="8" a="1"/>
  <c r="K42" i="8" s="1"/>
  <c r="E45" i="8" a="1"/>
  <c r="E45" i="8" s="1"/>
  <c r="G46" i="8" a="1"/>
  <c r="G46" i="8" s="1"/>
  <c r="I47" i="8" a="1"/>
  <c r="I47" i="8" s="1"/>
  <c r="K48" i="8" a="1"/>
  <c r="K48" i="8" s="1"/>
  <c r="E51" i="8" a="1"/>
  <c r="E51" i="8" s="1"/>
  <c r="F52" i="8" a="1"/>
  <c r="F52" i="8" s="1"/>
  <c r="G53" i="8" a="1"/>
  <c r="G53" i="8" s="1"/>
  <c r="I54" i="8" a="1"/>
  <c r="I54" i="8" s="1"/>
  <c r="K55" i="8" a="1"/>
  <c r="K55" i="8" s="1"/>
  <c r="E58" i="8" a="1"/>
  <c r="E58" i="8" s="1"/>
  <c r="G59" i="8" a="1"/>
  <c r="G59" i="8" s="1"/>
  <c r="I60" i="8" a="1"/>
  <c r="I60" i="8" s="1"/>
  <c r="F325" i="6" a="1"/>
  <c r="F325" i="6" s="1"/>
  <c r="I330" i="6" a="1"/>
  <c r="I330" i="6" s="1"/>
  <c r="J335" i="6" a="1"/>
  <c r="J335" i="6" s="1"/>
  <c r="J344" i="6" a="1"/>
  <c r="J344" i="6" s="1"/>
  <c r="J348" i="6" a="1"/>
  <c r="J348" i="6" s="1"/>
  <c r="E351" i="6" a="1"/>
  <c r="E351" i="6" s="1"/>
  <c r="K356" i="6" a="1"/>
  <c r="K356" i="6" s="1"/>
  <c r="I358" i="6" a="1"/>
  <c r="I358" i="6" s="1"/>
  <c r="I360" i="6" a="1"/>
  <c r="I360" i="6" s="1"/>
  <c r="I362" i="6" a="1"/>
  <c r="I362" i="6" s="1"/>
  <c r="G364" i="6" a="1"/>
  <c r="G364" i="6" s="1"/>
  <c r="F366" i="6" a="1"/>
  <c r="F366" i="6" s="1"/>
  <c r="E368" i="6" a="1"/>
  <c r="E368" i="6" s="1"/>
  <c r="E370" i="6" a="1"/>
  <c r="E370" i="6" s="1"/>
  <c r="E376" i="6" a="1"/>
  <c r="E376" i="6" s="1"/>
  <c r="E382" i="6" a="1"/>
  <c r="E382" i="6" s="1"/>
  <c r="I389" i="6" a="1"/>
  <c r="I389" i="6" s="1"/>
  <c r="F391" i="6" a="1"/>
  <c r="F391" i="6" s="1"/>
  <c r="K392" i="6" a="1"/>
  <c r="K392" i="6" s="1"/>
  <c r="H394" i="6" a="1"/>
  <c r="H394" i="6" s="1"/>
  <c r="E396" i="6" a="1"/>
  <c r="E396" i="6" s="1"/>
  <c r="I397" i="6" a="1"/>
  <c r="I397" i="6" s="1"/>
  <c r="F399" i="6" a="1"/>
  <c r="F399" i="6" s="1"/>
  <c r="H8" i="6" a="1"/>
  <c r="H8" i="6" s="1"/>
  <c r="G10" i="6" a="1"/>
  <c r="G10" i="6" s="1"/>
  <c r="I13" i="6" a="1"/>
  <c r="I13" i="6" s="1"/>
  <c r="E15" i="6" a="1"/>
  <c r="E15" i="6" s="1"/>
  <c r="I16" i="6" a="1"/>
  <c r="I16" i="6" s="1"/>
  <c r="E18" i="6" a="1"/>
  <c r="E18" i="6" s="1"/>
  <c r="I19" i="6" a="1"/>
  <c r="I19" i="6" s="1"/>
  <c r="E21" i="6" a="1"/>
  <c r="E21" i="6" s="1"/>
  <c r="I22" i="6" a="1"/>
  <c r="I22" i="6" s="1"/>
  <c r="E24" i="6" a="1"/>
  <c r="E24" i="6" s="1"/>
  <c r="H10" i="8" a="1"/>
  <c r="H10" i="8" s="1"/>
  <c r="J11" i="8" a="1"/>
  <c r="J11" i="8" s="1"/>
  <c r="F15" i="8" a="1"/>
  <c r="F15" i="8" s="1"/>
  <c r="H16" i="8" a="1"/>
  <c r="H16" i="8" s="1"/>
  <c r="J17" i="8" a="1"/>
  <c r="J17" i="8" s="1"/>
  <c r="F21" i="8" a="1"/>
  <c r="F21" i="8" s="1"/>
  <c r="H22" i="8" a="1"/>
  <c r="H22" i="8" s="1"/>
  <c r="J23" i="8" a="1"/>
  <c r="J23" i="8" s="1"/>
  <c r="F27" i="8" a="1"/>
  <c r="F27" i="8" s="1"/>
  <c r="H28" i="8" a="1"/>
  <c r="H28" i="8" s="1"/>
  <c r="J29" i="8" a="1"/>
  <c r="J29" i="8" s="1"/>
  <c r="F33" i="8" a="1"/>
  <c r="F33" i="8" s="1"/>
  <c r="H34" i="8" a="1"/>
  <c r="H34" i="8" s="1"/>
  <c r="E320" i="6" a="1"/>
  <c r="E320" i="6" s="1"/>
  <c r="E341" i="6" a="1"/>
  <c r="E341" i="6" s="1"/>
  <c r="F351" i="6" a="1"/>
  <c r="F351" i="6" s="1"/>
  <c r="E353" i="6" a="1"/>
  <c r="E353" i="6" s="1"/>
  <c r="E355" i="6" a="1"/>
  <c r="E355" i="6" s="1"/>
  <c r="J358" i="6" a="1"/>
  <c r="J358" i="6" s="1"/>
  <c r="J360" i="6" a="1"/>
  <c r="J360" i="6" s="1"/>
  <c r="J362" i="6" a="1"/>
  <c r="J362" i="6" s="1"/>
  <c r="H364" i="6" a="1"/>
  <c r="H364" i="6" s="1"/>
  <c r="H366" i="6" a="1"/>
  <c r="H366" i="6" s="1"/>
  <c r="F368" i="6" a="1"/>
  <c r="F368" i="6" s="1"/>
  <c r="F370" i="6" a="1"/>
  <c r="F370" i="6" s="1"/>
  <c r="E372" i="6" a="1"/>
  <c r="E372" i="6" s="1"/>
  <c r="E374" i="6" a="1"/>
  <c r="E374" i="6" s="1"/>
  <c r="F376" i="6" a="1"/>
  <c r="F376" i="6" s="1"/>
  <c r="E378" i="6" a="1"/>
  <c r="E378" i="6" s="1"/>
  <c r="E380" i="6" a="1"/>
  <c r="E380" i="6" s="1"/>
  <c r="F382" i="6" a="1"/>
  <c r="F382" i="6" s="1"/>
  <c r="E384" i="6" a="1"/>
  <c r="E384" i="6" s="1"/>
  <c r="E386" i="6" a="1"/>
  <c r="E386" i="6" s="1"/>
  <c r="E388" i="6" a="1"/>
  <c r="E388" i="6" s="1"/>
  <c r="J389" i="6" a="1"/>
  <c r="J389" i="6" s="1"/>
  <c r="G391" i="6" a="1"/>
  <c r="G391" i="6" s="1"/>
  <c r="I394" i="6" a="1"/>
  <c r="I394" i="6" s="1"/>
  <c r="J397" i="6" a="1"/>
  <c r="J397" i="6" s="1"/>
  <c r="G399" i="6" a="1"/>
  <c r="G399" i="6" s="1"/>
  <c r="I8" i="6" a="1"/>
  <c r="I8" i="6" s="1"/>
  <c r="I10" i="6" a="1"/>
  <c r="I10" i="6" s="1"/>
  <c r="E12" i="6" a="1"/>
  <c r="E12" i="6" s="1"/>
  <c r="J13" i="6" a="1"/>
  <c r="J13" i="6" s="1"/>
  <c r="F15" i="6" a="1"/>
  <c r="F15" i="6" s="1"/>
  <c r="J16" i="6" a="1"/>
  <c r="J16" i="6" s="1"/>
  <c r="F18" i="6" a="1"/>
  <c r="F18" i="6" s="1"/>
  <c r="J19" i="6" a="1"/>
  <c r="J19" i="6" s="1"/>
  <c r="F21" i="6" a="1"/>
  <c r="F21" i="6" s="1"/>
  <c r="J22" i="6" a="1"/>
  <c r="J22" i="6" s="1"/>
  <c r="F24" i="6" a="1"/>
  <c r="F24" i="6" s="1"/>
  <c r="I10" i="8" a="1"/>
  <c r="I10" i="8" s="1"/>
  <c r="K11" i="8" a="1"/>
  <c r="K11" i="8" s="1"/>
  <c r="E14" i="8" a="1"/>
  <c r="E14" i="8" s="1"/>
  <c r="G15" i="8" a="1"/>
  <c r="G15" i="8" s="1"/>
  <c r="I16" i="8" a="1"/>
  <c r="I16" i="8" s="1"/>
  <c r="K17" i="8" a="1"/>
  <c r="K17" i="8" s="1"/>
  <c r="E20" i="8" a="1"/>
  <c r="E20" i="8" s="1"/>
  <c r="G21" i="8" a="1"/>
  <c r="G21" i="8" s="1"/>
  <c r="I22" i="8" a="1"/>
  <c r="I22" i="8" s="1"/>
  <c r="K23" i="8" a="1"/>
  <c r="K23" i="8" s="1"/>
  <c r="E26" i="8" a="1"/>
  <c r="E26" i="8" s="1"/>
  <c r="G27" i="8" a="1"/>
  <c r="G27" i="8" s="1"/>
  <c r="I28" i="8" a="1"/>
  <c r="I28" i="8" s="1"/>
  <c r="K29" i="8" a="1"/>
  <c r="K29" i="8" s="1"/>
  <c r="E32" i="8" a="1"/>
  <c r="E32" i="8" s="1"/>
  <c r="E326" i="6" a="1"/>
  <c r="E326" i="6" s="1"/>
  <c r="F331" i="6" a="1"/>
  <c r="F331" i="6" s="1"/>
  <c r="I336" i="6" a="1"/>
  <c r="I336" i="6" s="1"/>
  <c r="F341" i="6" a="1"/>
  <c r="F341" i="6" s="1"/>
  <c r="I345" i="6" a="1"/>
  <c r="I345" i="6" s="1"/>
  <c r="F349" i="6" a="1"/>
  <c r="F349" i="6" s="1"/>
  <c r="H351" i="6" a="1"/>
  <c r="H351" i="6" s="1"/>
  <c r="F353" i="6" a="1"/>
  <c r="F353" i="6" s="1"/>
  <c r="F355" i="6" a="1"/>
  <c r="F355" i="6" s="1"/>
  <c r="E357" i="6" a="1"/>
  <c r="E357" i="6" s="1"/>
  <c r="K362" i="6" a="1"/>
  <c r="K362" i="6" s="1"/>
  <c r="I364" i="6" a="1"/>
  <c r="I364" i="6" s="1"/>
  <c r="I366" i="6" a="1"/>
  <c r="I366" i="6" s="1"/>
  <c r="I368" i="6" a="1"/>
  <c r="I368" i="6" s="1"/>
  <c r="G370" i="6" a="1"/>
  <c r="G370" i="6" s="1"/>
  <c r="G372" i="6" a="1"/>
  <c r="G372" i="6" s="1"/>
  <c r="H374" i="6" a="1"/>
  <c r="H374" i="6" s="1"/>
  <c r="G376" i="6" a="1"/>
  <c r="G376" i="6" s="1"/>
  <c r="G378" i="6" a="1"/>
  <c r="G378" i="6" s="1"/>
  <c r="H380" i="6" a="1"/>
  <c r="H380" i="6" s="1"/>
  <c r="G382" i="6" a="1"/>
  <c r="G382" i="6" s="1"/>
  <c r="G384" i="6" a="1"/>
  <c r="G384" i="6" s="1"/>
  <c r="H386" i="6" a="1"/>
  <c r="H386" i="6" s="1"/>
  <c r="F388" i="6" a="1"/>
  <c r="F388" i="6" s="1"/>
  <c r="K389" i="6" a="1"/>
  <c r="K389" i="6" s="1"/>
  <c r="H391" i="6" a="1"/>
  <c r="H391" i="6" s="1"/>
  <c r="E393" i="6" a="1"/>
  <c r="E393" i="6" s="1"/>
  <c r="J394" i="6" a="1"/>
  <c r="J394" i="6" s="1"/>
  <c r="F396" i="6" a="1"/>
  <c r="F396" i="6" s="1"/>
  <c r="K397" i="6" a="1"/>
  <c r="K397" i="6" s="1"/>
  <c r="H399" i="6" a="1"/>
  <c r="H399" i="6" s="1"/>
  <c r="K8" i="6" a="1"/>
  <c r="K8" i="6" s="1"/>
  <c r="J10" i="6" a="1"/>
  <c r="J10" i="6" s="1"/>
  <c r="F12" i="6" a="1"/>
  <c r="F12" i="6" s="1"/>
  <c r="K13" i="6" a="1"/>
  <c r="K13" i="6" s="1"/>
  <c r="G15" i="6" a="1"/>
  <c r="G15" i="6" s="1"/>
  <c r="K16" i="6" a="1"/>
  <c r="K16" i="6" s="1"/>
  <c r="G18" i="6" a="1"/>
  <c r="G18" i="6" s="1"/>
  <c r="K19" i="6" a="1"/>
  <c r="K19" i="6" s="1"/>
  <c r="G21" i="6" a="1"/>
  <c r="G21" i="6" s="1"/>
  <c r="K22" i="6" a="1"/>
  <c r="K22" i="6" s="1"/>
  <c r="G24" i="6" a="1"/>
  <c r="G24" i="6" s="1"/>
  <c r="J10" i="8" a="1"/>
  <c r="J10" i="8" s="1"/>
  <c r="F14" i="8" a="1"/>
  <c r="F14" i="8" s="1"/>
  <c r="H15" i="8" a="1"/>
  <c r="H15" i="8" s="1"/>
  <c r="J16" i="8" a="1"/>
  <c r="J16" i="8" s="1"/>
  <c r="F20" i="8" a="1"/>
  <c r="F20" i="8" s="1"/>
  <c r="H21" i="8" a="1"/>
  <c r="H21" i="8" s="1"/>
  <c r="J22" i="8" a="1"/>
  <c r="J22" i="8" s="1"/>
  <c r="F26" i="8" a="1"/>
  <c r="F26" i="8" s="1"/>
  <c r="H27" i="8" a="1"/>
  <c r="H27" i="8" s="1"/>
  <c r="J28" i="8" a="1"/>
  <c r="J28" i="8" s="1"/>
  <c r="F32" i="8" a="1"/>
  <c r="F32" i="8" s="1"/>
  <c r="H33" i="8" a="1"/>
  <c r="H33" i="8" s="1"/>
  <c r="J34" i="8" a="1"/>
  <c r="J34" i="8" s="1"/>
  <c r="F38" i="8" a="1"/>
  <c r="F38" i="8" s="1"/>
  <c r="H39" i="8" a="1"/>
  <c r="H39" i="8" s="1"/>
  <c r="J40" i="8" a="1"/>
  <c r="J40" i="8" s="1"/>
  <c r="F44" i="8" a="1"/>
  <c r="F44" i="8" s="1"/>
  <c r="H45" i="8" a="1"/>
  <c r="H45" i="8" s="1"/>
  <c r="J46" i="8" a="1"/>
  <c r="J46" i="8" s="1"/>
  <c r="F50" i="8" a="1"/>
  <c r="F50" i="8" s="1"/>
  <c r="H51" i="8" a="1"/>
  <c r="H51" i="8" s="1"/>
  <c r="I52" i="8" a="1"/>
  <c r="I52" i="8" s="1"/>
  <c r="J53" i="8" a="1"/>
  <c r="J53" i="8" s="1"/>
  <c r="F57" i="8" a="1"/>
  <c r="F57" i="8" s="1"/>
  <c r="H58" i="8" a="1"/>
  <c r="H58" i="8" s="1"/>
  <c r="J59" i="8" a="1"/>
  <c r="J59" i="8" s="1"/>
  <c r="F63" i="8" a="1"/>
  <c r="F63" i="8" s="1"/>
  <c r="I65" i="8" a="1"/>
  <c r="I65" i="8" s="1"/>
  <c r="K66" i="8" a="1"/>
  <c r="K66" i="8" s="1"/>
  <c r="E69" i="8" a="1"/>
  <c r="E69" i="8" s="1"/>
  <c r="G70" i="8" a="1"/>
  <c r="G70" i="8" s="1"/>
  <c r="H71" i="8" a="1"/>
  <c r="H71" i="8" s="1"/>
  <c r="J72" i="8" a="1"/>
  <c r="J72" i="8" s="1"/>
  <c r="I321" i="6" a="1"/>
  <c r="I321" i="6" s="1"/>
  <c r="J326" i="6" a="1"/>
  <c r="J326" i="6" s="1"/>
  <c r="J341" i="6" a="1"/>
  <c r="J341" i="6" s="1"/>
  <c r="J345" i="6" a="1"/>
  <c r="J345" i="6" s="1"/>
  <c r="G349" i="6" a="1"/>
  <c r="G349" i="6" s="1"/>
  <c r="I351" i="6" a="1"/>
  <c r="I351" i="6" s="1"/>
  <c r="I353" i="6" a="1"/>
  <c r="I353" i="6" s="1"/>
  <c r="G355" i="6" a="1"/>
  <c r="G355" i="6" s="1"/>
  <c r="F357" i="6" a="1"/>
  <c r="F357" i="6" s="1"/>
  <c r="E359" i="6" a="1"/>
  <c r="E359" i="6" s="1"/>
  <c r="E361" i="6" a="1"/>
  <c r="E361" i="6" s="1"/>
  <c r="J364" i="6" a="1"/>
  <c r="J364" i="6" s="1"/>
  <c r="J366" i="6" a="1"/>
  <c r="J366" i="6" s="1"/>
  <c r="J368" i="6" a="1"/>
  <c r="J368" i="6" s="1"/>
  <c r="H370" i="6" a="1"/>
  <c r="H370" i="6" s="1"/>
  <c r="H372" i="6" a="1"/>
  <c r="H372" i="6" s="1"/>
  <c r="I374" i="6" a="1"/>
  <c r="I374" i="6" s="1"/>
  <c r="H376" i="6" a="1"/>
  <c r="H376" i="6" s="1"/>
  <c r="H378" i="6" a="1"/>
  <c r="H378" i="6" s="1"/>
  <c r="I380" i="6" a="1"/>
  <c r="I380" i="6" s="1"/>
  <c r="H382" i="6" a="1"/>
  <c r="H382" i="6" s="1"/>
  <c r="H384" i="6" a="1"/>
  <c r="H384" i="6" s="1"/>
  <c r="I386" i="6" a="1"/>
  <c r="I386" i="6" s="1"/>
  <c r="G388" i="6" a="1"/>
  <c r="G388" i="6" s="1"/>
  <c r="I391" i="6" a="1"/>
  <c r="I391" i="6" s="1"/>
  <c r="F393" i="6" a="1"/>
  <c r="F393" i="6" s="1"/>
  <c r="K394" i="6" a="1"/>
  <c r="K394" i="6" s="1"/>
  <c r="G396" i="6" a="1"/>
  <c r="G396" i="6" s="1"/>
  <c r="J399" i="6" a="1"/>
  <c r="J399" i="6" s="1"/>
  <c r="E9" i="6" a="1"/>
  <c r="E9" i="6" s="1"/>
  <c r="K10" i="6" a="1"/>
  <c r="K10" i="6" s="1"/>
  <c r="G12" i="6" a="1"/>
  <c r="G12" i="6" s="1"/>
  <c r="H15" i="6" a="1"/>
  <c r="H15" i="6" s="1"/>
  <c r="H18" i="6" a="1"/>
  <c r="H18" i="6" s="1"/>
  <c r="H21" i="6" a="1"/>
  <c r="H21" i="6" s="1"/>
  <c r="H24" i="6" a="1"/>
  <c r="H24" i="6" s="1"/>
  <c r="K10" i="8" a="1"/>
  <c r="K10" i="8" s="1"/>
  <c r="E13" i="8" a="1"/>
  <c r="E13" i="8" s="1"/>
  <c r="G14" i="8" a="1"/>
  <c r="G14" i="8" s="1"/>
  <c r="I15" i="8" a="1"/>
  <c r="I15" i="8" s="1"/>
  <c r="K16" i="8" a="1"/>
  <c r="K16" i="8" s="1"/>
  <c r="E19" i="8" a="1"/>
  <c r="E19" i="8" s="1"/>
  <c r="G20" i="8" a="1"/>
  <c r="G20" i="8" s="1"/>
  <c r="I21" i="8" a="1"/>
  <c r="I21" i="8" s="1"/>
  <c r="K22" i="8" a="1"/>
  <c r="K22" i="8" s="1"/>
  <c r="E25" i="8" a="1"/>
  <c r="E25" i="8" s="1"/>
  <c r="G26" i="8" a="1"/>
  <c r="G26" i="8" s="1"/>
  <c r="I27" i="8" a="1"/>
  <c r="I27" i="8" s="1"/>
  <c r="K28" i="8" a="1"/>
  <c r="K28" i="8" s="1"/>
  <c r="E31" i="8" a="1"/>
  <c r="E31" i="8" s="1"/>
  <c r="G32" i="8" a="1"/>
  <c r="G32" i="8" s="1"/>
  <c r="I33" i="8" a="1"/>
  <c r="I33" i="8" s="1"/>
  <c r="K34" i="8" a="1"/>
  <c r="K34" i="8" s="1"/>
  <c r="E37" i="8" a="1"/>
  <c r="E37" i="8" s="1"/>
  <c r="G38" i="8" a="1"/>
  <c r="G38" i="8" s="1"/>
  <c r="I39" i="8" a="1"/>
  <c r="I39" i="8" s="1"/>
  <c r="K40" i="8" a="1"/>
  <c r="K40" i="8" s="1"/>
  <c r="E43" i="8" a="1"/>
  <c r="E43" i="8" s="1"/>
  <c r="G44" i="8" a="1"/>
  <c r="G44" i="8" s="1"/>
  <c r="I45" i="8" a="1"/>
  <c r="I45" i="8" s="1"/>
  <c r="K46" i="8" a="1"/>
  <c r="K46" i="8" s="1"/>
  <c r="E49" i="8" a="1"/>
  <c r="E49" i="8" s="1"/>
  <c r="G50" i="8" a="1"/>
  <c r="G50" i="8" s="1"/>
  <c r="I51" i="8" a="1"/>
  <c r="I51" i="8" s="1"/>
  <c r="J52" i="8" a="1"/>
  <c r="J52" i="8" s="1"/>
  <c r="K53" i="8" a="1"/>
  <c r="K53" i="8" s="1"/>
  <c r="E56" i="8" a="1"/>
  <c r="E56" i="8" s="1"/>
  <c r="G57" i="8" a="1"/>
  <c r="G57" i="8" s="1"/>
  <c r="I58" i="8" a="1"/>
  <c r="I58" i="8" s="1"/>
  <c r="K59" i="8" a="1"/>
  <c r="K59" i="8" s="1"/>
  <c r="E62" i="8" a="1"/>
  <c r="E62" i="8" s="1"/>
  <c r="G63" i="8" a="1"/>
  <c r="G63" i="8" s="1"/>
  <c r="H64" i="8" a="1"/>
  <c r="H64" i="8" s="1"/>
  <c r="J65" i="8" a="1"/>
  <c r="J65" i="8" s="1"/>
  <c r="F69" i="8" a="1"/>
  <c r="F69" i="8" s="1"/>
  <c r="H70" i="8" a="1"/>
  <c r="H70" i="8" s="1"/>
  <c r="I71" i="8" a="1"/>
  <c r="I71" i="8" s="1"/>
  <c r="K72" i="8" a="1"/>
  <c r="K72" i="8" s="1"/>
  <c r="E75" i="8" a="1"/>
  <c r="E75" i="8" s="1"/>
  <c r="G76" i="8" a="1"/>
  <c r="G76" i="8" s="1"/>
  <c r="I77" i="8" a="1"/>
  <c r="I77" i="8" s="1"/>
  <c r="K78" i="8" a="1"/>
  <c r="K78" i="8" s="1"/>
  <c r="E81" i="8" a="1"/>
  <c r="E81" i="8" s="1"/>
  <c r="G82" i="8" a="1"/>
  <c r="G82" i="8" s="1"/>
  <c r="E332" i="6" a="1"/>
  <c r="E332" i="6" s="1"/>
  <c r="F337" i="6" a="1"/>
  <c r="F337" i="6" s="1"/>
  <c r="H349" i="6" a="1"/>
  <c r="H349" i="6" s="1"/>
  <c r="J351" i="6" a="1"/>
  <c r="J351" i="6" s="1"/>
  <c r="J353" i="6" a="1"/>
  <c r="J353" i="6" s="1"/>
  <c r="H355" i="6" a="1"/>
  <c r="H355" i="6" s="1"/>
  <c r="H357" i="6" a="1"/>
  <c r="H357" i="6" s="1"/>
  <c r="F359" i="6" a="1"/>
  <c r="F359" i="6" s="1"/>
  <c r="F361" i="6" a="1"/>
  <c r="F361" i="6" s="1"/>
  <c r="E363" i="6" a="1"/>
  <c r="E363" i="6" s="1"/>
  <c r="K368" i="6" a="1"/>
  <c r="K368" i="6" s="1"/>
  <c r="I370" i="6" a="1"/>
  <c r="I370" i="6" s="1"/>
  <c r="I372" i="6" a="1"/>
  <c r="I372" i="6" s="1"/>
  <c r="J374" i="6" a="1"/>
  <c r="J374" i="6" s="1"/>
  <c r="I376" i="6" a="1"/>
  <c r="I376" i="6" s="1"/>
  <c r="I378" i="6" a="1"/>
  <c r="I378" i="6" s="1"/>
  <c r="J380" i="6" a="1"/>
  <c r="J380" i="6" s="1"/>
  <c r="I382" i="6" a="1"/>
  <c r="I382" i="6" s="1"/>
  <c r="I384" i="6" a="1"/>
  <c r="I384" i="6" s="1"/>
  <c r="J386" i="6" a="1"/>
  <c r="J386" i="6" s="1"/>
  <c r="H388" i="6" a="1"/>
  <c r="H388" i="6" s="1"/>
  <c r="E390" i="6" a="1"/>
  <c r="E390" i="6" s="1"/>
  <c r="J391" i="6" a="1"/>
  <c r="J391" i="6" s="1"/>
  <c r="G393" i="6" a="1"/>
  <c r="G393" i="6" s="1"/>
  <c r="H396" i="6" a="1"/>
  <c r="H396" i="6" s="1"/>
  <c r="F398" i="6" a="1"/>
  <c r="F398" i="6" s="1"/>
  <c r="K399" i="6" a="1"/>
  <c r="K399" i="6" s="1"/>
  <c r="F9" i="6" a="1"/>
  <c r="F9" i="6" s="1"/>
  <c r="H12" i="6" a="1"/>
  <c r="H12" i="6" s="1"/>
  <c r="E14" i="6" a="1"/>
  <c r="E14" i="6" s="1"/>
  <c r="I15" i="6" a="1"/>
  <c r="I15" i="6" s="1"/>
  <c r="E17" i="6" a="1"/>
  <c r="E17" i="6" s="1"/>
  <c r="I18" i="6" a="1"/>
  <c r="I18" i="6" s="1"/>
  <c r="E20" i="6" a="1"/>
  <c r="E20" i="6" s="1"/>
  <c r="I21" i="6" a="1"/>
  <c r="I21" i="6" s="1"/>
  <c r="E23" i="6" a="1"/>
  <c r="E23" i="6" s="1"/>
  <c r="I24" i="6" a="1"/>
  <c r="I24" i="6" s="1"/>
  <c r="F13" i="8" a="1"/>
  <c r="F13" i="8" s="1"/>
  <c r="H14" i="8" a="1"/>
  <c r="H14" i="8" s="1"/>
  <c r="J15" i="8" a="1"/>
  <c r="J15" i="8" s="1"/>
  <c r="F19" i="8" a="1"/>
  <c r="F19" i="8" s="1"/>
  <c r="H20" i="8" a="1"/>
  <c r="H20" i="8" s="1"/>
  <c r="J21" i="8" a="1"/>
  <c r="J21" i="8" s="1"/>
  <c r="F25" i="8" a="1"/>
  <c r="F25" i="8" s="1"/>
  <c r="H26" i="8" a="1"/>
  <c r="H26" i="8" s="1"/>
  <c r="J27" i="8" a="1"/>
  <c r="J27" i="8" s="1"/>
  <c r="F31" i="8" a="1"/>
  <c r="F31" i="8" s="1"/>
  <c r="H32" i="8" a="1"/>
  <c r="H32" i="8" s="1"/>
  <c r="J33" i="8" a="1"/>
  <c r="J33" i="8" s="1"/>
  <c r="F37" i="8" a="1"/>
  <c r="F37" i="8" s="1"/>
  <c r="H38" i="8" a="1"/>
  <c r="H38" i="8" s="1"/>
  <c r="J39" i="8" a="1"/>
  <c r="J39" i="8" s="1"/>
  <c r="F43" i="8" a="1"/>
  <c r="F43" i="8" s="1"/>
  <c r="H44" i="8" a="1"/>
  <c r="H44" i="8" s="1"/>
  <c r="J45" i="8" a="1"/>
  <c r="J45" i="8" s="1"/>
  <c r="F49" i="8" a="1"/>
  <c r="F49" i="8" s="1"/>
  <c r="H50" i="8" a="1"/>
  <c r="H50" i="8" s="1"/>
  <c r="J51" i="8" a="1"/>
  <c r="J51" i="8" s="1"/>
  <c r="K52" i="8" a="1"/>
  <c r="K52" i="8" s="1"/>
  <c r="F56" i="8" a="1"/>
  <c r="F56" i="8" s="1"/>
  <c r="H57" i="8" a="1"/>
  <c r="H57" i="8" s="1"/>
  <c r="J58" i="8" a="1"/>
  <c r="J58" i="8" s="1"/>
  <c r="F62" i="8" a="1"/>
  <c r="F62" i="8" s="1"/>
  <c r="H63" i="8" a="1"/>
  <c r="H63" i="8" s="1"/>
  <c r="E35" i="8" a="1"/>
  <c r="E35" i="8" s="1"/>
  <c r="E38" i="8" a="1"/>
  <c r="E38" i="8" s="1"/>
  <c r="E41" i="8" a="1"/>
  <c r="E41" i="8" s="1"/>
  <c r="E44" i="8" a="1"/>
  <c r="E44" i="8" s="1"/>
  <c r="G49" i="8" a="1"/>
  <c r="G49" i="8" s="1"/>
  <c r="G51" i="8" a="1"/>
  <c r="G51" i="8" s="1"/>
  <c r="H53" i="8" a="1"/>
  <c r="H53" i="8" s="1"/>
  <c r="E60" i="8" a="1"/>
  <c r="E60" i="8" s="1"/>
  <c r="G62" i="8" a="1"/>
  <c r="G62" i="8" s="1"/>
  <c r="F64" i="8" a="1"/>
  <c r="F64" i="8" s="1"/>
  <c r="J67" i="8" a="1"/>
  <c r="J67" i="8" s="1"/>
  <c r="I70" i="8" a="1"/>
  <c r="I70" i="8" s="1"/>
  <c r="I73" i="8" a="1"/>
  <c r="I73" i="8" s="1"/>
  <c r="F76" i="8" a="1"/>
  <c r="F76" i="8" s="1"/>
  <c r="J77" i="8" a="1"/>
  <c r="J77" i="8" s="1"/>
  <c r="E80" i="8" a="1"/>
  <c r="E80" i="8" s="1"/>
  <c r="H81" i="8" a="1"/>
  <c r="H81" i="8" s="1"/>
  <c r="K82" i="8" a="1"/>
  <c r="K82" i="8" s="1"/>
  <c r="E85" i="8" a="1"/>
  <c r="E85" i="8" s="1"/>
  <c r="G86" i="8" a="1"/>
  <c r="G86" i="8" s="1"/>
  <c r="I87" i="8" a="1"/>
  <c r="I87" i="8" s="1"/>
  <c r="K88" i="8" a="1"/>
  <c r="K88" i="8" s="1"/>
  <c r="E91" i="8" a="1"/>
  <c r="E91" i="8" s="1"/>
  <c r="G92" i="8" a="1"/>
  <c r="G92" i="8" s="1"/>
  <c r="I93" i="8" a="1"/>
  <c r="I93" i="8" s="1"/>
  <c r="K94" i="8" a="1"/>
  <c r="K94" i="8" s="1"/>
  <c r="E97" i="8" a="1"/>
  <c r="E97" i="8" s="1"/>
  <c r="G98" i="8" a="1"/>
  <c r="G98" i="8" s="1"/>
  <c r="I99" i="8" a="1"/>
  <c r="I99" i="8" s="1"/>
  <c r="K100" i="8" a="1"/>
  <c r="K100" i="8" s="1"/>
  <c r="E103" i="8" a="1"/>
  <c r="E103" i="8" s="1"/>
  <c r="G104" i="8" a="1"/>
  <c r="G104" i="8" s="1"/>
  <c r="I105" i="8" a="1"/>
  <c r="I105" i="8" s="1"/>
  <c r="K106" i="8" a="1"/>
  <c r="K106" i="8" s="1"/>
  <c r="E109" i="8" a="1"/>
  <c r="E109" i="8" s="1"/>
  <c r="G110" i="8" a="1"/>
  <c r="G110" i="8" s="1"/>
  <c r="I111" i="8" a="1"/>
  <c r="I111" i="8" s="1"/>
  <c r="K112" i="8" a="1"/>
  <c r="K112" i="8" s="1"/>
  <c r="E115" i="8" a="1"/>
  <c r="E115" i="8" s="1"/>
  <c r="G116" i="8" a="1"/>
  <c r="G116" i="8" s="1"/>
  <c r="I117" i="8" a="1"/>
  <c r="I117" i="8" s="1"/>
  <c r="K118" i="8" a="1"/>
  <c r="K118" i="8" s="1"/>
  <c r="E121" i="8" a="1"/>
  <c r="E121" i="8" s="1"/>
  <c r="G122" i="8" a="1"/>
  <c r="G122" i="8" s="1"/>
  <c r="H123" i="8" a="1"/>
  <c r="H123" i="8" s="1"/>
  <c r="J124" i="8" a="1"/>
  <c r="J124" i="8" s="1"/>
  <c r="F128" i="8" a="1"/>
  <c r="F128" i="8" s="1"/>
  <c r="H129" i="8" a="1"/>
  <c r="H129" i="8" s="1"/>
  <c r="J130" i="8" a="1"/>
  <c r="J130" i="8" s="1"/>
  <c r="E134" i="8" a="1"/>
  <c r="E134" i="8" s="1"/>
  <c r="F135" i="8" a="1"/>
  <c r="F135" i="8" s="1"/>
  <c r="H136" i="8" a="1"/>
  <c r="H136" i="8" s="1"/>
  <c r="I137" i="8" a="1"/>
  <c r="I137" i="8" s="1"/>
  <c r="K138" i="8" a="1"/>
  <c r="K138" i="8" s="1"/>
  <c r="E141" i="8" a="1"/>
  <c r="E141" i="8" s="1"/>
  <c r="G142" i="8" a="1"/>
  <c r="G142" i="8" s="1"/>
  <c r="I143" i="8" a="1"/>
  <c r="I143" i="8" s="1"/>
  <c r="K144" i="8" a="1"/>
  <c r="K144" i="8" s="1"/>
  <c r="E147" i="8" a="1"/>
  <c r="E147" i="8" s="1"/>
  <c r="G148" i="8" a="1"/>
  <c r="G148" i="8" s="1"/>
  <c r="I149" i="8" a="1"/>
  <c r="I149" i="8" s="1"/>
  <c r="K150" i="8" a="1"/>
  <c r="K150" i="8" s="1"/>
  <c r="E153" i="8" a="1"/>
  <c r="E153" i="8" s="1"/>
  <c r="J35" i="8" a="1"/>
  <c r="J35" i="8" s="1"/>
  <c r="K38" i="8" a="1"/>
  <c r="K38" i="8" s="1"/>
  <c r="J41" i="8" a="1"/>
  <c r="J41" i="8" s="1"/>
  <c r="K44" i="8" a="1"/>
  <c r="K44" i="8" s="1"/>
  <c r="E47" i="8" a="1"/>
  <c r="E47" i="8" s="1"/>
  <c r="H49" i="8" a="1"/>
  <c r="H49" i="8" s="1"/>
  <c r="K51" i="8" a="1"/>
  <c r="K51" i="8" s="1"/>
  <c r="I53" i="8" a="1"/>
  <c r="I53" i="8" s="1"/>
  <c r="J60" i="8" a="1"/>
  <c r="J60" i="8" s="1"/>
  <c r="H62" i="8" a="1"/>
  <c r="H62" i="8" s="1"/>
  <c r="G64" i="8" a="1"/>
  <c r="G64" i="8" s="1"/>
  <c r="K67" i="8" a="1"/>
  <c r="K67" i="8" s="1"/>
  <c r="G69" i="8" a="1"/>
  <c r="G69" i="8" s="1"/>
  <c r="J70" i="8" a="1"/>
  <c r="J70" i="8" s="1"/>
  <c r="J73" i="8" a="1"/>
  <c r="J73" i="8" s="1"/>
  <c r="H76" i="8" a="1"/>
  <c r="H76" i="8" s="1"/>
  <c r="K77" i="8" a="1"/>
  <c r="K77" i="8" s="1"/>
  <c r="F80" i="8" a="1"/>
  <c r="F80" i="8" s="1"/>
  <c r="I81" i="8" a="1"/>
  <c r="I81" i="8" s="1"/>
  <c r="F85" i="8" a="1"/>
  <c r="F85" i="8" s="1"/>
  <c r="H86" i="8" a="1"/>
  <c r="H86" i="8" s="1"/>
  <c r="J87" i="8" a="1"/>
  <c r="J87" i="8" s="1"/>
  <c r="F91" i="8" a="1"/>
  <c r="F91" i="8" s="1"/>
  <c r="H92" i="8" a="1"/>
  <c r="H92" i="8" s="1"/>
  <c r="J93" i="8" a="1"/>
  <c r="J93" i="8" s="1"/>
  <c r="F97" i="8" a="1"/>
  <c r="F97" i="8" s="1"/>
  <c r="H98" i="8" a="1"/>
  <c r="H98" i="8" s="1"/>
  <c r="J99" i="8" a="1"/>
  <c r="J99" i="8" s="1"/>
  <c r="F103" i="8" a="1"/>
  <c r="F103" i="8" s="1"/>
  <c r="H104" i="8" a="1"/>
  <c r="H104" i="8" s="1"/>
  <c r="J105" i="8" a="1"/>
  <c r="J105" i="8" s="1"/>
  <c r="F109" i="8" a="1"/>
  <c r="F109" i="8" s="1"/>
  <c r="H110" i="8" a="1"/>
  <c r="H110" i="8" s="1"/>
  <c r="J111" i="8" a="1"/>
  <c r="J111" i="8" s="1"/>
  <c r="F115" i="8" a="1"/>
  <c r="F115" i="8" s="1"/>
  <c r="H116" i="8" a="1"/>
  <c r="H116" i="8" s="1"/>
  <c r="J117" i="8" a="1"/>
  <c r="J117" i="8" s="1"/>
  <c r="F121" i="8" a="1"/>
  <c r="F121" i="8" s="1"/>
  <c r="I123" i="8" a="1"/>
  <c r="I123" i="8" s="1"/>
  <c r="K124" i="8" a="1"/>
  <c r="K124" i="8" s="1"/>
  <c r="E127" i="8" a="1"/>
  <c r="E127" i="8" s="1"/>
  <c r="G128" i="8" a="1"/>
  <c r="G128" i="8" s="1"/>
  <c r="I129" i="8" a="1"/>
  <c r="I129" i="8" s="1"/>
  <c r="K130" i="8" a="1"/>
  <c r="K130" i="8" s="1"/>
  <c r="F134" i="8" a="1"/>
  <c r="F134" i="8" s="1"/>
  <c r="G135" i="8" a="1"/>
  <c r="G135" i="8" s="1"/>
  <c r="I136" i="8" a="1"/>
  <c r="I136" i="8" s="1"/>
  <c r="J137" i="8" a="1"/>
  <c r="J137" i="8" s="1"/>
  <c r="F141" i="8" a="1"/>
  <c r="F141" i="8" s="1"/>
  <c r="H142" i="8" a="1"/>
  <c r="H142" i="8" s="1"/>
  <c r="J143" i="8" a="1"/>
  <c r="J143" i="8" s="1"/>
  <c r="F147" i="8" a="1"/>
  <c r="F147" i="8" s="1"/>
  <c r="H148" i="8" a="1"/>
  <c r="H148" i="8" s="1"/>
  <c r="J149" i="8" a="1"/>
  <c r="J149" i="8" s="1"/>
  <c r="F153" i="8" a="1"/>
  <c r="F153" i="8" s="1"/>
  <c r="H154" i="8" a="1"/>
  <c r="H154" i="8" s="1"/>
  <c r="J155" i="8" a="1"/>
  <c r="J155" i="8" s="1"/>
  <c r="K156" i="8" a="1"/>
  <c r="K156" i="8" s="1"/>
  <c r="E159" i="8" a="1"/>
  <c r="E159" i="8" s="1"/>
  <c r="K35" i="8" a="1"/>
  <c r="K35" i="8" s="1"/>
  <c r="K41" i="8" a="1"/>
  <c r="K41" i="8" s="1"/>
  <c r="J47" i="8" a="1"/>
  <c r="J47" i="8" s="1"/>
  <c r="I49" i="8" a="1"/>
  <c r="I49" i="8" s="1"/>
  <c r="F58" i="8" a="1"/>
  <c r="F58" i="8" s="1"/>
  <c r="K60" i="8" a="1"/>
  <c r="K60" i="8" s="1"/>
  <c r="I62" i="8" a="1"/>
  <c r="I62" i="8" s="1"/>
  <c r="I64" i="8" a="1"/>
  <c r="I64" i="8" s="1"/>
  <c r="H69" i="8" a="1"/>
  <c r="H69" i="8" s="1"/>
  <c r="K70" i="8" a="1"/>
  <c r="K70" i="8" s="1"/>
  <c r="E72" i="8" a="1"/>
  <c r="E72" i="8" s="1"/>
  <c r="K73" i="8" a="1"/>
  <c r="K73" i="8" s="1"/>
  <c r="F75" i="8" a="1"/>
  <c r="F75" i="8" s="1"/>
  <c r="I76" i="8" a="1"/>
  <c r="I76" i="8" s="1"/>
  <c r="E79" i="8" a="1"/>
  <c r="E79" i="8" s="1"/>
  <c r="G80" i="8" a="1"/>
  <c r="G80" i="8" s="1"/>
  <c r="J81" i="8" a="1"/>
  <c r="J81" i="8" s="1"/>
  <c r="E84" i="8" a="1"/>
  <c r="E84" i="8" s="1"/>
  <c r="G85" i="8" a="1"/>
  <c r="G85" i="8" s="1"/>
  <c r="I86" i="8" a="1"/>
  <c r="I86" i="8" s="1"/>
  <c r="K87" i="8" a="1"/>
  <c r="K87" i="8" s="1"/>
  <c r="E90" i="8" a="1"/>
  <c r="E90" i="8" s="1"/>
  <c r="G91" i="8" a="1"/>
  <c r="G91" i="8" s="1"/>
  <c r="I92" i="8" a="1"/>
  <c r="I92" i="8" s="1"/>
  <c r="K93" i="8" a="1"/>
  <c r="K93" i="8" s="1"/>
  <c r="E96" i="8" a="1"/>
  <c r="E96" i="8" s="1"/>
  <c r="G97" i="8" a="1"/>
  <c r="G97" i="8" s="1"/>
  <c r="I98" i="8" a="1"/>
  <c r="I98" i="8" s="1"/>
  <c r="K99" i="8" a="1"/>
  <c r="K99" i="8" s="1"/>
  <c r="E102" i="8" a="1"/>
  <c r="E102" i="8" s="1"/>
  <c r="G103" i="8" a="1"/>
  <c r="G103" i="8" s="1"/>
  <c r="I104" i="8" a="1"/>
  <c r="I104" i="8" s="1"/>
  <c r="K105" i="8" a="1"/>
  <c r="K105" i="8" s="1"/>
  <c r="E108" i="8" a="1"/>
  <c r="E108" i="8" s="1"/>
  <c r="G109" i="8" a="1"/>
  <c r="G109" i="8" s="1"/>
  <c r="I110" i="8" a="1"/>
  <c r="I110" i="8" s="1"/>
  <c r="K111" i="8" a="1"/>
  <c r="K111" i="8" s="1"/>
  <c r="E114" i="8" a="1"/>
  <c r="E114" i="8" s="1"/>
  <c r="G115" i="8" a="1"/>
  <c r="G115" i="8" s="1"/>
  <c r="I116" i="8" a="1"/>
  <c r="I116" i="8" s="1"/>
  <c r="K117" i="8" a="1"/>
  <c r="K117" i="8" s="1"/>
  <c r="E120" i="8" a="1"/>
  <c r="E120" i="8" s="1"/>
  <c r="G121" i="8" a="1"/>
  <c r="G121" i="8" s="1"/>
  <c r="H122" i="8" a="1"/>
  <c r="H122" i="8" s="1"/>
  <c r="J123" i="8" a="1"/>
  <c r="J123" i="8" s="1"/>
  <c r="F127" i="8" a="1"/>
  <c r="F127" i="8" s="1"/>
  <c r="H128" i="8" a="1"/>
  <c r="H128" i="8" s="1"/>
  <c r="J129" i="8" a="1"/>
  <c r="J129" i="8" s="1"/>
  <c r="E133" i="8" a="1"/>
  <c r="E133" i="8" s="1"/>
  <c r="G134" i="8" a="1"/>
  <c r="G134" i="8" s="1"/>
  <c r="H135" i="8" a="1"/>
  <c r="H135" i="8" s="1"/>
  <c r="J136" i="8" a="1"/>
  <c r="J136" i="8" s="1"/>
  <c r="K137" i="8" a="1"/>
  <c r="K137" i="8" s="1"/>
  <c r="E140" i="8" a="1"/>
  <c r="E140" i="8" s="1"/>
  <c r="G141" i="8" a="1"/>
  <c r="G141" i="8" s="1"/>
  <c r="I142" i="8" a="1"/>
  <c r="I142" i="8" s="1"/>
  <c r="K143" i="8" a="1"/>
  <c r="K143" i="8" s="1"/>
  <c r="E146" i="8" a="1"/>
  <c r="E146" i="8" s="1"/>
  <c r="G147" i="8" a="1"/>
  <c r="G147" i="8" s="1"/>
  <c r="I148" i="8" a="1"/>
  <c r="I148" i="8" s="1"/>
  <c r="K149" i="8" a="1"/>
  <c r="K149" i="8" s="1"/>
  <c r="E152" i="8" a="1"/>
  <c r="E152" i="8" s="1"/>
  <c r="G153" i="8" a="1"/>
  <c r="G153" i="8" s="1"/>
  <c r="I154" i="8" a="1"/>
  <c r="I154" i="8" s="1"/>
  <c r="K155" i="8" a="1"/>
  <c r="K155" i="8" s="1"/>
  <c r="F159" i="8" a="1"/>
  <c r="F159" i="8" s="1"/>
  <c r="H160" i="8" a="1"/>
  <c r="H160" i="8" s="1"/>
  <c r="J161" i="8" a="1"/>
  <c r="J161" i="8" s="1"/>
  <c r="F165" i="8" a="1"/>
  <c r="F165" i="8" s="1"/>
  <c r="K32" i="8" a="1"/>
  <c r="K32" i="8" s="1"/>
  <c r="K47" i="8" a="1"/>
  <c r="K47" i="8" s="1"/>
  <c r="G56" i="8" a="1"/>
  <c r="G56" i="8" s="1"/>
  <c r="G58" i="8" a="1"/>
  <c r="G58" i="8" s="1"/>
  <c r="J64" i="8" a="1"/>
  <c r="J64" i="8" s="1"/>
  <c r="E66" i="8" a="1"/>
  <c r="E66" i="8" s="1"/>
  <c r="I69" i="8" a="1"/>
  <c r="I69" i="8" s="1"/>
  <c r="G72" i="8" a="1"/>
  <c r="G72" i="8" s="1"/>
  <c r="G75" i="8" a="1"/>
  <c r="G75" i="8" s="1"/>
  <c r="J76" i="8" a="1"/>
  <c r="J76" i="8" s="1"/>
  <c r="F79" i="8" a="1"/>
  <c r="F79" i="8" s="1"/>
  <c r="H80" i="8" a="1"/>
  <c r="H80" i="8" s="1"/>
  <c r="K81" i="8" a="1"/>
  <c r="K81" i="8" s="1"/>
  <c r="F84" i="8" a="1"/>
  <c r="F84" i="8" s="1"/>
  <c r="H85" i="8" a="1"/>
  <c r="H85" i="8" s="1"/>
  <c r="J86" i="8" a="1"/>
  <c r="J86" i="8" s="1"/>
  <c r="F90" i="8" a="1"/>
  <c r="F90" i="8" s="1"/>
  <c r="H91" i="8" a="1"/>
  <c r="H91" i="8" s="1"/>
  <c r="J92" i="8" a="1"/>
  <c r="J92" i="8" s="1"/>
  <c r="F96" i="8" a="1"/>
  <c r="F96" i="8" s="1"/>
  <c r="H97" i="8" a="1"/>
  <c r="H97" i="8" s="1"/>
  <c r="J98" i="8" a="1"/>
  <c r="J98" i="8" s="1"/>
  <c r="F102" i="8" a="1"/>
  <c r="F102" i="8" s="1"/>
  <c r="H103" i="8" a="1"/>
  <c r="H103" i="8" s="1"/>
  <c r="J104" i="8" a="1"/>
  <c r="J104" i="8" s="1"/>
  <c r="F108" i="8" a="1"/>
  <c r="F108" i="8" s="1"/>
  <c r="H109" i="8" a="1"/>
  <c r="H109" i="8" s="1"/>
  <c r="J110" i="8" a="1"/>
  <c r="J110" i="8" s="1"/>
  <c r="F114" i="8" a="1"/>
  <c r="F114" i="8" s="1"/>
  <c r="H115" i="8" a="1"/>
  <c r="H115" i="8" s="1"/>
  <c r="J116" i="8" a="1"/>
  <c r="J116" i="8" s="1"/>
  <c r="F120" i="8" a="1"/>
  <c r="F120" i="8" s="1"/>
  <c r="H121" i="8" a="1"/>
  <c r="H121" i="8" s="1"/>
  <c r="I122" i="8" a="1"/>
  <c r="I122" i="8" s="1"/>
  <c r="K123" i="8" a="1"/>
  <c r="K123" i="8" s="1"/>
  <c r="E126" i="8" a="1"/>
  <c r="E126" i="8" s="1"/>
  <c r="G127" i="8" a="1"/>
  <c r="G127" i="8" s="1"/>
  <c r="I128" i="8" a="1"/>
  <c r="I128" i="8" s="1"/>
  <c r="F39" i="8" a="1"/>
  <c r="F39" i="8" s="1"/>
  <c r="F45" i="8" a="1"/>
  <c r="F45" i="8" s="1"/>
  <c r="E54" i="8" a="1"/>
  <c r="E54" i="8" s="1"/>
  <c r="H56" i="8" a="1"/>
  <c r="H56" i="8" s="1"/>
  <c r="K58" i="8" a="1"/>
  <c r="K58" i="8" s="1"/>
  <c r="K64" i="8" a="1"/>
  <c r="K64" i="8" s="1"/>
  <c r="H66" i="8" a="1"/>
  <c r="H66" i="8" s="1"/>
  <c r="J69" i="8" a="1"/>
  <c r="J69" i="8" s="1"/>
  <c r="H72" i="8" a="1"/>
  <c r="H72" i="8" s="1"/>
  <c r="H75" i="8" a="1"/>
  <c r="H75" i="8" s="1"/>
  <c r="K76" i="8" a="1"/>
  <c r="K76" i="8" s="1"/>
  <c r="G79" i="8" a="1"/>
  <c r="G79" i="8" s="1"/>
  <c r="I80" i="8" a="1"/>
  <c r="I80" i="8" s="1"/>
  <c r="E83" i="8" a="1"/>
  <c r="E83" i="8" s="1"/>
  <c r="G84" i="8" a="1"/>
  <c r="G84" i="8" s="1"/>
  <c r="I85" i="8" a="1"/>
  <c r="I85" i="8" s="1"/>
  <c r="K86" i="8" a="1"/>
  <c r="K86" i="8" s="1"/>
  <c r="E89" i="8" a="1"/>
  <c r="E89" i="8" s="1"/>
  <c r="G90" i="8" a="1"/>
  <c r="G90" i="8" s="1"/>
  <c r="I91" i="8" a="1"/>
  <c r="I91" i="8" s="1"/>
  <c r="K92" i="8" a="1"/>
  <c r="K92" i="8" s="1"/>
  <c r="E95" i="8" a="1"/>
  <c r="E95" i="8" s="1"/>
  <c r="G96" i="8" a="1"/>
  <c r="G96" i="8" s="1"/>
  <c r="I97" i="8" a="1"/>
  <c r="I97" i="8" s="1"/>
  <c r="K98" i="8" a="1"/>
  <c r="K98" i="8" s="1"/>
  <c r="E101" i="8" a="1"/>
  <c r="E101" i="8" s="1"/>
  <c r="G102" i="8" a="1"/>
  <c r="G102" i="8" s="1"/>
  <c r="I103" i="8" a="1"/>
  <c r="I103" i="8" s="1"/>
  <c r="K104" i="8" a="1"/>
  <c r="K104" i="8" s="1"/>
  <c r="E107" i="8" a="1"/>
  <c r="E107" i="8" s="1"/>
  <c r="G108" i="8" a="1"/>
  <c r="G108" i="8" s="1"/>
  <c r="I109" i="8" a="1"/>
  <c r="I109" i="8" s="1"/>
  <c r="K110" i="8" a="1"/>
  <c r="K110" i="8" s="1"/>
  <c r="E113" i="8" a="1"/>
  <c r="E113" i="8" s="1"/>
  <c r="G114" i="8" a="1"/>
  <c r="G114" i="8" s="1"/>
  <c r="I115" i="8" a="1"/>
  <c r="I115" i="8" s="1"/>
  <c r="K116" i="8" a="1"/>
  <c r="K116" i="8" s="1"/>
  <c r="E119" i="8" a="1"/>
  <c r="E119" i="8" s="1"/>
  <c r="G120" i="8" a="1"/>
  <c r="G120" i="8" s="1"/>
  <c r="I121" i="8" a="1"/>
  <c r="I121" i="8" s="1"/>
  <c r="J122" i="8" a="1"/>
  <c r="J122" i="8" s="1"/>
  <c r="F126" i="8" a="1"/>
  <c r="F126" i="8" s="1"/>
  <c r="H127" i="8" a="1"/>
  <c r="H127" i="8" s="1"/>
  <c r="J128" i="8" a="1"/>
  <c r="J128" i="8" s="1"/>
  <c r="F132" i="8" a="1"/>
  <c r="F132" i="8" s="1"/>
  <c r="G133" i="8" a="1"/>
  <c r="G133" i="8" s="1"/>
  <c r="H134" i="8" a="1"/>
  <c r="H134" i="8" s="1"/>
  <c r="J135" i="8" a="1"/>
  <c r="J135" i="8" s="1"/>
  <c r="K136" i="8" a="1"/>
  <c r="K136" i="8" s="1"/>
  <c r="E139" i="8" a="1"/>
  <c r="E139" i="8" s="1"/>
  <c r="G140" i="8" a="1"/>
  <c r="G140" i="8" s="1"/>
  <c r="I141" i="8" a="1"/>
  <c r="I141" i="8" s="1"/>
  <c r="K142" i="8" a="1"/>
  <c r="K142" i="8" s="1"/>
  <c r="E145" i="8" a="1"/>
  <c r="E145" i="8" s="1"/>
  <c r="G146" i="8" a="1"/>
  <c r="G146" i="8" s="1"/>
  <c r="I147" i="8" a="1"/>
  <c r="I147" i="8" s="1"/>
  <c r="K148" i="8" a="1"/>
  <c r="K148" i="8" s="1"/>
  <c r="E151" i="8" a="1"/>
  <c r="E151" i="8" s="1"/>
  <c r="G152" i="8" a="1"/>
  <c r="G152" i="8" s="1"/>
  <c r="I153" i="8" a="1"/>
  <c r="I153" i="8" s="1"/>
  <c r="K154" i="8" a="1"/>
  <c r="K154" i="8" s="1"/>
  <c r="F158" i="8" a="1"/>
  <c r="F158" i="8" s="1"/>
  <c r="H159" i="8" a="1"/>
  <c r="H159" i="8" s="1"/>
  <c r="J160" i="8" a="1"/>
  <c r="J160" i="8" s="1"/>
  <c r="F164" i="8" a="1"/>
  <c r="F164" i="8" s="1"/>
  <c r="H165" i="8" a="1"/>
  <c r="H165" i="8" s="1"/>
  <c r="J166" i="8" a="1"/>
  <c r="J166" i="8" s="1"/>
  <c r="F170" i="8" a="1"/>
  <c r="F170" i="8" s="1"/>
  <c r="H171" i="8" a="1"/>
  <c r="H171" i="8" s="1"/>
  <c r="J172" i="8" a="1"/>
  <c r="J172" i="8" s="1"/>
  <c r="F176" i="8" a="1"/>
  <c r="F176" i="8" s="1"/>
  <c r="H177" i="8" a="1"/>
  <c r="H177" i="8" s="1"/>
  <c r="J178" i="8" a="1"/>
  <c r="J178" i="8" s="1"/>
  <c r="F182" i="8" a="1"/>
  <c r="F182" i="8" s="1"/>
  <c r="H183" i="8" a="1"/>
  <c r="H183" i="8" s="1"/>
  <c r="J184" i="8" a="1"/>
  <c r="J184" i="8" s="1"/>
  <c r="F188" i="8" a="1"/>
  <c r="F188" i="8" s="1"/>
  <c r="G36" i="8" a="1"/>
  <c r="G36" i="8" s="1"/>
  <c r="G39" i="8" a="1"/>
  <c r="G39" i="8" s="1"/>
  <c r="G42" i="8" a="1"/>
  <c r="G42" i="8" s="1"/>
  <c r="G45" i="8" a="1"/>
  <c r="G45" i="8" s="1"/>
  <c r="E50" i="8" a="1"/>
  <c r="E50" i="8" s="1"/>
  <c r="J54" i="8" a="1"/>
  <c r="J54" i="8" s="1"/>
  <c r="I56" i="8" a="1"/>
  <c r="I56" i="8" s="1"/>
  <c r="E61" i="8" a="1"/>
  <c r="E61" i="8" s="1"/>
  <c r="E63" i="8" a="1"/>
  <c r="E63" i="8" s="1"/>
  <c r="I66" i="8" a="1"/>
  <c r="I66" i="8" s="1"/>
  <c r="E68" i="8" a="1"/>
  <c r="E68" i="8" s="1"/>
  <c r="K69" i="8" a="1"/>
  <c r="K69" i="8" s="1"/>
  <c r="I72" i="8" a="1"/>
  <c r="I72" i="8" s="1"/>
  <c r="E74" i="8" a="1"/>
  <c r="E74" i="8" s="1"/>
  <c r="I75" i="8" a="1"/>
  <c r="I75" i="8" s="1"/>
  <c r="E78" i="8" a="1"/>
  <c r="E78" i="8" s="1"/>
  <c r="H79" i="8" a="1"/>
  <c r="H79" i="8" s="1"/>
  <c r="J80" i="8" a="1"/>
  <c r="J80" i="8" s="1"/>
  <c r="F83" i="8" a="1"/>
  <c r="F83" i="8" s="1"/>
  <c r="H84" i="8" a="1"/>
  <c r="H84" i="8" s="1"/>
  <c r="J85" i="8" a="1"/>
  <c r="J85" i="8" s="1"/>
  <c r="F89" i="8" a="1"/>
  <c r="F89" i="8" s="1"/>
  <c r="H90" i="8" a="1"/>
  <c r="H90" i="8" s="1"/>
  <c r="J91" i="8" a="1"/>
  <c r="J91" i="8" s="1"/>
  <c r="F95" i="8" a="1"/>
  <c r="F95" i="8" s="1"/>
  <c r="H96" i="8" a="1"/>
  <c r="H96" i="8" s="1"/>
  <c r="J97" i="8" a="1"/>
  <c r="J97" i="8" s="1"/>
  <c r="F101" i="8" a="1"/>
  <c r="F101" i="8" s="1"/>
  <c r="H102" i="8" a="1"/>
  <c r="H102" i="8" s="1"/>
  <c r="J103" i="8" a="1"/>
  <c r="J103" i="8" s="1"/>
  <c r="F107" i="8" a="1"/>
  <c r="F107" i="8" s="1"/>
  <c r="H108" i="8" a="1"/>
  <c r="H108" i="8" s="1"/>
  <c r="J109" i="8" a="1"/>
  <c r="J109" i="8" s="1"/>
  <c r="F113" i="8" a="1"/>
  <c r="F113" i="8" s="1"/>
  <c r="H114" i="8" a="1"/>
  <c r="H114" i="8" s="1"/>
  <c r="J115" i="8" a="1"/>
  <c r="J115" i="8" s="1"/>
  <c r="F119" i="8" a="1"/>
  <c r="F119" i="8" s="1"/>
  <c r="H120" i="8" a="1"/>
  <c r="H120" i="8" s="1"/>
  <c r="J121" i="8" a="1"/>
  <c r="J121" i="8" s="1"/>
  <c r="K122" i="8" a="1"/>
  <c r="K122" i="8" s="1"/>
  <c r="E125" i="8" a="1"/>
  <c r="E125" i="8" s="1"/>
  <c r="G126" i="8" a="1"/>
  <c r="G126" i="8" s="1"/>
  <c r="I127" i="8" a="1"/>
  <c r="I127" i="8" s="1"/>
  <c r="K128" i="8" a="1"/>
  <c r="K128" i="8" s="1"/>
  <c r="E131" i="8" a="1"/>
  <c r="E131" i="8" s="1"/>
  <c r="G132" i="8" a="1"/>
  <c r="G132" i="8" s="1"/>
  <c r="H133" i="8" a="1"/>
  <c r="H133" i="8" s="1"/>
  <c r="I134" i="8" a="1"/>
  <c r="I134" i="8" s="1"/>
  <c r="K135" i="8" a="1"/>
  <c r="K135" i="8" s="1"/>
  <c r="F139" i="8" a="1"/>
  <c r="F139" i="8" s="1"/>
  <c r="H140" i="8" a="1"/>
  <c r="H140" i="8" s="1"/>
  <c r="J141" i="8" a="1"/>
  <c r="J141" i="8" s="1"/>
  <c r="F145" i="8" a="1"/>
  <c r="F145" i="8" s="1"/>
  <c r="H146" i="8" a="1"/>
  <c r="H146" i="8" s="1"/>
  <c r="J147" i="8" a="1"/>
  <c r="J147" i="8" s="1"/>
  <c r="F151" i="8" a="1"/>
  <c r="F151" i="8" s="1"/>
  <c r="H152" i="8" a="1"/>
  <c r="H152" i="8" s="1"/>
  <c r="J153" i="8" a="1"/>
  <c r="J153" i="8" s="1"/>
  <c r="E157" i="8" a="1"/>
  <c r="E157" i="8" s="1"/>
  <c r="G158" i="8" a="1"/>
  <c r="G158" i="8" s="1"/>
  <c r="I159" i="8" a="1"/>
  <c r="I159" i="8" s="1"/>
  <c r="K160" i="8" a="1"/>
  <c r="K160" i="8" s="1"/>
  <c r="E163" i="8" a="1"/>
  <c r="E163" i="8" s="1"/>
  <c r="G164" i="8" a="1"/>
  <c r="G164" i="8" s="1"/>
  <c r="I165" i="8" a="1"/>
  <c r="I165" i="8" s="1"/>
  <c r="K166" i="8" a="1"/>
  <c r="K166" i="8" s="1"/>
  <c r="E169" i="8" a="1"/>
  <c r="E169" i="8" s="1"/>
  <c r="G170" i="8" a="1"/>
  <c r="G170" i="8" s="1"/>
  <c r="I171" i="8" a="1"/>
  <c r="I171" i="8" s="1"/>
  <c r="K172" i="8" a="1"/>
  <c r="K172" i="8" s="1"/>
  <c r="E175" i="8" a="1"/>
  <c r="E175" i="8" s="1"/>
  <c r="G176" i="8" a="1"/>
  <c r="G176" i="8" s="1"/>
  <c r="I177" i="8" a="1"/>
  <c r="I177" i="8" s="1"/>
  <c r="K178" i="8" a="1"/>
  <c r="K178" i="8" s="1"/>
  <c r="E181" i="8" a="1"/>
  <c r="E181" i="8" s="1"/>
  <c r="G182" i="8" a="1"/>
  <c r="G182" i="8" s="1"/>
  <c r="I183" i="8" a="1"/>
  <c r="I183" i="8" s="1"/>
  <c r="K184" i="8" a="1"/>
  <c r="K184" i="8" s="1"/>
  <c r="E187" i="8" a="1"/>
  <c r="E187" i="8" s="1"/>
  <c r="G188" i="8" a="1"/>
  <c r="G188" i="8" s="1"/>
  <c r="I189" i="8" a="1"/>
  <c r="I189" i="8" s="1"/>
  <c r="K190" i="8" a="1"/>
  <c r="K190" i="8" s="1"/>
  <c r="F194" i="8" a="1"/>
  <c r="F194" i="8" s="1"/>
  <c r="H195" i="8" a="1"/>
  <c r="H195" i="8" s="1"/>
  <c r="J196" i="8" a="1"/>
  <c r="J196" i="8" s="1"/>
  <c r="G33" i="8" a="1"/>
  <c r="G33" i="8" s="1"/>
  <c r="E48" i="8" a="1"/>
  <c r="E48" i="8" s="1"/>
  <c r="I50" i="8" a="1"/>
  <c r="I50" i="8" s="1"/>
  <c r="G52" i="8" a="1"/>
  <c r="G52" i="8" s="1"/>
  <c r="K54" i="8" a="1"/>
  <c r="K54" i="8" s="1"/>
  <c r="F61" i="8" a="1"/>
  <c r="F61" i="8" s="1"/>
  <c r="I63" i="8" a="1"/>
  <c r="I63" i="8" s="1"/>
  <c r="J66" i="8" a="1"/>
  <c r="J66" i="8" s="1"/>
  <c r="F68" i="8" a="1"/>
  <c r="F68" i="8" s="1"/>
  <c r="E71" i="8" a="1"/>
  <c r="E71" i="8" s="1"/>
  <c r="F74" i="8" a="1"/>
  <c r="F74" i="8" s="1"/>
  <c r="J75" i="8" a="1"/>
  <c r="J75" i="8" s="1"/>
  <c r="F78" i="8" a="1"/>
  <c r="F78" i="8" s="1"/>
  <c r="I79" i="8" a="1"/>
  <c r="I79" i="8" s="1"/>
  <c r="K80" i="8" a="1"/>
  <c r="K80" i="8" s="1"/>
  <c r="G83" i="8" a="1"/>
  <c r="G83" i="8" s="1"/>
  <c r="I84" i="8" a="1"/>
  <c r="I84" i="8" s="1"/>
  <c r="K85" i="8" a="1"/>
  <c r="K85" i="8" s="1"/>
  <c r="E88" i="8" a="1"/>
  <c r="E88" i="8" s="1"/>
  <c r="G89" i="8" a="1"/>
  <c r="G89" i="8" s="1"/>
  <c r="I90" i="8" a="1"/>
  <c r="I90" i="8" s="1"/>
  <c r="K91" i="8" a="1"/>
  <c r="K91" i="8" s="1"/>
  <c r="E94" i="8" a="1"/>
  <c r="E94" i="8" s="1"/>
  <c r="G95" i="8" a="1"/>
  <c r="G95" i="8" s="1"/>
  <c r="I96" i="8" a="1"/>
  <c r="I96" i="8" s="1"/>
  <c r="K97" i="8" a="1"/>
  <c r="K97" i="8" s="1"/>
  <c r="E100" i="8" a="1"/>
  <c r="E100" i="8" s="1"/>
  <c r="G101" i="8" a="1"/>
  <c r="G101" i="8" s="1"/>
  <c r="I102" i="8" a="1"/>
  <c r="I102" i="8" s="1"/>
  <c r="K103" i="8" a="1"/>
  <c r="K103" i="8" s="1"/>
  <c r="E106" i="8" a="1"/>
  <c r="E106" i="8" s="1"/>
  <c r="G107" i="8" a="1"/>
  <c r="G107" i="8" s="1"/>
  <c r="I108" i="8" a="1"/>
  <c r="I108" i="8" s="1"/>
  <c r="K109" i="8" a="1"/>
  <c r="K109" i="8" s="1"/>
  <c r="E112" i="8" a="1"/>
  <c r="E112" i="8" s="1"/>
  <c r="G113" i="8" a="1"/>
  <c r="G113" i="8" s="1"/>
  <c r="I114" i="8" a="1"/>
  <c r="I114" i="8" s="1"/>
  <c r="K115" i="8" a="1"/>
  <c r="K115" i="8" s="1"/>
  <c r="E118" i="8" a="1"/>
  <c r="E118" i="8" s="1"/>
  <c r="G119" i="8" a="1"/>
  <c r="G119" i="8" s="1"/>
  <c r="I120" i="8" a="1"/>
  <c r="I120" i="8" s="1"/>
  <c r="K121" i="8" a="1"/>
  <c r="K121" i="8" s="1"/>
  <c r="F125" i="8" a="1"/>
  <c r="F125" i="8" s="1"/>
  <c r="H126" i="8" a="1"/>
  <c r="H126" i="8" s="1"/>
  <c r="J127" i="8" a="1"/>
  <c r="J127" i="8" s="1"/>
  <c r="F131" i="8" a="1"/>
  <c r="F131" i="8" s="1"/>
  <c r="I133" i="8" a="1"/>
  <c r="I133" i="8" s="1"/>
  <c r="J134" i="8" a="1"/>
  <c r="J134" i="8" s="1"/>
  <c r="E138" i="8" a="1"/>
  <c r="E138" i="8" s="1"/>
  <c r="G139" i="8" a="1"/>
  <c r="G139" i="8" s="1"/>
  <c r="I140" i="8" a="1"/>
  <c r="I140" i="8" s="1"/>
  <c r="K141" i="8" a="1"/>
  <c r="K141" i="8" s="1"/>
  <c r="E144" i="8" a="1"/>
  <c r="E144" i="8" s="1"/>
  <c r="G145" i="8" a="1"/>
  <c r="G145" i="8" s="1"/>
  <c r="I146" i="8" a="1"/>
  <c r="I146" i="8" s="1"/>
  <c r="K147" i="8" a="1"/>
  <c r="K147" i="8" s="1"/>
  <c r="E150" i="8" a="1"/>
  <c r="E150" i="8" s="1"/>
  <c r="G151" i="8" a="1"/>
  <c r="G151" i="8" s="1"/>
  <c r="I152" i="8" a="1"/>
  <c r="I152" i="8" s="1"/>
  <c r="K153" i="8" a="1"/>
  <c r="K153" i="8" s="1"/>
  <c r="E156" i="8" a="1"/>
  <c r="E156" i="8" s="1"/>
  <c r="F157" i="8" a="1"/>
  <c r="F157" i="8" s="1"/>
  <c r="H158" i="8" a="1"/>
  <c r="H158" i="8" s="1"/>
  <c r="J159" i="8" a="1"/>
  <c r="J159" i="8" s="1"/>
  <c r="F163" i="8" a="1"/>
  <c r="F163" i="8" s="1"/>
  <c r="F48" i="8" a="1"/>
  <c r="F48" i="8" s="1"/>
  <c r="J50" i="8" a="1"/>
  <c r="J50" i="8" s="1"/>
  <c r="H52" i="8" a="1"/>
  <c r="H52" i="8" s="1"/>
  <c r="G61" i="8" a="1"/>
  <c r="G61" i="8" s="1"/>
  <c r="J63" i="8" a="1"/>
  <c r="J63" i="8" s="1"/>
  <c r="G68" i="8" a="1"/>
  <c r="G68" i="8" s="1"/>
  <c r="F71" i="8" a="1"/>
  <c r="F71" i="8" s="1"/>
  <c r="G74" i="8" a="1"/>
  <c r="G74" i="8" s="1"/>
  <c r="K75" i="8" a="1"/>
  <c r="K75" i="8" s="1"/>
  <c r="G78" i="8" a="1"/>
  <c r="G78" i="8" s="1"/>
  <c r="J79" i="8" a="1"/>
  <c r="J79" i="8" s="1"/>
  <c r="E82" i="8" a="1"/>
  <c r="E82" i="8" s="1"/>
  <c r="H83" i="8" a="1"/>
  <c r="H83" i="8" s="1"/>
  <c r="J84" i="8" a="1"/>
  <c r="J84" i="8" s="1"/>
  <c r="F88" i="8" a="1"/>
  <c r="F88" i="8" s="1"/>
  <c r="H89" i="8" a="1"/>
  <c r="H89" i="8" s="1"/>
  <c r="J90" i="8" a="1"/>
  <c r="J90" i="8" s="1"/>
  <c r="F94" i="8" a="1"/>
  <c r="F94" i="8" s="1"/>
  <c r="H95" i="8" a="1"/>
  <c r="H95" i="8" s="1"/>
  <c r="J96" i="8" a="1"/>
  <c r="J96" i="8" s="1"/>
  <c r="F100" i="8" a="1"/>
  <c r="F100" i="8" s="1"/>
  <c r="H101" i="8" a="1"/>
  <c r="H101" i="8" s="1"/>
  <c r="J102" i="8" a="1"/>
  <c r="J102" i="8" s="1"/>
  <c r="F106" i="8" a="1"/>
  <c r="F106" i="8" s="1"/>
  <c r="H107" i="8" a="1"/>
  <c r="H107" i="8" s="1"/>
  <c r="J108" i="8" a="1"/>
  <c r="J108" i="8" s="1"/>
  <c r="F112" i="8" a="1"/>
  <c r="F112" i="8" s="1"/>
  <c r="H113" i="8" a="1"/>
  <c r="H113" i="8" s="1"/>
  <c r="J114" i="8" a="1"/>
  <c r="J114" i="8" s="1"/>
  <c r="F118" i="8" a="1"/>
  <c r="F118" i="8" s="1"/>
  <c r="H119" i="8" a="1"/>
  <c r="H119" i="8" s="1"/>
  <c r="J120" i="8" a="1"/>
  <c r="J120" i="8" s="1"/>
  <c r="E124" i="8" a="1"/>
  <c r="E124" i="8" s="1"/>
  <c r="G125" i="8" a="1"/>
  <c r="G125" i="8" s="1"/>
  <c r="I126" i="8" a="1"/>
  <c r="I126" i="8" s="1"/>
  <c r="K127" i="8" a="1"/>
  <c r="K127" i="8" s="1"/>
  <c r="E130" i="8" a="1"/>
  <c r="E130" i="8" s="1"/>
  <c r="G131" i="8" a="1"/>
  <c r="G131" i="8" s="1"/>
  <c r="H132" i="8" a="1"/>
  <c r="H132" i="8" s="1"/>
  <c r="J133" i="8" a="1"/>
  <c r="J133" i="8" s="1"/>
  <c r="K134" i="8" a="1"/>
  <c r="K134" i="8" s="1"/>
  <c r="F138" i="8" a="1"/>
  <c r="F138" i="8" s="1"/>
  <c r="H139" i="8" a="1"/>
  <c r="H139" i="8" s="1"/>
  <c r="J140" i="8" a="1"/>
  <c r="J140" i="8" s="1"/>
  <c r="F144" i="8" a="1"/>
  <c r="F144" i="8" s="1"/>
  <c r="H145" i="8" a="1"/>
  <c r="H145" i="8" s="1"/>
  <c r="J146" i="8" a="1"/>
  <c r="J146" i="8" s="1"/>
  <c r="F150" i="8" a="1"/>
  <c r="F150" i="8" s="1"/>
  <c r="H151" i="8" a="1"/>
  <c r="H151" i="8" s="1"/>
  <c r="J152" i="8" a="1"/>
  <c r="J152" i="8" s="1"/>
  <c r="F156" i="8" a="1"/>
  <c r="F156" i="8" s="1"/>
  <c r="G157" i="8" a="1"/>
  <c r="G157" i="8" s="1"/>
  <c r="I158" i="8" a="1"/>
  <c r="I158" i="8" s="1"/>
  <c r="K159" i="8" a="1"/>
  <c r="K159" i="8" s="1"/>
  <c r="E162" i="8" a="1"/>
  <c r="E162" i="8" s="1"/>
  <c r="G163" i="8" a="1"/>
  <c r="G163" i="8" s="1"/>
  <c r="I164" i="8" a="1"/>
  <c r="I164" i="8" s="1"/>
  <c r="H40" i="8" a="1"/>
  <c r="H40" i="8" s="1"/>
  <c r="G48" i="8" a="1"/>
  <c r="G48" i="8" s="1"/>
  <c r="K50" i="8" a="1"/>
  <c r="K50" i="8" s="1"/>
  <c r="E57" i="8" a="1"/>
  <c r="E57" i="8" s="1"/>
  <c r="H59" i="8" a="1"/>
  <c r="H59" i="8" s="1"/>
  <c r="K61" i="8" a="1"/>
  <c r="K61" i="8" s="1"/>
  <c r="K63" i="8" a="1"/>
  <c r="K63" i="8" s="1"/>
  <c r="F65" i="8" a="1"/>
  <c r="F65" i="8" s="1"/>
  <c r="H68" i="8" a="1"/>
  <c r="H68" i="8" s="1"/>
  <c r="G71" i="8" a="1"/>
  <c r="G71" i="8" s="1"/>
  <c r="H74" i="8" a="1"/>
  <c r="H74" i="8" s="1"/>
  <c r="E77" i="8" a="1"/>
  <c r="E77" i="8" s="1"/>
  <c r="H78" i="8" a="1"/>
  <c r="H78" i="8" s="1"/>
  <c r="K79" i="8" a="1"/>
  <c r="K79" i="8" s="1"/>
  <c r="F82" i="8" a="1"/>
  <c r="F82" i="8" s="1"/>
  <c r="I83" i="8" a="1"/>
  <c r="I83" i="8" s="1"/>
  <c r="K84" i="8" a="1"/>
  <c r="K84" i="8" s="1"/>
  <c r="E87" i="8" a="1"/>
  <c r="E87" i="8" s="1"/>
  <c r="G88" i="8" a="1"/>
  <c r="G88" i="8" s="1"/>
  <c r="I89" i="8" a="1"/>
  <c r="I89" i="8" s="1"/>
  <c r="K90" i="8" a="1"/>
  <c r="K90" i="8" s="1"/>
  <c r="E93" i="8" a="1"/>
  <c r="E93" i="8" s="1"/>
  <c r="G94" i="8" a="1"/>
  <c r="G94" i="8" s="1"/>
  <c r="I95" i="8" a="1"/>
  <c r="I95" i="8" s="1"/>
  <c r="K96" i="8" a="1"/>
  <c r="K96" i="8" s="1"/>
  <c r="E99" i="8" a="1"/>
  <c r="E99" i="8" s="1"/>
  <c r="G100" i="8" a="1"/>
  <c r="G100" i="8" s="1"/>
  <c r="I101" i="8" a="1"/>
  <c r="I101" i="8" s="1"/>
  <c r="K102" i="8" a="1"/>
  <c r="K102" i="8" s="1"/>
  <c r="E105" i="8" a="1"/>
  <c r="E105" i="8" s="1"/>
  <c r="G106" i="8" a="1"/>
  <c r="G106" i="8" s="1"/>
  <c r="I107" i="8" a="1"/>
  <c r="I107" i="8" s="1"/>
  <c r="K108" i="8" a="1"/>
  <c r="K108" i="8" s="1"/>
  <c r="E111" i="8" a="1"/>
  <c r="E111" i="8" s="1"/>
  <c r="G112" i="8" a="1"/>
  <c r="G112" i="8" s="1"/>
  <c r="I113" i="8" a="1"/>
  <c r="I113" i="8" s="1"/>
  <c r="K114" i="8" a="1"/>
  <c r="K114" i="8" s="1"/>
  <c r="E117" i="8" a="1"/>
  <c r="E117" i="8" s="1"/>
  <c r="G118" i="8" a="1"/>
  <c r="G118" i="8" s="1"/>
  <c r="I119" i="8" a="1"/>
  <c r="I119" i="8" s="1"/>
  <c r="K120" i="8" a="1"/>
  <c r="K120" i="8" s="1"/>
  <c r="F124" i="8" a="1"/>
  <c r="F124" i="8" s="1"/>
  <c r="H125" i="8" a="1"/>
  <c r="H125" i="8" s="1"/>
  <c r="J126" i="8" a="1"/>
  <c r="J126" i="8" s="1"/>
  <c r="F130" i="8" a="1"/>
  <c r="F130" i="8" s="1"/>
  <c r="H131" i="8" a="1"/>
  <c r="H131" i="8" s="1"/>
  <c r="I132" i="8" a="1"/>
  <c r="I132" i="8" s="1"/>
  <c r="K133" i="8" a="1"/>
  <c r="K133" i="8" s="1"/>
  <c r="E137" i="8" a="1"/>
  <c r="E137" i="8" s="1"/>
  <c r="G138" i="8" a="1"/>
  <c r="G138" i="8" s="1"/>
  <c r="I139" i="8" a="1"/>
  <c r="I139" i="8" s="1"/>
  <c r="K140" i="8" a="1"/>
  <c r="K140" i="8" s="1"/>
  <c r="E143" i="8" a="1"/>
  <c r="E143" i="8" s="1"/>
  <c r="G144" i="8" a="1"/>
  <c r="G144" i="8" s="1"/>
  <c r="I145" i="8" a="1"/>
  <c r="I145" i="8" s="1"/>
  <c r="K146" i="8" a="1"/>
  <c r="K146" i="8" s="1"/>
  <c r="E149" i="8" a="1"/>
  <c r="E149" i="8" s="1"/>
  <c r="G150" i="8" a="1"/>
  <c r="G150" i="8" s="1"/>
  <c r="I151" i="8" a="1"/>
  <c r="I151" i="8" s="1"/>
  <c r="K152" i="8" a="1"/>
  <c r="K152" i="8" s="1"/>
  <c r="E155" i="8" a="1"/>
  <c r="E155" i="8" s="1"/>
  <c r="G156" i="8" a="1"/>
  <c r="G156" i="8" s="1"/>
  <c r="H157" i="8" a="1"/>
  <c r="H157" i="8" s="1"/>
  <c r="J158" i="8" a="1"/>
  <c r="J158" i="8" s="1"/>
  <c r="F162" i="8" a="1"/>
  <c r="F162" i="8" s="1"/>
  <c r="H163" i="8" a="1"/>
  <c r="H163" i="8" s="1"/>
  <c r="J164" i="8" a="1"/>
  <c r="J164" i="8" s="1"/>
  <c r="F168" i="8" a="1"/>
  <c r="F168" i="8" s="1"/>
  <c r="H169" i="8" a="1"/>
  <c r="H169" i="8" s="1"/>
  <c r="J170" i="8" a="1"/>
  <c r="J170" i="8" s="1"/>
  <c r="F174" i="8" a="1"/>
  <c r="F174" i="8" s="1"/>
  <c r="H175" i="8" a="1"/>
  <c r="H175" i="8" s="1"/>
  <c r="I34" i="8" a="1"/>
  <c r="I34" i="8" s="1"/>
  <c r="I37" i="8" a="1"/>
  <c r="I37" i="8" s="1"/>
  <c r="I40" i="8" a="1"/>
  <c r="I40" i="8" s="1"/>
  <c r="I43" i="8" a="1"/>
  <c r="I43" i="8" s="1"/>
  <c r="H46" i="8" a="1"/>
  <c r="H46" i="8" s="1"/>
  <c r="E55" i="8" a="1"/>
  <c r="E55" i="8" s="1"/>
  <c r="I57" i="8" a="1"/>
  <c r="I57" i="8" s="1"/>
  <c r="I59" i="8" a="1"/>
  <c r="I59" i="8" s="1"/>
  <c r="G65" i="8" a="1"/>
  <c r="G65" i="8" s="1"/>
  <c r="E67" i="8" a="1"/>
  <c r="E67" i="8" s="1"/>
  <c r="I68" i="8" a="1"/>
  <c r="I68" i="8" s="1"/>
  <c r="E70" i="8" a="1"/>
  <c r="E70" i="8" s="1"/>
  <c r="J71" i="8" a="1"/>
  <c r="J71" i="8" s="1"/>
  <c r="E73" i="8" a="1"/>
  <c r="E73" i="8" s="1"/>
  <c r="I74" i="8" a="1"/>
  <c r="I74" i="8" s="1"/>
  <c r="F77" i="8" a="1"/>
  <c r="F77" i="8" s="1"/>
  <c r="I78" i="8" a="1"/>
  <c r="I78" i="8" s="1"/>
  <c r="H82" i="8" a="1"/>
  <c r="H82" i="8" s="1"/>
  <c r="J83" i="8" a="1"/>
  <c r="J83" i="8" s="1"/>
  <c r="F87" i="8" a="1"/>
  <c r="F87" i="8" s="1"/>
  <c r="H88" i="8" a="1"/>
  <c r="H88" i="8" s="1"/>
  <c r="J89" i="8" a="1"/>
  <c r="J89" i="8" s="1"/>
  <c r="F93" i="8" a="1"/>
  <c r="F93" i="8" s="1"/>
  <c r="H94" i="8" a="1"/>
  <c r="H94" i="8" s="1"/>
  <c r="J95" i="8" a="1"/>
  <c r="J95" i="8" s="1"/>
  <c r="F99" i="8" a="1"/>
  <c r="F99" i="8" s="1"/>
  <c r="H100" i="8" a="1"/>
  <c r="H100" i="8" s="1"/>
  <c r="J101" i="8" a="1"/>
  <c r="J101" i="8" s="1"/>
  <c r="F105" i="8" a="1"/>
  <c r="F105" i="8" s="1"/>
  <c r="H106" i="8" a="1"/>
  <c r="H106" i="8" s="1"/>
  <c r="J107" i="8" a="1"/>
  <c r="J107" i="8" s="1"/>
  <c r="F111" i="8" a="1"/>
  <c r="F111" i="8" s="1"/>
  <c r="H112" i="8" a="1"/>
  <c r="H112" i="8" s="1"/>
  <c r="J113" i="8" a="1"/>
  <c r="J113" i="8" s="1"/>
  <c r="F117" i="8" a="1"/>
  <c r="F117" i="8" s="1"/>
  <c r="H118" i="8" a="1"/>
  <c r="H118" i="8" s="1"/>
  <c r="J119" i="8" a="1"/>
  <c r="J119" i="8" s="1"/>
  <c r="E123" i="8" a="1"/>
  <c r="E123" i="8" s="1"/>
  <c r="G124" i="8" a="1"/>
  <c r="G124" i="8" s="1"/>
  <c r="I125" i="8" a="1"/>
  <c r="I125" i="8" s="1"/>
  <c r="K126" i="8" a="1"/>
  <c r="K126" i="8" s="1"/>
  <c r="E129" i="8" a="1"/>
  <c r="E129" i="8" s="1"/>
  <c r="G130" i="8" a="1"/>
  <c r="G130" i="8" s="1"/>
  <c r="I131" i="8" a="1"/>
  <c r="I131" i="8" s="1"/>
  <c r="J132" i="8" a="1"/>
  <c r="J132" i="8" s="1"/>
  <c r="E136" i="8" a="1"/>
  <c r="E136" i="8" s="1"/>
  <c r="F137" i="8" a="1"/>
  <c r="F137" i="8" s="1"/>
  <c r="H138" i="8" a="1"/>
  <c r="H138" i="8" s="1"/>
  <c r="J139" i="8" a="1"/>
  <c r="J139" i="8" s="1"/>
  <c r="F143" i="8" a="1"/>
  <c r="F143" i="8" s="1"/>
  <c r="H144" i="8" a="1"/>
  <c r="H144" i="8" s="1"/>
  <c r="J145" i="8" a="1"/>
  <c r="J145" i="8" s="1"/>
  <c r="F149" i="8" a="1"/>
  <c r="F149" i="8" s="1"/>
  <c r="H150" i="8" a="1"/>
  <c r="H150" i="8" s="1"/>
  <c r="J151" i="8" a="1"/>
  <c r="J151" i="8" s="1"/>
  <c r="F155" i="8" a="1"/>
  <c r="F155" i="8" s="1"/>
  <c r="H156" i="8" a="1"/>
  <c r="H156" i="8" s="1"/>
  <c r="I157" i="8" a="1"/>
  <c r="I157" i="8" s="1"/>
  <c r="K158" i="8" a="1"/>
  <c r="K158" i="8" s="1"/>
  <c r="E161" i="8" a="1"/>
  <c r="E161" i="8" s="1"/>
  <c r="G162" i="8" a="1"/>
  <c r="G162" i="8" s="1"/>
  <c r="I163" i="8" a="1"/>
  <c r="I163" i="8" s="1"/>
  <c r="K164" i="8" a="1"/>
  <c r="K164" i="8" s="1"/>
  <c r="E167" i="8" a="1"/>
  <c r="E167" i="8" s="1"/>
  <c r="G168" i="8" a="1"/>
  <c r="G168" i="8" s="1"/>
  <c r="I169" i="8" a="1"/>
  <c r="I169" i="8" s="1"/>
  <c r="K170" i="8" a="1"/>
  <c r="K170" i="8" s="1"/>
  <c r="E173" i="8" a="1"/>
  <c r="E173" i="8" s="1"/>
  <c r="G174" i="8" a="1"/>
  <c r="G174" i="8" s="1"/>
  <c r="I175" i="8" a="1"/>
  <c r="I175" i="8" s="1"/>
  <c r="K176" i="8" a="1"/>
  <c r="K176" i="8" s="1"/>
  <c r="E179" i="8" a="1"/>
  <c r="E179" i="8" s="1"/>
  <c r="G180" i="8" a="1"/>
  <c r="G180" i="8" s="1"/>
  <c r="I181" i="8" a="1"/>
  <c r="I181" i="8" s="1"/>
  <c r="K182" i="8" a="1"/>
  <c r="K182" i="8" s="1"/>
  <c r="E185" i="8" a="1"/>
  <c r="E185" i="8" s="1"/>
  <c r="G186" i="8" a="1"/>
  <c r="G186" i="8" s="1"/>
  <c r="I187" i="8" a="1"/>
  <c r="I187" i="8" s="1"/>
  <c r="K188" i="8" a="1"/>
  <c r="K188" i="8" s="1"/>
  <c r="E191" i="8" a="1"/>
  <c r="E191" i="8" s="1"/>
  <c r="G192" i="8" a="1"/>
  <c r="G192" i="8" s="1"/>
  <c r="H193" i="8" a="1"/>
  <c r="H193" i="8" s="1"/>
  <c r="J194" i="8" a="1"/>
  <c r="J194" i="8" s="1"/>
  <c r="F198" i="8" a="1"/>
  <c r="F198" i="8" s="1"/>
  <c r="H199" i="8" a="1"/>
  <c r="H199" i="8" s="1"/>
  <c r="J200" i="8" a="1"/>
  <c r="J200" i="8" s="1"/>
  <c r="F204" i="8" a="1"/>
  <c r="F204" i="8" s="1"/>
  <c r="H205" i="8" a="1"/>
  <c r="H205" i="8" s="1"/>
  <c r="J206" i="8" a="1"/>
  <c r="J206" i="8" s="1"/>
  <c r="F210" i="8" a="1"/>
  <c r="F210" i="8" s="1"/>
  <c r="H211" i="8" a="1"/>
  <c r="H211" i="8" s="1"/>
  <c r="I46" i="8" a="1"/>
  <c r="I46" i="8" s="1"/>
  <c r="F55" i="8" a="1"/>
  <c r="F55" i="8" s="1"/>
  <c r="J57" i="8" a="1"/>
  <c r="J57" i="8" s="1"/>
  <c r="H65" i="8" a="1"/>
  <c r="H65" i="8" s="1"/>
  <c r="F67" i="8" a="1"/>
  <c r="F67" i="8" s="1"/>
  <c r="F70" i="8" a="1"/>
  <c r="F70" i="8" s="1"/>
  <c r="K71" i="8" a="1"/>
  <c r="K71" i="8" s="1"/>
  <c r="F73" i="8" a="1"/>
  <c r="F73" i="8" s="1"/>
  <c r="K74" i="8" a="1"/>
  <c r="K74" i="8" s="1"/>
  <c r="G77" i="8" a="1"/>
  <c r="G77" i="8" s="1"/>
  <c r="J78" i="8" a="1"/>
  <c r="J78" i="8" s="1"/>
  <c r="F81" i="8" a="1"/>
  <c r="F81" i="8" s="1"/>
  <c r="I82" i="8" a="1"/>
  <c r="I82" i="8" s="1"/>
  <c r="K83" i="8" a="1"/>
  <c r="K83" i="8" s="1"/>
  <c r="E86" i="8" a="1"/>
  <c r="E86" i="8" s="1"/>
  <c r="G87" i="8" a="1"/>
  <c r="G87" i="8" s="1"/>
  <c r="I88" i="8" a="1"/>
  <c r="I88" i="8" s="1"/>
  <c r="K89" i="8" a="1"/>
  <c r="K89" i="8" s="1"/>
  <c r="E92" i="8" a="1"/>
  <c r="E92" i="8" s="1"/>
  <c r="G93" i="8" a="1"/>
  <c r="G93" i="8" s="1"/>
  <c r="I94" i="8" a="1"/>
  <c r="I94" i="8" s="1"/>
  <c r="K95" i="8" a="1"/>
  <c r="K95" i="8" s="1"/>
  <c r="E98" i="8" a="1"/>
  <c r="E98" i="8" s="1"/>
  <c r="G99" i="8" a="1"/>
  <c r="G99" i="8" s="1"/>
  <c r="I100" i="8" a="1"/>
  <c r="I100" i="8" s="1"/>
  <c r="K101" i="8" a="1"/>
  <c r="K101" i="8" s="1"/>
  <c r="E104" i="8" a="1"/>
  <c r="E104" i="8" s="1"/>
  <c r="G105" i="8" a="1"/>
  <c r="G105" i="8" s="1"/>
  <c r="I106" i="8" a="1"/>
  <c r="I106" i="8" s="1"/>
  <c r="K107" i="8" a="1"/>
  <c r="K107" i="8" s="1"/>
  <c r="E110" i="8" a="1"/>
  <c r="E110" i="8" s="1"/>
  <c r="G111" i="8" a="1"/>
  <c r="G111" i="8" s="1"/>
  <c r="I112" i="8" a="1"/>
  <c r="I112" i="8" s="1"/>
  <c r="K113" i="8" a="1"/>
  <c r="K113" i="8" s="1"/>
  <c r="E116" i="8" a="1"/>
  <c r="E116" i="8" s="1"/>
  <c r="G117" i="8" a="1"/>
  <c r="G117" i="8" s="1"/>
  <c r="I118" i="8" a="1"/>
  <c r="I118" i="8" s="1"/>
  <c r="K119" i="8" a="1"/>
  <c r="K119" i="8" s="1"/>
  <c r="E122" i="8" a="1"/>
  <c r="E122" i="8" s="1"/>
  <c r="F123" i="8" a="1"/>
  <c r="F123" i="8" s="1"/>
  <c r="H124" i="8" a="1"/>
  <c r="H124" i="8" s="1"/>
  <c r="J125" i="8" a="1"/>
  <c r="J125" i="8" s="1"/>
  <c r="F129" i="8" a="1"/>
  <c r="F129" i="8" s="1"/>
  <c r="H130" i="8" a="1"/>
  <c r="H130" i="8" s="1"/>
  <c r="J131" i="8" a="1"/>
  <c r="J131" i="8" s="1"/>
  <c r="K132" i="8" a="1"/>
  <c r="K132" i="8" s="1"/>
  <c r="F136" i="8" a="1"/>
  <c r="F136" i="8" s="1"/>
  <c r="G137" i="8" a="1"/>
  <c r="G137" i="8" s="1"/>
  <c r="I138" i="8" a="1"/>
  <c r="I138" i="8" s="1"/>
  <c r="K139" i="8" a="1"/>
  <c r="K139" i="8" s="1"/>
  <c r="E142" i="8" a="1"/>
  <c r="E142" i="8" s="1"/>
  <c r="G143" i="8" a="1"/>
  <c r="G143" i="8" s="1"/>
  <c r="I144" i="8" a="1"/>
  <c r="I144" i="8" s="1"/>
  <c r="K145" i="8" a="1"/>
  <c r="K145" i="8" s="1"/>
  <c r="E148" i="8" a="1"/>
  <c r="E148" i="8" s="1"/>
  <c r="G149" i="8" a="1"/>
  <c r="G149" i="8" s="1"/>
  <c r="I150" i="8" a="1"/>
  <c r="I150" i="8" s="1"/>
  <c r="K151" i="8" a="1"/>
  <c r="K151" i="8" s="1"/>
  <c r="E154" i="8" a="1"/>
  <c r="E154" i="8" s="1"/>
  <c r="G155" i="8" a="1"/>
  <c r="G155" i="8" s="1"/>
  <c r="J157" i="8" a="1"/>
  <c r="J157" i="8" s="1"/>
  <c r="F161" i="8" a="1"/>
  <c r="F161" i="8" s="1"/>
  <c r="H162" i="8" a="1"/>
  <c r="H162" i="8" s="1"/>
  <c r="J163" i="8" a="1"/>
  <c r="J163" i="8" s="1"/>
  <c r="F167" i="8" a="1"/>
  <c r="F167" i="8" s="1"/>
  <c r="H168" i="8" a="1"/>
  <c r="H168" i="8" s="1"/>
  <c r="J169" i="8" a="1"/>
  <c r="J169" i="8" s="1"/>
  <c r="F173" i="8" a="1"/>
  <c r="F173" i="8" s="1"/>
  <c r="H174" i="8" a="1"/>
  <c r="H174" i="8" s="1"/>
  <c r="J175" i="8" a="1"/>
  <c r="J175" i="8" s="1"/>
  <c r="F179" i="8" a="1"/>
  <c r="F179" i="8" s="1"/>
  <c r="H180" i="8" a="1"/>
  <c r="H180" i="8" s="1"/>
  <c r="J181" i="8" a="1"/>
  <c r="J181" i="8" s="1"/>
  <c r="F185" i="8" a="1"/>
  <c r="F185" i="8" s="1"/>
  <c r="H186" i="8" a="1"/>
  <c r="H186" i="8" s="1"/>
  <c r="J187" i="8" a="1"/>
  <c r="J187" i="8" s="1"/>
  <c r="F191" i="8" a="1"/>
  <c r="F191" i="8" s="1"/>
  <c r="H192" i="8" a="1"/>
  <c r="H192" i="8" s="1"/>
  <c r="I193" i="8" a="1"/>
  <c r="I193" i="8" s="1"/>
  <c r="K194" i="8" a="1"/>
  <c r="K194" i="8" s="1"/>
  <c r="E197" i="8" a="1"/>
  <c r="E197" i="8" s="1"/>
  <c r="G198" i="8" a="1"/>
  <c r="G198" i="8" s="1"/>
  <c r="I199" i="8" a="1"/>
  <c r="I199" i="8" s="1"/>
  <c r="K200" i="8" a="1"/>
  <c r="K200" i="8" s="1"/>
  <c r="E203" i="8" a="1"/>
  <c r="E203" i="8" s="1"/>
  <c r="F51" i="8" a="1"/>
  <c r="F51" i="8" s="1"/>
  <c r="G55" i="8" a="1"/>
  <c r="G55" i="8" s="1"/>
  <c r="K57" i="8" a="1"/>
  <c r="K57" i="8" s="1"/>
  <c r="E64" i="8" a="1"/>
  <c r="E64" i="8" s="1"/>
  <c r="K65" i="8" a="1"/>
  <c r="K65" i="8" s="1"/>
  <c r="G67" i="8" a="1"/>
  <c r="G67" i="8" s="1"/>
  <c r="G73" i="8" a="1"/>
  <c r="G73" i="8" s="1"/>
  <c r="E76" i="8" a="1"/>
  <c r="E76" i="8" s="1"/>
  <c r="H77" i="8" a="1"/>
  <c r="H77" i="8" s="1"/>
  <c r="G81" i="8" a="1"/>
  <c r="G81" i="8" s="1"/>
  <c r="J82" i="8" a="1"/>
  <c r="J82" i="8" s="1"/>
  <c r="F86" i="8" a="1"/>
  <c r="F86" i="8" s="1"/>
  <c r="H87" i="8" a="1"/>
  <c r="H87" i="8" s="1"/>
  <c r="J88" i="8" a="1"/>
  <c r="J88" i="8" s="1"/>
  <c r="F92" i="8" a="1"/>
  <c r="F92" i="8" s="1"/>
  <c r="H93" i="8" a="1"/>
  <c r="H93" i="8" s="1"/>
  <c r="J94" i="8" a="1"/>
  <c r="J94" i="8" s="1"/>
  <c r="F98" i="8" a="1"/>
  <c r="F98" i="8" s="1"/>
  <c r="H99" i="8" a="1"/>
  <c r="H99" i="8" s="1"/>
  <c r="J100" i="8" a="1"/>
  <c r="J100" i="8" s="1"/>
  <c r="F104" i="8" a="1"/>
  <c r="F104" i="8" s="1"/>
  <c r="H105" i="8" a="1"/>
  <c r="H105" i="8" s="1"/>
  <c r="J106" i="8" a="1"/>
  <c r="J106" i="8" s="1"/>
  <c r="F110" i="8" a="1"/>
  <c r="F110" i="8" s="1"/>
  <c r="H111" i="8" a="1"/>
  <c r="H111" i="8" s="1"/>
  <c r="J112" i="8" a="1"/>
  <c r="J112" i="8" s="1"/>
  <c r="F116" i="8" a="1"/>
  <c r="F116" i="8" s="1"/>
  <c r="H117" i="8" a="1"/>
  <c r="H117" i="8" s="1"/>
  <c r="J118" i="8" a="1"/>
  <c r="J118" i="8" s="1"/>
  <c r="F122" i="8" a="1"/>
  <c r="F122" i="8" s="1"/>
  <c r="G123" i="8" a="1"/>
  <c r="G123" i="8" s="1"/>
  <c r="I124" i="8" a="1"/>
  <c r="I124" i="8" s="1"/>
  <c r="K125" i="8" a="1"/>
  <c r="K125" i="8" s="1"/>
  <c r="E128" i="8" a="1"/>
  <c r="E128" i="8" s="1"/>
  <c r="G129" i="8" a="1"/>
  <c r="G129" i="8" s="1"/>
  <c r="I130" i="8" a="1"/>
  <c r="I130" i="8" s="1"/>
  <c r="K131" i="8" a="1"/>
  <c r="K131" i="8" s="1"/>
  <c r="E135" i="8" a="1"/>
  <c r="E135" i="8" s="1"/>
  <c r="G136" i="8" a="1"/>
  <c r="G136" i="8" s="1"/>
  <c r="H137" i="8" a="1"/>
  <c r="H137" i="8" s="1"/>
  <c r="J138" i="8" a="1"/>
  <c r="J138" i="8" s="1"/>
  <c r="F142" i="8" a="1"/>
  <c r="F142" i="8" s="1"/>
  <c r="H143" i="8" a="1"/>
  <c r="H143" i="8" s="1"/>
  <c r="J144" i="8" a="1"/>
  <c r="J144" i="8" s="1"/>
  <c r="F148" i="8" a="1"/>
  <c r="F148" i="8" s="1"/>
  <c r="H149" i="8" a="1"/>
  <c r="H149" i="8" s="1"/>
  <c r="J150" i="8" a="1"/>
  <c r="J150" i="8" s="1"/>
  <c r="F154" i="8" a="1"/>
  <c r="F154" i="8" s="1"/>
  <c r="H155" i="8" a="1"/>
  <c r="H155" i="8" s="1"/>
  <c r="I156" i="8" a="1"/>
  <c r="I156" i="8" s="1"/>
  <c r="K157" i="8" a="1"/>
  <c r="K157" i="8" s="1"/>
  <c r="E160" i="8" a="1"/>
  <c r="E160" i="8" s="1"/>
  <c r="E132" i="8" a="1"/>
  <c r="E132" i="8" s="1"/>
  <c r="G154" i="8" a="1"/>
  <c r="G154" i="8" s="1"/>
  <c r="K163" i="8" a="1"/>
  <c r="K163" i="8" s="1"/>
  <c r="I167" i="8" a="1"/>
  <c r="I167" i="8" s="1"/>
  <c r="F169" i="8" a="1"/>
  <c r="F169" i="8" s="1"/>
  <c r="F171" i="8" a="1"/>
  <c r="F171" i="8" s="1"/>
  <c r="K174" i="8" a="1"/>
  <c r="K174" i="8" s="1"/>
  <c r="I176" i="8" a="1"/>
  <c r="I176" i="8" s="1"/>
  <c r="E178" i="8" a="1"/>
  <c r="E178" i="8" s="1"/>
  <c r="K179" i="8" a="1"/>
  <c r="K179" i="8" s="1"/>
  <c r="G181" i="8" a="1"/>
  <c r="G181" i="8" s="1"/>
  <c r="E183" i="8" a="1"/>
  <c r="E183" i="8" s="1"/>
  <c r="I184" i="8" a="1"/>
  <c r="I184" i="8" s="1"/>
  <c r="F186" i="8" a="1"/>
  <c r="F186" i="8" s="1"/>
  <c r="J189" i="8" a="1"/>
  <c r="J189" i="8" s="1"/>
  <c r="I192" i="8" a="1"/>
  <c r="I192" i="8" s="1"/>
  <c r="I195" i="8" a="1"/>
  <c r="I195" i="8" s="1"/>
  <c r="H198" i="8" a="1"/>
  <c r="H198" i="8" s="1"/>
  <c r="F201" i="8" a="1"/>
  <c r="F201" i="8" s="1"/>
  <c r="I202" i="8" a="1"/>
  <c r="I202" i="8" s="1"/>
  <c r="E205" i="8" a="1"/>
  <c r="E205" i="8" s="1"/>
  <c r="H206" i="8" a="1"/>
  <c r="H206" i="8" s="1"/>
  <c r="K207" i="8" a="1"/>
  <c r="K207" i="8" s="1"/>
  <c r="G210" i="8" a="1"/>
  <c r="G210" i="8" s="1"/>
  <c r="J211" i="8" a="1"/>
  <c r="J211" i="8" s="1"/>
  <c r="F215" i="8" a="1"/>
  <c r="F215" i="8" s="1"/>
  <c r="H216" i="8" a="1"/>
  <c r="H216" i="8" s="1"/>
  <c r="J217" i="8" a="1"/>
  <c r="J217" i="8" s="1"/>
  <c r="F221" i="8" a="1"/>
  <c r="F221" i="8" s="1"/>
  <c r="H222" i="8" a="1"/>
  <c r="H222" i="8" s="1"/>
  <c r="J223" i="8" a="1"/>
  <c r="J223" i="8" s="1"/>
  <c r="F227" i="8" a="1"/>
  <c r="F227" i="8" s="1"/>
  <c r="H228" i="8" a="1"/>
  <c r="H228" i="8" s="1"/>
  <c r="J229" i="8" a="1"/>
  <c r="J229" i="8" s="1"/>
  <c r="F233" i="8" a="1"/>
  <c r="F233" i="8" s="1"/>
  <c r="H234" i="8" a="1"/>
  <c r="H234" i="8" s="1"/>
  <c r="J235" i="8" a="1"/>
  <c r="J235" i="8" s="1"/>
  <c r="F239" i="8" a="1"/>
  <c r="F239" i="8" s="1"/>
  <c r="H240" i="8" a="1"/>
  <c r="H240" i="8" s="1"/>
  <c r="J241" i="8" a="1"/>
  <c r="J241" i="8" s="1"/>
  <c r="F245" i="8" a="1"/>
  <c r="F245" i="8" s="1"/>
  <c r="H246" i="8" a="1"/>
  <c r="H246" i="8" s="1"/>
  <c r="J247" i="8" a="1"/>
  <c r="J247" i="8" s="1"/>
  <c r="F251" i="8" a="1"/>
  <c r="F251" i="8" s="1"/>
  <c r="H252" i="8" a="1"/>
  <c r="H252" i="8" s="1"/>
  <c r="J253" i="8" a="1"/>
  <c r="J253" i="8" s="1"/>
  <c r="F257" i="8" a="1"/>
  <c r="F257" i="8" s="1"/>
  <c r="H258" i="8" a="1"/>
  <c r="H258" i="8" s="1"/>
  <c r="J259" i="8" a="1"/>
  <c r="J259" i="8" s="1"/>
  <c r="F263" i="8" a="1"/>
  <c r="F263" i="8" s="1"/>
  <c r="H264" i="8" a="1"/>
  <c r="H264" i="8" s="1"/>
  <c r="J265" i="8" a="1"/>
  <c r="J265" i="8" s="1"/>
  <c r="F269" i="8" a="1"/>
  <c r="F269" i="8" s="1"/>
  <c r="H270" i="8" a="1"/>
  <c r="H270" i="8" s="1"/>
  <c r="J271" i="8" a="1"/>
  <c r="J271" i="8" s="1"/>
  <c r="F275" i="8" a="1"/>
  <c r="F275" i="8" s="1"/>
  <c r="H276" i="8" a="1"/>
  <c r="H276" i="8" s="1"/>
  <c r="J277" i="8" a="1"/>
  <c r="J277" i="8" s="1"/>
  <c r="F281" i="8" a="1"/>
  <c r="F281" i="8" s="1"/>
  <c r="H282" i="8" a="1"/>
  <c r="H282" i="8" s="1"/>
  <c r="J283" i="8" a="1"/>
  <c r="J283" i="8" s="1"/>
  <c r="F287" i="8" a="1"/>
  <c r="F287" i="8" s="1"/>
  <c r="H288" i="8" a="1"/>
  <c r="H288" i="8" s="1"/>
  <c r="J289" i="8" a="1"/>
  <c r="J289" i="8" s="1"/>
  <c r="F293" i="8" a="1"/>
  <c r="F293" i="8" s="1"/>
  <c r="H141" i="8" a="1"/>
  <c r="H141" i="8" s="1"/>
  <c r="J154" i="8" a="1"/>
  <c r="J154" i="8" s="1"/>
  <c r="G161" i="8" a="1"/>
  <c r="G161" i="8" s="1"/>
  <c r="J167" i="8" a="1"/>
  <c r="J167" i="8" s="1"/>
  <c r="G169" i="8" a="1"/>
  <c r="G169" i="8" s="1"/>
  <c r="G171" i="8" a="1"/>
  <c r="G171" i="8" s="1"/>
  <c r="J176" i="8" a="1"/>
  <c r="J176" i="8" s="1"/>
  <c r="F178" i="8" a="1"/>
  <c r="F178" i="8" s="1"/>
  <c r="H181" i="8" a="1"/>
  <c r="H181" i="8" s="1"/>
  <c r="F183" i="8" a="1"/>
  <c r="F183" i="8" s="1"/>
  <c r="I186" i="8" a="1"/>
  <c r="I186" i="8" s="1"/>
  <c r="K189" i="8" a="1"/>
  <c r="K189" i="8" s="1"/>
  <c r="J192" i="8" a="1"/>
  <c r="J192" i="8" s="1"/>
  <c r="J195" i="8" a="1"/>
  <c r="J195" i="8" s="1"/>
  <c r="I198" i="8" a="1"/>
  <c r="I198" i="8" s="1"/>
  <c r="G201" i="8" a="1"/>
  <c r="G201" i="8" s="1"/>
  <c r="J202" i="8" a="1"/>
  <c r="J202" i="8" s="1"/>
  <c r="F205" i="8" a="1"/>
  <c r="F205" i="8" s="1"/>
  <c r="I206" i="8" a="1"/>
  <c r="I206" i="8" s="1"/>
  <c r="E209" i="8" a="1"/>
  <c r="E209" i="8" s="1"/>
  <c r="H210" i="8" a="1"/>
  <c r="H210" i="8" s="1"/>
  <c r="K211" i="8" a="1"/>
  <c r="K211" i="8" s="1"/>
  <c r="E214" i="8" a="1"/>
  <c r="E214" i="8" s="1"/>
  <c r="G215" i="8" a="1"/>
  <c r="G215" i="8" s="1"/>
  <c r="I216" i="8" a="1"/>
  <c r="I216" i="8" s="1"/>
  <c r="K217" i="8" a="1"/>
  <c r="K217" i="8" s="1"/>
  <c r="E220" i="8" a="1"/>
  <c r="E220" i="8" s="1"/>
  <c r="G221" i="8" a="1"/>
  <c r="G221" i="8" s="1"/>
  <c r="I222" i="8" a="1"/>
  <c r="I222" i="8" s="1"/>
  <c r="K223" i="8" a="1"/>
  <c r="K223" i="8" s="1"/>
  <c r="E226" i="8" a="1"/>
  <c r="E226" i="8" s="1"/>
  <c r="G227" i="8" a="1"/>
  <c r="G227" i="8" s="1"/>
  <c r="I228" i="8" a="1"/>
  <c r="I228" i="8" s="1"/>
  <c r="K229" i="8" a="1"/>
  <c r="K229" i="8" s="1"/>
  <c r="E232" i="8" a="1"/>
  <c r="E232" i="8" s="1"/>
  <c r="G233" i="8" a="1"/>
  <c r="G233" i="8" s="1"/>
  <c r="I234" i="8" a="1"/>
  <c r="I234" i="8" s="1"/>
  <c r="K235" i="8" a="1"/>
  <c r="K235" i="8" s="1"/>
  <c r="E238" i="8" a="1"/>
  <c r="E238" i="8" s="1"/>
  <c r="G239" i="8" a="1"/>
  <c r="G239" i="8" s="1"/>
  <c r="I240" i="8" a="1"/>
  <c r="I240" i="8" s="1"/>
  <c r="K241" i="8" a="1"/>
  <c r="K241" i="8" s="1"/>
  <c r="E244" i="8" a="1"/>
  <c r="E244" i="8" s="1"/>
  <c r="G245" i="8" a="1"/>
  <c r="G245" i="8" s="1"/>
  <c r="I246" i="8" a="1"/>
  <c r="I246" i="8" s="1"/>
  <c r="K247" i="8" a="1"/>
  <c r="K247" i="8" s="1"/>
  <c r="E250" i="8" a="1"/>
  <c r="E250" i="8" s="1"/>
  <c r="G251" i="8" a="1"/>
  <c r="G251" i="8" s="1"/>
  <c r="I252" i="8" a="1"/>
  <c r="I252" i="8" s="1"/>
  <c r="K253" i="8" a="1"/>
  <c r="K253" i="8" s="1"/>
  <c r="E256" i="8" a="1"/>
  <c r="E256" i="8" s="1"/>
  <c r="G257" i="8" a="1"/>
  <c r="G257" i="8" s="1"/>
  <c r="I258" i="8" a="1"/>
  <c r="I258" i="8" s="1"/>
  <c r="K259" i="8" a="1"/>
  <c r="K259" i="8" s="1"/>
  <c r="E262" i="8" a="1"/>
  <c r="E262" i="8" s="1"/>
  <c r="G263" i="8" a="1"/>
  <c r="G263" i="8" s="1"/>
  <c r="I264" i="8" a="1"/>
  <c r="I264" i="8" s="1"/>
  <c r="K265" i="8" a="1"/>
  <c r="K265" i="8" s="1"/>
  <c r="E268" i="8" a="1"/>
  <c r="E268" i="8" s="1"/>
  <c r="G269" i="8" a="1"/>
  <c r="G269" i="8" s="1"/>
  <c r="I270" i="8" a="1"/>
  <c r="I270" i="8" s="1"/>
  <c r="K271" i="8" a="1"/>
  <c r="K271" i="8" s="1"/>
  <c r="E274" i="8" a="1"/>
  <c r="E274" i="8" s="1"/>
  <c r="G275" i="8" a="1"/>
  <c r="G275" i="8" s="1"/>
  <c r="I276" i="8" a="1"/>
  <c r="I276" i="8" s="1"/>
  <c r="K277" i="8" a="1"/>
  <c r="K277" i="8" s="1"/>
  <c r="E280" i="8" a="1"/>
  <c r="E280" i="8" s="1"/>
  <c r="G281" i="8" a="1"/>
  <c r="G281" i="8" s="1"/>
  <c r="I282" i="8" a="1"/>
  <c r="I282" i="8" s="1"/>
  <c r="F146" i="8" a="1"/>
  <c r="F146" i="8" s="1"/>
  <c r="E158" i="8" a="1"/>
  <c r="E158" i="8" s="1"/>
  <c r="H161" i="8" a="1"/>
  <c r="H161" i="8" s="1"/>
  <c r="E166" i="8" a="1"/>
  <c r="E166" i="8" s="1"/>
  <c r="K167" i="8" a="1"/>
  <c r="K167" i="8" s="1"/>
  <c r="K169" i="8" a="1"/>
  <c r="K169" i="8" s="1"/>
  <c r="J171" i="8" a="1"/>
  <c r="J171" i="8" s="1"/>
  <c r="G173" i="8" a="1"/>
  <c r="G173" i="8" s="1"/>
  <c r="G178" i="8" a="1"/>
  <c r="G178" i="8" s="1"/>
  <c r="K181" i="8" a="1"/>
  <c r="K181" i="8" s="1"/>
  <c r="G183" i="8" a="1"/>
  <c r="G183" i="8" s="1"/>
  <c r="J186" i="8" a="1"/>
  <c r="J186" i="8" s="1"/>
  <c r="E188" i="8" a="1"/>
  <c r="E188" i="8" s="1"/>
  <c r="G191" i="8" a="1"/>
  <c r="G191" i="8" s="1"/>
  <c r="K192" i="8" a="1"/>
  <c r="K192" i="8" s="1"/>
  <c r="E194" i="8" a="1"/>
  <c r="E194" i="8" s="1"/>
  <c r="K195" i="8" a="1"/>
  <c r="K195" i="8" s="1"/>
  <c r="F197" i="8" a="1"/>
  <c r="F197" i="8" s="1"/>
  <c r="J198" i="8" a="1"/>
  <c r="J198" i="8" s="1"/>
  <c r="H201" i="8" a="1"/>
  <c r="H201" i="8" s="1"/>
  <c r="K202" i="8" a="1"/>
  <c r="K202" i="8" s="1"/>
  <c r="G205" i="8" a="1"/>
  <c r="G205" i="8" s="1"/>
  <c r="K206" i="8" a="1"/>
  <c r="K206" i="8" s="1"/>
  <c r="F209" i="8" a="1"/>
  <c r="F209" i="8" s="1"/>
  <c r="I210" i="8" a="1"/>
  <c r="I210" i="8" s="1"/>
  <c r="F214" i="8" a="1"/>
  <c r="F214" i="8" s="1"/>
  <c r="H215" i="8" a="1"/>
  <c r="H215" i="8" s="1"/>
  <c r="J216" i="8" a="1"/>
  <c r="J216" i="8" s="1"/>
  <c r="F220" i="8" a="1"/>
  <c r="F220" i="8" s="1"/>
  <c r="H221" i="8" a="1"/>
  <c r="H221" i="8" s="1"/>
  <c r="J222" i="8" a="1"/>
  <c r="J222" i="8" s="1"/>
  <c r="F226" i="8" a="1"/>
  <c r="F226" i="8" s="1"/>
  <c r="H227" i="8" a="1"/>
  <c r="H227" i="8" s="1"/>
  <c r="J228" i="8" a="1"/>
  <c r="J228" i="8" s="1"/>
  <c r="F232" i="8" a="1"/>
  <c r="F232" i="8" s="1"/>
  <c r="H233" i="8" a="1"/>
  <c r="H233" i="8" s="1"/>
  <c r="J234" i="8" a="1"/>
  <c r="J234" i="8" s="1"/>
  <c r="F238" i="8" a="1"/>
  <c r="F238" i="8" s="1"/>
  <c r="H239" i="8" a="1"/>
  <c r="H239" i="8" s="1"/>
  <c r="J240" i="8" a="1"/>
  <c r="J240" i="8" s="1"/>
  <c r="F244" i="8" a="1"/>
  <c r="F244" i="8" s="1"/>
  <c r="H245" i="8" a="1"/>
  <c r="H245" i="8" s="1"/>
  <c r="J246" i="8" a="1"/>
  <c r="J246" i="8" s="1"/>
  <c r="F250" i="8" a="1"/>
  <c r="F250" i="8" s="1"/>
  <c r="H251" i="8" a="1"/>
  <c r="H251" i="8" s="1"/>
  <c r="J252" i="8" a="1"/>
  <c r="J252" i="8" s="1"/>
  <c r="F256" i="8" a="1"/>
  <c r="F256" i="8" s="1"/>
  <c r="H257" i="8" a="1"/>
  <c r="H257" i="8" s="1"/>
  <c r="J258" i="8" a="1"/>
  <c r="J258" i="8" s="1"/>
  <c r="F262" i="8" a="1"/>
  <c r="F262" i="8" s="1"/>
  <c r="H263" i="8" a="1"/>
  <c r="H263" i="8" s="1"/>
  <c r="J264" i="8" a="1"/>
  <c r="J264" i="8" s="1"/>
  <c r="F268" i="8" a="1"/>
  <c r="F268" i="8" s="1"/>
  <c r="H269" i="8" a="1"/>
  <c r="H269" i="8" s="1"/>
  <c r="J270" i="8" a="1"/>
  <c r="J270" i="8" s="1"/>
  <c r="F274" i="8" a="1"/>
  <c r="F274" i="8" s="1"/>
  <c r="H275" i="8" a="1"/>
  <c r="H275" i="8" s="1"/>
  <c r="J276" i="8" a="1"/>
  <c r="J276" i="8" s="1"/>
  <c r="F280" i="8" a="1"/>
  <c r="F280" i="8" s="1"/>
  <c r="H281" i="8" a="1"/>
  <c r="H281" i="8" s="1"/>
  <c r="J282" i="8" a="1"/>
  <c r="J282" i="8" s="1"/>
  <c r="F286" i="8" a="1"/>
  <c r="F286" i="8" s="1"/>
  <c r="H287" i="8" a="1"/>
  <c r="H287" i="8" s="1"/>
  <c r="J288" i="8" a="1"/>
  <c r="J288" i="8" s="1"/>
  <c r="F292" i="8" a="1"/>
  <c r="F292" i="8" s="1"/>
  <c r="H293" i="8" a="1"/>
  <c r="H293" i="8" s="1"/>
  <c r="J294" i="8" a="1"/>
  <c r="J294" i="8" s="1"/>
  <c r="F133" i="8" a="1"/>
  <c r="F133" i="8" s="1"/>
  <c r="I161" i="8" a="1"/>
  <c r="I161" i="8" s="1"/>
  <c r="F166" i="8" a="1"/>
  <c r="F166" i="8" s="1"/>
  <c r="K171" i="8" a="1"/>
  <c r="K171" i="8" s="1"/>
  <c r="H173" i="8" a="1"/>
  <c r="H173" i="8" s="1"/>
  <c r="H178" i="8" a="1"/>
  <c r="H178" i="8" s="1"/>
  <c r="E180" i="8" a="1"/>
  <c r="E180" i="8" s="1"/>
  <c r="J183" i="8" a="1"/>
  <c r="J183" i="8" s="1"/>
  <c r="K186" i="8" a="1"/>
  <c r="K186" i="8" s="1"/>
  <c r="H188" i="8" a="1"/>
  <c r="H188" i="8" s="1"/>
  <c r="H191" i="8" a="1"/>
  <c r="H191" i="8" s="1"/>
  <c r="G194" i="8" a="1"/>
  <c r="G194" i="8" s="1"/>
  <c r="G197" i="8" a="1"/>
  <c r="G197" i="8" s="1"/>
  <c r="K198" i="8" a="1"/>
  <c r="K198" i="8" s="1"/>
  <c r="E200" i="8" a="1"/>
  <c r="E200" i="8" s="1"/>
  <c r="I201" i="8" a="1"/>
  <c r="I201" i="8" s="1"/>
  <c r="E204" i="8" a="1"/>
  <c r="E204" i="8" s="1"/>
  <c r="I205" i="8" a="1"/>
  <c r="I205" i="8" s="1"/>
  <c r="E208" i="8" a="1"/>
  <c r="E208" i="8" s="1"/>
  <c r="G209" i="8" a="1"/>
  <c r="G209" i="8" s="1"/>
  <c r="J210" i="8" a="1"/>
  <c r="J210" i="8" s="1"/>
  <c r="E213" i="8" a="1"/>
  <c r="E213" i="8" s="1"/>
  <c r="G214" i="8" a="1"/>
  <c r="G214" i="8" s="1"/>
  <c r="I215" i="8" a="1"/>
  <c r="I215" i="8" s="1"/>
  <c r="K216" i="8" a="1"/>
  <c r="K216" i="8" s="1"/>
  <c r="E219" i="8" a="1"/>
  <c r="E219" i="8" s="1"/>
  <c r="G220" i="8" a="1"/>
  <c r="G220" i="8" s="1"/>
  <c r="I221" i="8" a="1"/>
  <c r="I221" i="8" s="1"/>
  <c r="K222" i="8" a="1"/>
  <c r="K222" i="8" s="1"/>
  <c r="E225" i="8" a="1"/>
  <c r="E225" i="8" s="1"/>
  <c r="G226" i="8" a="1"/>
  <c r="G226" i="8" s="1"/>
  <c r="I227" i="8" a="1"/>
  <c r="I227" i="8" s="1"/>
  <c r="K228" i="8" a="1"/>
  <c r="K228" i="8" s="1"/>
  <c r="E231" i="8" a="1"/>
  <c r="E231" i="8" s="1"/>
  <c r="G232" i="8" a="1"/>
  <c r="G232" i="8" s="1"/>
  <c r="I233" i="8" a="1"/>
  <c r="I233" i="8" s="1"/>
  <c r="K234" i="8" a="1"/>
  <c r="K234" i="8" s="1"/>
  <c r="E237" i="8" a="1"/>
  <c r="E237" i="8" s="1"/>
  <c r="G238" i="8" a="1"/>
  <c r="G238" i="8" s="1"/>
  <c r="I239" i="8" a="1"/>
  <c r="I239" i="8" s="1"/>
  <c r="K240" i="8" a="1"/>
  <c r="K240" i="8" s="1"/>
  <c r="E243" i="8" a="1"/>
  <c r="E243" i="8" s="1"/>
  <c r="G244" i="8" a="1"/>
  <c r="G244" i="8" s="1"/>
  <c r="I245" i="8" a="1"/>
  <c r="I245" i="8" s="1"/>
  <c r="K246" i="8" a="1"/>
  <c r="K246" i="8" s="1"/>
  <c r="E249" i="8" a="1"/>
  <c r="E249" i="8" s="1"/>
  <c r="G250" i="8" a="1"/>
  <c r="G250" i="8" s="1"/>
  <c r="I251" i="8" a="1"/>
  <c r="I251" i="8" s="1"/>
  <c r="K252" i="8" a="1"/>
  <c r="K252" i="8" s="1"/>
  <c r="E255" i="8" a="1"/>
  <c r="E255" i="8" s="1"/>
  <c r="G256" i="8" a="1"/>
  <c r="G256" i="8" s="1"/>
  <c r="I257" i="8" a="1"/>
  <c r="I257" i="8" s="1"/>
  <c r="K258" i="8" a="1"/>
  <c r="K258" i="8" s="1"/>
  <c r="E261" i="8" a="1"/>
  <c r="E261" i="8" s="1"/>
  <c r="G262" i="8" a="1"/>
  <c r="G262" i="8" s="1"/>
  <c r="I263" i="8" a="1"/>
  <c r="I263" i="8" s="1"/>
  <c r="K264" i="8" a="1"/>
  <c r="K264" i="8" s="1"/>
  <c r="E267" i="8" a="1"/>
  <c r="E267" i="8" s="1"/>
  <c r="G268" i="8" a="1"/>
  <c r="G268" i="8" s="1"/>
  <c r="I269" i="8" a="1"/>
  <c r="I269" i="8" s="1"/>
  <c r="K270" i="8" a="1"/>
  <c r="K270" i="8" s="1"/>
  <c r="E273" i="8" a="1"/>
  <c r="E273" i="8" s="1"/>
  <c r="G274" i="8" a="1"/>
  <c r="G274" i="8" s="1"/>
  <c r="I275" i="8" a="1"/>
  <c r="I275" i="8" s="1"/>
  <c r="K276" i="8" a="1"/>
  <c r="K276" i="8" s="1"/>
  <c r="J142" i="8" a="1"/>
  <c r="J142" i="8" s="1"/>
  <c r="I155" i="8" a="1"/>
  <c r="I155" i="8" s="1"/>
  <c r="K161" i="8" a="1"/>
  <c r="K161" i="8" s="1"/>
  <c r="E164" i="8" a="1"/>
  <c r="E164" i="8" s="1"/>
  <c r="G166" i="8" a="1"/>
  <c r="G166" i="8" s="1"/>
  <c r="I173" i="8" a="1"/>
  <c r="I173" i="8" s="1"/>
  <c r="F175" i="8" a="1"/>
  <c r="F175" i="8" s="1"/>
  <c r="E177" i="8" a="1"/>
  <c r="E177" i="8" s="1"/>
  <c r="I178" i="8" a="1"/>
  <c r="I178" i="8" s="1"/>
  <c r="F180" i="8" a="1"/>
  <c r="F180" i="8" s="1"/>
  <c r="K183" i="8" a="1"/>
  <c r="K183" i="8" s="1"/>
  <c r="G185" i="8" a="1"/>
  <c r="G185" i="8" s="1"/>
  <c r="I188" i="8" a="1"/>
  <c r="I188" i="8" s="1"/>
  <c r="I191" i="8" a="1"/>
  <c r="I191" i="8" s="1"/>
  <c r="H194" i="8" a="1"/>
  <c r="H194" i="8" s="1"/>
  <c r="H197" i="8" a="1"/>
  <c r="H197" i="8" s="1"/>
  <c r="F200" i="8" a="1"/>
  <c r="F200" i="8" s="1"/>
  <c r="J201" i="8" a="1"/>
  <c r="J201" i="8" s="1"/>
  <c r="G204" i="8" a="1"/>
  <c r="G204" i="8" s="1"/>
  <c r="J205" i="8" a="1"/>
  <c r="J205" i="8" s="1"/>
  <c r="F208" i="8" a="1"/>
  <c r="F208" i="8" s="1"/>
  <c r="H209" i="8" a="1"/>
  <c r="H209" i="8" s="1"/>
  <c r="K210" i="8" a="1"/>
  <c r="K210" i="8" s="1"/>
  <c r="F213" i="8" a="1"/>
  <c r="F213" i="8" s="1"/>
  <c r="H214" i="8" a="1"/>
  <c r="H214" i="8" s="1"/>
  <c r="J215" i="8" a="1"/>
  <c r="J215" i="8" s="1"/>
  <c r="F219" i="8" a="1"/>
  <c r="F219" i="8" s="1"/>
  <c r="H220" i="8" a="1"/>
  <c r="H220" i="8" s="1"/>
  <c r="J221" i="8" a="1"/>
  <c r="J221" i="8" s="1"/>
  <c r="F225" i="8" a="1"/>
  <c r="F225" i="8" s="1"/>
  <c r="H226" i="8" a="1"/>
  <c r="H226" i="8" s="1"/>
  <c r="J227" i="8" a="1"/>
  <c r="J227" i="8" s="1"/>
  <c r="F231" i="8" a="1"/>
  <c r="F231" i="8" s="1"/>
  <c r="H232" i="8" a="1"/>
  <c r="H232" i="8" s="1"/>
  <c r="J233" i="8" a="1"/>
  <c r="J233" i="8" s="1"/>
  <c r="F237" i="8" a="1"/>
  <c r="F237" i="8" s="1"/>
  <c r="H238" i="8" a="1"/>
  <c r="H238" i="8" s="1"/>
  <c r="J239" i="8" a="1"/>
  <c r="J239" i="8" s="1"/>
  <c r="F243" i="8" a="1"/>
  <c r="F243" i="8" s="1"/>
  <c r="H244" i="8" a="1"/>
  <c r="H244" i="8" s="1"/>
  <c r="J245" i="8" a="1"/>
  <c r="J245" i="8" s="1"/>
  <c r="F249" i="8" a="1"/>
  <c r="F249" i="8" s="1"/>
  <c r="H250" i="8" a="1"/>
  <c r="H250" i="8" s="1"/>
  <c r="J251" i="8" a="1"/>
  <c r="J251" i="8" s="1"/>
  <c r="F255" i="8" a="1"/>
  <c r="F255" i="8" s="1"/>
  <c r="H256" i="8" a="1"/>
  <c r="H256" i="8" s="1"/>
  <c r="J257" i="8" a="1"/>
  <c r="J257" i="8" s="1"/>
  <c r="F261" i="8" a="1"/>
  <c r="F261" i="8" s="1"/>
  <c r="H262" i="8" a="1"/>
  <c r="H262" i="8" s="1"/>
  <c r="J263" i="8" a="1"/>
  <c r="J263" i="8" s="1"/>
  <c r="F267" i="8" a="1"/>
  <c r="F267" i="8" s="1"/>
  <c r="H268" i="8" a="1"/>
  <c r="H268" i="8" s="1"/>
  <c r="J269" i="8" a="1"/>
  <c r="J269" i="8" s="1"/>
  <c r="F273" i="8" a="1"/>
  <c r="F273" i="8" s="1"/>
  <c r="H274" i="8" a="1"/>
  <c r="H274" i="8" s="1"/>
  <c r="J275" i="8" a="1"/>
  <c r="J275" i="8" s="1"/>
  <c r="F279" i="8" a="1"/>
  <c r="F279" i="8" s="1"/>
  <c r="H280" i="8" a="1"/>
  <c r="H280" i="8" s="1"/>
  <c r="J281" i="8" a="1"/>
  <c r="J281" i="8" s="1"/>
  <c r="F285" i="8" a="1"/>
  <c r="F285" i="8" s="1"/>
  <c r="H286" i="8" a="1"/>
  <c r="H286" i="8" s="1"/>
  <c r="J287" i="8" a="1"/>
  <c r="J287" i="8" s="1"/>
  <c r="F291" i="8" a="1"/>
  <c r="F291" i="8" s="1"/>
  <c r="H292" i="8" a="1"/>
  <c r="H292" i="8" s="1"/>
  <c r="J293" i="8" a="1"/>
  <c r="J293" i="8" s="1"/>
  <c r="F297" i="8" a="1"/>
  <c r="F297" i="8" s="1"/>
  <c r="H298" i="8" a="1"/>
  <c r="H298" i="8" s="1"/>
  <c r="J299" i="8" a="1"/>
  <c r="J299" i="8" s="1"/>
  <c r="F303" i="8" a="1"/>
  <c r="F303" i="8" s="1"/>
  <c r="H304" i="8" a="1"/>
  <c r="H304" i="8" s="1"/>
  <c r="J305" i="8" a="1"/>
  <c r="J305" i="8" s="1"/>
  <c r="E309" i="8" a="1"/>
  <c r="E309" i="8" s="1"/>
  <c r="G310" i="8" a="1"/>
  <c r="G310" i="8" s="1"/>
  <c r="K129" i="8" a="1"/>
  <c r="K129" i="8" s="1"/>
  <c r="H147" i="8" a="1"/>
  <c r="H147" i="8" s="1"/>
  <c r="G159" i="8" a="1"/>
  <c r="G159" i="8" s="1"/>
  <c r="H164" i="8" a="1"/>
  <c r="H164" i="8" s="1"/>
  <c r="H166" i="8" a="1"/>
  <c r="H166" i="8" s="1"/>
  <c r="E168" i="8" a="1"/>
  <c r="E168" i="8" s="1"/>
  <c r="J173" i="8" a="1"/>
  <c r="J173" i="8" s="1"/>
  <c r="G175" i="8" a="1"/>
  <c r="G175" i="8" s="1"/>
  <c r="F177" i="8" a="1"/>
  <c r="F177" i="8" s="1"/>
  <c r="I180" i="8" a="1"/>
  <c r="I180" i="8" s="1"/>
  <c r="H185" i="8" a="1"/>
  <c r="H185" i="8" s="1"/>
  <c r="J188" i="8" a="1"/>
  <c r="J188" i="8" s="1"/>
  <c r="E190" i="8" a="1"/>
  <c r="E190" i="8" s="1"/>
  <c r="J191" i="8" a="1"/>
  <c r="J191" i="8" s="1"/>
  <c r="I194" i="8" a="1"/>
  <c r="I194" i="8" s="1"/>
  <c r="E196" i="8" a="1"/>
  <c r="E196" i="8" s="1"/>
  <c r="I197" i="8" a="1"/>
  <c r="I197" i="8" s="1"/>
  <c r="G200" i="8" a="1"/>
  <c r="G200" i="8" s="1"/>
  <c r="K201" i="8" a="1"/>
  <c r="K201" i="8" s="1"/>
  <c r="H204" i="8" a="1"/>
  <c r="H204" i="8" s="1"/>
  <c r="K205" i="8" a="1"/>
  <c r="K205" i="8" s="1"/>
  <c r="G208" i="8" a="1"/>
  <c r="G208" i="8" s="1"/>
  <c r="I209" i="8" a="1"/>
  <c r="I209" i="8" s="1"/>
  <c r="E212" i="8" a="1"/>
  <c r="E212" i="8" s="1"/>
  <c r="G213" i="8" a="1"/>
  <c r="G213" i="8" s="1"/>
  <c r="I214" i="8" a="1"/>
  <c r="I214" i="8" s="1"/>
  <c r="K215" i="8" a="1"/>
  <c r="K215" i="8" s="1"/>
  <c r="E218" i="8" a="1"/>
  <c r="E218" i="8" s="1"/>
  <c r="G219" i="8" a="1"/>
  <c r="G219" i="8" s="1"/>
  <c r="I220" i="8" a="1"/>
  <c r="I220" i="8" s="1"/>
  <c r="K221" i="8" a="1"/>
  <c r="K221" i="8" s="1"/>
  <c r="E224" i="8" a="1"/>
  <c r="E224" i="8" s="1"/>
  <c r="G225" i="8" a="1"/>
  <c r="G225" i="8" s="1"/>
  <c r="I226" i="8" a="1"/>
  <c r="I226" i="8" s="1"/>
  <c r="K227" i="8" a="1"/>
  <c r="K227" i="8" s="1"/>
  <c r="E230" i="8" a="1"/>
  <c r="E230" i="8" s="1"/>
  <c r="G231" i="8" a="1"/>
  <c r="G231" i="8" s="1"/>
  <c r="I232" i="8" a="1"/>
  <c r="I232" i="8" s="1"/>
  <c r="K233" i="8" a="1"/>
  <c r="K233" i="8" s="1"/>
  <c r="E236" i="8" a="1"/>
  <c r="E236" i="8" s="1"/>
  <c r="G237" i="8" a="1"/>
  <c r="G237" i="8" s="1"/>
  <c r="I238" i="8" a="1"/>
  <c r="I238" i="8" s="1"/>
  <c r="K239" i="8" a="1"/>
  <c r="K239" i="8" s="1"/>
  <c r="E242" i="8" a="1"/>
  <c r="E242" i="8" s="1"/>
  <c r="G243" i="8" a="1"/>
  <c r="G243" i="8" s="1"/>
  <c r="I244" i="8" a="1"/>
  <c r="I244" i="8" s="1"/>
  <c r="K245" i="8" a="1"/>
  <c r="K245" i="8" s="1"/>
  <c r="E248" i="8" a="1"/>
  <c r="E248" i="8" s="1"/>
  <c r="G249" i="8" a="1"/>
  <c r="G249" i="8" s="1"/>
  <c r="I250" i="8" a="1"/>
  <c r="I250" i="8" s="1"/>
  <c r="K251" i="8" a="1"/>
  <c r="K251" i="8" s="1"/>
  <c r="E254" i="8" a="1"/>
  <c r="E254" i="8" s="1"/>
  <c r="G255" i="8" a="1"/>
  <c r="G255" i="8" s="1"/>
  <c r="I256" i="8" a="1"/>
  <c r="I256" i="8" s="1"/>
  <c r="K257" i="8" a="1"/>
  <c r="K257" i="8" s="1"/>
  <c r="E260" i="8" a="1"/>
  <c r="E260" i="8" s="1"/>
  <c r="G261" i="8" a="1"/>
  <c r="G261" i="8" s="1"/>
  <c r="I262" i="8" a="1"/>
  <c r="I262" i="8" s="1"/>
  <c r="K263" i="8" a="1"/>
  <c r="K263" i="8" s="1"/>
  <c r="E266" i="8" a="1"/>
  <c r="E266" i="8" s="1"/>
  <c r="G267" i="8" a="1"/>
  <c r="G267" i="8" s="1"/>
  <c r="I268" i="8" a="1"/>
  <c r="I268" i="8" s="1"/>
  <c r="K269" i="8" a="1"/>
  <c r="K269" i="8" s="1"/>
  <c r="E272" i="8" a="1"/>
  <c r="E272" i="8" s="1"/>
  <c r="G273" i="8" a="1"/>
  <c r="G273" i="8" s="1"/>
  <c r="I274" i="8" a="1"/>
  <c r="I274" i="8" s="1"/>
  <c r="K275" i="8" a="1"/>
  <c r="K275" i="8" s="1"/>
  <c r="E278" i="8" a="1"/>
  <c r="E278" i="8" s="1"/>
  <c r="G279" i="8" a="1"/>
  <c r="G279" i="8" s="1"/>
  <c r="I280" i="8" a="1"/>
  <c r="I280" i="8" s="1"/>
  <c r="K281" i="8" a="1"/>
  <c r="K281" i="8" s="1"/>
  <c r="E284" i="8" a="1"/>
  <c r="E284" i="8" s="1"/>
  <c r="G285" i="8" a="1"/>
  <c r="G285" i="8" s="1"/>
  <c r="I286" i="8" a="1"/>
  <c r="I286" i="8" s="1"/>
  <c r="K287" i="8" a="1"/>
  <c r="K287" i="8" s="1"/>
  <c r="E290" i="8" a="1"/>
  <c r="E290" i="8" s="1"/>
  <c r="G291" i="8" a="1"/>
  <c r="G291" i="8" s="1"/>
  <c r="I292" i="8" a="1"/>
  <c r="I292" i="8" s="1"/>
  <c r="K293" i="8" a="1"/>
  <c r="K293" i="8" s="1"/>
  <c r="E296" i="8" a="1"/>
  <c r="E296" i="8" s="1"/>
  <c r="G297" i="8" a="1"/>
  <c r="G297" i="8" s="1"/>
  <c r="I298" i="8" a="1"/>
  <c r="I298" i="8" s="1"/>
  <c r="K299" i="8" a="1"/>
  <c r="K299" i="8" s="1"/>
  <c r="E302" i="8" a="1"/>
  <c r="E302" i="8" s="1"/>
  <c r="G303" i="8" a="1"/>
  <c r="G303" i="8" s="1"/>
  <c r="I304" i="8" a="1"/>
  <c r="I304" i="8" s="1"/>
  <c r="K305" i="8" a="1"/>
  <c r="K305" i="8" s="1"/>
  <c r="E308" i="8" a="1"/>
  <c r="E308" i="8" s="1"/>
  <c r="F309" i="8" a="1"/>
  <c r="F309" i="8" s="1"/>
  <c r="H310" i="8" a="1"/>
  <c r="H310" i="8" s="1"/>
  <c r="J311" i="8" a="1"/>
  <c r="J311" i="8" s="1"/>
  <c r="F315" i="8" a="1"/>
  <c r="F315" i="8" s="1"/>
  <c r="H316" i="8" a="1"/>
  <c r="H316" i="8" s="1"/>
  <c r="J317" i="8" a="1"/>
  <c r="J317" i="8" s="1"/>
  <c r="F321" i="8" a="1"/>
  <c r="F321" i="8" s="1"/>
  <c r="H322" i="8" a="1"/>
  <c r="H322" i="8" s="1"/>
  <c r="F152" i="8" a="1"/>
  <c r="F152" i="8" s="1"/>
  <c r="I166" i="8" a="1"/>
  <c r="I166" i="8" s="1"/>
  <c r="I168" i="8" a="1"/>
  <c r="I168" i="8" s="1"/>
  <c r="E170" i="8" a="1"/>
  <c r="E170" i="8" s="1"/>
  <c r="E172" i="8" a="1"/>
  <c r="E172" i="8" s="1"/>
  <c r="K173" i="8" a="1"/>
  <c r="K173" i="8" s="1"/>
  <c r="K175" i="8" a="1"/>
  <c r="K175" i="8" s="1"/>
  <c r="G177" i="8" a="1"/>
  <c r="G177" i="8" s="1"/>
  <c r="J180" i="8" a="1"/>
  <c r="J180" i="8" s="1"/>
  <c r="E182" i="8" a="1"/>
  <c r="E182" i="8" s="1"/>
  <c r="I185" i="8" a="1"/>
  <c r="I185" i="8" s="1"/>
  <c r="F190" i="8" a="1"/>
  <c r="F190" i="8" s="1"/>
  <c r="K191" i="8" a="1"/>
  <c r="K191" i="8" s="1"/>
  <c r="E193" i="8" a="1"/>
  <c r="E193" i="8" s="1"/>
  <c r="F196" i="8" a="1"/>
  <c r="F196" i="8" s="1"/>
  <c r="J197" i="8" a="1"/>
  <c r="J197" i="8" s="1"/>
  <c r="H200" i="8" a="1"/>
  <c r="H200" i="8" s="1"/>
  <c r="F203" i="8" a="1"/>
  <c r="F203" i="8" s="1"/>
  <c r="I204" i="8" a="1"/>
  <c r="I204" i="8" s="1"/>
  <c r="E207" i="8" a="1"/>
  <c r="E207" i="8" s="1"/>
  <c r="H208" i="8" a="1"/>
  <c r="H208" i="8" s="1"/>
  <c r="J209" i="8" a="1"/>
  <c r="J209" i="8" s="1"/>
  <c r="F212" i="8" a="1"/>
  <c r="F212" i="8" s="1"/>
  <c r="H213" i="8" a="1"/>
  <c r="H213" i="8" s="1"/>
  <c r="J214" i="8" a="1"/>
  <c r="J214" i="8" s="1"/>
  <c r="F218" i="8" a="1"/>
  <c r="F218" i="8" s="1"/>
  <c r="H219" i="8" a="1"/>
  <c r="H219" i="8" s="1"/>
  <c r="J220" i="8" a="1"/>
  <c r="J220" i="8" s="1"/>
  <c r="F224" i="8" a="1"/>
  <c r="F224" i="8" s="1"/>
  <c r="H225" i="8" a="1"/>
  <c r="H225" i="8" s="1"/>
  <c r="J226" i="8" a="1"/>
  <c r="J226" i="8" s="1"/>
  <c r="F230" i="8" a="1"/>
  <c r="F230" i="8" s="1"/>
  <c r="H231" i="8" a="1"/>
  <c r="H231" i="8" s="1"/>
  <c r="J232" i="8" a="1"/>
  <c r="J232" i="8" s="1"/>
  <c r="F236" i="8" a="1"/>
  <c r="F236" i="8" s="1"/>
  <c r="H237" i="8" a="1"/>
  <c r="H237" i="8" s="1"/>
  <c r="J238" i="8" a="1"/>
  <c r="J238" i="8" s="1"/>
  <c r="F242" i="8" a="1"/>
  <c r="F242" i="8" s="1"/>
  <c r="H243" i="8" a="1"/>
  <c r="H243" i="8" s="1"/>
  <c r="J244" i="8" a="1"/>
  <c r="J244" i="8" s="1"/>
  <c r="F248" i="8" a="1"/>
  <c r="F248" i="8" s="1"/>
  <c r="H249" i="8" a="1"/>
  <c r="H249" i="8" s="1"/>
  <c r="J250" i="8" a="1"/>
  <c r="J250" i="8" s="1"/>
  <c r="F254" i="8" a="1"/>
  <c r="F254" i="8" s="1"/>
  <c r="H255" i="8" a="1"/>
  <c r="H255" i="8" s="1"/>
  <c r="J256" i="8" a="1"/>
  <c r="J256" i="8" s="1"/>
  <c r="F260" i="8" a="1"/>
  <c r="F260" i="8" s="1"/>
  <c r="H261" i="8" a="1"/>
  <c r="H261" i="8" s="1"/>
  <c r="J262" i="8" a="1"/>
  <c r="J262" i="8" s="1"/>
  <c r="F266" i="8" a="1"/>
  <c r="F266" i="8" s="1"/>
  <c r="H267" i="8" a="1"/>
  <c r="H267" i="8" s="1"/>
  <c r="J268" i="8" a="1"/>
  <c r="J268" i="8" s="1"/>
  <c r="F272" i="8" a="1"/>
  <c r="F272" i="8" s="1"/>
  <c r="H273" i="8" a="1"/>
  <c r="H273" i="8" s="1"/>
  <c r="J274" i="8" a="1"/>
  <c r="J274" i="8" s="1"/>
  <c r="F278" i="8" a="1"/>
  <c r="F278" i="8" s="1"/>
  <c r="H279" i="8" a="1"/>
  <c r="H279" i="8" s="1"/>
  <c r="J280" i="8" a="1"/>
  <c r="J280" i="8" s="1"/>
  <c r="F284" i="8" a="1"/>
  <c r="F284" i="8" s="1"/>
  <c r="H285" i="8" a="1"/>
  <c r="H285" i="8" s="1"/>
  <c r="J286" i="8" a="1"/>
  <c r="J286" i="8" s="1"/>
  <c r="F290" i="8" a="1"/>
  <c r="F290" i="8" s="1"/>
  <c r="H291" i="8" a="1"/>
  <c r="H291" i="8" s="1"/>
  <c r="J292" i="8" a="1"/>
  <c r="J292" i="8" s="1"/>
  <c r="F296" i="8" a="1"/>
  <c r="F296" i="8" s="1"/>
  <c r="H297" i="8" a="1"/>
  <c r="H297" i="8" s="1"/>
  <c r="I162" i="8" a="1"/>
  <c r="I162" i="8" s="1"/>
  <c r="J168" i="8" a="1"/>
  <c r="J168" i="8" s="1"/>
  <c r="H170" i="8" a="1"/>
  <c r="H170" i="8" s="1"/>
  <c r="F172" i="8" a="1"/>
  <c r="F172" i="8" s="1"/>
  <c r="J177" i="8" a="1"/>
  <c r="J177" i="8" s="1"/>
  <c r="K180" i="8" a="1"/>
  <c r="K180" i="8" s="1"/>
  <c r="H182" i="8" a="1"/>
  <c r="H182" i="8" s="1"/>
  <c r="J185" i="8" a="1"/>
  <c r="J185" i="8" s="1"/>
  <c r="F187" i="8" a="1"/>
  <c r="F187" i="8" s="1"/>
  <c r="G190" i="8" a="1"/>
  <c r="G190" i="8" s="1"/>
  <c r="F193" i="8" a="1"/>
  <c r="F193" i="8" s="1"/>
  <c r="G196" i="8" a="1"/>
  <c r="G196" i="8" s="1"/>
  <c r="K197" i="8" a="1"/>
  <c r="K197" i="8" s="1"/>
  <c r="E199" i="8" a="1"/>
  <c r="E199" i="8" s="1"/>
  <c r="I200" i="8" a="1"/>
  <c r="I200" i="8" s="1"/>
  <c r="G203" i="8" a="1"/>
  <c r="G203" i="8" s="1"/>
  <c r="J204" i="8" a="1"/>
  <c r="J204" i="8" s="1"/>
  <c r="F207" i="8" a="1"/>
  <c r="F207" i="8" s="1"/>
  <c r="I208" i="8" a="1"/>
  <c r="I208" i="8" s="1"/>
  <c r="K209" i="8" a="1"/>
  <c r="K209" i="8" s="1"/>
  <c r="G212" i="8" a="1"/>
  <c r="G212" i="8" s="1"/>
  <c r="I213" i="8" a="1"/>
  <c r="I213" i="8" s="1"/>
  <c r="K214" i="8" a="1"/>
  <c r="K214" i="8" s="1"/>
  <c r="E217" i="8" a="1"/>
  <c r="E217" i="8" s="1"/>
  <c r="G218" i="8" a="1"/>
  <c r="G218" i="8" s="1"/>
  <c r="I219" i="8" a="1"/>
  <c r="I219" i="8" s="1"/>
  <c r="K220" i="8" a="1"/>
  <c r="K220" i="8" s="1"/>
  <c r="E223" i="8" a="1"/>
  <c r="E223" i="8" s="1"/>
  <c r="G224" i="8" a="1"/>
  <c r="G224" i="8" s="1"/>
  <c r="I225" i="8" a="1"/>
  <c r="I225" i="8" s="1"/>
  <c r="K226" i="8" a="1"/>
  <c r="K226" i="8" s="1"/>
  <c r="E229" i="8" a="1"/>
  <c r="E229" i="8" s="1"/>
  <c r="G230" i="8" a="1"/>
  <c r="G230" i="8" s="1"/>
  <c r="I231" i="8" a="1"/>
  <c r="I231" i="8" s="1"/>
  <c r="K232" i="8" a="1"/>
  <c r="K232" i="8" s="1"/>
  <c r="E235" i="8" a="1"/>
  <c r="E235" i="8" s="1"/>
  <c r="G236" i="8" a="1"/>
  <c r="G236" i="8" s="1"/>
  <c r="I237" i="8" a="1"/>
  <c r="I237" i="8" s="1"/>
  <c r="K238" i="8" a="1"/>
  <c r="K238" i="8" s="1"/>
  <c r="E241" i="8" a="1"/>
  <c r="E241" i="8" s="1"/>
  <c r="G242" i="8" a="1"/>
  <c r="G242" i="8" s="1"/>
  <c r="I243" i="8" a="1"/>
  <c r="I243" i="8" s="1"/>
  <c r="K244" i="8" a="1"/>
  <c r="K244" i="8" s="1"/>
  <c r="E247" i="8" a="1"/>
  <c r="E247" i="8" s="1"/>
  <c r="G248" i="8" a="1"/>
  <c r="G248" i="8" s="1"/>
  <c r="I249" i="8" a="1"/>
  <c r="I249" i="8" s="1"/>
  <c r="K250" i="8" a="1"/>
  <c r="K250" i="8" s="1"/>
  <c r="E253" i="8" a="1"/>
  <c r="E253" i="8" s="1"/>
  <c r="G254" i="8" a="1"/>
  <c r="G254" i="8" s="1"/>
  <c r="J148" i="8" a="1"/>
  <c r="J148" i="8" s="1"/>
  <c r="J156" i="8" a="1"/>
  <c r="J156" i="8" s="1"/>
  <c r="F160" i="8" a="1"/>
  <c r="F160" i="8" s="1"/>
  <c r="J162" i="8" a="1"/>
  <c r="J162" i="8" s="1"/>
  <c r="E165" i="8" a="1"/>
  <c r="E165" i="8" s="1"/>
  <c r="K168" i="8" a="1"/>
  <c r="K168" i="8" s="1"/>
  <c r="I170" i="8" a="1"/>
  <c r="I170" i="8" s="1"/>
  <c r="G172" i="8" a="1"/>
  <c r="G172" i="8" s="1"/>
  <c r="K177" i="8" a="1"/>
  <c r="K177" i="8" s="1"/>
  <c r="G179" i="8" a="1"/>
  <c r="G179" i="8" s="1"/>
  <c r="I182" i="8" a="1"/>
  <c r="I182" i="8" s="1"/>
  <c r="E184" i="8" a="1"/>
  <c r="E184" i="8" s="1"/>
  <c r="K185" i="8" a="1"/>
  <c r="K185" i="8" s="1"/>
  <c r="G187" i="8" a="1"/>
  <c r="G187" i="8" s="1"/>
  <c r="E189" i="8" a="1"/>
  <c r="E189" i="8" s="1"/>
  <c r="H190" i="8" a="1"/>
  <c r="H190" i="8" s="1"/>
  <c r="G193" i="8" a="1"/>
  <c r="G193" i="8" s="1"/>
  <c r="H196" i="8" a="1"/>
  <c r="H196" i="8" s="1"/>
  <c r="F199" i="8" a="1"/>
  <c r="F199" i="8" s="1"/>
  <c r="E202" i="8" a="1"/>
  <c r="E202" i="8" s="1"/>
  <c r="H203" i="8" a="1"/>
  <c r="H203" i="8" s="1"/>
  <c r="K204" i="8" a="1"/>
  <c r="K204" i="8" s="1"/>
  <c r="G207" i="8" a="1"/>
  <c r="G207" i="8" s="1"/>
  <c r="J208" i="8" a="1"/>
  <c r="J208" i="8" s="1"/>
  <c r="E211" i="8" a="1"/>
  <c r="E211" i="8" s="1"/>
  <c r="H212" i="8" a="1"/>
  <c r="H212" i="8" s="1"/>
  <c r="J213" i="8" a="1"/>
  <c r="J213" i="8" s="1"/>
  <c r="F217" i="8" a="1"/>
  <c r="F217" i="8" s="1"/>
  <c r="H218" i="8" a="1"/>
  <c r="H218" i="8" s="1"/>
  <c r="J219" i="8" a="1"/>
  <c r="J219" i="8" s="1"/>
  <c r="F223" i="8" a="1"/>
  <c r="F223" i="8" s="1"/>
  <c r="H224" i="8" a="1"/>
  <c r="H224" i="8" s="1"/>
  <c r="J225" i="8" a="1"/>
  <c r="J225" i="8" s="1"/>
  <c r="F229" i="8" a="1"/>
  <c r="F229" i="8" s="1"/>
  <c r="H230" i="8" a="1"/>
  <c r="H230" i="8" s="1"/>
  <c r="J231" i="8" a="1"/>
  <c r="J231" i="8" s="1"/>
  <c r="F235" i="8" a="1"/>
  <c r="F235" i="8" s="1"/>
  <c r="H236" i="8" a="1"/>
  <c r="H236" i="8" s="1"/>
  <c r="J237" i="8" a="1"/>
  <c r="J237" i="8" s="1"/>
  <c r="F241" i="8" a="1"/>
  <c r="F241" i="8" s="1"/>
  <c r="H242" i="8" a="1"/>
  <c r="H242" i="8" s="1"/>
  <c r="J243" i="8" a="1"/>
  <c r="J243" i="8" s="1"/>
  <c r="F247" i="8" a="1"/>
  <c r="F247" i="8" s="1"/>
  <c r="H248" i="8" a="1"/>
  <c r="H248" i="8" s="1"/>
  <c r="J249" i="8" a="1"/>
  <c r="J249" i="8" s="1"/>
  <c r="F253" i="8" a="1"/>
  <c r="F253" i="8" s="1"/>
  <c r="H254" i="8" a="1"/>
  <c r="H254" i="8" s="1"/>
  <c r="J255" i="8" a="1"/>
  <c r="J255" i="8" s="1"/>
  <c r="F259" i="8" a="1"/>
  <c r="F259" i="8" s="1"/>
  <c r="H260" i="8" a="1"/>
  <c r="H260" i="8" s="1"/>
  <c r="J261" i="8" a="1"/>
  <c r="J261" i="8" s="1"/>
  <c r="F265" i="8" a="1"/>
  <c r="F265" i="8" s="1"/>
  <c r="H266" i="8" a="1"/>
  <c r="H266" i="8" s="1"/>
  <c r="J267" i="8" a="1"/>
  <c r="J267" i="8" s="1"/>
  <c r="F271" i="8" a="1"/>
  <c r="F271" i="8" s="1"/>
  <c r="H272" i="8" a="1"/>
  <c r="H272" i="8" s="1"/>
  <c r="J273" i="8" a="1"/>
  <c r="J273" i="8" s="1"/>
  <c r="F277" i="8" a="1"/>
  <c r="F277" i="8" s="1"/>
  <c r="H278" i="8" a="1"/>
  <c r="H278" i="8" s="1"/>
  <c r="J279" i="8" a="1"/>
  <c r="J279" i="8" s="1"/>
  <c r="F283" i="8" a="1"/>
  <c r="F283" i="8" s="1"/>
  <c r="H284" i="8" a="1"/>
  <c r="H284" i="8" s="1"/>
  <c r="J285" i="8" a="1"/>
  <c r="J285" i="8" s="1"/>
  <c r="F289" i="8" a="1"/>
  <c r="F289" i="8" s="1"/>
  <c r="H290" i="8" a="1"/>
  <c r="H290" i="8" s="1"/>
  <c r="J291" i="8" a="1"/>
  <c r="J291" i="8" s="1"/>
  <c r="F295" i="8" a="1"/>
  <c r="F295" i="8" s="1"/>
  <c r="I135" i="8" a="1"/>
  <c r="I135" i="8" s="1"/>
  <c r="H153" i="8" a="1"/>
  <c r="H153" i="8" s="1"/>
  <c r="G160" i="8" a="1"/>
  <c r="G160" i="8" s="1"/>
  <c r="K162" i="8" a="1"/>
  <c r="K162" i="8" s="1"/>
  <c r="G165" i="8" a="1"/>
  <c r="G165" i="8" s="1"/>
  <c r="H172" i="8" a="1"/>
  <c r="H172" i="8" s="1"/>
  <c r="E174" i="8" a="1"/>
  <c r="E174" i="8" s="1"/>
  <c r="H179" i="8" a="1"/>
  <c r="H179" i="8" s="1"/>
  <c r="J182" i="8" a="1"/>
  <c r="J182" i="8" s="1"/>
  <c r="F184" i="8" a="1"/>
  <c r="F184" i="8" s="1"/>
  <c r="H187" i="8" a="1"/>
  <c r="H187" i="8" s="1"/>
  <c r="F189" i="8" a="1"/>
  <c r="F189" i="8" s="1"/>
  <c r="I190" i="8" a="1"/>
  <c r="I190" i="8" s="1"/>
  <c r="J193" i="8" a="1"/>
  <c r="J193" i="8" s="1"/>
  <c r="E195" i="8" a="1"/>
  <c r="E195" i="8" s="1"/>
  <c r="I196" i="8" a="1"/>
  <c r="I196" i="8" s="1"/>
  <c r="G199" i="8" a="1"/>
  <c r="G199" i="8" s="1"/>
  <c r="F202" i="8" a="1"/>
  <c r="F202" i="8" s="1"/>
  <c r="I203" i="8" a="1"/>
  <c r="I203" i="8" s="1"/>
  <c r="E206" i="8" a="1"/>
  <c r="E206" i="8" s="1"/>
  <c r="H207" i="8" a="1"/>
  <c r="H207" i="8" s="1"/>
  <c r="K208" i="8" a="1"/>
  <c r="K208" i="8" s="1"/>
  <c r="F211" i="8" a="1"/>
  <c r="F211" i="8" s="1"/>
  <c r="I212" i="8" a="1"/>
  <c r="I212" i="8" s="1"/>
  <c r="K213" i="8" a="1"/>
  <c r="K213" i="8" s="1"/>
  <c r="E216" i="8" a="1"/>
  <c r="E216" i="8" s="1"/>
  <c r="G217" i="8" a="1"/>
  <c r="G217" i="8" s="1"/>
  <c r="I218" i="8" a="1"/>
  <c r="I218" i="8" s="1"/>
  <c r="K219" i="8" a="1"/>
  <c r="K219" i="8" s="1"/>
  <c r="E222" i="8" a="1"/>
  <c r="E222" i="8" s="1"/>
  <c r="G223" i="8" a="1"/>
  <c r="G223" i="8" s="1"/>
  <c r="I224" i="8" a="1"/>
  <c r="I224" i="8" s="1"/>
  <c r="K225" i="8" a="1"/>
  <c r="K225" i="8" s="1"/>
  <c r="E228" i="8" a="1"/>
  <c r="E228" i="8" s="1"/>
  <c r="G229" i="8" a="1"/>
  <c r="G229" i="8" s="1"/>
  <c r="I230" i="8" a="1"/>
  <c r="I230" i="8" s="1"/>
  <c r="K231" i="8" a="1"/>
  <c r="K231" i="8" s="1"/>
  <c r="E234" i="8" a="1"/>
  <c r="E234" i="8" s="1"/>
  <c r="G235" i="8" a="1"/>
  <c r="G235" i="8" s="1"/>
  <c r="I236" i="8" a="1"/>
  <c r="I236" i="8" s="1"/>
  <c r="K237" i="8" a="1"/>
  <c r="K237" i="8" s="1"/>
  <c r="E240" i="8" a="1"/>
  <c r="E240" i="8" s="1"/>
  <c r="G241" i="8" a="1"/>
  <c r="G241" i="8" s="1"/>
  <c r="I242" i="8" a="1"/>
  <c r="I242" i="8" s="1"/>
  <c r="K243" i="8" a="1"/>
  <c r="K243" i="8" s="1"/>
  <c r="E246" i="8" a="1"/>
  <c r="E246" i="8" s="1"/>
  <c r="G247" i="8" a="1"/>
  <c r="G247" i="8" s="1"/>
  <c r="I248" i="8" a="1"/>
  <c r="I248" i="8" s="1"/>
  <c r="K249" i="8" a="1"/>
  <c r="K249" i="8" s="1"/>
  <c r="E252" i="8" a="1"/>
  <c r="E252" i="8" s="1"/>
  <c r="G253" i="8" a="1"/>
  <c r="G253" i="8" s="1"/>
  <c r="I254" i="8" a="1"/>
  <c r="I254" i="8" s="1"/>
  <c r="K255" i="8" a="1"/>
  <c r="K255" i="8" s="1"/>
  <c r="E258" i="8" a="1"/>
  <c r="E258" i="8" s="1"/>
  <c r="G259" i="8" a="1"/>
  <c r="G259" i="8" s="1"/>
  <c r="I260" i="8" a="1"/>
  <c r="I260" i="8" s="1"/>
  <c r="K261" i="8" a="1"/>
  <c r="K261" i="8" s="1"/>
  <c r="E264" i="8" a="1"/>
  <c r="E264" i="8" s="1"/>
  <c r="G265" i="8" a="1"/>
  <c r="G265" i="8" s="1"/>
  <c r="I266" i="8" a="1"/>
  <c r="I266" i="8" s="1"/>
  <c r="K267" i="8" a="1"/>
  <c r="K267" i="8" s="1"/>
  <c r="E270" i="8" a="1"/>
  <c r="E270" i="8" s="1"/>
  <c r="G271" i="8" a="1"/>
  <c r="G271" i="8" s="1"/>
  <c r="I272" i="8" a="1"/>
  <c r="I272" i="8" s="1"/>
  <c r="K273" i="8" a="1"/>
  <c r="K273" i="8" s="1"/>
  <c r="E276" i="8" a="1"/>
  <c r="E276" i="8" s="1"/>
  <c r="G277" i="8" a="1"/>
  <c r="G277" i="8" s="1"/>
  <c r="I278" i="8" a="1"/>
  <c r="I278" i="8" s="1"/>
  <c r="K279" i="8" a="1"/>
  <c r="K279" i="8" s="1"/>
  <c r="E282" i="8" a="1"/>
  <c r="E282" i="8" s="1"/>
  <c r="G283" i="8" a="1"/>
  <c r="G283" i="8" s="1"/>
  <c r="I284" i="8" a="1"/>
  <c r="I284" i="8" s="1"/>
  <c r="K285" i="8" a="1"/>
  <c r="K285" i="8" s="1"/>
  <c r="E288" i="8" a="1"/>
  <c r="E288" i="8" s="1"/>
  <c r="G289" i="8" a="1"/>
  <c r="G289" i="8" s="1"/>
  <c r="I290" i="8" a="1"/>
  <c r="I290" i="8" s="1"/>
  <c r="K291" i="8" a="1"/>
  <c r="K291" i="8" s="1"/>
  <c r="E294" i="8" a="1"/>
  <c r="E294" i="8" s="1"/>
  <c r="G295" i="8" a="1"/>
  <c r="G295" i="8" s="1"/>
  <c r="I296" i="8" a="1"/>
  <c r="I296" i="8" s="1"/>
  <c r="K297" i="8" a="1"/>
  <c r="K297" i="8" s="1"/>
  <c r="E300" i="8" a="1"/>
  <c r="E300" i="8" s="1"/>
  <c r="G301" i="8" a="1"/>
  <c r="G301" i="8" s="1"/>
  <c r="I302" i="8" a="1"/>
  <c r="I302" i="8" s="1"/>
  <c r="K303" i="8" a="1"/>
  <c r="K303" i="8" s="1"/>
  <c r="E306" i="8" a="1"/>
  <c r="E306" i="8" s="1"/>
  <c r="G307" i="8" a="1"/>
  <c r="G307" i="8" s="1"/>
  <c r="J309" i="8" a="1"/>
  <c r="J309" i="8" s="1"/>
  <c r="F313" i="8" a="1"/>
  <c r="F313" i="8" s="1"/>
  <c r="H314" i="8" a="1"/>
  <c r="H314" i="8" s="1"/>
  <c r="J315" i="8" a="1"/>
  <c r="J315" i="8" s="1"/>
  <c r="F319" i="8" a="1"/>
  <c r="F319" i="8" s="1"/>
  <c r="H320" i="8" a="1"/>
  <c r="H320" i="8" s="1"/>
  <c r="J321" i="8" a="1"/>
  <c r="J321" i="8" s="1"/>
  <c r="F325" i="8" a="1"/>
  <c r="F325" i="8" s="1"/>
  <c r="H326" i="8" a="1"/>
  <c r="H326" i="8" s="1"/>
  <c r="J327" i="8" a="1"/>
  <c r="J327" i="8" s="1"/>
  <c r="F331" i="8" a="1"/>
  <c r="F331" i="8" s="1"/>
  <c r="H332" i="8" a="1"/>
  <c r="H332" i="8" s="1"/>
  <c r="J333" i="8" a="1"/>
  <c r="J333" i="8" s="1"/>
  <c r="F140" i="8" a="1"/>
  <c r="F140" i="8" s="1"/>
  <c r="I160" i="8" a="1"/>
  <c r="I160" i="8" s="1"/>
  <c r="J165" i="8" a="1"/>
  <c r="J165" i="8" s="1"/>
  <c r="G167" i="8" a="1"/>
  <c r="G167" i="8" s="1"/>
  <c r="I172" i="8" a="1"/>
  <c r="I172" i="8" s="1"/>
  <c r="I174" i="8" a="1"/>
  <c r="I174" i="8" s="1"/>
  <c r="E176" i="8" a="1"/>
  <c r="E176" i="8" s="1"/>
  <c r="I179" i="8" a="1"/>
  <c r="I179" i="8" s="1"/>
  <c r="G184" i="8" a="1"/>
  <c r="G184" i="8" s="1"/>
  <c r="K187" i="8" a="1"/>
  <c r="K187" i="8" s="1"/>
  <c r="G189" i="8" a="1"/>
  <c r="G189" i="8" s="1"/>
  <c r="J190" i="8" a="1"/>
  <c r="J190" i="8" s="1"/>
  <c r="E192" i="8" a="1"/>
  <c r="E192" i="8" s="1"/>
  <c r="K193" i="8" a="1"/>
  <c r="K193" i="8" s="1"/>
  <c r="F195" i="8" a="1"/>
  <c r="F195" i="8" s="1"/>
  <c r="K196" i="8" a="1"/>
  <c r="K196" i="8" s="1"/>
  <c r="J199" i="8" a="1"/>
  <c r="J199" i="8" s="1"/>
  <c r="G202" i="8" a="1"/>
  <c r="G202" i="8" s="1"/>
  <c r="J203" i="8" a="1"/>
  <c r="J203" i="8" s="1"/>
  <c r="F206" i="8" a="1"/>
  <c r="F206" i="8" s="1"/>
  <c r="I207" i="8" a="1"/>
  <c r="I207" i="8" s="1"/>
  <c r="G211" i="8" a="1"/>
  <c r="G211" i="8" s="1"/>
  <c r="J212" i="8" a="1"/>
  <c r="J212" i="8" s="1"/>
  <c r="F216" i="8" a="1"/>
  <c r="F216" i="8" s="1"/>
  <c r="H217" i="8" a="1"/>
  <c r="H217" i="8" s="1"/>
  <c r="J218" i="8" a="1"/>
  <c r="J218" i="8" s="1"/>
  <c r="F222" i="8" a="1"/>
  <c r="F222" i="8" s="1"/>
  <c r="H223" i="8" a="1"/>
  <c r="H223" i="8" s="1"/>
  <c r="J224" i="8" a="1"/>
  <c r="J224" i="8" s="1"/>
  <c r="F228" i="8" a="1"/>
  <c r="F228" i="8" s="1"/>
  <c r="H229" i="8" a="1"/>
  <c r="H229" i="8" s="1"/>
  <c r="J230" i="8" a="1"/>
  <c r="J230" i="8" s="1"/>
  <c r="F234" i="8" a="1"/>
  <c r="F234" i="8" s="1"/>
  <c r="H235" i="8" a="1"/>
  <c r="H235" i="8" s="1"/>
  <c r="J236" i="8" a="1"/>
  <c r="J236" i="8" s="1"/>
  <c r="F240" i="8" a="1"/>
  <c r="F240" i="8" s="1"/>
  <c r="H241" i="8" a="1"/>
  <c r="H241" i="8" s="1"/>
  <c r="J242" i="8" a="1"/>
  <c r="J242" i="8" s="1"/>
  <c r="F246" i="8" a="1"/>
  <c r="F246" i="8" s="1"/>
  <c r="H247" i="8" a="1"/>
  <c r="H247" i="8" s="1"/>
  <c r="J248" i="8" a="1"/>
  <c r="J248" i="8" s="1"/>
  <c r="F252" i="8" a="1"/>
  <c r="F252" i="8" s="1"/>
  <c r="H253" i="8" a="1"/>
  <c r="H253" i="8" s="1"/>
  <c r="J254" i="8" a="1"/>
  <c r="J254" i="8" s="1"/>
  <c r="F258" i="8" a="1"/>
  <c r="F258" i="8" s="1"/>
  <c r="H259" i="8" a="1"/>
  <c r="H259" i="8" s="1"/>
  <c r="J260" i="8" a="1"/>
  <c r="J260" i="8" s="1"/>
  <c r="F264" i="8" a="1"/>
  <c r="F264" i="8" s="1"/>
  <c r="H265" i="8" a="1"/>
  <c r="H265" i="8" s="1"/>
  <c r="J266" i="8" a="1"/>
  <c r="J266" i="8" s="1"/>
  <c r="F270" i="8" a="1"/>
  <c r="F270" i="8" s="1"/>
  <c r="H271" i="8" a="1"/>
  <c r="H271" i="8" s="1"/>
  <c r="J272" i="8" a="1"/>
  <c r="J272" i="8" s="1"/>
  <c r="F276" i="8" a="1"/>
  <c r="F276" i="8" s="1"/>
  <c r="H277" i="8" a="1"/>
  <c r="H277" i="8" s="1"/>
  <c r="J278" i="8" a="1"/>
  <c r="J278" i="8" s="1"/>
  <c r="F282" i="8" a="1"/>
  <c r="F282" i="8" s="1"/>
  <c r="H283" i="8" a="1"/>
  <c r="H283" i="8" s="1"/>
  <c r="J284" i="8" a="1"/>
  <c r="J284" i="8" s="1"/>
  <c r="F288" i="8" a="1"/>
  <c r="F288" i="8" s="1"/>
  <c r="H289" i="8" a="1"/>
  <c r="H289" i="8" s="1"/>
  <c r="J290" i="8" a="1"/>
  <c r="J290" i="8" s="1"/>
  <c r="F294" i="8" a="1"/>
  <c r="F294" i="8" s="1"/>
  <c r="H295" i="8" a="1"/>
  <c r="H295" i="8" s="1"/>
  <c r="J296" i="8" a="1"/>
  <c r="J296" i="8" s="1"/>
  <c r="F300" i="8" a="1"/>
  <c r="F300" i="8" s="1"/>
  <c r="H301" i="8" a="1"/>
  <c r="H301" i="8" s="1"/>
  <c r="J302" i="8" a="1"/>
  <c r="J302" i="8" s="1"/>
  <c r="F306" i="8" a="1"/>
  <c r="F306" i="8" s="1"/>
  <c r="H307" i="8" a="1"/>
  <c r="H307" i="8" s="1"/>
  <c r="I308" i="8" a="1"/>
  <c r="I308" i="8" s="1"/>
  <c r="K309" i="8" a="1"/>
  <c r="K309" i="8" s="1"/>
  <c r="E312" i="8" a="1"/>
  <c r="E312" i="8" s="1"/>
  <c r="G313" i="8" a="1"/>
  <c r="G313" i="8" s="1"/>
  <c r="I314" i="8" a="1"/>
  <c r="I314" i="8" s="1"/>
  <c r="K315" i="8" a="1"/>
  <c r="K315" i="8" s="1"/>
  <c r="E318" i="8" a="1"/>
  <c r="E318" i="8" s="1"/>
  <c r="G319" i="8" a="1"/>
  <c r="G319" i="8" s="1"/>
  <c r="I320" i="8" a="1"/>
  <c r="I320" i="8" s="1"/>
  <c r="K321" i="8" a="1"/>
  <c r="K321" i="8" s="1"/>
  <c r="E324" i="8" a="1"/>
  <c r="E324" i="8" s="1"/>
  <c r="G325" i="8" a="1"/>
  <c r="G325" i="8" s="1"/>
  <c r="I326" i="8" a="1"/>
  <c r="I326" i="8" s="1"/>
  <c r="K327" i="8" a="1"/>
  <c r="K327" i="8" s="1"/>
  <c r="E330" i="8" a="1"/>
  <c r="E330" i="8" s="1"/>
  <c r="G331" i="8" a="1"/>
  <c r="G331" i="8" s="1"/>
  <c r="K165" i="8" a="1"/>
  <c r="K165" i="8" s="1"/>
  <c r="H167" i="8" a="1"/>
  <c r="H167" i="8" s="1"/>
  <c r="E171" i="8" a="1"/>
  <c r="E171" i="8" s="1"/>
  <c r="J174" i="8" a="1"/>
  <c r="J174" i="8" s="1"/>
  <c r="H176" i="8" a="1"/>
  <c r="H176" i="8" s="1"/>
  <c r="J179" i="8" a="1"/>
  <c r="J179" i="8" s="1"/>
  <c r="F181" i="8" a="1"/>
  <c r="F181" i="8" s="1"/>
  <c r="H184" i="8" a="1"/>
  <c r="H184" i="8" s="1"/>
  <c r="E186" i="8" a="1"/>
  <c r="E186" i="8" s="1"/>
  <c r="H189" i="8" a="1"/>
  <c r="H189" i="8" s="1"/>
  <c r="F192" i="8" a="1"/>
  <c r="F192" i="8" s="1"/>
  <c r="G195" i="8" a="1"/>
  <c r="G195" i="8" s="1"/>
  <c r="E198" i="8" a="1"/>
  <c r="E198" i="8" s="1"/>
  <c r="K199" i="8" a="1"/>
  <c r="K199" i="8" s="1"/>
  <c r="E201" i="8" a="1"/>
  <c r="E201" i="8" s="1"/>
  <c r="H202" i="8" a="1"/>
  <c r="H202" i="8" s="1"/>
  <c r="K203" i="8" a="1"/>
  <c r="K203" i="8" s="1"/>
  <c r="G206" i="8" a="1"/>
  <c r="G206" i="8" s="1"/>
  <c r="J207" i="8" a="1"/>
  <c r="J207" i="8" s="1"/>
  <c r="E210" i="8" a="1"/>
  <c r="E210" i="8" s="1"/>
  <c r="I211" i="8" a="1"/>
  <c r="I211" i="8" s="1"/>
  <c r="K212" i="8" a="1"/>
  <c r="K212" i="8" s="1"/>
  <c r="E215" i="8" a="1"/>
  <c r="E215" i="8" s="1"/>
  <c r="G216" i="8" a="1"/>
  <c r="G216" i="8" s="1"/>
  <c r="I217" i="8" a="1"/>
  <c r="I217" i="8" s="1"/>
  <c r="K218" i="8" a="1"/>
  <c r="K218" i="8" s="1"/>
  <c r="E221" i="8" a="1"/>
  <c r="E221" i="8" s="1"/>
  <c r="G222" i="8" a="1"/>
  <c r="G222" i="8" s="1"/>
  <c r="I223" i="8" a="1"/>
  <c r="I223" i="8" s="1"/>
  <c r="K224" i="8" a="1"/>
  <c r="K224" i="8" s="1"/>
  <c r="E227" i="8" a="1"/>
  <c r="E227" i="8" s="1"/>
  <c r="G228" i="8" a="1"/>
  <c r="G228" i="8" s="1"/>
  <c r="I229" i="8" a="1"/>
  <c r="I229" i="8" s="1"/>
  <c r="K230" i="8" a="1"/>
  <c r="K230" i="8" s="1"/>
  <c r="E233" i="8" a="1"/>
  <c r="E233" i="8" s="1"/>
  <c r="G234" i="8" a="1"/>
  <c r="G234" i="8" s="1"/>
  <c r="I235" i="8" a="1"/>
  <c r="I235" i="8" s="1"/>
  <c r="K236" i="8" a="1"/>
  <c r="K236" i="8" s="1"/>
  <c r="E239" i="8" a="1"/>
  <c r="E239" i="8" s="1"/>
  <c r="G240" i="8" a="1"/>
  <c r="G240" i="8" s="1"/>
  <c r="I241" i="8" a="1"/>
  <c r="I241" i="8" s="1"/>
  <c r="K242" i="8" a="1"/>
  <c r="K242" i="8" s="1"/>
  <c r="E245" i="8" a="1"/>
  <c r="E245" i="8" s="1"/>
  <c r="G246" i="8" a="1"/>
  <c r="G246" i="8" s="1"/>
  <c r="I247" i="8" a="1"/>
  <c r="I247" i="8" s="1"/>
  <c r="K248" i="8" a="1"/>
  <c r="K248" i="8" s="1"/>
  <c r="E251" i="8" a="1"/>
  <c r="E251" i="8" s="1"/>
  <c r="G252" i="8" a="1"/>
  <c r="G252" i="8" s="1"/>
  <c r="I253" i="8" a="1"/>
  <c r="I253" i="8" s="1"/>
  <c r="K254" i="8" a="1"/>
  <c r="K254" i="8" s="1"/>
  <c r="E257" i="8" a="1"/>
  <c r="E257" i="8" s="1"/>
  <c r="G258" i="8" a="1"/>
  <c r="G258" i="8" s="1"/>
  <c r="I259" i="8" a="1"/>
  <c r="I259" i="8" s="1"/>
  <c r="K260" i="8" a="1"/>
  <c r="K260" i="8" s="1"/>
  <c r="E263" i="8" a="1"/>
  <c r="E263" i="8" s="1"/>
  <c r="G264" i="8" a="1"/>
  <c r="G264" i="8" s="1"/>
  <c r="I265" i="8" a="1"/>
  <c r="I265" i="8" s="1"/>
  <c r="K266" i="8" a="1"/>
  <c r="K266" i="8" s="1"/>
  <c r="E269" i="8" a="1"/>
  <c r="E269" i="8" s="1"/>
  <c r="G270" i="8" a="1"/>
  <c r="G270" i="8" s="1"/>
  <c r="I271" i="8" a="1"/>
  <c r="I271" i="8" s="1"/>
  <c r="K272" i="8" a="1"/>
  <c r="K272" i="8" s="1"/>
  <c r="E275" i="8" a="1"/>
  <c r="E275" i="8" s="1"/>
  <c r="K262" i="8" a="1"/>
  <c r="K262" i="8" s="1"/>
  <c r="E279" i="8" a="1"/>
  <c r="E279" i="8" s="1"/>
  <c r="G282" i="8" a="1"/>
  <c r="G282" i="8" s="1"/>
  <c r="I287" i="8" a="1"/>
  <c r="I287" i="8" s="1"/>
  <c r="I300" i="8" a="1"/>
  <c r="I300" i="8" s="1"/>
  <c r="G305" i="8" a="1"/>
  <c r="G305" i="8" s="1"/>
  <c r="J308" i="8" a="1"/>
  <c r="J308" i="8" s="1"/>
  <c r="F310" i="8" a="1"/>
  <c r="F310" i="8" s="1"/>
  <c r="H313" i="8" a="1"/>
  <c r="H313" i="8" s="1"/>
  <c r="G316" i="8" a="1"/>
  <c r="G316" i="8" s="1"/>
  <c r="H319" i="8" a="1"/>
  <c r="H319" i="8" s="1"/>
  <c r="G322" i="8" a="1"/>
  <c r="G322" i="8" s="1"/>
  <c r="K323" i="8" a="1"/>
  <c r="K323" i="8" s="1"/>
  <c r="J326" i="8" a="1"/>
  <c r="J326" i="8" s="1"/>
  <c r="G329" i="8" a="1"/>
  <c r="G329" i="8" s="1"/>
  <c r="J330" i="8" a="1"/>
  <c r="J330" i="8" s="1"/>
  <c r="G333" i="8" a="1"/>
  <c r="G333" i="8" s="1"/>
  <c r="J334" i="8" a="1"/>
  <c r="J334" i="8" s="1"/>
  <c r="F338" i="8" a="1"/>
  <c r="F338" i="8" s="1"/>
  <c r="H339" i="8" a="1"/>
  <c r="H339" i="8" s="1"/>
  <c r="J340" i="8" a="1"/>
  <c r="J340" i="8" s="1"/>
  <c r="F344" i="8" a="1"/>
  <c r="F344" i="8" s="1"/>
  <c r="H345" i="8" a="1"/>
  <c r="H345" i="8" s="1"/>
  <c r="J346" i="8" a="1"/>
  <c r="J346" i="8" s="1"/>
  <c r="F350" i="8" a="1"/>
  <c r="F350" i="8" s="1"/>
  <c r="H351" i="8" a="1"/>
  <c r="H351" i="8" s="1"/>
  <c r="J352" i="8" a="1"/>
  <c r="J352" i="8" s="1"/>
  <c r="F356" i="8" a="1"/>
  <c r="F356" i="8" s="1"/>
  <c r="H357" i="8" a="1"/>
  <c r="H357" i="8" s="1"/>
  <c r="J358" i="8" a="1"/>
  <c r="J358" i="8" s="1"/>
  <c r="F362" i="8" a="1"/>
  <c r="F362" i="8" s="1"/>
  <c r="H363" i="8" a="1"/>
  <c r="H363" i="8" s="1"/>
  <c r="J364" i="8" a="1"/>
  <c r="J364" i="8" s="1"/>
  <c r="F368" i="8" a="1"/>
  <c r="F368" i="8" s="1"/>
  <c r="H369" i="8" a="1"/>
  <c r="H369" i="8" s="1"/>
  <c r="J370" i="8" a="1"/>
  <c r="J370" i="8" s="1"/>
  <c r="F374" i="8" a="1"/>
  <c r="F374" i="8" s="1"/>
  <c r="H375" i="8" a="1"/>
  <c r="H375" i="8" s="1"/>
  <c r="J376" i="8" a="1"/>
  <c r="J376" i="8" s="1"/>
  <c r="F380" i="8" a="1"/>
  <c r="F380" i="8" s="1"/>
  <c r="H381" i="8" a="1"/>
  <c r="H381" i="8" s="1"/>
  <c r="J382" i="8" a="1"/>
  <c r="J382" i="8" s="1"/>
  <c r="F386" i="8" a="1"/>
  <c r="F386" i="8" s="1"/>
  <c r="H387" i="8" a="1"/>
  <c r="H387" i="8" s="1"/>
  <c r="J388" i="8" a="1"/>
  <c r="J388" i="8" s="1"/>
  <c r="F392" i="8" a="1"/>
  <c r="F392" i="8" s="1"/>
  <c r="H393" i="8" a="1"/>
  <c r="H393" i="8" s="1"/>
  <c r="J394" i="8" a="1"/>
  <c r="J394" i="8" s="1"/>
  <c r="F398" i="8" a="1"/>
  <c r="F398" i="8" s="1"/>
  <c r="H399" i="8" a="1"/>
  <c r="H399" i="8" s="1"/>
  <c r="K7" i="8" a="1"/>
  <c r="K7" i="8" s="1"/>
  <c r="G9" i="8" a="1"/>
  <c r="G9" i="8" s="1"/>
  <c r="I267" i="8" a="1"/>
  <c r="I267" i="8" s="1"/>
  <c r="G276" i="8" a="1"/>
  <c r="G276" i="8" s="1"/>
  <c r="I279" i="8" a="1"/>
  <c r="I279" i="8" s="1"/>
  <c r="K282" i="8" a="1"/>
  <c r="K282" i="8" s="1"/>
  <c r="E285" i="8" a="1"/>
  <c r="E285" i="8" s="1"/>
  <c r="G290" i="8" a="1"/>
  <c r="G290" i="8" s="1"/>
  <c r="E295" i="8" a="1"/>
  <c r="E295" i="8" s="1"/>
  <c r="E297" i="8" a="1"/>
  <c r="E297" i="8" s="1"/>
  <c r="J300" i="8" a="1"/>
  <c r="J300" i="8" s="1"/>
  <c r="F302" i="8" a="1"/>
  <c r="F302" i="8" s="1"/>
  <c r="H305" i="8" a="1"/>
  <c r="H305" i="8" s="1"/>
  <c r="E307" i="8" a="1"/>
  <c r="E307" i="8" s="1"/>
  <c r="K308" i="8" a="1"/>
  <c r="K308" i="8" s="1"/>
  <c r="I310" i="8" a="1"/>
  <c r="I310" i="8" s="1"/>
  <c r="I313" i="8" a="1"/>
  <c r="I313" i="8" s="1"/>
  <c r="I316" i="8" a="1"/>
  <c r="I316" i="8" s="1"/>
  <c r="I319" i="8" a="1"/>
  <c r="I319" i="8" s="1"/>
  <c r="I322" i="8" a="1"/>
  <c r="I322" i="8" s="1"/>
  <c r="E325" i="8" a="1"/>
  <c r="E325" i="8" s="1"/>
  <c r="K326" i="8" a="1"/>
  <c r="K326" i="8" s="1"/>
  <c r="E328" i="8" a="1"/>
  <c r="E328" i="8" s="1"/>
  <c r="H329" i="8" a="1"/>
  <c r="H329" i="8" s="1"/>
  <c r="K330" i="8" a="1"/>
  <c r="K330" i="8" s="1"/>
  <c r="E332" i="8" a="1"/>
  <c r="E332" i="8" s="1"/>
  <c r="H333" i="8" a="1"/>
  <c r="H333" i="8" s="1"/>
  <c r="K334" i="8" a="1"/>
  <c r="K334" i="8" s="1"/>
  <c r="E337" i="8" a="1"/>
  <c r="E337" i="8" s="1"/>
  <c r="G338" i="8" a="1"/>
  <c r="G338" i="8" s="1"/>
  <c r="I339" i="8" a="1"/>
  <c r="I339" i="8" s="1"/>
  <c r="K340" i="8" a="1"/>
  <c r="K340" i="8" s="1"/>
  <c r="E343" i="8" a="1"/>
  <c r="E343" i="8" s="1"/>
  <c r="G344" i="8" a="1"/>
  <c r="G344" i="8" s="1"/>
  <c r="I345" i="8" a="1"/>
  <c r="I345" i="8" s="1"/>
  <c r="K346" i="8" a="1"/>
  <c r="K346" i="8" s="1"/>
  <c r="E349" i="8" a="1"/>
  <c r="E349" i="8" s="1"/>
  <c r="G350" i="8" a="1"/>
  <c r="G350" i="8" s="1"/>
  <c r="I351" i="8" a="1"/>
  <c r="I351" i="8" s="1"/>
  <c r="K352" i="8" a="1"/>
  <c r="K352" i="8" s="1"/>
  <c r="E355" i="8" a="1"/>
  <c r="E355" i="8" s="1"/>
  <c r="G356" i="8" a="1"/>
  <c r="G356" i="8" s="1"/>
  <c r="I357" i="8" a="1"/>
  <c r="I357" i="8" s="1"/>
  <c r="K358" i="8" a="1"/>
  <c r="K358" i="8" s="1"/>
  <c r="E361" i="8" a="1"/>
  <c r="E361" i="8" s="1"/>
  <c r="G362" i="8" a="1"/>
  <c r="G362" i="8" s="1"/>
  <c r="I363" i="8" a="1"/>
  <c r="I363" i="8" s="1"/>
  <c r="K364" i="8" a="1"/>
  <c r="K364" i="8" s="1"/>
  <c r="E367" i="8" a="1"/>
  <c r="E367" i="8" s="1"/>
  <c r="G368" i="8" a="1"/>
  <c r="G368" i="8" s="1"/>
  <c r="I369" i="8" a="1"/>
  <c r="I369" i="8" s="1"/>
  <c r="K370" i="8" a="1"/>
  <c r="K370" i="8" s="1"/>
  <c r="E373" i="8" a="1"/>
  <c r="E373" i="8" s="1"/>
  <c r="G374" i="8" a="1"/>
  <c r="G374" i="8" s="1"/>
  <c r="I375" i="8" a="1"/>
  <c r="I375" i="8" s="1"/>
  <c r="K376" i="8" a="1"/>
  <c r="K376" i="8" s="1"/>
  <c r="E379" i="8" a="1"/>
  <c r="E379" i="8" s="1"/>
  <c r="G380" i="8" a="1"/>
  <c r="G380" i="8" s="1"/>
  <c r="I381" i="8" a="1"/>
  <c r="I381" i="8" s="1"/>
  <c r="K382" i="8" a="1"/>
  <c r="K382" i="8" s="1"/>
  <c r="E385" i="8" a="1"/>
  <c r="E385" i="8" s="1"/>
  <c r="G386" i="8" a="1"/>
  <c r="G386" i="8" s="1"/>
  <c r="I387" i="8" a="1"/>
  <c r="I387" i="8" s="1"/>
  <c r="K388" i="8" a="1"/>
  <c r="K388" i="8" s="1"/>
  <c r="E391" i="8" a="1"/>
  <c r="E391" i="8" s="1"/>
  <c r="G392" i="8" a="1"/>
  <c r="G392" i="8" s="1"/>
  <c r="I393" i="8" a="1"/>
  <c r="I393" i="8" s="1"/>
  <c r="K394" i="8" a="1"/>
  <c r="K394" i="8" s="1"/>
  <c r="E397" i="8" a="1"/>
  <c r="E397" i="8" s="1"/>
  <c r="G398" i="8" a="1"/>
  <c r="G398" i="8" s="1"/>
  <c r="I399" i="8" a="1"/>
  <c r="I399" i="8" s="1"/>
  <c r="H9" i="8" a="1"/>
  <c r="H9" i="8" s="1"/>
  <c r="G272" i="8" a="1"/>
  <c r="G272" i="8" s="1"/>
  <c r="I285" i="8" a="1"/>
  <c r="I285" i="8" s="1"/>
  <c r="K290" i="8" a="1"/>
  <c r="K290" i="8" s="1"/>
  <c r="E293" i="8" a="1"/>
  <c r="E293" i="8" s="1"/>
  <c r="I295" i="8" a="1"/>
  <c r="I295" i="8" s="1"/>
  <c r="I297" i="8" a="1"/>
  <c r="I297" i="8" s="1"/>
  <c r="E299" i="8" a="1"/>
  <c r="E299" i="8" s="1"/>
  <c r="K300" i="8" a="1"/>
  <c r="K300" i="8" s="1"/>
  <c r="G302" i="8" a="1"/>
  <c r="G302" i="8" s="1"/>
  <c r="E304" i="8" a="1"/>
  <c r="E304" i="8" s="1"/>
  <c r="I305" i="8" a="1"/>
  <c r="I305" i="8" s="1"/>
  <c r="F307" i="8" a="1"/>
  <c r="F307" i="8" s="1"/>
  <c r="J310" i="8" a="1"/>
  <c r="J310" i="8" s="1"/>
  <c r="J313" i="8" a="1"/>
  <c r="J313" i="8" s="1"/>
  <c r="J316" i="8" a="1"/>
  <c r="J316" i="8" s="1"/>
  <c r="J319" i="8" a="1"/>
  <c r="J319" i="8" s="1"/>
  <c r="J322" i="8" a="1"/>
  <c r="J322" i="8" s="1"/>
  <c r="H325" i="8" a="1"/>
  <c r="H325" i="8" s="1"/>
  <c r="F328" i="8" a="1"/>
  <c r="F328" i="8" s="1"/>
  <c r="I329" i="8" a="1"/>
  <c r="I329" i="8" s="1"/>
  <c r="F332" i="8" a="1"/>
  <c r="F332" i="8" s="1"/>
  <c r="I333" i="8" a="1"/>
  <c r="I333" i="8" s="1"/>
  <c r="F337" i="8" a="1"/>
  <c r="F337" i="8" s="1"/>
  <c r="H338" i="8" a="1"/>
  <c r="H338" i="8" s="1"/>
  <c r="J339" i="8" a="1"/>
  <c r="J339" i="8" s="1"/>
  <c r="F343" i="8" a="1"/>
  <c r="F343" i="8" s="1"/>
  <c r="H344" i="8" a="1"/>
  <c r="H344" i="8" s="1"/>
  <c r="J345" i="8" a="1"/>
  <c r="J345" i="8" s="1"/>
  <c r="F349" i="8" a="1"/>
  <c r="F349" i="8" s="1"/>
  <c r="H350" i="8" a="1"/>
  <c r="H350" i="8" s="1"/>
  <c r="J351" i="8" a="1"/>
  <c r="J351" i="8" s="1"/>
  <c r="F355" i="8" a="1"/>
  <c r="F355" i="8" s="1"/>
  <c r="H356" i="8" a="1"/>
  <c r="H356" i="8" s="1"/>
  <c r="J357" i="8" a="1"/>
  <c r="J357" i="8" s="1"/>
  <c r="F361" i="8" a="1"/>
  <c r="F361" i="8" s="1"/>
  <c r="H362" i="8" a="1"/>
  <c r="H362" i="8" s="1"/>
  <c r="J363" i="8" a="1"/>
  <c r="J363" i="8" s="1"/>
  <c r="F367" i="8" a="1"/>
  <c r="F367" i="8" s="1"/>
  <c r="H368" i="8" a="1"/>
  <c r="H368" i="8" s="1"/>
  <c r="J369" i="8" a="1"/>
  <c r="J369" i="8" s="1"/>
  <c r="F373" i="8" a="1"/>
  <c r="F373" i="8" s="1"/>
  <c r="H374" i="8" a="1"/>
  <c r="H374" i="8" s="1"/>
  <c r="J375" i="8" a="1"/>
  <c r="J375" i="8" s="1"/>
  <c r="F379" i="8" a="1"/>
  <c r="F379" i="8" s="1"/>
  <c r="H380" i="8" a="1"/>
  <c r="H380" i="8" s="1"/>
  <c r="J381" i="8" a="1"/>
  <c r="J381" i="8" s="1"/>
  <c r="F385" i="8" a="1"/>
  <c r="F385" i="8" s="1"/>
  <c r="H386" i="8" a="1"/>
  <c r="H386" i="8" s="1"/>
  <c r="J387" i="8" a="1"/>
  <c r="J387" i="8" s="1"/>
  <c r="F391" i="8" a="1"/>
  <c r="F391" i="8" s="1"/>
  <c r="H392" i="8" a="1"/>
  <c r="H392" i="8" s="1"/>
  <c r="J393" i="8" a="1"/>
  <c r="J393" i="8" s="1"/>
  <c r="F397" i="8" a="1"/>
  <c r="F397" i="8" s="1"/>
  <c r="H398" i="8" a="1"/>
  <c r="H398" i="8" s="1"/>
  <c r="J399" i="8" a="1"/>
  <c r="J399" i="8" s="1"/>
  <c r="E8" i="8" a="1"/>
  <c r="E8" i="8" s="1"/>
  <c r="I9" i="8" a="1"/>
  <c r="I9" i="8" s="1"/>
  <c r="E259" i="8" a="1"/>
  <c r="E259" i="8" s="1"/>
  <c r="G288" i="8" a="1"/>
  <c r="G288" i="8" s="1"/>
  <c r="G293" i="8" a="1"/>
  <c r="G293" i="8" s="1"/>
  <c r="J295" i="8" a="1"/>
  <c r="J295" i="8" s="1"/>
  <c r="J297" i="8" a="1"/>
  <c r="J297" i="8" s="1"/>
  <c r="F299" i="8" a="1"/>
  <c r="F299" i="8" s="1"/>
  <c r="H302" i="8" a="1"/>
  <c r="H302" i="8" s="1"/>
  <c r="F304" i="8" a="1"/>
  <c r="F304" i="8" s="1"/>
  <c r="I307" i="8" a="1"/>
  <c r="I307" i="8" s="1"/>
  <c r="K310" i="8" a="1"/>
  <c r="K310" i="8" s="1"/>
  <c r="F312" i="8" a="1"/>
  <c r="F312" i="8" s="1"/>
  <c r="K313" i="8" a="1"/>
  <c r="K313" i="8" s="1"/>
  <c r="E315" i="8" a="1"/>
  <c r="E315" i="8" s="1"/>
  <c r="K316" i="8" a="1"/>
  <c r="K316" i="8" s="1"/>
  <c r="F318" i="8" a="1"/>
  <c r="F318" i="8" s="1"/>
  <c r="K319" i="8" a="1"/>
  <c r="K319" i="8" s="1"/>
  <c r="E321" i="8" a="1"/>
  <c r="E321" i="8" s="1"/>
  <c r="K322" i="8" a="1"/>
  <c r="K322" i="8" s="1"/>
  <c r="I325" i="8" a="1"/>
  <c r="I325" i="8" s="1"/>
  <c r="G328" i="8" a="1"/>
  <c r="G328" i="8" s="1"/>
  <c r="J329" i="8" a="1"/>
  <c r="J329" i="8" s="1"/>
  <c r="G332" i="8" a="1"/>
  <c r="G332" i="8" s="1"/>
  <c r="K333" i="8" a="1"/>
  <c r="K333" i="8" s="1"/>
  <c r="E336" i="8" a="1"/>
  <c r="E336" i="8" s="1"/>
  <c r="G337" i="8" a="1"/>
  <c r="G337" i="8" s="1"/>
  <c r="I338" i="8" a="1"/>
  <c r="I338" i="8" s="1"/>
  <c r="K339" i="8" a="1"/>
  <c r="K339" i="8" s="1"/>
  <c r="E342" i="8" a="1"/>
  <c r="E342" i="8" s="1"/>
  <c r="G343" i="8" a="1"/>
  <c r="G343" i="8" s="1"/>
  <c r="I344" i="8" a="1"/>
  <c r="I344" i="8" s="1"/>
  <c r="K345" i="8" a="1"/>
  <c r="K345" i="8" s="1"/>
  <c r="E348" i="8" a="1"/>
  <c r="E348" i="8" s="1"/>
  <c r="G349" i="8" a="1"/>
  <c r="G349" i="8" s="1"/>
  <c r="I350" i="8" a="1"/>
  <c r="I350" i="8" s="1"/>
  <c r="K351" i="8" a="1"/>
  <c r="K351" i="8" s="1"/>
  <c r="E354" i="8" a="1"/>
  <c r="E354" i="8" s="1"/>
  <c r="G355" i="8" a="1"/>
  <c r="G355" i="8" s="1"/>
  <c r="I356" i="8" a="1"/>
  <c r="I356" i="8" s="1"/>
  <c r="K357" i="8" a="1"/>
  <c r="K357" i="8" s="1"/>
  <c r="E360" i="8" a="1"/>
  <c r="E360" i="8" s="1"/>
  <c r="G361" i="8" a="1"/>
  <c r="G361" i="8" s="1"/>
  <c r="I362" i="8" a="1"/>
  <c r="I362" i="8" s="1"/>
  <c r="K363" i="8" a="1"/>
  <c r="K363" i="8" s="1"/>
  <c r="E366" i="8" a="1"/>
  <c r="E366" i="8" s="1"/>
  <c r="G367" i="8" a="1"/>
  <c r="G367" i="8" s="1"/>
  <c r="I368" i="8" a="1"/>
  <c r="I368" i="8" s="1"/>
  <c r="K369" i="8" a="1"/>
  <c r="K369" i="8" s="1"/>
  <c r="E372" i="8" a="1"/>
  <c r="E372" i="8" s="1"/>
  <c r="G373" i="8" a="1"/>
  <c r="G373" i="8" s="1"/>
  <c r="I374" i="8" a="1"/>
  <c r="I374" i="8" s="1"/>
  <c r="K375" i="8" a="1"/>
  <c r="K375" i="8" s="1"/>
  <c r="E378" i="8" a="1"/>
  <c r="E378" i="8" s="1"/>
  <c r="G379" i="8" a="1"/>
  <c r="G379" i="8" s="1"/>
  <c r="I380" i="8" a="1"/>
  <c r="I380" i="8" s="1"/>
  <c r="K381" i="8" a="1"/>
  <c r="K381" i="8" s="1"/>
  <c r="E384" i="8" a="1"/>
  <c r="E384" i="8" s="1"/>
  <c r="G385" i="8" a="1"/>
  <c r="G385" i="8" s="1"/>
  <c r="I386" i="8" a="1"/>
  <c r="I386" i="8" s="1"/>
  <c r="K387" i="8" a="1"/>
  <c r="K387" i="8" s="1"/>
  <c r="E390" i="8" a="1"/>
  <c r="E390" i="8" s="1"/>
  <c r="G391" i="8" a="1"/>
  <c r="G391" i="8" s="1"/>
  <c r="I392" i="8" a="1"/>
  <c r="I392" i="8" s="1"/>
  <c r="K393" i="8" a="1"/>
  <c r="K393" i="8" s="1"/>
  <c r="E396" i="8" a="1"/>
  <c r="E396" i="8" s="1"/>
  <c r="G397" i="8" a="1"/>
  <c r="G397" i="8" s="1"/>
  <c r="I398" i="8" a="1"/>
  <c r="I398" i="8" s="1"/>
  <c r="K399" i="8" a="1"/>
  <c r="K399" i="8" s="1"/>
  <c r="F8" i="8" a="1"/>
  <c r="F8" i="8" s="1"/>
  <c r="J9" i="8" a="1"/>
  <c r="J9" i="8" s="1"/>
  <c r="K268" i="8" a="1"/>
  <c r="K268" i="8" s="1"/>
  <c r="E277" i="8" a="1"/>
  <c r="E277" i="8" s="1"/>
  <c r="G280" i="8" a="1"/>
  <c r="G280" i="8" s="1"/>
  <c r="E283" i="8" a="1"/>
  <c r="E283" i="8" s="1"/>
  <c r="I288" i="8" a="1"/>
  <c r="I288" i="8" s="1"/>
  <c r="I293" i="8" a="1"/>
  <c r="I293" i="8" s="1"/>
  <c r="K295" i="8" a="1"/>
  <c r="K295" i="8" s="1"/>
  <c r="G299" i="8" a="1"/>
  <c r="G299" i="8" s="1"/>
  <c r="K302" i="8" a="1"/>
  <c r="K302" i="8" s="1"/>
  <c r="G304" i="8" a="1"/>
  <c r="G304" i="8" s="1"/>
  <c r="J307" i="8" a="1"/>
  <c r="J307" i="8" s="1"/>
  <c r="G312" i="8" a="1"/>
  <c r="G312" i="8" s="1"/>
  <c r="G315" i="8" a="1"/>
  <c r="G315" i="8" s="1"/>
  <c r="G318" i="8" a="1"/>
  <c r="G318" i="8" s="1"/>
  <c r="G321" i="8" a="1"/>
  <c r="G321" i="8" s="1"/>
  <c r="F324" i="8" a="1"/>
  <c r="F324" i="8" s="1"/>
  <c r="J325" i="8" a="1"/>
  <c r="J325" i="8" s="1"/>
  <c r="H328" i="8" a="1"/>
  <c r="H328" i="8" s="1"/>
  <c r="K329" i="8" a="1"/>
  <c r="K329" i="8" s="1"/>
  <c r="I332" i="8" a="1"/>
  <c r="I332" i="8" s="1"/>
  <c r="F336" i="8" a="1"/>
  <c r="F336" i="8" s="1"/>
  <c r="H337" i="8" a="1"/>
  <c r="H337" i="8" s="1"/>
  <c r="J338" i="8" a="1"/>
  <c r="J338" i="8" s="1"/>
  <c r="F342" i="8" a="1"/>
  <c r="F342" i="8" s="1"/>
  <c r="H343" i="8" a="1"/>
  <c r="H343" i="8" s="1"/>
  <c r="J344" i="8" a="1"/>
  <c r="J344" i="8" s="1"/>
  <c r="F348" i="8" a="1"/>
  <c r="F348" i="8" s="1"/>
  <c r="H349" i="8" a="1"/>
  <c r="H349" i="8" s="1"/>
  <c r="J350" i="8" a="1"/>
  <c r="J350" i="8" s="1"/>
  <c r="F354" i="8" a="1"/>
  <c r="F354" i="8" s="1"/>
  <c r="H355" i="8" a="1"/>
  <c r="H355" i="8" s="1"/>
  <c r="J356" i="8" a="1"/>
  <c r="J356" i="8" s="1"/>
  <c r="F360" i="8" a="1"/>
  <c r="F360" i="8" s="1"/>
  <c r="H361" i="8" a="1"/>
  <c r="H361" i="8" s="1"/>
  <c r="J362" i="8" a="1"/>
  <c r="J362" i="8" s="1"/>
  <c r="F366" i="8" a="1"/>
  <c r="F366" i="8" s="1"/>
  <c r="H367" i="8" a="1"/>
  <c r="H367" i="8" s="1"/>
  <c r="J368" i="8" a="1"/>
  <c r="J368" i="8" s="1"/>
  <c r="F372" i="8" a="1"/>
  <c r="F372" i="8" s="1"/>
  <c r="H373" i="8" a="1"/>
  <c r="H373" i="8" s="1"/>
  <c r="J374" i="8" a="1"/>
  <c r="J374" i="8" s="1"/>
  <c r="F378" i="8" a="1"/>
  <c r="F378" i="8" s="1"/>
  <c r="H379" i="8" a="1"/>
  <c r="H379" i="8" s="1"/>
  <c r="J380" i="8" a="1"/>
  <c r="J380" i="8" s="1"/>
  <c r="F384" i="8" a="1"/>
  <c r="F384" i="8" s="1"/>
  <c r="H385" i="8" a="1"/>
  <c r="H385" i="8" s="1"/>
  <c r="J386" i="8" a="1"/>
  <c r="J386" i="8" s="1"/>
  <c r="F390" i="8" a="1"/>
  <c r="F390" i="8" s="1"/>
  <c r="H391" i="8" a="1"/>
  <c r="H391" i="8" s="1"/>
  <c r="J392" i="8" a="1"/>
  <c r="J392" i="8" s="1"/>
  <c r="F396" i="8" a="1"/>
  <c r="F396" i="8" s="1"/>
  <c r="H397" i="8" a="1"/>
  <c r="H397" i="8" s="1"/>
  <c r="J398" i="8" a="1"/>
  <c r="J398" i="8" s="1"/>
  <c r="G8" i="8" a="1"/>
  <c r="G8" i="8" s="1"/>
  <c r="K9" i="8" a="1"/>
  <c r="K9" i="8" s="1"/>
  <c r="H8" i="7" a="1"/>
  <c r="H8" i="7" s="1"/>
  <c r="F11" i="7" a="1"/>
  <c r="F11" i="7" s="1"/>
  <c r="I12" i="7" a="1"/>
  <c r="I12" i="7" s="1"/>
  <c r="F15" i="7" a="1"/>
  <c r="F15" i="7" s="1"/>
  <c r="I16" i="7" a="1"/>
  <c r="I16" i="7" s="1"/>
  <c r="F19" i="7" a="1"/>
  <c r="F19" i="7" s="1"/>
  <c r="I20" i="7" a="1"/>
  <c r="I20" i="7" s="1"/>
  <c r="F23" i="7" a="1"/>
  <c r="F23" i="7" s="1"/>
  <c r="I24" i="7" a="1"/>
  <c r="I24" i="7" s="1"/>
  <c r="F27" i="7" a="1"/>
  <c r="F27" i="7" s="1"/>
  <c r="I28" i="7" a="1"/>
  <c r="I28" i="7" s="1"/>
  <c r="I255" i="8" a="1"/>
  <c r="I255" i="8" s="1"/>
  <c r="I273" i="8" a="1"/>
  <c r="I273" i="8" s="1"/>
  <c r="I277" i="8" a="1"/>
  <c r="I277" i="8" s="1"/>
  <c r="K280" i="8" a="1"/>
  <c r="K280" i="8" s="1"/>
  <c r="I283" i="8" a="1"/>
  <c r="I283" i="8" s="1"/>
  <c r="E286" i="8" a="1"/>
  <c r="E286" i="8" s="1"/>
  <c r="K288" i="8" a="1"/>
  <c r="K288" i="8" s="1"/>
  <c r="E291" i="8" a="1"/>
  <c r="E291" i="8" s="1"/>
  <c r="H299" i="8" a="1"/>
  <c r="H299" i="8" s="1"/>
  <c r="E301" i="8" a="1"/>
  <c r="E301" i="8" s="1"/>
  <c r="J304" i="8" a="1"/>
  <c r="J304" i="8" s="1"/>
  <c r="K307" i="8" a="1"/>
  <c r="K307" i="8" s="1"/>
  <c r="G309" i="8" a="1"/>
  <c r="G309" i="8" s="1"/>
  <c r="H312" i="8" a="1"/>
  <c r="H312" i="8" s="1"/>
  <c r="H315" i="8" a="1"/>
  <c r="H315" i="8" s="1"/>
  <c r="H318" i="8" a="1"/>
  <c r="H318" i="8" s="1"/>
  <c r="H321" i="8" a="1"/>
  <c r="H321" i="8" s="1"/>
  <c r="G324" i="8" a="1"/>
  <c r="G324" i="8" s="1"/>
  <c r="K325" i="8" a="1"/>
  <c r="K325" i="8" s="1"/>
  <c r="E327" i="8" a="1"/>
  <c r="E327" i="8" s="1"/>
  <c r="I328" i="8" a="1"/>
  <c r="I328" i="8" s="1"/>
  <c r="E331" i="8" a="1"/>
  <c r="E331" i="8" s="1"/>
  <c r="J332" i="8" a="1"/>
  <c r="J332" i="8" s="1"/>
  <c r="E335" i="8" a="1"/>
  <c r="E335" i="8" s="1"/>
  <c r="G336" i="8" a="1"/>
  <c r="G336" i="8" s="1"/>
  <c r="I337" i="8" a="1"/>
  <c r="I337" i="8" s="1"/>
  <c r="K338" i="8" a="1"/>
  <c r="K338" i="8" s="1"/>
  <c r="E341" i="8" a="1"/>
  <c r="E341" i="8" s="1"/>
  <c r="G342" i="8" a="1"/>
  <c r="G342" i="8" s="1"/>
  <c r="I343" i="8" a="1"/>
  <c r="I343" i="8" s="1"/>
  <c r="K344" i="8" a="1"/>
  <c r="K344" i="8" s="1"/>
  <c r="E347" i="8" a="1"/>
  <c r="E347" i="8" s="1"/>
  <c r="G348" i="8" a="1"/>
  <c r="G348" i="8" s="1"/>
  <c r="I349" i="8" a="1"/>
  <c r="I349" i="8" s="1"/>
  <c r="K350" i="8" a="1"/>
  <c r="K350" i="8" s="1"/>
  <c r="E353" i="8" a="1"/>
  <c r="E353" i="8" s="1"/>
  <c r="G354" i="8" a="1"/>
  <c r="G354" i="8" s="1"/>
  <c r="I355" i="8" a="1"/>
  <c r="I355" i="8" s="1"/>
  <c r="K356" i="8" a="1"/>
  <c r="K356" i="8" s="1"/>
  <c r="E359" i="8" a="1"/>
  <c r="E359" i="8" s="1"/>
  <c r="G360" i="8" a="1"/>
  <c r="G360" i="8" s="1"/>
  <c r="I361" i="8" a="1"/>
  <c r="I361" i="8" s="1"/>
  <c r="K362" i="8" a="1"/>
  <c r="K362" i="8" s="1"/>
  <c r="E365" i="8" a="1"/>
  <c r="E365" i="8" s="1"/>
  <c r="G366" i="8" a="1"/>
  <c r="G366" i="8" s="1"/>
  <c r="I367" i="8" a="1"/>
  <c r="I367" i="8" s="1"/>
  <c r="K368" i="8" a="1"/>
  <c r="K368" i="8" s="1"/>
  <c r="E371" i="8" a="1"/>
  <c r="E371" i="8" s="1"/>
  <c r="G372" i="8" a="1"/>
  <c r="G372" i="8" s="1"/>
  <c r="I373" i="8" a="1"/>
  <c r="I373" i="8" s="1"/>
  <c r="K374" i="8" a="1"/>
  <c r="K374" i="8" s="1"/>
  <c r="E377" i="8" a="1"/>
  <c r="E377" i="8" s="1"/>
  <c r="G378" i="8" a="1"/>
  <c r="G378" i="8" s="1"/>
  <c r="I379" i="8" a="1"/>
  <c r="I379" i="8" s="1"/>
  <c r="K380" i="8" a="1"/>
  <c r="K380" i="8" s="1"/>
  <c r="E383" i="8" a="1"/>
  <c r="E383" i="8" s="1"/>
  <c r="G384" i="8" a="1"/>
  <c r="G384" i="8" s="1"/>
  <c r="I385" i="8" a="1"/>
  <c r="I385" i="8" s="1"/>
  <c r="K386" i="8" a="1"/>
  <c r="K386" i="8" s="1"/>
  <c r="E389" i="8" a="1"/>
  <c r="E389" i="8" s="1"/>
  <c r="G390" i="8" a="1"/>
  <c r="G390" i="8" s="1"/>
  <c r="I391" i="8" a="1"/>
  <c r="I391" i="8" s="1"/>
  <c r="K392" i="8" a="1"/>
  <c r="K392" i="8" s="1"/>
  <c r="E395" i="8" a="1"/>
  <c r="E395" i="8" s="1"/>
  <c r="G396" i="8" a="1"/>
  <c r="G396" i="8" s="1"/>
  <c r="I397" i="8" a="1"/>
  <c r="I397" i="8" s="1"/>
  <c r="K398" i="8" a="1"/>
  <c r="K398" i="8" s="1"/>
  <c r="H8" i="8" a="1"/>
  <c r="H8" i="8" s="1"/>
  <c r="I8" i="7" a="1"/>
  <c r="I8" i="7" s="1"/>
  <c r="D10" i="7" a="1"/>
  <c r="D10" i="7" s="1"/>
  <c r="G11" i="7" a="1"/>
  <c r="G11" i="7" s="1"/>
  <c r="J12" i="7" a="1"/>
  <c r="J12" i="7" s="1"/>
  <c r="D14" i="7" a="1"/>
  <c r="D14" i="7" s="1"/>
  <c r="G15" i="7" a="1"/>
  <c r="G15" i="7" s="1"/>
  <c r="J16" i="7" a="1"/>
  <c r="J16" i="7" s="1"/>
  <c r="D18" i="7" a="1"/>
  <c r="D18" i="7" s="1"/>
  <c r="G19" i="7" a="1"/>
  <c r="G19" i="7" s="1"/>
  <c r="J20" i="7" a="1"/>
  <c r="J20" i="7" s="1"/>
  <c r="D22" i="7" a="1"/>
  <c r="D22" i="7" s="1"/>
  <c r="G23" i="7" a="1"/>
  <c r="G23" i="7" s="1"/>
  <c r="J24" i="7" a="1"/>
  <c r="J24" i="7" s="1"/>
  <c r="D26" i="7" a="1"/>
  <c r="D26" i="7" s="1"/>
  <c r="G260" i="8" a="1"/>
  <c r="G260" i="8" s="1"/>
  <c r="K283" i="8" a="1"/>
  <c r="K283" i="8" s="1"/>
  <c r="G286" i="8" a="1"/>
  <c r="G286" i="8" s="1"/>
  <c r="I291" i="8" a="1"/>
  <c r="I291" i="8" s="1"/>
  <c r="E298" i="8" a="1"/>
  <c r="E298" i="8" s="1"/>
  <c r="I299" i="8" a="1"/>
  <c r="I299" i="8" s="1"/>
  <c r="F301" i="8" a="1"/>
  <c r="F301" i="8" s="1"/>
  <c r="K304" i="8" a="1"/>
  <c r="K304" i="8" s="1"/>
  <c r="G306" i="8" a="1"/>
  <c r="G306" i="8" s="1"/>
  <c r="H309" i="8" a="1"/>
  <c r="H309" i="8" s="1"/>
  <c r="E311" i="8" a="1"/>
  <c r="E311" i="8" s="1"/>
  <c r="I312" i="8" a="1"/>
  <c r="I312" i="8" s="1"/>
  <c r="I315" i="8" a="1"/>
  <c r="I315" i="8" s="1"/>
  <c r="E317" i="8" a="1"/>
  <c r="E317" i="8" s="1"/>
  <c r="I318" i="8" a="1"/>
  <c r="I318" i="8" s="1"/>
  <c r="I321" i="8" a="1"/>
  <c r="I321" i="8" s="1"/>
  <c r="E323" i="8" a="1"/>
  <c r="E323" i="8" s="1"/>
  <c r="H324" i="8" a="1"/>
  <c r="H324" i="8" s="1"/>
  <c r="F327" i="8" a="1"/>
  <c r="F327" i="8" s="1"/>
  <c r="J328" i="8" a="1"/>
  <c r="J328" i="8" s="1"/>
  <c r="H331" i="8" a="1"/>
  <c r="H331" i="8" s="1"/>
  <c r="K332" i="8" a="1"/>
  <c r="K332" i="8" s="1"/>
  <c r="F335" i="8" a="1"/>
  <c r="F335" i="8" s="1"/>
  <c r="H336" i="8" a="1"/>
  <c r="H336" i="8" s="1"/>
  <c r="J337" i="8" a="1"/>
  <c r="J337" i="8" s="1"/>
  <c r="F341" i="8" a="1"/>
  <c r="F341" i="8" s="1"/>
  <c r="H342" i="8" a="1"/>
  <c r="H342" i="8" s="1"/>
  <c r="J343" i="8" a="1"/>
  <c r="J343" i="8" s="1"/>
  <c r="F347" i="8" a="1"/>
  <c r="F347" i="8" s="1"/>
  <c r="H348" i="8" a="1"/>
  <c r="H348" i="8" s="1"/>
  <c r="J349" i="8" a="1"/>
  <c r="J349" i="8" s="1"/>
  <c r="F353" i="8" a="1"/>
  <c r="F353" i="8" s="1"/>
  <c r="H354" i="8" a="1"/>
  <c r="H354" i="8" s="1"/>
  <c r="J355" i="8" a="1"/>
  <c r="J355" i="8" s="1"/>
  <c r="F359" i="8" a="1"/>
  <c r="F359" i="8" s="1"/>
  <c r="H360" i="8" a="1"/>
  <c r="H360" i="8" s="1"/>
  <c r="J361" i="8" a="1"/>
  <c r="J361" i="8" s="1"/>
  <c r="F365" i="8" a="1"/>
  <c r="F365" i="8" s="1"/>
  <c r="H366" i="8" a="1"/>
  <c r="H366" i="8" s="1"/>
  <c r="J367" i="8" a="1"/>
  <c r="J367" i="8" s="1"/>
  <c r="F371" i="8" a="1"/>
  <c r="F371" i="8" s="1"/>
  <c r="H372" i="8" a="1"/>
  <c r="H372" i="8" s="1"/>
  <c r="J373" i="8" a="1"/>
  <c r="J373" i="8" s="1"/>
  <c r="F377" i="8" a="1"/>
  <c r="F377" i="8" s="1"/>
  <c r="H378" i="8" a="1"/>
  <c r="H378" i="8" s="1"/>
  <c r="J379" i="8" a="1"/>
  <c r="J379" i="8" s="1"/>
  <c r="F383" i="8" a="1"/>
  <c r="F383" i="8" s="1"/>
  <c r="H384" i="8" a="1"/>
  <c r="H384" i="8" s="1"/>
  <c r="J385" i="8" a="1"/>
  <c r="J385" i="8" s="1"/>
  <c r="F389" i="8" a="1"/>
  <c r="F389" i="8" s="1"/>
  <c r="H390" i="8" a="1"/>
  <c r="H390" i="8" s="1"/>
  <c r="J391" i="8" a="1"/>
  <c r="J391" i="8" s="1"/>
  <c r="F395" i="8" a="1"/>
  <c r="F395" i="8" s="1"/>
  <c r="H396" i="8" a="1"/>
  <c r="H396" i="8" s="1"/>
  <c r="J397" i="8" a="1"/>
  <c r="J397" i="8" s="1"/>
  <c r="E7" i="8" a="1"/>
  <c r="E7" i="8" s="1"/>
  <c r="I8" i="8" a="1"/>
  <c r="I8" i="8" s="1"/>
  <c r="E265" i="8" a="1"/>
  <c r="E265" i="8" s="1"/>
  <c r="K286" i="8" a="1"/>
  <c r="K286" i="8" s="1"/>
  <c r="G294" i="8" a="1"/>
  <c r="G294" i="8" s="1"/>
  <c r="G296" i="8" a="1"/>
  <c r="G296" i="8" s="1"/>
  <c r="F298" i="8" a="1"/>
  <c r="F298" i="8" s="1"/>
  <c r="I301" i="8" a="1"/>
  <c r="I301" i="8" s="1"/>
  <c r="H306" i="8" a="1"/>
  <c r="H306" i="8" s="1"/>
  <c r="I309" i="8" a="1"/>
  <c r="I309" i="8" s="1"/>
  <c r="F311" i="8" a="1"/>
  <c r="F311" i="8" s="1"/>
  <c r="J312" i="8" a="1"/>
  <c r="J312" i="8" s="1"/>
  <c r="E314" i="8" a="1"/>
  <c r="E314" i="8" s="1"/>
  <c r="F317" i="8" a="1"/>
  <c r="F317" i="8" s="1"/>
  <c r="J318" i="8" a="1"/>
  <c r="J318" i="8" s="1"/>
  <c r="E320" i="8" a="1"/>
  <c r="E320" i="8" s="1"/>
  <c r="F323" i="8" a="1"/>
  <c r="F323" i="8" s="1"/>
  <c r="I324" i="8" a="1"/>
  <c r="I324" i="8" s="1"/>
  <c r="G327" i="8" a="1"/>
  <c r="G327" i="8" s="1"/>
  <c r="K328" i="8" a="1"/>
  <c r="K328" i="8" s="1"/>
  <c r="I331" i="8" a="1"/>
  <c r="I331" i="8" s="1"/>
  <c r="E334" i="8" a="1"/>
  <c r="E334" i="8" s="1"/>
  <c r="G335" i="8" a="1"/>
  <c r="G335" i="8" s="1"/>
  <c r="I336" i="8" a="1"/>
  <c r="I336" i="8" s="1"/>
  <c r="K337" i="8" a="1"/>
  <c r="K337" i="8" s="1"/>
  <c r="E340" i="8" a="1"/>
  <c r="E340" i="8" s="1"/>
  <c r="G341" i="8" a="1"/>
  <c r="G341" i="8" s="1"/>
  <c r="I342" i="8" a="1"/>
  <c r="I342" i="8" s="1"/>
  <c r="K343" i="8" a="1"/>
  <c r="K343" i="8" s="1"/>
  <c r="E346" i="8" a="1"/>
  <c r="E346" i="8" s="1"/>
  <c r="G347" i="8" a="1"/>
  <c r="G347" i="8" s="1"/>
  <c r="I348" i="8" a="1"/>
  <c r="I348" i="8" s="1"/>
  <c r="K349" i="8" a="1"/>
  <c r="K349" i="8" s="1"/>
  <c r="E352" i="8" a="1"/>
  <c r="E352" i="8" s="1"/>
  <c r="G353" i="8" a="1"/>
  <c r="G353" i="8" s="1"/>
  <c r="I354" i="8" a="1"/>
  <c r="I354" i="8" s="1"/>
  <c r="K355" i="8" a="1"/>
  <c r="K355" i="8" s="1"/>
  <c r="E358" i="8" a="1"/>
  <c r="E358" i="8" s="1"/>
  <c r="G359" i="8" a="1"/>
  <c r="G359" i="8" s="1"/>
  <c r="I360" i="8" a="1"/>
  <c r="I360" i="8" s="1"/>
  <c r="K361" i="8" a="1"/>
  <c r="K361" i="8" s="1"/>
  <c r="E364" i="8" a="1"/>
  <c r="E364" i="8" s="1"/>
  <c r="G365" i="8" a="1"/>
  <c r="G365" i="8" s="1"/>
  <c r="I366" i="8" a="1"/>
  <c r="I366" i="8" s="1"/>
  <c r="K367" i="8" a="1"/>
  <c r="K367" i="8" s="1"/>
  <c r="E370" i="8" a="1"/>
  <c r="E370" i="8" s="1"/>
  <c r="G371" i="8" a="1"/>
  <c r="G371" i="8" s="1"/>
  <c r="I372" i="8" a="1"/>
  <c r="I372" i="8" s="1"/>
  <c r="K373" i="8" a="1"/>
  <c r="K373" i="8" s="1"/>
  <c r="E376" i="8" a="1"/>
  <c r="E376" i="8" s="1"/>
  <c r="G377" i="8" a="1"/>
  <c r="G377" i="8" s="1"/>
  <c r="I378" i="8" a="1"/>
  <c r="I378" i="8" s="1"/>
  <c r="K379" i="8" a="1"/>
  <c r="K379" i="8" s="1"/>
  <c r="E382" i="8" a="1"/>
  <c r="E382" i="8" s="1"/>
  <c r="G383" i="8" a="1"/>
  <c r="G383" i="8" s="1"/>
  <c r="I384" i="8" a="1"/>
  <c r="I384" i="8" s="1"/>
  <c r="K385" i="8" a="1"/>
  <c r="K385" i="8" s="1"/>
  <c r="E388" i="8" a="1"/>
  <c r="E388" i="8" s="1"/>
  <c r="G389" i="8" a="1"/>
  <c r="G389" i="8" s="1"/>
  <c r="I390" i="8" a="1"/>
  <c r="I390" i="8" s="1"/>
  <c r="K391" i="8" a="1"/>
  <c r="K391" i="8" s="1"/>
  <c r="E394" i="8" a="1"/>
  <c r="E394" i="8" s="1"/>
  <c r="G395" i="8" a="1"/>
  <c r="G395" i="8" s="1"/>
  <c r="I396" i="8" a="1"/>
  <c r="I396" i="8" s="1"/>
  <c r="K397" i="8" a="1"/>
  <c r="K397" i="8" s="1"/>
  <c r="F7" i="8" a="1"/>
  <c r="F7" i="8" s="1"/>
  <c r="J8" i="8" a="1"/>
  <c r="J8" i="8" s="1"/>
  <c r="K256" i="8" a="1"/>
  <c r="K256" i="8" s="1"/>
  <c r="K274" i="8" a="1"/>
  <c r="K274" i="8" s="1"/>
  <c r="G278" i="8" a="1"/>
  <c r="G278" i="8" s="1"/>
  <c r="E281" i="8" a="1"/>
  <c r="E281" i="8" s="1"/>
  <c r="E289" i="8" a="1"/>
  <c r="E289" i="8" s="1"/>
  <c r="H294" i="8" a="1"/>
  <c r="H294" i="8" s="1"/>
  <c r="H296" i="8" a="1"/>
  <c r="H296" i="8" s="1"/>
  <c r="G298" i="8" a="1"/>
  <c r="G298" i="8" s="1"/>
  <c r="J301" i="8" a="1"/>
  <c r="J301" i="8" s="1"/>
  <c r="E303" i="8" a="1"/>
  <c r="E303" i="8" s="1"/>
  <c r="I306" i="8" a="1"/>
  <c r="I306" i="8" s="1"/>
  <c r="G311" i="8" a="1"/>
  <c r="G311" i="8" s="1"/>
  <c r="K312" i="8" a="1"/>
  <c r="K312" i="8" s="1"/>
  <c r="F314" i="8" a="1"/>
  <c r="F314" i="8" s="1"/>
  <c r="G317" i="8" a="1"/>
  <c r="G317" i="8" s="1"/>
  <c r="K318" i="8" a="1"/>
  <c r="K318" i="8" s="1"/>
  <c r="F320" i="8" a="1"/>
  <c r="F320" i="8" s="1"/>
  <c r="G323" i="8" a="1"/>
  <c r="G323" i="8" s="1"/>
  <c r="J324" i="8" a="1"/>
  <c r="J324" i="8" s="1"/>
  <c r="H327" i="8" a="1"/>
  <c r="H327" i="8" s="1"/>
  <c r="F330" i="8" a="1"/>
  <c r="F330" i="8" s="1"/>
  <c r="J331" i="8" a="1"/>
  <c r="J331" i="8" s="1"/>
  <c r="F334" i="8" a="1"/>
  <c r="F334" i="8" s="1"/>
  <c r="H335" i="8" a="1"/>
  <c r="H335" i="8" s="1"/>
  <c r="J336" i="8" a="1"/>
  <c r="J336" i="8" s="1"/>
  <c r="F340" i="8" a="1"/>
  <c r="F340" i="8" s="1"/>
  <c r="H341" i="8" a="1"/>
  <c r="H341" i="8" s="1"/>
  <c r="J342" i="8" a="1"/>
  <c r="J342" i="8" s="1"/>
  <c r="F346" i="8" a="1"/>
  <c r="F346" i="8" s="1"/>
  <c r="H347" i="8" a="1"/>
  <c r="H347" i="8" s="1"/>
  <c r="J348" i="8" a="1"/>
  <c r="J348" i="8" s="1"/>
  <c r="F352" i="8" a="1"/>
  <c r="F352" i="8" s="1"/>
  <c r="H353" i="8" a="1"/>
  <c r="H353" i="8" s="1"/>
  <c r="J354" i="8" a="1"/>
  <c r="J354" i="8" s="1"/>
  <c r="F358" i="8" a="1"/>
  <c r="F358" i="8" s="1"/>
  <c r="H359" i="8" a="1"/>
  <c r="H359" i="8" s="1"/>
  <c r="J360" i="8" a="1"/>
  <c r="J360" i="8" s="1"/>
  <c r="F364" i="8" a="1"/>
  <c r="F364" i="8" s="1"/>
  <c r="H365" i="8" a="1"/>
  <c r="H365" i="8" s="1"/>
  <c r="J366" i="8" a="1"/>
  <c r="J366" i="8" s="1"/>
  <c r="F370" i="8" a="1"/>
  <c r="F370" i="8" s="1"/>
  <c r="H371" i="8" a="1"/>
  <c r="H371" i="8" s="1"/>
  <c r="J372" i="8" a="1"/>
  <c r="J372" i="8" s="1"/>
  <c r="F376" i="8" a="1"/>
  <c r="F376" i="8" s="1"/>
  <c r="H377" i="8" a="1"/>
  <c r="H377" i="8" s="1"/>
  <c r="J378" i="8" a="1"/>
  <c r="J378" i="8" s="1"/>
  <c r="F382" i="8" a="1"/>
  <c r="F382" i="8" s="1"/>
  <c r="H383" i="8" a="1"/>
  <c r="H383" i="8" s="1"/>
  <c r="J384" i="8" a="1"/>
  <c r="J384" i="8" s="1"/>
  <c r="F388" i="8" a="1"/>
  <c r="F388" i="8" s="1"/>
  <c r="H389" i="8" a="1"/>
  <c r="H389" i="8" s="1"/>
  <c r="J390" i="8" a="1"/>
  <c r="J390" i="8" s="1"/>
  <c r="F394" i="8" a="1"/>
  <c r="F394" i="8" s="1"/>
  <c r="H395" i="8" a="1"/>
  <c r="H395" i="8" s="1"/>
  <c r="J396" i="8" a="1"/>
  <c r="J396" i="8" s="1"/>
  <c r="G7" i="8" a="1"/>
  <c r="G7" i="8" s="1"/>
  <c r="K8" i="8" a="1"/>
  <c r="K8" i="8" s="1"/>
  <c r="I261" i="8" a="1"/>
  <c r="I261" i="8" s="1"/>
  <c r="K278" i="8" a="1"/>
  <c r="K278" i="8" s="1"/>
  <c r="I281" i="8" a="1"/>
  <c r="I281" i="8" s="1"/>
  <c r="G284" i="8" a="1"/>
  <c r="G284" i="8" s="1"/>
  <c r="I289" i="8" a="1"/>
  <c r="I289" i="8" s="1"/>
  <c r="E292" i="8" a="1"/>
  <c r="E292" i="8" s="1"/>
  <c r="I294" i="8" a="1"/>
  <c r="I294" i="8" s="1"/>
  <c r="K296" i="8" a="1"/>
  <c r="K296" i="8" s="1"/>
  <c r="J298" i="8" a="1"/>
  <c r="J298" i="8" s="1"/>
  <c r="K301" i="8" a="1"/>
  <c r="K301" i="8" s="1"/>
  <c r="H303" i="8" a="1"/>
  <c r="H303" i="8" s="1"/>
  <c r="J306" i="8" a="1"/>
  <c r="J306" i="8" s="1"/>
  <c r="F308" i="8" a="1"/>
  <c r="F308" i="8" s="1"/>
  <c r="H311" i="8" a="1"/>
  <c r="H311" i="8" s="1"/>
  <c r="G314" i="8" a="1"/>
  <c r="G314" i="8" s="1"/>
  <c r="H317" i="8" a="1"/>
  <c r="H317" i="8" s="1"/>
  <c r="G320" i="8" a="1"/>
  <c r="G320" i="8" s="1"/>
  <c r="H323" i="8" a="1"/>
  <c r="H323" i="8" s="1"/>
  <c r="K324" i="8" a="1"/>
  <c r="K324" i="8" s="1"/>
  <c r="E326" i="8" a="1"/>
  <c r="E326" i="8" s="1"/>
  <c r="I327" i="8" a="1"/>
  <c r="I327" i="8" s="1"/>
  <c r="G330" i="8" a="1"/>
  <c r="G330" i="8" s="1"/>
  <c r="K331" i="8" a="1"/>
  <c r="K331" i="8" s="1"/>
  <c r="G334" i="8" a="1"/>
  <c r="G334" i="8" s="1"/>
  <c r="I335" i="8" a="1"/>
  <c r="I335" i="8" s="1"/>
  <c r="K336" i="8" a="1"/>
  <c r="K336" i="8" s="1"/>
  <c r="E339" i="8" a="1"/>
  <c r="E339" i="8" s="1"/>
  <c r="G340" i="8" a="1"/>
  <c r="G340" i="8" s="1"/>
  <c r="I341" i="8" a="1"/>
  <c r="I341" i="8" s="1"/>
  <c r="K342" i="8" a="1"/>
  <c r="K342" i="8" s="1"/>
  <c r="E345" i="8" a="1"/>
  <c r="E345" i="8" s="1"/>
  <c r="G346" i="8" a="1"/>
  <c r="G346" i="8" s="1"/>
  <c r="I347" i="8" a="1"/>
  <c r="I347" i="8" s="1"/>
  <c r="K348" i="8" a="1"/>
  <c r="K348" i="8" s="1"/>
  <c r="E351" i="8" a="1"/>
  <c r="E351" i="8" s="1"/>
  <c r="G352" i="8" a="1"/>
  <c r="G352" i="8" s="1"/>
  <c r="I353" i="8" a="1"/>
  <c r="I353" i="8" s="1"/>
  <c r="K354" i="8" a="1"/>
  <c r="K354" i="8" s="1"/>
  <c r="E357" i="8" a="1"/>
  <c r="E357" i="8" s="1"/>
  <c r="G358" i="8" a="1"/>
  <c r="G358" i="8" s="1"/>
  <c r="I359" i="8" a="1"/>
  <c r="I359" i="8" s="1"/>
  <c r="K360" i="8" a="1"/>
  <c r="K360" i="8" s="1"/>
  <c r="E363" i="8" a="1"/>
  <c r="E363" i="8" s="1"/>
  <c r="G364" i="8" a="1"/>
  <c r="G364" i="8" s="1"/>
  <c r="I365" i="8" a="1"/>
  <c r="I365" i="8" s="1"/>
  <c r="K366" i="8" a="1"/>
  <c r="K366" i="8" s="1"/>
  <c r="E369" i="8" a="1"/>
  <c r="E369" i="8" s="1"/>
  <c r="G370" i="8" a="1"/>
  <c r="G370" i="8" s="1"/>
  <c r="I371" i="8" a="1"/>
  <c r="I371" i="8" s="1"/>
  <c r="K372" i="8" a="1"/>
  <c r="K372" i="8" s="1"/>
  <c r="E375" i="8" a="1"/>
  <c r="E375" i="8" s="1"/>
  <c r="G376" i="8" a="1"/>
  <c r="G376" i="8" s="1"/>
  <c r="I377" i="8" a="1"/>
  <c r="I377" i="8" s="1"/>
  <c r="K378" i="8" a="1"/>
  <c r="K378" i="8" s="1"/>
  <c r="E381" i="8" a="1"/>
  <c r="E381" i="8" s="1"/>
  <c r="G382" i="8" a="1"/>
  <c r="G382" i="8" s="1"/>
  <c r="I383" i="8" a="1"/>
  <c r="I383" i="8" s="1"/>
  <c r="K384" i="8" a="1"/>
  <c r="K384" i="8" s="1"/>
  <c r="E387" i="8" a="1"/>
  <c r="E387" i="8" s="1"/>
  <c r="G388" i="8" a="1"/>
  <c r="G388" i="8" s="1"/>
  <c r="I389" i="8" a="1"/>
  <c r="I389" i="8" s="1"/>
  <c r="K390" i="8" a="1"/>
  <c r="K390" i="8" s="1"/>
  <c r="E393" i="8" a="1"/>
  <c r="E393" i="8" s="1"/>
  <c r="G394" i="8" a="1"/>
  <c r="G394" i="8" s="1"/>
  <c r="I395" i="8" a="1"/>
  <c r="I395" i="8" s="1"/>
  <c r="K396" i="8" a="1"/>
  <c r="K396" i="8" s="1"/>
  <c r="E399" i="8" a="1"/>
  <c r="E399" i="8" s="1"/>
  <c r="H7" i="8" a="1"/>
  <c r="H7" i="8" s="1"/>
  <c r="E9" i="7" a="1"/>
  <c r="E9" i="7" s="1"/>
  <c r="H10" i="7" a="1"/>
  <c r="H10" i="7" s="1"/>
  <c r="K11" i="7" a="1"/>
  <c r="K11" i="7" s="1"/>
  <c r="E13" i="7" a="1"/>
  <c r="E13" i="7" s="1"/>
  <c r="H14" i="7" a="1"/>
  <c r="H14" i="7" s="1"/>
  <c r="K15" i="7" a="1"/>
  <c r="K15" i="7" s="1"/>
  <c r="E17" i="7" a="1"/>
  <c r="E17" i="7" s="1"/>
  <c r="H18" i="7" a="1"/>
  <c r="H18" i="7" s="1"/>
  <c r="K19" i="7" a="1"/>
  <c r="K19" i="7" s="1"/>
  <c r="E21" i="7" a="1"/>
  <c r="E21" i="7" s="1"/>
  <c r="H22" i="7" a="1"/>
  <c r="H22" i="7" s="1"/>
  <c r="K23" i="7" a="1"/>
  <c r="K23" i="7" s="1"/>
  <c r="E25" i="7" a="1"/>
  <c r="E25" i="7" s="1"/>
  <c r="H26" i="7" a="1"/>
  <c r="H26" i="7" s="1"/>
  <c r="K27" i="7" a="1"/>
  <c r="K27" i="7" s="1"/>
  <c r="E29" i="7" a="1"/>
  <c r="E29" i="7" s="1"/>
  <c r="H30" i="7" a="1"/>
  <c r="H30" i="7" s="1"/>
  <c r="K31" i="7" a="1"/>
  <c r="K31" i="7" s="1"/>
  <c r="E33" i="7" a="1"/>
  <c r="E33" i="7" s="1"/>
  <c r="H34" i="7" a="1"/>
  <c r="H34" i="7" s="1"/>
  <c r="K35" i="7" a="1"/>
  <c r="K35" i="7" s="1"/>
  <c r="E37" i="7" a="1"/>
  <c r="E37" i="7" s="1"/>
  <c r="H38" i="7" a="1"/>
  <c r="H38" i="7" s="1"/>
  <c r="K39" i="7" a="1"/>
  <c r="K39" i="7" s="1"/>
  <c r="G266" i="8" a="1"/>
  <c r="G266" i="8" s="1"/>
  <c r="K284" i="8" a="1"/>
  <c r="K284" i="8" s="1"/>
  <c r="E287" i="8" a="1"/>
  <c r="E287" i="8" s="1"/>
  <c r="K289" i="8" a="1"/>
  <c r="K289" i="8" s="1"/>
  <c r="G292" i="8" a="1"/>
  <c r="G292" i="8" s="1"/>
  <c r="K294" i="8" a="1"/>
  <c r="K294" i="8" s="1"/>
  <c r="K298" i="8" a="1"/>
  <c r="K298" i="8" s="1"/>
  <c r="G300" i="8" a="1"/>
  <c r="G300" i="8" s="1"/>
  <c r="I303" i="8" a="1"/>
  <c r="I303" i="8" s="1"/>
  <c r="E305" i="8" a="1"/>
  <c r="E305" i="8" s="1"/>
  <c r="K306" i="8" a="1"/>
  <c r="K306" i="8" s="1"/>
  <c r="G308" i="8" a="1"/>
  <c r="G308" i="8" s="1"/>
  <c r="I311" i="8" a="1"/>
  <c r="I311" i="8" s="1"/>
  <c r="J314" i="8" a="1"/>
  <c r="J314" i="8" s="1"/>
  <c r="E316" i="8" a="1"/>
  <c r="E316" i="8" s="1"/>
  <c r="I317" i="8" a="1"/>
  <c r="I317" i="8" s="1"/>
  <c r="J320" i="8" a="1"/>
  <c r="J320" i="8" s="1"/>
  <c r="E322" i="8" a="1"/>
  <c r="E322" i="8" s="1"/>
  <c r="I323" i="8" a="1"/>
  <c r="I323" i="8" s="1"/>
  <c r="F326" i="8" a="1"/>
  <c r="F326" i="8" s="1"/>
  <c r="E329" i="8" a="1"/>
  <c r="E329" i="8" s="1"/>
  <c r="H330" i="8" a="1"/>
  <c r="H330" i="8" s="1"/>
  <c r="E333" i="8" a="1"/>
  <c r="E333" i="8" s="1"/>
  <c r="H334" i="8" a="1"/>
  <c r="H334" i="8" s="1"/>
  <c r="J335" i="8" a="1"/>
  <c r="J335" i="8" s="1"/>
  <c r="F339" i="8" a="1"/>
  <c r="F339" i="8" s="1"/>
  <c r="H340" i="8" a="1"/>
  <c r="H340" i="8" s="1"/>
  <c r="J341" i="8" a="1"/>
  <c r="J341" i="8" s="1"/>
  <c r="F345" i="8" a="1"/>
  <c r="F345" i="8" s="1"/>
  <c r="H346" i="8" a="1"/>
  <c r="H346" i="8" s="1"/>
  <c r="J347" i="8" a="1"/>
  <c r="J347" i="8" s="1"/>
  <c r="F351" i="8" a="1"/>
  <c r="F351" i="8" s="1"/>
  <c r="H352" i="8" a="1"/>
  <c r="H352" i="8" s="1"/>
  <c r="J353" i="8" a="1"/>
  <c r="J353" i="8" s="1"/>
  <c r="F357" i="8" a="1"/>
  <c r="F357" i="8" s="1"/>
  <c r="H358" i="8" a="1"/>
  <c r="H358" i="8" s="1"/>
  <c r="J359" i="8" a="1"/>
  <c r="J359" i="8" s="1"/>
  <c r="F363" i="8" a="1"/>
  <c r="F363" i="8" s="1"/>
  <c r="H364" i="8" a="1"/>
  <c r="H364" i="8" s="1"/>
  <c r="J365" i="8" a="1"/>
  <c r="J365" i="8" s="1"/>
  <c r="F369" i="8" a="1"/>
  <c r="F369" i="8" s="1"/>
  <c r="H370" i="8" a="1"/>
  <c r="H370" i="8" s="1"/>
  <c r="J371" i="8" a="1"/>
  <c r="J371" i="8" s="1"/>
  <c r="F375" i="8" a="1"/>
  <c r="F375" i="8" s="1"/>
  <c r="H376" i="8" a="1"/>
  <c r="H376" i="8" s="1"/>
  <c r="J377" i="8" a="1"/>
  <c r="J377" i="8" s="1"/>
  <c r="F381" i="8" a="1"/>
  <c r="F381" i="8" s="1"/>
  <c r="H382" i="8" a="1"/>
  <c r="H382" i="8" s="1"/>
  <c r="J383" i="8" a="1"/>
  <c r="J383" i="8" s="1"/>
  <c r="F387" i="8" a="1"/>
  <c r="F387" i="8" s="1"/>
  <c r="H388" i="8" a="1"/>
  <c r="H388" i="8" s="1"/>
  <c r="J389" i="8" a="1"/>
  <c r="J389" i="8" s="1"/>
  <c r="F393" i="8" a="1"/>
  <c r="F393" i="8" s="1"/>
  <c r="H394" i="8" a="1"/>
  <c r="H394" i="8" s="1"/>
  <c r="J395" i="8" a="1"/>
  <c r="J395" i="8" s="1"/>
  <c r="F399" i="8" a="1"/>
  <c r="F399" i="8" s="1"/>
  <c r="I7" i="8" a="1"/>
  <c r="I7" i="8" s="1"/>
  <c r="E9" i="8" a="1"/>
  <c r="E9" i="8" s="1"/>
  <c r="F9" i="7" a="1"/>
  <c r="F9" i="7" s="1"/>
  <c r="I10" i="7" a="1"/>
  <c r="I10" i="7" s="1"/>
  <c r="F13" i="7" a="1"/>
  <c r="F13" i="7" s="1"/>
  <c r="I14" i="7" a="1"/>
  <c r="I14" i="7" s="1"/>
  <c r="F17" i="7" a="1"/>
  <c r="F17" i="7" s="1"/>
  <c r="E271" i="8" a="1"/>
  <c r="E271" i="8" s="1"/>
  <c r="G287" i="8" a="1"/>
  <c r="G287" i="8" s="1"/>
  <c r="K292" i="8" a="1"/>
  <c r="K292" i="8" s="1"/>
  <c r="H300" i="8" a="1"/>
  <c r="H300" i="8" s="1"/>
  <c r="J303" i="8" a="1"/>
  <c r="J303" i="8" s="1"/>
  <c r="F305" i="8" a="1"/>
  <c r="F305" i="8" s="1"/>
  <c r="H308" i="8" a="1"/>
  <c r="H308" i="8" s="1"/>
  <c r="E310" i="8" a="1"/>
  <c r="E310" i="8" s="1"/>
  <c r="K311" i="8" a="1"/>
  <c r="K311" i="8" s="1"/>
  <c r="E313" i="8" a="1"/>
  <c r="E313" i="8" s="1"/>
  <c r="K314" i="8" a="1"/>
  <c r="K314" i="8" s="1"/>
  <c r="F316" i="8" a="1"/>
  <c r="F316" i="8" s="1"/>
  <c r="K317" i="8" a="1"/>
  <c r="K317" i="8" s="1"/>
  <c r="E319" i="8" a="1"/>
  <c r="E319" i="8" s="1"/>
  <c r="K320" i="8" a="1"/>
  <c r="K320" i="8" s="1"/>
  <c r="F322" i="8" a="1"/>
  <c r="F322" i="8" s="1"/>
  <c r="J323" i="8" a="1"/>
  <c r="J323" i="8" s="1"/>
  <c r="G326" i="8" a="1"/>
  <c r="G326" i="8" s="1"/>
  <c r="F329" i="8" a="1"/>
  <c r="F329" i="8" s="1"/>
  <c r="I330" i="8" a="1"/>
  <c r="I330" i="8" s="1"/>
  <c r="F333" i="8" a="1"/>
  <c r="F333" i="8" s="1"/>
  <c r="I334" i="8" a="1"/>
  <c r="I334" i="8" s="1"/>
  <c r="K335" i="8" a="1"/>
  <c r="K335" i="8" s="1"/>
  <c r="E338" i="8" a="1"/>
  <c r="E338" i="8" s="1"/>
  <c r="G339" i="8" a="1"/>
  <c r="G339" i="8" s="1"/>
  <c r="I340" i="8" a="1"/>
  <c r="I340" i="8" s="1"/>
  <c r="K341" i="8" a="1"/>
  <c r="K341" i="8" s="1"/>
  <c r="E344" i="8" a="1"/>
  <c r="E344" i="8" s="1"/>
  <c r="G345" i="8" a="1"/>
  <c r="G345" i="8" s="1"/>
  <c r="I346" i="8" a="1"/>
  <c r="I346" i="8" s="1"/>
  <c r="K347" i="8" a="1"/>
  <c r="K347" i="8" s="1"/>
  <c r="E350" i="8" a="1"/>
  <c r="E350" i="8" s="1"/>
  <c r="G351" i="8" a="1"/>
  <c r="G351" i="8" s="1"/>
  <c r="I352" i="8" a="1"/>
  <c r="I352" i="8" s="1"/>
  <c r="K353" i="8" a="1"/>
  <c r="K353" i="8" s="1"/>
  <c r="E356" i="8" a="1"/>
  <c r="E356" i="8" s="1"/>
  <c r="G357" i="8" a="1"/>
  <c r="G357" i="8" s="1"/>
  <c r="I358" i="8" a="1"/>
  <c r="I358" i="8" s="1"/>
  <c r="K359" i="8" a="1"/>
  <c r="K359" i="8" s="1"/>
  <c r="E362" i="8" a="1"/>
  <c r="E362" i="8" s="1"/>
  <c r="G363" i="8" a="1"/>
  <c r="G363" i="8" s="1"/>
  <c r="I364" i="8" a="1"/>
  <c r="I364" i="8" s="1"/>
  <c r="K365" i="8" a="1"/>
  <c r="K365" i="8" s="1"/>
  <c r="E368" i="8" a="1"/>
  <c r="E368" i="8" s="1"/>
  <c r="G369" i="8" a="1"/>
  <c r="G369" i="8" s="1"/>
  <c r="I370" i="8" a="1"/>
  <c r="I370" i="8" s="1"/>
  <c r="K371" i="8" a="1"/>
  <c r="K371" i="8" s="1"/>
  <c r="E374" i="8" a="1"/>
  <c r="E374" i="8" s="1"/>
  <c r="G375" i="8" a="1"/>
  <c r="G375" i="8" s="1"/>
  <c r="I376" i="8" a="1"/>
  <c r="I376" i="8" s="1"/>
  <c r="K377" i="8" a="1"/>
  <c r="K377" i="8" s="1"/>
  <c r="E380" i="8" a="1"/>
  <c r="E380" i="8" s="1"/>
  <c r="G381" i="8" a="1"/>
  <c r="G381" i="8" s="1"/>
  <c r="I382" i="8" a="1"/>
  <c r="I382" i="8" s="1"/>
  <c r="K383" i="8" a="1"/>
  <c r="K383" i="8" s="1"/>
  <c r="E386" i="8" a="1"/>
  <c r="E386" i="8" s="1"/>
  <c r="G387" i="8" a="1"/>
  <c r="G387" i="8" s="1"/>
  <c r="I388" i="8" a="1"/>
  <c r="I388" i="8" s="1"/>
  <c r="K389" i="8" a="1"/>
  <c r="K389" i="8" s="1"/>
  <c r="E392" i="8" a="1"/>
  <c r="E392" i="8" s="1"/>
  <c r="G393" i="8" a="1"/>
  <c r="G393" i="8" s="1"/>
  <c r="I394" i="8" a="1"/>
  <c r="I394" i="8" s="1"/>
  <c r="K395" i="8" a="1"/>
  <c r="K395" i="8" s="1"/>
  <c r="E398" i="8" a="1"/>
  <c r="E398" i="8" s="1"/>
  <c r="G399" i="8" a="1"/>
  <c r="G399" i="8" s="1"/>
  <c r="J7" i="8" a="1"/>
  <c r="J7" i="8" s="1"/>
  <c r="F9" i="8" a="1"/>
  <c r="F9" i="8" s="1"/>
  <c r="I9" i="7" a="1"/>
  <c r="I9" i="7" s="1"/>
  <c r="H11" i="7" a="1"/>
  <c r="H11" i="7" s="1"/>
  <c r="G13" i="7" a="1"/>
  <c r="G13" i="7" s="1"/>
  <c r="D15" i="7" a="1"/>
  <c r="D15" i="7" s="1"/>
  <c r="J18" i="7" a="1"/>
  <c r="J18" i="7" s="1"/>
  <c r="G20" i="7" a="1"/>
  <c r="G20" i="7" s="1"/>
  <c r="E22" i="7" a="1"/>
  <c r="E22" i="7" s="1"/>
  <c r="I25" i="7" a="1"/>
  <c r="I25" i="7" s="1"/>
  <c r="E27" i="7" a="1"/>
  <c r="E27" i="7" s="1"/>
  <c r="K28" i="7" a="1"/>
  <c r="K28" i="7" s="1"/>
  <c r="F30" i="7" a="1"/>
  <c r="F30" i="7" s="1"/>
  <c r="J31" i="7" a="1"/>
  <c r="J31" i="7" s="1"/>
  <c r="F33" i="7" a="1"/>
  <c r="F33" i="7" s="1"/>
  <c r="J34" i="7" a="1"/>
  <c r="J34" i="7" s="1"/>
  <c r="E36" i="7" a="1"/>
  <c r="E36" i="7" s="1"/>
  <c r="I37" i="7" a="1"/>
  <c r="I37" i="7" s="1"/>
  <c r="D39" i="7" a="1"/>
  <c r="D39" i="7" s="1"/>
  <c r="H40" i="7" a="1"/>
  <c r="H40" i="7" s="1"/>
  <c r="K41" i="7" a="1"/>
  <c r="K41" i="7" s="1"/>
  <c r="E43" i="7" a="1"/>
  <c r="E43" i="7" s="1"/>
  <c r="H44" i="7" a="1"/>
  <c r="H44" i="7" s="1"/>
  <c r="K45" i="7" a="1"/>
  <c r="K45" i="7" s="1"/>
  <c r="E47" i="7" a="1"/>
  <c r="E47" i="7" s="1"/>
  <c r="H48" i="7" a="1"/>
  <c r="H48" i="7" s="1"/>
  <c r="K49" i="7" a="1"/>
  <c r="K49" i="7" s="1"/>
  <c r="E51" i="7" a="1"/>
  <c r="E51" i="7" s="1"/>
  <c r="H52" i="7" a="1"/>
  <c r="H52" i="7" s="1"/>
  <c r="K53" i="7" a="1"/>
  <c r="K53" i="7" s="1"/>
  <c r="E55" i="7" a="1"/>
  <c r="E55" i="7" s="1"/>
  <c r="H56" i="7" a="1"/>
  <c r="H56" i="7" s="1"/>
  <c r="K57" i="7" a="1"/>
  <c r="K57" i="7" s="1"/>
  <c r="E59" i="7" a="1"/>
  <c r="E59" i="7" s="1"/>
  <c r="H60" i="7" a="1"/>
  <c r="H60" i="7" s="1"/>
  <c r="K61" i="7" a="1"/>
  <c r="K61" i="7" s="1"/>
  <c r="E63" i="7" a="1"/>
  <c r="E63" i="7" s="1"/>
  <c r="H64" i="7" a="1"/>
  <c r="H64" i="7" s="1"/>
  <c r="K65" i="7" a="1"/>
  <c r="K65" i="7" s="1"/>
  <c r="E67" i="7" a="1"/>
  <c r="E67" i="7" s="1"/>
  <c r="H68" i="7" a="1"/>
  <c r="H68" i="7" s="1"/>
  <c r="K69" i="7" a="1"/>
  <c r="K69" i="7" s="1"/>
  <c r="E71" i="7" a="1"/>
  <c r="E71" i="7" s="1"/>
  <c r="H72" i="7" a="1"/>
  <c r="H72" i="7" s="1"/>
  <c r="K73" i="7" a="1"/>
  <c r="K73" i="7" s="1"/>
  <c r="E75" i="7" a="1"/>
  <c r="E75" i="7" s="1"/>
  <c r="H76" i="7" a="1"/>
  <c r="H76" i="7" s="1"/>
  <c r="K77" i="7" a="1"/>
  <c r="K77" i="7" s="1"/>
  <c r="E79" i="7" a="1"/>
  <c r="E79" i="7" s="1"/>
  <c r="H80" i="7" a="1"/>
  <c r="H80" i="7" s="1"/>
  <c r="K81" i="7" a="1"/>
  <c r="K81" i="7" s="1"/>
  <c r="E83" i="7" a="1"/>
  <c r="E83" i="7" s="1"/>
  <c r="H84" i="7" a="1"/>
  <c r="H84" i="7" s="1"/>
  <c r="K85" i="7" a="1"/>
  <c r="K85" i="7" s="1"/>
  <c r="E87" i="7" a="1"/>
  <c r="E87" i="7" s="1"/>
  <c r="H88" i="7" a="1"/>
  <c r="H88" i="7" s="1"/>
  <c r="K89" i="7" a="1"/>
  <c r="K89" i="7" s="1"/>
  <c r="E91" i="7" a="1"/>
  <c r="E91" i="7" s="1"/>
  <c r="H92" i="7" a="1"/>
  <c r="H92" i="7" s="1"/>
  <c r="K93" i="7" a="1"/>
  <c r="K93" i="7" s="1"/>
  <c r="E95" i="7" a="1"/>
  <c r="E95" i="7" s="1"/>
  <c r="H96" i="7" a="1"/>
  <c r="H96" i="7" s="1"/>
  <c r="K97" i="7" a="1"/>
  <c r="K97" i="7" s="1"/>
  <c r="E99" i="7" a="1"/>
  <c r="E99" i="7" s="1"/>
  <c r="H100" i="7" a="1"/>
  <c r="H100" i="7" s="1"/>
  <c r="K101" i="7" a="1"/>
  <c r="K101" i="7" s="1"/>
  <c r="E103" i="7" a="1"/>
  <c r="E103" i="7" s="1"/>
  <c r="H104" i="7" a="1"/>
  <c r="H104" i="7" s="1"/>
  <c r="K105" i="7" a="1"/>
  <c r="K105" i="7" s="1"/>
  <c r="E107" i="7" a="1"/>
  <c r="E107" i="7" s="1"/>
  <c r="H108" i="7" a="1"/>
  <c r="H108" i="7" s="1"/>
  <c r="J9" i="7" a="1"/>
  <c r="J9" i="7" s="1"/>
  <c r="I11" i="7" a="1"/>
  <c r="I11" i="7" s="1"/>
  <c r="H13" i="7" a="1"/>
  <c r="H13" i="7" s="1"/>
  <c r="E15" i="7" a="1"/>
  <c r="E15" i="7" s="1"/>
  <c r="D17" i="7" a="1"/>
  <c r="D17" i="7" s="1"/>
  <c r="K18" i="7" a="1"/>
  <c r="K18" i="7" s="1"/>
  <c r="H20" i="7" a="1"/>
  <c r="H20" i="7" s="1"/>
  <c r="F22" i="7" a="1"/>
  <c r="F22" i="7" s="1"/>
  <c r="D24" i="7" a="1"/>
  <c r="D24" i="7" s="1"/>
  <c r="J25" i="7" a="1"/>
  <c r="J25" i="7" s="1"/>
  <c r="G27" i="7" a="1"/>
  <c r="G27" i="7" s="1"/>
  <c r="G30" i="7" a="1"/>
  <c r="G30" i="7" s="1"/>
  <c r="G33" i="7" a="1"/>
  <c r="G33" i="7" s="1"/>
  <c r="K34" i="7" a="1"/>
  <c r="K34" i="7" s="1"/>
  <c r="F36" i="7" a="1"/>
  <c r="F36" i="7" s="1"/>
  <c r="J37" i="7" a="1"/>
  <c r="J37" i="7" s="1"/>
  <c r="E39" i="7" a="1"/>
  <c r="E39" i="7" s="1"/>
  <c r="I40" i="7" a="1"/>
  <c r="I40" i="7" s="1"/>
  <c r="F43" i="7" a="1"/>
  <c r="F43" i="7" s="1"/>
  <c r="I44" i="7" a="1"/>
  <c r="I44" i="7" s="1"/>
  <c r="F47" i="7" a="1"/>
  <c r="F47" i="7" s="1"/>
  <c r="I48" i="7" a="1"/>
  <c r="I48" i="7" s="1"/>
  <c r="F51" i="7" a="1"/>
  <c r="F51" i="7" s="1"/>
  <c r="I52" i="7" a="1"/>
  <c r="I52" i="7" s="1"/>
  <c r="F55" i="7" a="1"/>
  <c r="F55" i="7" s="1"/>
  <c r="I56" i="7" a="1"/>
  <c r="I56" i="7" s="1"/>
  <c r="F59" i="7" a="1"/>
  <c r="F59" i="7" s="1"/>
  <c r="I60" i="7" a="1"/>
  <c r="I60" i="7" s="1"/>
  <c r="F63" i="7" a="1"/>
  <c r="F63" i="7" s="1"/>
  <c r="I64" i="7" a="1"/>
  <c r="I64" i="7" s="1"/>
  <c r="F67" i="7" a="1"/>
  <c r="F67" i="7" s="1"/>
  <c r="I68" i="7" a="1"/>
  <c r="I68" i="7" s="1"/>
  <c r="F71" i="7" a="1"/>
  <c r="F71" i="7" s="1"/>
  <c r="I72" i="7" a="1"/>
  <c r="I72" i="7" s="1"/>
  <c r="F75" i="7" a="1"/>
  <c r="F75" i="7" s="1"/>
  <c r="I76" i="7" a="1"/>
  <c r="I76" i="7" s="1"/>
  <c r="F79" i="7" a="1"/>
  <c r="F79" i="7" s="1"/>
  <c r="I80" i="7" a="1"/>
  <c r="I80" i="7" s="1"/>
  <c r="F83" i="7" a="1"/>
  <c r="F83" i="7" s="1"/>
  <c r="I84" i="7" a="1"/>
  <c r="I84" i="7" s="1"/>
  <c r="F87" i="7" a="1"/>
  <c r="F87" i="7" s="1"/>
  <c r="I88" i="7" a="1"/>
  <c r="I88" i="7" s="1"/>
  <c r="F91" i="7" a="1"/>
  <c r="F91" i="7" s="1"/>
  <c r="I92" i="7" a="1"/>
  <c r="I92" i="7" s="1"/>
  <c r="F95" i="7" a="1"/>
  <c r="F95" i="7" s="1"/>
  <c r="I96" i="7" a="1"/>
  <c r="I96" i="7" s="1"/>
  <c r="F99" i="7" a="1"/>
  <c r="F99" i="7" s="1"/>
  <c r="I100" i="7" a="1"/>
  <c r="I100" i="7" s="1"/>
  <c r="F103" i="7" a="1"/>
  <c r="F103" i="7" s="1"/>
  <c r="I104" i="7" a="1"/>
  <c r="I104" i="7" s="1"/>
  <c r="F107" i="7" a="1"/>
  <c r="F107" i="7" s="1"/>
  <c r="I108" i="7" a="1"/>
  <c r="I108" i="7" s="1"/>
  <c r="F111" i="7" a="1"/>
  <c r="F111" i="7" s="1"/>
  <c r="I112" i="7" a="1"/>
  <c r="I112" i="7" s="1"/>
  <c r="F115" i="7" a="1"/>
  <c r="F115" i="7" s="1"/>
  <c r="I116" i="7" a="1"/>
  <c r="I116" i="7" s="1"/>
  <c r="F119" i="7" a="1"/>
  <c r="F119" i="7" s="1"/>
  <c r="I120" i="7" a="1"/>
  <c r="I120" i="7" s="1"/>
  <c r="F123" i="7" a="1"/>
  <c r="F123" i="7" s="1"/>
  <c r="I124" i="7" a="1"/>
  <c r="I124" i="7" s="1"/>
  <c r="F127" i="7" a="1"/>
  <c r="F127" i="7" s="1"/>
  <c r="I128" i="7" a="1"/>
  <c r="I128" i="7" s="1"/>
  <c r="F131" i="7" a="1"/>
  <c r="F131" i="7" s="1"/>
  <c r="I132" i="7" a="1"/>
  <c r="I132" i="7" s="1"/>
  <c r="F135" i="7" a="1"/>
  <c r="F135" i="7" s="1"/>
  <c r="K9" i="7" a="1"/>
  <c r="K9" i="7" s="1"/>
  <c r="J11" i="7" a="1"/>
  <c r="J11" i="7" s="1"/>
  <c r="I13" i="7" a="1"/>
  <c r="I13" i="7" s="1"/>
  <c r="H15" i="7" a="1"/>
  <c r="H15" i="7" s="1"/>
  <c r="G17" i="7" a="1"/>
  <c r="G17" i="7" s="1"/>
  <c r="K20" i="7" a="1"/>
  <c r="K20" i="7" s="1"/>
  <c r="G22" i="7" a="1"/>
  <c r="G22" i="7" s="1"/>
  <c r="E24" i="7" a="1"/>
  <c r="E24" i="7" s="1"/>
  <c r="K25" i="7" a="1"/>
  <c r="K25" i="7" s="1"/>
  <c r="H27" i="7" a="1"/>
  <c r="H27" i="7" s="1"/>
  <c r="D29" i="7" a="1"/>
  <c r="D29" i="7" s="1"/>
  <c r="I30" i="7" a="1"/>
  <c r="I30" i="7" s="1"/>
  <c r="D32" i="7" a="1"/>
  <c r="D32" i="7" s="1"/>
  <c r="H33" i="7" a="1"/>
  <c r="H33" i="7" s="1"/>
  <c r="G36" i="7" a="1"/>
  <c r="G36" i="7" s="1"/>
  <c r="K37" i="7" a="1"/>
  <c r="K37" i="7" s="1"/>
  <c r="F39" i="7" a="1"/>
  <c r="F39" i="7" s="1"/>
  <c r="J40" i="7" a="1"/>
  <c r="J40" i="7" s="1"/>
  <c r="D42" i="7" a="1"/>
  <c r="D42" i="7" s="1"/>
  <c r="G43" i="7" a="1"/>
  <c r="G43" i="7" s="1"/>
  <c r="J44" i="7" a="1"/>
  <c r="J44" i="7" s="1"/>
  <c r="D46" i="7" a="1"/>
  <c r="D46" i="7" s="1"/>
  <c r="G47" i="7" a="1"/>
  <c r="G47" i="7" s="1"/>
  <c r="J48" i="7" a="1"/>
  <c r="J48" i="7" s="1"/>
  <c r="D50" i="7" a="1"/>
  <c r="D50" i="7" s="1"/>
  <c r="G51" i="7" a="1"/>
  <c r="G51" i="7" s="1"/>
  <c r="J52" i="7" a="1"/>
  <c r="J52" i="7" s="1"/>
  <c r="D54" i="7" a="1"/>
  <c r="D54" i="7" s="1"/>
  <c r="G55" i="7" a="1"/>
  <c r="G55" i="7" s="1"/>
  <c r="J56" i="7" a="1"/>
  <c r="J56" i="7" s="1"/>
  <c r="D58" i="7" a="1"/>
  <c r="D58" i="7" s="1"/>
  <c r="G59" i="7" a="1"/>
  <c r="G59" i="7" s="1"/>
  <c r="J60" i="7" a="1"/>
  <c r="J60" i="7" s="1"/>
  <c r="D62" i="7" a="1"/>
  <c r="D62" i="7" s="1"/>
  <c r="G63" i="7" a="1"/>
  <c r="G63" i="7" s="1"/>
  <c r="J64" i="7" a="1"/>
  <c r="J64" i="7" s="1"/>
  <c r="D66" i="7" a="1"/>
  <c r="D66" i="7" s="1"/>
  <c r="G67" i="7" a="1"/>
  <c r="G67" i="7" s="1"/>
  <c r="J68" i="7" a="1"/>
  <c r="J68" i="7" s="1"/>
  <c r="D70" i="7" a="1"/>
  <c r="D70" i="7" s="1"/>
  <c r="G71" i="7" a="1"/>
  <c r="G71" i="7" s="1"/>
  <c r="J72" i="7" a="1"/>
  <c r="J72" i="7" s="1"/>
  <c r="D74" i="7" a="1"/>
  <c r="D74" i="7" s="1"/>
  <c r="G75" i="7" a="1"/>
  <c r="G75" i="7" s="1"/>
  <c r="J76" i="7" a="1"/>
  <c r="J76" i="7" s="1"/>
  <c r="D78" i="7" a="1"/>
  <c r="D78" i="7" s="1"/>
  <c r="G79" i="7" a="1"/>
  <c r="G79" i="7" s="1"/>
  <c r="J80" i="7" a="1"/>
  <c r="J80" i="7" s="1"/>
  <c r="D82" i="7" a="1"/>
  <c r="D82" i="7" s="1"/>
  <c r="G83" i="7" a="1"/>
  <c r="G83" i="7" s="1"/>
  <c r="J84" i="7" a="1"/>
  <c r="J84" i="7" s="1"/>
  <c r="D8" i="7" a="1"/>
  <c r="D8" i="7" s="1"/>
  <c r="J13" i="7" a="1"/>
  <c r="J13" i="7" s="1"/>
  <c r="I15" i="7" a="1"/>
  <c r="I15" i="7" s="1"/>
  <c r="H17" i="7" a="1"/>
  <c r="H17" i="7" s="1"/>
  <c r="D19" i="7" a="1"/>
  <c r="D19" i="7" s="1"/>
  <c r="I22" i="7" a="1"/>
  <c r="I22" i="7" s="1"/>
  <c r="F24" i="7" a="1"/>
  <c r="F24" i="7" s="1"/>
  <c r="I27" i="7" a="1"/>
  <c r="I27" i="7" s="1"/>
  <c r="F29" i="7" a="1"/>
  <c r="F29" i="7" s="1"/>
  <c r="J30" i="7" a="1"/>
  <c r="J30" i="7" s="1"/>
  <c r="E32" i="7" a="1"/>
  <c r="E32" i="7" s="1"/>
  <c r="I33" i="7" a="1"/>
  <c r="I33" i="7" s="1"/>
  <c r="D35" i="7" a="1"/>
  <c r="D35" i="7" s="1"/>
  <c r="H36" i="7" a="1"/>
  <c r="H36" i="7" s="1"/>
  <c r="G39" i="7" a="1"/>
  <c r="G39" i="7" s="1"/>
  <c r="K40" i="7" a="1"/>
  <c r="K40" i="7" s="1"/>
  <c r="E42" i="7" a="1"/>
  <c r="E42" i="7" s="1"/>
  <c r="H43" i="7" a="1"/>
  <c r="H43" i="7" s="1"/>
  <c r="K44" i="7" a="1"/>
  <c r="K44" i="7" s="1"/>
  <c r="E46" i="7" a="1"/>
  <c r="E46" i="7" s="1"/>
  <c r="H47" i="7" a="1"/>
  <c r="H47" i="7" s="1"/>
  <c r="K48" i="7" a="1"/>
  <c r="K48" i="7" s="1"/>
  <c r="E50" i="7" a="1"/>
  <c r="E50" i="7" s="1"/>
  <c r="H51" i="7" a="1"/>
  <c r="H51" i="7" s="1"/>
  <c r="K52" i="7" a="1"/>
  <c r="K52" i="7" s="1"/>
  <c r="E54" i="7" a="1"/>
  <c r="E54" i="7" s="1"/>
  <c r="H55" i="7" a="1"/>
  <c r="H55" i="7" s="1"/>
  <c r="K56" i="7" a="1"/>
  <c r="K56" i="7" s="1"/>
  <c r="E58" i="7" a="1"/>
  <c r="E58" i="7" s="1"/>
  <c r="H59" i="7" a="1"/>
  <c r="H59" i="7" s="1"/>
  <c r="K60" i="7" a="1"/>
  <c r="K60" i="7" s="1"/>
  <c r="E62" i="7" a="1"/>
  <c r="E62" i="7" s="1"/>
  <c r="H63" i="7" a="1"/>
  <c r="H63" i="7" s="1"/>
  <c r="K64" i="7" a="1"/>
  <c r="K64" i="7" s="1"/>
  <c r="E66" i="7" a="1"/>
  <c r="E66" i="7" s="1"/>
  <c r="H67" i="7" a="1"/>
  <c r="H67" i="7" s="1"/>
  <c r="K68" i="7" a="1"/>
  <c r="K68" i="7" s="1"/>
  <c r="E70" i="7" a="1"/>
  <c r="E70" i="7" s="1"/>
  <c r="H71" i="7" a="1"/>
  <c r="H71" i="7" s="1"/>
  <c r="K72" i="7" a="1"/>
  <c r="K72" i="7" s="1"/>
  <c r="E74" i="7" a="1"/>
  <c r="E74" i="7" s="1"/>
  <c r="H75" i="7" a="1"/>
  <c r="H75" i="7" s="1"/>
  <c r="K76" i="7" a="1"/>
  <c r="K76" i="7" s="1"/>
  <c r="E78" i="7" a="1"/>
  <c r="E78" i="7" s="1"/>
  <c r="H79" i="7" a="1"/>
  <c r="H79" i="7" s="1"/>
  <c r="K80" i="7" a="1"/>
  <c r="K80" i="7" s="1"/>
  <c r="E82" i="7" a="1"/>
  <c r="E82" i="7" s="1"/>
  <c r="H83" i="7" a="1"/>
  <c r="H83" i="7" s="1"/>
  <c r="K84" i="7" a="1"/>
  <c r="K84" i="7" s="1"/>
  <c r="E86" i="7" a="1"/>
  <c r="E86" i="7" s="1"/>
  <c r="H87" i="7" a="1"/>
  <c r="H87" i="7" s="1"/>
  <c r="K88" i="7" a="1"/>
  <c r="K88" i="7" s="1"/>
  <c r="E90" i="7" a="1"/>
  <c r="E90" i="7" s="1"/>
  <c r="H91" i="7" a="1"/>
  <c r="H91" i="7" s="1"/>
  <c r="K92" i="7" a="1"/>
  <c r="K92" i="7" s="1"/>
  <c r="E94" i="7" a="1"/>
  <c r="E94" i="7" s="1"/>
  <c r="H95" i="7" a="1"/>
  <c r="H95" i="7" s="1"/>
  <c r="K96" i="7" a="1"/>
  <c r="K96" i="7" s="1"/>
  <c r="E98" i="7" a="1"/>
  <c r="E98" i="7" s="1"/>
  <c r="H99" i="7" a="1"/>
  <c r="H99" i="7" s="1"/>
  <c r="K100" i="7" a="1"/>
  <c r="K100" i="7" s="1"/>
  <c r="E102" i="7" a="1"/>
  <c r="E102" i="7" s="1"/>
  <c r="H103" i="7" a="1"/>
  <c r="H103" i="7" s="1"/>
  <c r="K104" i="7" a="1"/>
  <c r="K104" i="7" s="1"/>
  <c r="E106" i="7" a="1"/>
  <c r="E106" i="7" s="1"/>
  <c r="H107" i="7" a="1"/>
  <c r="H107" i="7" s="1"/>
  <c r="K108" i="7" a="1"/>
  <c r="K108" i="7" s="1"/>
  <c r="E110" i="7" a="1"/>
  <c r="E110" i="7" s="1"/>
  <c r="H111" i="7" a="1"/>
  <c r="H111" i="7" s="1"/>
  <c r="K112" i="7" a="1"/>
  <c r="K112" i="7" s="1"/>
  <c r="E114" i="7" a="1"/>
  <c r="E114" i="7" s="1"/>
  <c r="H115" i="7" a="1"/>
  <c r="H115" i="7" s="1"/>
  <c r="E8" i="7" a="1"/>
  <c r="E8" i="7" s="1"/>
  <c r="E10" i="7" a="1"/>
  <c r="E10" i="7" s="1"/>
  <c r="D12" i="7" a="1"/>
  <c r="D12" i="7" s="1"/>
  <c r="K13" i="7" a="1"/>
  <c r="K13" i="7" s="1"/>
  <c r="J15" i="7" a="1"/>
  <c r="J15" i="7" s="1"/>
  <c r="I17" i="7" a="1"/>
  <c r="I17" i="7" s="1"/>
  <c r="E19" i="7" a="1"/>
  <c r="E19" i="7" s="1"/>
  <c r="D21" i="7" a="1"/>
  <c r="D21" i="7" s="1"/>
  <c r="J22" i="7" a="1"/>
  <c r="J22" i="7" s="1"/>
  <c r="G24" i="7" a="1"/>
  <c r="G24" i="7" s="1"/>
  <c r="E26" i="7" a="1"/>
  <c r="E26" i="7" s="1"/>
  <c r="J27" i="7" a="1"/>
  <c r="J27" i="7" s="1"/>
  <c r="G29" i="7" a="1"/>
  <c r="G29" i="7" s="1"/>
  <c r="K30" i="7" a="1"/>
  <c r="K30" i="7" s="1"/>
  <c r="F32" i="7" a="1"/>
  <c r="F32" i="7" s="1"/>
  <c r="J33" i="7" a="1"/>
  <c r="J33" i="7" s="1"/>
  <c r="E35" i="7" a="1"/>
  <c r="E35" i="7" s="1"/>
  <c r="I36" i="7" a="1"/>
  <c r="I36" i="7" s="1"/>
  <c r="D38" i="7" a="1"/>
  <c r="D38" i="7" s="1"/>
  <c r="H39" i="7" a="1"/>
  <c r="H39" i="7" s="1"/>
  <c r="F42" i="7" a="1"/>
  <c r="F42" i="7" s="1"/>
  <c r="I43" i="7" a="1"/>
  <c r="I43" i="7" s="1"/>
  <c r="F46" i="7" a="1"/>
  <c r="F46" i="7" s="1"/>
  <c r="I47" i="7" a="1"/>
  <c r="I47" i="7" s="1"/>
  <c r="F50" i="7" a="1"/>
  <c r="F50" i="7" s="1"/>
  <c r="I51" i="7" a="1"/>
  <c r="I51" i="7" s="1"/>
  <c r="F54" i="7" a="1"/>
  <c r="F54" i="7" s="1"/>
  <c r="I55" i="7" a="1"/>
  <c r="I55" i="7" s="1"/>
  <c r="F58" i="7" a="1"/>
  <c r="F58" i="7" s="1"/>
  <c r="I59" i="7" a="1"/>
  <c r="I59" i="7" s="1"/>
  <c r="F62" i="7" a="1"/>
  <c r="F62" i="7" s="1"/>
  <c r="I63" i="7" a="1"/>
  <c r="I63" i="7" s="1"/>
  <c r="F66" i="7" a="1"/>
  <c r="F66" i="7" s="1"/>
  <c r="I67" i="7" a="1"/>
  <c r="I67" i="7" s="1"/>
  <c r="F70" i="7" a="1"/>
  <c r="F70" i="7" s="1"/>
  <c r="I71" i="7" a="1"/>
  <c r="I71" i="7" s="1"/>
  <c r="F74" i="7" a="1"/>
  <c r="F74" i="7" s="1"/>
  <c r="I75" i="7" a="1"/>
  <c r="I75" i="7" s="1"/>
  <c r="F78" i="7" a="1"/>
  <c r="F78" i="7" s="1"/>
  <c r="I79" i="7" a="1"/>
  <c r="I79" i="7" s="1"/>
  <c r="F82" i="7" a="1"/>
  <c r="F82" i="7" s="1"/>
  <c r="I83" i="7" a="1"/>
  <c r="I83" i="7" s="1"/>
  <c r="F86" i="7" a="1"/>
  <c r="F86" i="7" s="1"/>
  <c r="I87" i="7" a="1"/>
  <c r="I87" i="7" s="1"/>
  <c r="F90" i="7" a="1"/>
  <c r="F90" i="7" s="1"/>
  <c r="I91" i="7" a="1"/>
  <c r="I91" i="7" s="1"/>
  <c r="F94" i="7" a="1"/>
  <c r="F94" i="7" s="1"/>
  <c r="I95" i="7" a="1"/>
  <c r="I95" i="7" s="1"/>
  <c r="F98" i="7" a="1"/>
  <c r="F98" i="7" s="1"/>
  <c r="I99" i="7" a="1"/>
  <c r="I99" i="7" s="1"/>
  <c r="F102" i="7" a="1"/>
  <c r="F102" i="7" s="1"/>
  <c r="I103" i="7" a="1"/>
  <c r="I103" i="7" s="1"/>
  <c r="F106" i="7" a="1"/>
  <c r="F106" i="7" s="1"/>
  <c r="I107" i="7" a="1"/>
  <c r="I107" i="7" s="1"/>
  <c r="F110" i="7" a="1"/>
  <c r="F110" i="7" s="1"/>
  <c r="I111" i="7" a="1"/>
  <c r="I111" i="7" s="1"/>
  <c r="F114" i="7" a="1"/>
  <c r="F114" i="7" s="1"/>
  <c r="I115" i="7" a="1"/>
  <c r="I115" i="7" s="1"/>
  <c r="F118" i="7" a="1"/>
  <c r="F118" i="7" s="1"/>
  <c r="I119" i="7" a="1"/>
  <c r="I119" i="7" s="1"/>
  <c r="F122" i="7" a="1"/>
  <c r="F122" i="7" s="1"/>
  <c r="I123" i="7" a="1"/>
  <c r="I123" i="7" s="1"/>
  <c r="F126" i="7" a="1"/>
  <c r="F126" i="7" s="1"/>
  <c r="I127" i="7" a="1"/>
  <c r="I127" i="7" s="1"/>
  <c r="F130" i="7" a="1"/>
  <c r="F130" i="7" s="1"/>
  <c r="I131" i="7" a="1"/>
  <c r="I131" i="7" s="1"/>
  <c r="F134" i="7" a="1"/>
  <c r="F134" i="7" s="1"/>
  <c r="I135" i="7" a="1"/>
  <c r="I135" i="7" s="1"/>
  <c r="F138" i="7" a="1"/>
  <c r="F138" i="7" s="1"/>
  <c r="I139" i="7" a="1"/>
  <c r="I139" i="7" s="1"/>
  <c r="F142" i="7" a="1"/>
  <c r="F142" i="7" s="1"/>
  <c r="I143" i="7" a="1"/>
  <c r="I143" i="7" s="1"/>
  <c r="F146" i="7" a="1"/>
  <c r="F146" i="7" s="1"/>
  <c r="I147" i="7" a="1"/>
  <c r="I147" i="7" s="1"/>
  <c r="F150" i="7" a="1"/>
  <c r="F150" i="7" s="1"/>
  <c r="I151" i="7" a="1"/>
  <c r="I151" i="7" s="1"/>
  <c r="F154" i="7" a="1"/>
  <c r="F154" i="7" s="1"/>
  <c r="I155" i="7" a="1"/>
  <c r="I155" i="7" s="1"/>
  <c r="F158" i="7" a="1"/>
  <c r="F158" i="7" s="1"/>
  <c r="I159" i="7" a="1"/>
  <c r="I159" i="7" s="1"/>
  <c r="F162" i="7" a="1"/>
  <c r="F162" i="7" s="1"/>
  <c r="I163" i="7" a="1"/>
  <c r="I163" i="7" s="1"/>
  <c r="F166" i="7" a="1"/>
  <c r="F166" i="7" s="1"/>
  <c r="I167" i="7" a="1"/>
  <c r="I167" i="7" s="1"/>
  <c r="F170" i="7" a="1"/>
  <c r="F170" i="7" s="1"/>
  <c r="I171" i="7" a="1"/>
  <c r="I171" i="7" s="1"/>
  <c r="F174" i="7" a="1"/>
  <c r="F174" i="7" s="1"/>
  <c r="I175" i="7" a="1"/>
  <c r="I175" i="7" s="1"/>
  <c r="F178" i="7" a="1"/>
  <c r="F178" i="7" s="1"/>
  <c r="I179" i="7" a="1"/>
  <c r="I179" i="7" s="1"/>
  <c r="F8" i="7" a="1"/>
  <c r="F8" i="7" s="1"/>
  <c r="F10" i="7" a="1"/>
  <c r="F10" i="7" s="1"/>
  <c r="E12" i="7" a="1"/>
  <c r="E12" i="7" s="1"/>
  <c r="J17" i="7" a="1"/>
  <c r="J17" i="7" s="1"/>
  <c r="H19" i="7" a="1"/>
  <c r="H19" i="7" s="1"/>
  <c r="F21" i="7" a="1"/>
  <c r="F21" i="7" s="1"/>
  <c r="K22" i="7" a="1"/>
  <c r="K22" i="7" s="1"/>
  <c r="H24" i="7" a="1"/>
  <c r="H24" i="7" s="1"/>
  <c r="F26" i="7" a="1"/>
  <c r="F26" i="7" s="1"/>
  <c r="H29" i="7" a="1"/>
  <c r="H29" i="7" s="1"/>
  <c r="G32" i="7" a="1"/>
  <c r="G32" i="7" s="1"/>
  <c r="K33" i="7" a="1"/>
  <c r="K33" i="7" s="1"/>
  <c r="F35" i="7" a="1"/>
  <c r="F35" i="7" s="1"/>
  <c r="J36" i="7" a="1"/>
  <c r="J36" i="7" s="1"/>
  <c r="E38" i="7" a="1"/>
  <c r="E38" i="7" s="1"/>
  <c r="I39" i="7" a="1"/>
  <c r="I39" i="7" s="1"/>
  <c r="D41" i="7" a="1"/>
  <c r="D41" i="7" s="1"/>
  <c r="G42" i="7" a="1"/>
  <c r="G42" i="7" s="1"/>
  <c r="J43" i="7" a="1"/>
  <c r="J43" i="7" s="1"/>
  <c r="D45" i="7" a="1"/>
  <c r="D45" i="7" s="1"/>
  <c r="G46" i="7" a="1"/>
  <c r="G46" i="7" s="1"/>
  <c r="J47" i="7" a="1"/>
  <c r="J47" i="7" s="1"/>
  <c r="D49" i="7" a="1"/>
  <c r="D49" i="7" s="1"/>
  <c r="G50" i="7" a="1"/>
  <c r="G50" i="7" s="1"/>
  <c r="J51" i="7" a="1"/>
  <c r="J51" i="7" s="1"/>
  <c r="D53" i="7" a="1"/>
  <c r="D53" i="7" s="1"/>
  <c r="G54" i="7" a="1"/>
  <c r="G54" i="7" s="1"/>
  <c r="J55" i="7" a="1"/>
  <c r="J55" i="7" s="1"/>
  <c r="D57" i="7" a="1"/>
  <c r="D57" i="7" s="1"/>
  <c r="G58" i="7" a="1"/>
  <c r="G58" i="7" s="1"/>
  <c r="J59" i="7" a="1"/>
  <c r="J59" i="7" s="1"/>
  <c r="D61" i="7" a="1"/>
  <c r="D61" i="7" s="1"/>
  <c r="G62" i="7" a="1"/>
  <c r="G62" i="7" s="1"/>
  <c r="J63" i="7" a="1"/>
  <c r="J63" i="7" s="1"/>
  <c r="D65" i="7" a="1"/>
  <c r="D65" i="7" s="1"/>
  <c r="G66" i="7" a="1"/>
  <c r="G66" i="7" s="1"/>
  <c r="J67" i="7" a="1"/>
  <c r="J67" i="7" s="1"/>
  <c r="D69" i="7" a="1"/>
  <c r="D69" i="7" s="1"/>
  <c r="G70" i="7" a="1"/>
  <c r="G70" i="7" s="1"/>
  <c r="J71" i="7" a="1"/>
  <c r="J71" i="7" s="1"/>
  <c r="D73" i="7" a="1"/>
  <c r="D73" i="7" s="1"/>
  <c r="G74" i="7" a="1"/>
  <c r="G74" i="7" s="1"/>
  <c r="J75" i="7" a="1"/>
  <c r="J75" i="7" s="1"/>
  <c r="D77" i="7" a="1"/>
  <c r="D77" i="7" s="1"/>
  <c r="G78" i="7" a="1"/>
  <c r="G78" i="7" s="1"/>
  <c r="J79" i="7" a="1"/>
  <c r="J79" i="7" s="1"/>
  <c r="D81" i="7" a="1"/>
  <c r="D81" i="7" s="1"/>
  <c r="G82" i="7" a="1"/>
  <c r="G82" i="7" s="1"/>
  <c r="J83" i="7" a="1"/>
  <c r="J83" i="7" s="1"/>
  <c r="D85" i="7" a="1"/>
  <c r="D85" i="7" s="1"/>
  <c r="G86" i="7" a="1"/>
  <c r="G86" i="7" s="1"/>
  <c r="J87" i="7" a="1"/>
  <c r="J87" i="7" s="1"/>
  <c r="D89" i="7" a="1"/>
  <c r="D89" i="7" s="1"/>
  <c r="G90" i="7" a="1"/>
  <c r="G90" i="7" s="1"/>
  <c r="J91" i="7" a="1"/>
  <c r="J91" i="7" s="1"/>
  <c r="D93" i="7" a="1"/>
  <c r="D93" i="7" s="1"/>
  <c r="G94" i="7" a="1"/>
  <c r="G94" i="7" s="1"/>
  <c r="J95" i="7" a="1"/>
  <c r="J95" i="7" s="1"/>
  <c r="D97" i="7" a="1"/>
  <c r="D97" i="7" s="1"/>
  <c r="G98" i="7" a="1"/>
  <c r="G98" i="7" s="1"/>
  <c r="J99" i="7" a="1"/>
  <c r="J99" i="7" s="1"/>
  <c r="D101" i="7" a="1"/>
  <c r="D101" i="7" s="1"/>
  <c r="G102" i="7" a="1"/>
  <c r="G102" i="7" s="1"/>
  <c r="J103" i="7" a="1"/>
  <c r="J103" i="7" s="1"/>
  <c r="D105" i="7" a="1"/>
  <c r="D105" i="7" s="1"/>
  <c r="G106" i="7" a="1"/>
  <c r="G106" i="7" s="1"/>
  <c r="J107" i="7" a="1"/>
  <c r="J107" i="7" s="1"/>
  <c r="D109" i="7" a="1"/>
  <c r="D109" i="7" s="1"/>
  <c r="G110" i="7" a="1"/>
  <c r="G110" i="7" s="1"/>
  <c r="J111" i="7" a="1"/>
  <c r="J111" i="7" s="1"/>
  <c r="D113" i="7" a="1"/>
  <c r="D113" i="7" s="1"/>
  <c r="G114" i="7" a="1"/>
  <c r="G114" i="7" s="1"/>
  <c r="J115" i="7" a="1"/>
  <c r="J115" i="7" s="1"/>
  <c r="D117" i="7" a="1"/>
  <c r="D117" i="7" s="1"/>
  <c r="G118" i="7" a="1"/>
  <c r="G118" i="7" s="1"/>
  <c r="J119" i="7" a="1"/>
  <c r="J119" i="7" s="1"/>
  <c r="D121" i="7" a="1"/>
  <c r="D121" i="7" s="1"/>
  <c r="G122" i="7" a="1"/>
  <c r="G122" i="7" s="1"/>
  <c r="J123" i="7" a="1"/>
  <c r="J123" i="7" s="1"/>
  <c r="D125" i="7" a="1"/>
  <c r="D125" i="7" s="1"/>
  <c r="G126" i="7" a="1"/>
  <c r="G126" i="7" s="1"/>
  <c r="J127" i="7" a="1"/>
  <c r="J127" i="7" s="1"/>
  <c r="D129" i="7" a="1"/>
  <c r="D129" i="7" s="1"/>
  <c r="G130" i="7" a="1"/>
  <c r="G130" i="7" s="1"/>
  <c r="J131" i="7" a="1"/>
  <c r="J131" i="7" s="1"/>
  <c r="D133" i="7" a="1"/>
  <c r="D133" i="7" s="1"/>
  <c r="G134" i="7" a="1"/>
  <c r="G134" i="7" s="1"/>
  <c r="J135" i="7" a="1"/>
  <c r="J135" i="7" s="1"/>
  <c r="D137" i="7" a="1"/>
  <c r="D137" i="7" s="1"/>
  <c r="G138" i="7" a="1"/>
  <c r="G138" i="7" s="1"/>
  <c r="J139" i="7" a="1"/>
  <c r="J139" i="7" s="1"/>
  <c r="D141" i="7" a="1"/>
  <c r="D141" i="7" s="1"/>
  <c r="G142" i="7" a="1"/>
  <c r="G142" i="7" s="1"/>
  <c r="J143" i="7" a="1"/>
  <c r="J143" i="7" s="1"/>
  <c r="D145" i="7" a="1"/>
  <c r="D145" i="7" s="1"/>
  <c r="G8" i="7" a="1"/>
  <c r="G8" i="7" s="1"/>
  <c r="G10" i="7" a="1"/>
  <c r="G10" i="7" s="1"/>
  <c r="F12" i="7" a="1"/>
  <c r="F12" i="7" s="1"/>
  <c r="E14" i="7" a="1"/>
  <c r="E14" i="7" s="1"/>
  <c r="D16" i="7" a="1"/>
  <c r="D16" i="7" s="1"/>
  <c r="K17" i="7" a="1"/>
  <c r="K17" i="7" s="1"/>
  <c r="I19" i="7" a="1"/>
  <c r="I19" i="7" s="1"/>
  <c r="G21" i="7" a="1"/>
  <c r="G21" i="7" s="1"/>
  <c r="K24" i="7" a="1"/>
  <c r="K24" i="7" s="1"/>
  <c r="G26" i="7" a="1"/>
  <c r="G26" i="7" s="1"/>
  <c r="D28" i="7" a="1"/>
  <c r="D28" i="7" s="1"/>
  <c r="I29" i="7" a="1"/>
  <c r="I29" i="7" s="1"/>
  <c r="D31" i="7" a="1"/>
  <c r="D31" i="7" s="1"/>
  <c r="H32" i="7" a="1"/>
  <c r="H32" i="7" s="1"/>
  <c r="G35" i="7" a="1"/>
  <c r="G35" i="7" s="1"/>
  <c r="K36" i="7" a="1"/>
  <c r="K36" i="7" s="1"/>
  <c r="F38" i="7" a="1"/>
  <c r="F38" i="7" s="1"/>
  <c r="J39" i="7" a="1"/>
  <c r="J39" i="7" s="1"/>
  <c r="E41" i="7" a="1"/>
  <c r="E41" i="7" s="1"/>
  <c r="H42" i="7" a="1"/>
  <c r="H42" i="7" s="1"/>
  <c r="K43" i="7" a="1"/>
  <c r="K43" i="7" s="1"/>
  <c r="E45" i="7" a="1"/>
  <c r="E45" i="7" s="1"/>
  <c r="H46" i="7" a="1"/>
  <c r="H46" i="7" s="1"/>
  <c r="K47" i="7" a="1"/>
  <c r="K47" i="7" s="1"/>
  <c r="E49" i="7" a="1"/>
  <c r="E49" i="7" s="1"/>
  <c r="H50" i="7" a="1"/>
  <c r="H50" i="7" s="1"/>
  <c r="K51" i="7" a="1"/>
  <c r="K51" i="7" s="1"/>
  <c r="E53" i="7" a="1"/>
  <c r="E53" i="7" s="1"/>
  <c r="H54" i="7" a="1"/>
  <c r="H54" i="7" s="1"/>
  <c r="K55" i="7" a="1"/>
  <c r="K55" i="7" s="1"/>
  <c r="E57" i="7" a="1"/>
  <c r="E57" i="7" s="1"/>
  <c r="H58" i="7" a="1"/>
  <c r="H58" i="7" s="1"/>
  <c r="K59" i="7" a="1"/>
  <c r="K59" i="7" s="1"/>
  <c r="E61" i="7" a="1"/>
  <c r="E61" i="7" s="1"/>
  <c r="H62" i="7" a="1"/>
  <c r="H62" i="7" s="1"/>
  <c r="K63" i="7" a="1"/>
  <c r="K63" i="7" s="1"/>
  <c r="E65" i="7" a="1"/>
  <c r="E65" i="7" s="1"/>
  <c r="H66" i="7" a="1"/>
  <c r="H66" i="7" s="1"/>
  <c r="K67" i="7" a="1"/>
  <c r="K67" i="7" s="1"/>
  <c r="E69" i="7" a="1"/>
  <c r="E69" i="7" s="1"/>
  <c r="H70" i="7" a="1"/>
  <c r="H70" i="7" s="1"/>
  <c r="K71" i="7" a="1"/>
  <c r="K71" i="7" s="1"/>
  <c r="E73" i="7" a="1"/>
  <c r="E73" i="7" s="1"/>
  <c r="H74" i="7" a="1"/>
  <c r="H74" i="7" s="1"/>
  <c r="K75" i="7" a="1"/>
  <c r="K75" i="7" s="1"/>
  <c r="E77" i="7" a="1"/>
  <c r="E77" i="7" s="1"/>
  <c r="H78" i="7" a="1"/>
  <c r="H78" i="7" s="1"/>
  <c r="K79" i="7" a="1"/>
  <c r="K79" i="7" s="1"/>
  <c r="E81" i="7" a="1"/>
  <c r="E81" i="7" s="1"/>
  <c r="H82" i="7" a="1"/>
  <c r="H82" i="7" s="1"/>
  <c r="K83" i="7" a="1"/>
  <c r="K83" i="7" s="1"/>
  <c r="E85" i="7" a="1"/>
  <c r="E85" i="7" s="1"/>
  <c r="H86" i="7" a="1"/>
  <c r="H86" i="7" s="1"/>
  <c r="K87" i="7" a="1"/>
  <c r="K87" i="7" s="1"/>
  <c r="E89" i="7" a="1"/>
  <c r="E89" i="7" s="1"/>
  <c r="H90" i="7" a="1"/>
  <c r="H90" i="7" s="1"/>
  <c r="K91" i="7" a="1"/>
  <c r="K91" i="7" s="1"/>
  <c r="E93" i="7" a="1"/>
  <c r="E93" i="7" s="1"/>
  <c r="H94" i="7" a="1"/>
  <c r="H94" i="7" s="1"/>
  <c r="K95" i="7" a="1"/>
  <c r="K95" i="7" s="1"/>
  <c r="E97" i="7" a="1"/>
  <c r="E97" i="7" s="1"/>
  <c r="H98" i="7" a="1"/>
  <c r="H98" i="7" s="1"/>
  <c r="K99" i="7" a="1"/>
  <c r="K99" i="7" s="1"/>
  <c r="E101" i="7" a="1"/>
  <c r="E101" i="7" s="1"/>
  <c r="H102" i="7" a="1"/>
  <c r="H102" i="7" s="1"/>
  <c r="K103" i="7" a="1"/>
  <c r="K103" i="7" s="1"/>
  <c r="E105" i="7" a="1"/>
  <c r="E105" i="7" s="1"/>
  <c r="H106" i="7" a="1"/>
  <c r="H106" i="7" s="1"/>
  <c r="K107" i="7" a="1"/>
  <c r="K107" i="7" s="1"/>
  <c r="J8" i="7" a="1"/>
  <c r="J8" i="7" s="1"/>
  <c r="J10" i="7" a="1"/>
  <c r="J10" i="7" s="1"/>
  <c r="G12" i="7" a="1"/>
  <c r="G12" i="7" s="1"/>
  <c r="F14" i="7" a="1"/>
  <c r="F14" i="7" s="1"/>
  <c r="E16" i="7" a="1"/>
  <c r="E16" i="7" s="1"/>
  <c r="J19" i="7" a="1"/>
  <c r="J19" i="7" s="1"/>
  <c r="H21" i="7" a="1"/>
  <c r="H21" i="7" s="1"/>
  <c r="D23" i="7" a="1"/>
  <c r="D23" i="7" s="1"/>
  <c r="I26" i="7" a="1"/>
  <c r="I26" i="7" s="1"/>
  <c r="E28" i="7" a="1"/>
  <c r="E28" i="7" s="1"/>
  <c r="J29" i="7" a="1"/>
  <c r="J29" i="7" s="1"/>
  <c r="E31" i="7" a="1"/>
  <c r="E31" i="7" s="1"/>
  <c r="I32" i="7" a="1"/>
  <c r="I32" i="7" s="1"/>
  <c r="D34" i="7" a="1"/>
  <c r="D34" i="7" s="1"/>
  <c r="H35" i="7" a="1"/>
  <c r="H35" i="7" s="1"/>
  <c r="G38" i="7" a="1"/>
  <c r="G38" i="7" s="1"/>
  <c r="F41" i="7" a="1"/>
  <c r="F41" i="7" s="1"/>
  <c r="I42" i="7" a="1"/>
  <c r="I42" i="7" s="1"/>
  <c r="F45" i="7" a="1"/>
  <c r="F45" i="7" s="1"/>
  <c r="I46" i="7" a="1"/>
  <c r="I46" i="7" s="1"/>
  <c r="F49" i="7" a="1"/>
  <c r="F49" i="7" s="1"/>
  <c r="I50" i="7" a="1"/>
  <c r="I50" i="7" s="1"/>
  <c r="F53" i="7" a="1"/>
  <c r="F53" i="7" s="1"/>
  <c r="I54" i="7" a="1"/>
  <c r="I54" i="7" s="1"/>
  <c r="F57" i="7" a="1"/>
  <c r="F57" i="7" s="1"/>
  <c r="I58" i="7" a="1"/>
  <c r="I58" i="7" s="1"/>
  <c r="F61" i="7" a="1"/>
  <c r="F61" i="7" s="1"/>
  <c r="I62" i="7" a="1"/>
  <c r="I62" i="7" s="1"/>
  <c r="F65" i="7" a="1"/>
  <c r="F65" i="7" s="1"/>
  <c r="I66" i="7" a="1"/>
  <c r="I66" i="7" s="1"/>
  <c r="F69" i="7" a="1"/>
  <c r="F69" i="7" s="1"/>
  <c r="I70" i="7" a="1"/>
  <c r="I70" i="7" s="1"/>
  <c r="F73" i="7" a="1"/>
  <c r="F73" i="7" s="1"/>
  <c r="I74" i="7" a="1"/>
  <c r="I74" i="7" s="1"/>
  <c r="F77" i="7" a="1"/>
  <c r="F77" i="7" s="1"/>
  <c r="I78" i="7" a="1"/>
  <c r="I78" i="7" s="1"/>
  <c r="F81" i="7" a="1"/>
  <c r="F81" i="7" s="1"/>
  <c r="I82" i="7" a="1"/>
  <c r="I82" i="7" s="1"/>
  <c r="F85" i="7" a="1"/>
  <c r="F85" i="7" s="1"/>
  <c r="I86" i="7" a="1"/>
  <c r="I86" i="7" s="1"/>
  <c r="F89" i="7" a="1"/>
  <c r="F89" i="7" s="1"/>
  <c r="I90" i="7" a="1"/>
  <c r="I90" i="7" s="1"/>
  <c r="F93" i="7" a="1"/>
  <c r="F93" i="7" s="1"/>
  <c r="I94" i="7" a="1"/>
  <c r="I94" i="7" s="1"/>
  <c r="F97" i="7" a="1"/>
  <c r="F97" i="7" s="1"/>
  <c r="I98" i="7" a="1"/>
  <c r="I98" i="7" s="1"/>
  <c r="F101" i="7" a="1"/>
  <c r="F101" i="7" s="1"/>
  <c r="I102" i="7" a="1"/>
  <c r="I102" i="7" s="1"/>
  <c r="F105" i="7" a="1"/>
  <c r="F105" i="7" s="1"/>
  <c r="I106" i="7" a="1"/>
  <c r="I106" i="7" s="1"/>
  <c r="F109" i="7" a="1"/>
  <c r="F109" i="7" s="1"/>
  <c r="I110" i="7" a="1"/>
  <c r="I110" i="7" s="1"/>
  <c r="F113" i="7" a="1"/>
  <c r="F113" i="7" s="1"/>
  <c r="I114" i="7" a="1"/>
  <c r="I114" i="7" s="1"/>
  <c r="F117" i="7" a="1"/>
  <c r="F117" i="7" s="1"/>
  <c r="I118" i="7" a="1"/>
  <c r="I118" i="7" s="1"/>
  <c r="F121" i="7" a="1"/>
  <c r="F121" i="7" s="1"/>
  <c r="I122" i="7" a="1"/>
  <c r="I122" i="7" s="1"/>
  <c r="F125" i="7" a="1"/>
  <c r="F125" i="7" s="1"/>
  <c r="I126" i="7" a="1"/>
  <c r="I126" i="7" s="1"/>
  <c r="F129" i="7" a="1"/>
  <c r="F129" i="7" s="1"/>
  <c r="I130" i="7" a="1"/>
  <c r="I130" i="7" s="1"/>
  <c r="F133" i="7" a="1"/>
  <c r="F133" i="7" s="1"/>
  <c r="I134" i="7" a="1"/>
  <c r="I134" i="7" s="1"/>
  <c r="K8" i="7" a="1"/>
  <c r="K8" i="7" s="1"/>
  <c r="K10" i="7" a="1"/>
  <c r="K10" i="7" s="1"/>
  <c r="H12" i="7" a="1"/>
  <c r="H12" i="7" s="1"/>
  <c r="G14" i="7" a="1"/>
  <c r="G14" i="7" s="1"/>
  <c r="F16" i="7" a="1"/>
  <c r="F16" i="7" s="1"/>
  <c r="E18" i="7" a="1"/>
  <c r="E18" i="7" s="1"/>
  <c r="I21" i="7" a="1"/>
  <c r="I21" i="7" s="1"/>
  <c r="E23" i="7" a="1"/>
  <c r="E23" i="7" s="1"/>
  <c r="D25" i="7" a="1"/>
  <c r="D25" i="7" s="1"/>
  <c r="J26" i="7" a="1"/>
  <c r="J26" i="7" s="1"/>
  <c r="F28" i="7" a="1"/>
  <c r="F28" i="7" s="1"/>
  <c r="K29" i="7" a="1"/>
  <c r="K29" i="7" s="1"/>
  <c r="F31" i="7" a="1"/>
  <c r="F31" i="7" s="1"/>
  <c r="J32" i="7" a="1"/>
  <c r="J32" i="7" s="1"/>
  <c r="E34" i="7" a="1"/>
  <c r="E34" i="7" s="1"/>
  <c r="I35" i="7" a="1"/>
  <c r="I35" i="7" s="1"/>
  <c r="D37" i="7" a="1"/>
  <c r="D37" i="7" s="1"/>
  <c r="I38" i="7" a="1"/>
  <c r="I38" i="7" s="1"/>
  <c r="D40" i="7" a="1"/>
  <c r="D40" i="7" s="1"/>
  <c r="G41" i="7" a="1"/>
  <c r="G41" i="7" s="1"/>
  <c r="J42" i="7" a="1"/>
  <c r="J42" i="7" s="1"/>
  <c r="D44" i="7" a="1"/>
  <c r="D44" i="7" s="1"/>
  <c r="G45" i="7" a="1"/>
  <c r="G45" i="7" s="1"/>
  <c r="J46" i="7" a="1"/>
  <c r="J46" i="7" s="1"/>
  <c r="D48" i="7" a="1"/>
  <c r="D48" i="7" s="1"/>
  <c r="G49" i="7" a="1"/>
  <c r="G49" i="7" s="1"/>
  <c r="J50" i="7" a="1"/>
  <c r="J50" i="7" s="1"/>
  <c r="D52" i="7" a="1"/>
  <c r="D52" i="7" s="1"/>
  <c r="G53" i="7" a="1"/>
  <c r="G53" i="7" s="1"/>
  <c r="J54" i="7" a="1"/>
  <c r="J54" i="7" s="1"/>
  <c r="D56" i="7" a="1"/>
  <c r="D56" i="7" s="1"/>
  <c r="G57" i="7" a="1"/>
  <c r="G57" i="7" s="1"/>
  <c r="J58" i="7" a="1"/>
  <c r="J58" i="7" s="1"/>
  <c r="D60" i="7" a="1"/>
  <c r="D60" i="7" s="1"/>
  <c r="G61" i="7" a="1"/>
  <c r="G61" i="7" s="1"/>
  <c r="J62" i="7" a="1"/>
  <c r="J62" i="7" s="1"/>
  <c r="D64" i="7" a="1"/>
  <c r="D64" i="7" s="1"/>
  <c r="G65" i="7" a="1"/>
  <c r="G65" i="7" s="1"/>
  <c r="J66" i="7" a="1"/>
  <c r="J66" i="7" s="1"/>
  <c r="D68" i="7" a="1"/>
  <c r="D68" i="7" s="1"/>
  <c r="G69" i="7" a="1"/>
  <c r="G69" i="7" s="1"/>
  <c r="J70" i="7" a="1"/>
  <c r="J70" i="7" s="1"/>
  <c r="D72" i="7" a="1"/>
  <c r="D72" i="7" s="1"/>
  <c r="G73" i="7" a="1"/>
  <c r="G73" i="7" s="1"/>
  <c r="J74" i="7" a="1"/>
  <c r="J74" i="7" s="1"/>
  <c r="D76" i="7" a="1"/>
  <c r="D76" i="7" s="1"/>
  <c r="G77" i="7" a="1"/>
  <c r="G77" i="7" s="1"/>
  <c r="J78" i="7" a="1"/>
  <c r="J78" i="7" s="1"/>
  <c r="D80" i="7" a="1"/>
  <c r="D80" i="7" s="1"/>
  <c r="G81" i="7" a="1"/>
  <c r="G81" i="7" s="1"/>
  <c r="J82" i="7" a="1"/>
  <c r="J82" i="7" s="1"/>
  <c r="D84" i="7" a="1"/>
  <c r="D84" i="7" s="1"/>
  <c r="G85" i="7" a="1"/>
  <c r="G85" i="7" s="1"/>
  <c r="J86" i="7" a="1"/>
  <c r="J86" i="7" s="1"/>
  <c r="D88" i="7" a="1"/>
  <c r="D88" i="7" s="1"/>
  <c r="G89" i="7" a="1"/>
  <c r="G89" i="7" s="1"/>
  <c r="J90" i="7" a="1"/>
  <c r="J90" i="7" s="1"/>
  <c r="D92" i="7" a="1"/>
  <c r="D92" i="7" s="1"/>
  <c r="G93" i="7" a="1"/>
  <c r="G93" i="7" s="1"/>
  <c r="J94" i="7" a="1"/>
  <c r="J94" i="7" s="1"/>
  <c r="D9" i="7" a="1"/>
  <c r="D9" i="7" s="1"/>
  <c r="K12" i="7" a="1"/>
  <c r="K12" i="7" s="1"/>
  <c r="J14" i="7" a="1"/>
  <c r="J14" i="7" s="1"/>
  <c r="G16" i="7" a="1"/>
  <c r="G16" i="7" s="1"/>
  <c r="F18" i="7" a="1"/>
  <c r="F18" i="7" s="1"/>
  <c r="D20" i="7" a="1"/>
  <c r="D20" i="7" s="1"/>
  <c r="J21" i="7" a="1"/>
  <c r="J21" i="7" s="1"/>
  <c r="H23" i="7" a="1"/>
  <c r="H23" i="7" s="1"/>
  <c r="F25" i="7" a="1"/>
  <c r="F25" i="7" s="1"/>
  <c r="K26" i="7" a="1"/>
  <c r="K26" i="7" s="1"/>
  <c r="G28" i="7" a="1"/>
  <c r="G28" i="7" s="1"/>
  <c r="G31" i="7" a="1"/>
  <c r="G31" i="7" s="1"/>
  <c r="K32" i="7" a="1"/>
  <c r="K32" i="7" s="1"/>
  <c r="F34" i="7" a="1"/>
  <c r="F34" i="7" s="1"/>
  <c r="J35" i="7" a="1"/>
  <c r="J35" i="7" s="1"/>
  <c r="F37" i="7" a="1"/>
  <c r="F37" i="7" s="1"/>
  <c r="J38" i="7" a="1"/>
  <c r="J38" i="7" s="1"/>
  <c r="E40" i="7" a="1"/>
  <c r="E40" i="7" s="1"/>
  <c r="H41" i="7" a="1"/>
  <c r="H41" i="7" s="1"/>
  <c r="K42" i="7" a="1"/>
  <c r="K42" i="7" s="1"/>
  <c r="E44" i="7" a="1"/>
  <c r="E44" i="7" s="1"/>
  <c r="H45" i="7" a="1"/>
  <c r="H45" i="7" s="1"/>
  <c r="K46" i="7" a="1"/>
  <c r="K46" i="7" s="1"/>
  <c r="E48" i="7" a="1"/>
  <c r="E48" i="7" s="1"/>
  <c r="H49" i="7" a="1"/>
  <c r="H49" i="7" s="1"/>
  <c r="K50" i="7" a="1"/>
  <c r="K50" i="7" s="1"/>
  <c r="E52" i="7" a="1"/>
  <c r="E52" i="7" s="1"/>
  <c r="H53" i="7" a="1"/>
  <c r="H53" i="7" s="1"/>
  <c r="K54" i="7" a="1"/>
  <c r="K54" i="7" s="1"/>
  <c r="E56" i="7" a="1"/>
  <c r="E56" i="7" s="1"/>
  <c r="H57" i="7" a="1"/>
  <c r="H57" i="7" s="1"/>
  <c r="K58" i="7" a="1"/>
  <c r="K58" i="7" s="1"/>
  <c r="E60" i="7" a="1"/>
  <c r="E60" i="7" s="1"/>
  <c r="H61" i="7" a="1"/>
  <c r="H61" i="7" s="1"/>
  <c r="K62" i="7" a="1"/>
  <c r="K62" i="7" s="1"/>
  <c r="E64" i="7" a="1"/>
  <c r="E64" i="7" s="1"/>
  <c r="H65" i="7" a="1"/>
  <c r="H65" i="7" s="1"/>
  <c r="K66" i="7" a="1"/>
  <c r="K66" i="7" s="1"/>
  <c r="E68" i="7" a="1"/>
  <c r="E68" i="7" s="1"/>
  <c r="H69" i="7" a="1"/>
  <c r="H69" i="7" s="1"/>
  <c r="K70" i="7" a="1"/>
  <c r="K70" i="7" s="1"/>
  <c r="E72" i="7" a="1"/>
  <c r="E72" i="7" s="1"/>
  <c r="H73" i="7" a="1"/>
  <c r="H73" i="7" s="1"/>
  <c r="K74" i="7" a="1"/>
  <c r="K74" i="7" s="1"/>
  <c r="E76" i="7" a="1"/>
  <c r="E76" i="7" s="1"/>
  <c r="H77" i="7" a="1"/>
  <c r="H77" i="7" s="1"/>
  <c r="K78" i="7" a="1"/>
  <c r="K78" i="7" s="1"/>
  <c r="E80" i="7" a="1"/>
  <c r="E80" i="7" s="1"/>
  <c r="H81" i="7" a="1"/>
  <c r="H81" i="7" s="1"/>
  <c r="K82" i="7" a="1"/>
  <c r="K82" i="7" s="1"/>
  <c r="E84" i="7" a="1"/>
  <c r="E84" i="7" s="1"/>
  <c r="H85" i="7" a="1"/>
  <c r="H85" i="7" s="1"/>
  <c r="K86" i="7" a="1"/>
  <c r="K86" i="7" s="1"/>
  <c r="E88" i="7" a="1"/>
  <c r="E88" i="7" s="1"/>
  <c r="H89" i="7" a="1"/>
  <c r="H89" i="7" s="1"/>
  <c r="K90" i="7" a="1"/>
  <c r="K90" i="7" s="1"/>
  <c r="E92" i="7" a="1"/>
  <c r="E92" i="7" s="1"/>
  <c r="H93" i="7" a="1"/>
  <c r="H93" i="7" s="1"/>
  <c r="K94" i="7" a="1"/>
  <c r="K94" i="7" s="1"/>
  <c r="E96" i="7" a="1"/>
  <c r="E96" i="7" s="1"/>
  <c r="H97" i="7" a="1"/>
  <c r="H97" i="7" s="1"/>
  <c r="K98" i="7" a="1"/>
  <c r="K98" i="7" s="1"/>
  <c r="E100" i="7" a="1"/>
  <c r="E100" i="7" s="1"/>
  <c r="H101" i="7" a="1"/>
  <c r="H101" i="7" s="1"/>
  <c r="K102" i="7" a="1"/>
  <c r="K102" i="7" s="1"/>
  <c r="E104" i="7" a="1"/>
  <c r="E104" i="7" s="1"/>
  <c r="H105" i="7" a="1"/>
  <c r="H105" i="7" s="1"/>
  <c r="K106" i="7" a="1"/>
  <c r="K106" i="7" s="1"/>
  <c r="E108" i="7" a="1"/>
  <c r="E108" i="7" s="1"/>
  <c r="H109" i="7" a="1"/>
  <c r="H109" i="7" s="1"/>
  <c r="K110" i="7" a="1"/>
  <c r="K110" i="7" s="1"/>
  <c r="E112" i="7" a="1"/>
  <c r="E112" i="7" s="1"/>
  <c r="H113" i="7" a="1"/>
  <c r="H113" i="7" s="1"/>
  <c r="K114" i="7" a="1"/>
  <c r="K114" i="7" s="1"/>
  <c r="E116" i="7" a="1"/>
  <c r="E116" i="7" s="1"/>
  <c r="H117" i="7" a="1"/>
  <c r="H117" i="7" s="1"/>
  <c r="K118" i="7" a="1"/>
  <c r="K118" i="7" s="1"/>
  <c r="E120" i="7" a="1"/>
  <c r="E120" i="7" s="1"/>
  <c r="H121" i="7" a="1"/>
  <c r="H121" i="7" s="1"/>
  <c r="G9" i="7" a="1"/>
  <c r="G9" i="7" s="1"/>
  <c r="D11" i="7" a="1"/>
  <c r="D11" i="7" s="1"/>
  <c r="K14" i="7" a="1"/>
  <c r="K14" i="7" s="1"/>
  <c r="H16" i="7" a="1"/>
  <c r="H16" i="7" s="1"/>
  <c r="G18" i="7" a="1"/>
  <c r="G18" i="7" s="1"/>
  <c r="E20" i="7" a="1"/>
  <c r="E20" i="7" s="1"/>
  <c r="K21" i="7" a="1"/>
  <c r="K21" i="7" s="1"/>
  <c r="I23" i="7" a="1"/>
  <c r="I23" i="7" s="1"/>
  <c r="G25" i="7" a="1"/>
  <c r="G25" i="7" s="1"/>
  <c r="H28" i="7" a="1"/>
  <c r="H28" i="7" s="1"/>
  <c r="D30" i="7" a="1"/>
  <c r="D30" i="7" s="1"/>
  <c r="H31" i="7" a="1"/>
  <c r="H31" i="7" s="1"/>
  <c r="G34" i="7" a="1"/>
  <c r="G34" i="7" s="1"/>
  <c r="G37" i="7" a="1"/>
  <c r="G37" i="7" s="1"/>
  <c r="K38" i="7" a="1"/>
  <c r="K38" i="7" s="1"/>
  <c r="F40" i="7" a="1"/>
  <c r="F40" i="7" s="1"/>
  <c r="I41" i="7" a="1"/>
  <c r="I41" i="7" s="1"/>
  <c r="F44" i="7" a="1"/>
  <c r="F44" i="7" s="1"/>
  <c r="I45" i="7" a="1"/>
  <c r="I45" i="7" s="1"/>
  <c r="F48" i="7" a="1"/>
  <c r="F48" i="7" s="1"/>
  <c r="I49" i="7" a="1"/>
  <c r="I49" i="7" s="1"/>
  <c r="F52" i="7" a="1"/>
  <c r="F52" i="7" s="1"/>
  <c r="I53" i="7" a="1"/>
  <c r="I53" i="7" s="1"/>
  <c r="F56" i="7" a="1"/>
  <c r="F56" i="7" s="1"/>
  <c r="I57" i="7" a="1"/>
  <c r="I57" i="7" s="1"/>
  <c r="F60" i="7" a="1"/>
  <c r="F60" i="7" s="1"/>
  <c r="I61" i="7" a="1"/>
  <c r="I61" i="7" s="1"/>
  <c r="F64" i="7" a="1"/>
  <c r="F64" i="7" s="1"/>
  <c r="I65" i="7" a="1"/>
  <c r="I65" i="7" s="1"/>
  <c r="F68" i="7" a="1"/>
  <c r="F68" i="7" s="1"/>
  <c r="I69" i="7" a="1"/>
  <c r="I69" i="7" s="1"/>
  <c r="F72" i="7" a="1"/>
  <c r="F72" i="7" s="1"/>
  <c r="I73" i="7" a="1"/>
  <c r="I73" i="7" s="1"/>
  <c r="F76" i="7" a="1"/>
  <c r="F76" i="7" s="1"/>
  <c r="I77" i="7" a="1"/>
  <c r="I77" i="7" s="1"/>
  <c r="F80" i="7" a="1"/>
  <c r="F80" i="7" s="1"/>
  <c r="I81" i="7" a="1"/>
  <c r="I81" i="7" s="1"/>
  <c r="F84" i="7" a="1"/>
  <c r="F84" i="7" s="1"/>
  <c r="I85" i="7" a="1"/>
  <c r="I85" i="7" s="1"/>
  <c r="F88" i="7" a="1"/>
  <c r="F88" i="7" s="1"/>
  <c r="I89" i="7" a="1"/>
  <c r="I89" i="7" s="1"/>
  <c r="F92" i="7" a="1"/>
  <c r="F92" i="7" s="1"/>
  <c r="I93" i="7" a="1"/>
  <c r="I93" i="7" s="1"/>
  <c r="F96" i="7" a="1"/>
  <c r="F96" i="7" s="1"/>
  <c r="I97" i="7" a="1"/>
  <c r="I97" i="7" s="1"/>
  <c r="F100" i="7" a="1"/>
  <c r="F100" i="7" s="1"/>
  <c r="I101" i="7" a="1"/>
  <c r="I101" i="7" s="1"/>
  <c r="F104" i="7" a="1"/>
  <c r="F104" i="7" s="1"/>
  <c r="I105" i="7" a="1"/>
  <c r="I105" i="7" s="1"/>
  <c r="F108" i="7" a="1"/>
  <c r="F108" i="7" s="1"/>
  <c r="I109" i="7" a="1"/>
  <c r="I109" i="7" s="1"/>
  <c r="F112" i="7" a="1"/>
  <c r="F112" i="7" s="1"/>
  <c r="I113" i="7" a="1"/>
  <c r="I113" i="7" s="1"/>
  <c r="F116" i="7" a="1"/>
  <c r="F116" i="7" s="1"/>
  <c r="I117" i="7" a="1"/>
  <c r="I117" i="7" s="1"/>
  <c r="F120" i="7" a="1"/>
  <c r="F120" i="7" s="1"/>
  <c r="I121" i="7" a="1"/>
  <c r="I121" i="7" s="1"/>
  <c r="F124" i="7" a="1"/>
  <c r="F124" i="7" s="1"/>
  <c r="I125" i="7" a="1"/>
  <c r="I125" i="7" s="1"/>
  <c r="F128" i="7" a="1"/>
  <c r="F128" i="7" s="1"/>
  <c r="I129" i="7" a="1"/>
  <c r="I129" i="7" s="1"/>
  <c r="F132" i="7" a="1"/>
  <c r="F132" i="7" s="1"/>
  <c r="I133" i="7" a="1"/>
  <c r="I133" i="7" s="1"/>
  <c r="F136" i="7" a="1"/>
  <c r="F136" i="7" s="1"/>
  <c r="I137" i="7" a="1"/>
  <c r="I137" i="7" s="1"/>
  <c r="F140" i="7" a="1"/>
  <c r="F140" i="7" s="1"/>
  <c r="I141" i="7" a="1"/>
  <c r="I141" i="7" s="1"/>
  <c r="F144" i="7" a="1"/>
  <c r="F144" i="7" s="1"/>
  <c r="I145" i="7" a="1"/>
  <c r="I145" i="7" s="1"/>
  <c r="F148" i="7" a="1"/>
  <c r="F148" i="7" s="1"/>
  <c r="I149" i="7" a="1"/>
  <c r="I149" i="7" s="1"/>
  <c r="F152" i="7" a="1"/>
  <c r="F152" i="7" s="1"/>
  <c r="I153" i="7" a="1"/>
  <c r="I153" i="7" s="1"/>
  <c r="F156" i="7" a="1"/>
  <c r="F156" i="7" s="1"/>
  <c r="I157" i="7" a="1"/>
  <c r="I157" i="7" s="1"/>
  <c r="F160" i="7" a="1"/>
  <c r="F160" i="7" s="1"/>
  <c r="I161" i="7" a="1"/>
  <c r="I161" i="7" s="1"/>
  <c r="F164" i="7" a="1"/>
  <c r="F164" i="7" s="1"/>
  <c r="I165" i="7" a="1"/>
  <c r="I165" i="7" s="1"/>
  <c r="F168" i="7" a="1"/>
  <c r="F168" i="7" s="1"/>
  <c r="I169" i="7" a="1"/>
  <c r="I169" i="7" s="1"/>
  <c r="F172" i="7" a="1"/>
  <c r="F172" i="7" s="1"/>
  <c r="I173" i="7" a="1"/>
  <c r="I173" i="7" s="1"/>
  <c r="F176" i="7" a="1"/>
  <c r="F176" i="7" s="1"/>
  <c r="I177" i="7" a="1"/>
  <c r="I177" i="7" s="1"/>
  <c r="F180" i="7" a="1"/>
  <c r="F180" i="7" s="1"/>
  <c r="I181" i="7" a="1"/>
  <c r="I181" i="7" s="1"/>
  <c r="H9" i="7" a="1"/>
  <c r="H9" i="7" s="1"/>
  <c r="E11" i="7" a="1"/>
  <c r="E11" i="7" s="1"/>
  <c r="D13" i="7" a="1"/>
  <c r="D13" i="7" s="1"/>
  <c r="K16" i="7" a="1"/>
  <c r="K16" i="7" s="1"/>
  <c r="I18" i="7" a="1"/>
  <c r="I18" i="7" s="1"/>
  <c r="F20" i="7" a="1"/>
  <c r="F20" i="7" s="1"/>
  <c r="J23" i="7" a="1"/>
  <c r="J23" i="7" s="1"/>
  <c r="H25" i="7" a="1"/>
  <c r="H25" i="7" s="1"/>
  <c r="D27" i="7" a="1"/>
  <c r="D27" i="7" s="1"/>
  <c r="J28" i="7" a="1"/>
  <c r="J28" i="7" s="1"/>
  <c r="E30" i="7" a="1"/>
  <c r="E30" i="7" s="1"/>
  <c r="I31" i="7" a="1"/>
  <c r="I31" i="7" s="1"/>
  <c r="D33" i="7" a="1"/>
  <c r="D33" i="7" s="1"/>
  <c r="I34" i="7" a="1"/>
  <c r="I34" i="7" s="1"/>
  <c r="D36" i="7" a="1"/>
  <c r="D36" i="7" s="1"/>
  <c r="H37" i="7" a="1"/>
  <c r="H37" i="7" s="1"/>
  <c r="G40" i="7" a="1"/>
  <c r="G40" i="7" s="1"/>
  <c r="J41" i="7" a="1"/>
  <c r="J41" i="7" s="1"/>
  <c r="D43" i="7" a="1"/>
  <c r="D43" i="7" s="1"/>
  <c r="G44" i="7" a="1"/>
  <c r="G44" i="7" s="1"/>
  <c r="J45" i="7" a="1"/>
  <c r="J45" i="7" s="1"/>
  <c r="D47" i="7" a="1"/>
  <c r="D47" i="7" s="1"/>
  <c r="G48" i="7" a="1"/>
  <c r="G48" i="7" s="1"/>
  <c r="J49" i="7" a="1"/>
  <c r="J49" i="7" s="1"/>
  <c r="D51" i="7" a="1"/>
  <c r="D51" i="7" s="1"/>
  <c r="G52" i="7" a="1"/>
  <c r="G52" i="7" s="1"/>
  <c r="J53" i="7" a="1"/>
  <c r="J53" i="7" s="1"/>
  <c r="D55" i="7" a="1"/>
  <c r="D55" i="7" s="1"/>
  <c r="G56" i="7" a="1"/>
  <c r="G56" i="7" s="1"/>
  <c r="J57" i="7" a="1"/>
  <c r="J57" i="7" s="1"/>
  <c r="D59" i="7" a="1"/>
  <c r="D59" i="7" s="1"/>
  <c r="G60" i="7" a="1"/>
  <c r="G60" i="7" s="1"/>
  <c r="J61" i="7" a="1"/>
  <c r="J61" i="7" s="1"/>
  <c r="D63" i="7" a="1"/>
  <c r="D63" i="7" s="1"/>
  <c r="G64" i="7" a="1"/>
  <c r="G64" i="7" s="1"/>
  <c r="J65" i="7" a="1"/>
  <c r="J65" i="7" s="1"/>
  <c r="D67" i="7" a="1"/>
  <c r="D67" i="7" s="1"/>
  <c r="G68" i="7" a="1"/>
  <c r="G68" i="7" s="1"/>
  <c r="J69" i="7" a="1"/>
  <c r="J69" i="7" s="1"/>
  <c r="D71" i="7" a="1"/>
  <c r="D71" i="7" s="1"/>
  <c r="G72" i="7" a="1"/>
  <c r="G72" i="7" s="1"/>
  <c r="J73" i="7" a="1"/>
  <c r="J73" i="7" s="1"/>
  <c r="D75" i="7" a="1"/>
  <c r="D75" i="7" s="1"/>
  <c r="G76" i="7" a="1"/>
  <c r="G76" i="7" s="1"/>
  <c r="J77" i="7" a="1"/>
  <c r="J77" i="7" s="1"/>
  <c r="D79" i="7" a="1"/>
  <c r="D79" i="7" s="1"/>
  <c r="G80" i="7" a="1"/>
  <c r="G80" i="7" s="1"/>
  <c r="J101" i="7" a="1"/>
  <c r="J101" i="7" s="1"/>
  <c r="G105" i="7" a="1"/>
  <c r="G105" i="7" s="1"/>
  <c r="G111" i="7" a="1"/>
  <c r="G111" i="7" s="1"/>
  <c r="H116" i="7" a="1"/>
  <c r="H116" i="7" s="1"/>
  <c r="J118" i="7" a="1"/>
  <c r="J118" i="7" s="1"/>
  <c r="K120" i="7" a="1"/>
  <c r="K120" i="7" s="1"/>
  <c r="K124" i="7" a="1"/>
  <c r="K124" i="7" s="1"/>
  <c r="K126" i="7" a="1"/>
  <c r="K126" i="7" s="1"/>
  <c r="J128" i="7" a="1"/>
  <c r="J128" i="7" s="1"/>
  <c r="J130" i="7" a="1"/>
  <c r="J130" i="7" s="1"/>
  <c r="H132" i="7" a="1"/>
  <c r="H132" i="7" s="1"/>
  <c r="H134" i="7" a="1"/>
  <c r="H134" i="7" s="1"/>
  <c r="G136" i="7" a="1"/>
  <c r="G136" i="7" s="1"/>
  <c r="H139" i="7" a="1"/>
  <c r="H139" i="7" s="1"/>
  <c r="F141" i="7" a="1"/>
  <c r="F141" i="7" s="1"/>
  <c r="I144" i="7" a="1"/>
  <c r="I144" i="7" s="1"/>
  <c r="E146" i="7" a="1"/>
  <c r="E146" i="7" s="1"/>
  <c r="J147" i="7" a="1"/>
  <c r="J147" i="7" s="1"/>
  <c r="E149" i="7" a="1"/>
  <c r="E149" i="7" s="1"/>
  <c r="J150" i="7" a="1"/>
  <c r="J150" i="7" s="1"/>
  <c r="E152" i="7" a="1"/>
  <c r="E152" i="7" s="1"/>
  <c r="J153" i="7" a="1"/>
  <c r="J153" i="7" s="1"/>
  <c r="E155" i="7" a="1"/>
  <c r="E155" i="7" s="1"/>
  <c r="J156" i="7" a="1"/>
  <c r="J156" i="7" s="1"/>
  <c r="E158" i="7" a="1"/>
  <c r="E158" i="7" s="1"/>
  <c r="J159" i="7" a="1"/>
  <c r="J159" i="7" s="1"/>
  <c r="E161" i="7" a="1"/>
  <c r="E161" i="7" s="1"/>
  <c r="J162" i="7" a="1"/>
  <c r="J162" i="7" s="1"/>
  <c r="E164" i="7" a="1"/>
  <c r="E164" i="7" s="1"/>
  <c r="J165" i="7" a="1"/>
  <c r="J165" i="7" s="1"/>
  <c r="E167" i="7" a="1"/>
  <c r="E167" i="7" s="1"/>
  <c r="J168" i="7" a="1"/>
  <c r="J168" i="7" s="1"/>
  <c r="E170" i="7" a="1"/>
  <c r="E170" i="7" s="1"/>
  <c r="J171" i="7" a="1"/>
  <c r="J171" i="7" s="1"/>
  <c r="E173" i="7" a="1"/>
  <c r="E173" i="7" s="1"/>
  <c r="J174" i="7" a="1"/>
  <c r="J174" i="7" s="1"/>
  <c r="E176" i="7" a="1"/>
  <c r="E176" i="7" s="1"/>
  <c r="J177" i="7" a="1"/>
  <c r="J177" i="7" s="1"/>
  <c r="E179" i="7" a="1"/>
  <c r="E179" i="7" s="1"/>
  <c r="J180" i="7" a="1"/>
  <c r="J180" i="7" s="1"/>
  <c r="E182" i="7" a="1"/>
  <c r="E182" i="7" s="1"/>
  <c r="H183" i="7" a="1"/>
  <c r="H183" i="7" s="1"/>
  <c r="K184" i="7" a="1"/>
  <c r="K184" i="7" s="1"/>
  <c r="E186" i="7" a="1"/>
  <c r="E186" i="7" s="1"/>
  <c r="H187" i="7" a="1"/>
  <c r="H187" i="7" s="1"/>
  <c r="K188" i="7" a="1"/>
  <c r="K188" i="7" s="1"/>
  <c r="E190" i="7" a="1"/>
  <c r="E190" i="7" s="1"/>
  <c r="H191" i="7" a="1"/>
  <c r="H191" i="7" s="1"/>
  <c r="K192" i="7" a="1"/>
  <c r="K192" i="7" s="1"/>
  <c r="E194" i="7" a="1"/>
  <c r="E194" i="7" s="1"/>
  <c r="H195" i="7" a="1"/>
  <c r="H195" i="7" s="1"/>
  <c r="K196" i="7" a="1"/>
  <c r="K196" i="7" s="1"/>
  <c r="E198" i="7" a="1"/>
  <c r="E198" i="7" s="1"/>
  <c r="H199" i="7" a="1"/>
  <c r="H199" i="7" s="1"/>
  <c r="K200" i="7" a="1"/>
  <c r="K200" i="7" s="1"/>
  <c r="E202" i="7" a="1"/>
  <c r="E202" i="7" s="1"/>
  <c r="H203" i="7" a="1"/>
  <c r="H203" i="7" s="1"/>
  <c r="K204" i="7" a="1"/>
  <c r="K204" i="7" s="1"/>
  <c r="E206" i="7" a="1"/>
  <c r="E206" i="7" s="1"/>
  <c r="H207" i="7" a="1"/>
  <c r="H207" i="7" s="1"/>
  <c r="K208" i="7" a="1"/>
  <c r="K208" i="7" s="1"/>
  <c r="E210" i="7" a="1"/>
  <c r="E210" i="7" s="1"/>
  <c r="H211" i="7" a="1"/>
  <c r="H211" i="7" s="1"/>
  <c r="K212" i="7" a="1"/>
  <c r="K212" i="7" s="1"/>
  <c r="E214" i="7" a="1"/>
  <c r="E214" i="7" s="1"/>
  <c r="H215" i="7" a="1"/>
  <c r="H215" i="7" s="1"/>
  <c r="K216" i="7" a="1"/>
  <c r="K216" i="7" s="1"/>
  <c r="E218" i="7" a="1"/>
  <c r="E218" i="7" s="1"/>
  <c r="H219" i="7" a="1"/>
  <c r="H219" i="7" s="1"/>
  <c r="K220" i="7" a="1"/>
  <c r="K220" i="7" s="1"/>
  <c r="E222" i="7" a="1"/>
  <c r="E222" i="7" s="1"/>
  <c r="H223" i="7" a="1"/>
  <c r="H223" i="7" s="1"/>
  <c r="K224" i="7" a="1"/>
  <c r="K224" i="7" s="1"/>
  <c r="E226" i="7" a="1"/>
  <c r="E226" i="7" s="1"/>
  <c r="H227" i="7" a="1"/>
  <c r="H227" i="7" s="1"/>
  <c r="K228" i="7" a="1"/>
  <c r="K228" i="7" s="1"/>
  <c r="E230" i="7" a="1"/>
  <c r="E230" i="7" s="1"/>
  <c r="H231" i="7" a="1"/>
  <c r="H231" i="7" s="1"/>
  <c r="K232" i="7" a="1"/>
  <c r="K232" i="7" s="1"/>
  <c r="E234" i="7" a="1"/>
  <c r="E234" i="7" s="1"/>
  <c r="H235" i="7" a="1"/>
  <c r="H235" i="7" s="1"/>
  <c r="K236" i="7" a="1"/>
  <c r="K236" i="7" s="1"/>
  <c r="E238" i="7" a="1"/>
  <c r="E238" i="7" s="1"/>
  <c r="H239" i="7" a="1"/>
  <c r="H239" i="7" s="1"/>
  <c r="K240" i="7" a="1"/>
  <c r="K240" i="7" s="1"/>
  <c r="G84" i="7" a="1"/>
  <c r="G84" i="7" s="1"/>
  <c r="J89" i="7" a="1"/>
  <c r="J89" i="7" s="1"/>
  <c r="D94" i="7" a="1"/>
  <c r="D94" i="7" s="1"/>
  <c r="D98" i="7" a="1"/>
  <c r="D98" i="7" s="1"/>
  <c r="J105" i="7" a="1"/>
  <c r="J105" i="7" s="1"/>
  <c r="E109" i="7" a="1"/>
  <c r="E109" i="7" s="1"/>
  <c r="K111" i="7" a="1"/>
  <c r="K111" i="7" s="1"/>
  <c r="D114" i="7" a="1"/>
  <c r="D114" i="7" s="1"/>
  <c r="J116" i="7" a="1"/>
  <c r="J116" i="7" s="1"/>
  <c r="D123" i="7" a="1"/>
  <c r="D123" i="7" s="1"/>
  <c r="K128" i="7" a="1"/>
  <c r="K128" i="7" s="1"/>
  <c r="K130" i="7" a="1"/>
  <c r="K130" i="7" s="1"/>
  <c r="J132" i="7" a="1"/>
  <c r="J132" i="7" s="1"/>
  <c r="J134" i="7" a="1"/>
  <c r="J134" i="7" s="1"/>
  <c r="H136" i="7" a="1"/>
  <c r="H136" i="7" s="1"/>
  <c r="D138" i="7" a="1"/>
  <c r="D138" i="7" s="1"/>
  <c r="K139" i="7" a="1"/>
  <c r="K139" i="7" s="1"/>
  <c r="G141" i="7" a="1"/>
  <c r="G141" i="7" s="1"/>
  <c r="D143" i="7" a="1"/>
  <c r="D143" i="7" s="1"/>
  <c r="J144" i="7" a="1"/>
  <c r="J144" i="7" s="1"/>
  <c r="G146" i="7" a="1"/>
  <c r="G146" i="7" s="1"/>
  <c r="K147" i="7" a="1"/>
  <c r="K147" i="7" s="1"/>
  <c r="F149" i="7" a="1"/>
  <c r="F149" i="7" s="1"/>
  <c r="K150" i="7" a="1"/>
  <c r="K150" i="7" s="1"/>
  <c r="G152" i="7" a="1"/>
  <c r="G152" i="7" s="1"/>
  <c r="K153" i="7" a="1"/>
  <c r="K153" i="7" s="1"/>
  <c r="F155" i="7" a="1"/>
  <c r="F155" i="7" s="1"/>
  <c r="K156" i="7" a="1"/>
  <c r="K156" i="7" s="1"/>
  <c r="G158" i="7" a="1"/>
  <c r="G158" i="7" s="1"/>
  <c r="K159" i="7" a="1"/>
  <c r="K159" i="7" s="1"/>
  <c r="F161" i="7" a="1"/>
  <c r="F161" i="7" s="1"/>
  <c r="K162" i="7" a="1"/>
  <c r="K162" i="7" s="1"/>
  <c r="G164" i="7" a="1"/>
  <c r="G164" i="7" s="1"/>
  <c r="K165" i="7" a="1"/>
  <c r="K165" i="7" s="1"/>
  <c r="F167" i="7" a="1"/>
  <c r="F167" i="7" s="1"/>
  <c r="K168" i="7" a="1"/>
  <c r="K168" i="7" s="1"/>
  <c r="G170" i="7" a="1"/>
  <c r="G170" i="7" s="1"/>
  <c r="K171" i="7" a="1"/>
  <c r="K171" i="7" s="1"/>
  <c r="F173" i="7" a="1"/>
  <c r="F173" i="7" s="1"/>
  <c r="K174" i="7" a="1"/>
  <c r="K174" i="7" s="1"/>
  <c r="G176" i="7" a="1"/>
  <c r="G176" i="7" s="1"/>
  <c r="K177" i="7" a="1"/>
  <c r="K177" i="7" s="1"/>
  <c r="F179" i="7" a="1"/>
  <c r="F179" i="7" s="1"/>
  <c r="K180" i="7" a="1"/>
  <c r="K180" i="7" s="1"/>
  <c r="F182" i="7" a="1"/>
  <c r="F182" i="7" s="1"/>
  <c r="I183" i="7" a="1"/>
  <c r="I183" i="7" s="1"/>
  <c r="F186" i="7" a="1"/>
  <c r="F186" i="7" s="1"/>
  <c r="I187" i="7" a="1"/>
  <c r="I187" i="7" s="1"/>
  <c r="F190" i="7" a="1"/>
  <c r="F190" i="7" s="1"/>
  <c r="I191" i="7" a="1"/>
  <c r="I191" i="7" s="1"/>
  <c r="F194" i="7" a="1"/>
  <c r="F194" i="7" s="1"/>
  <c r="I195" i="7" a="1"/>
  <c r="I195" i="7" s="1"/>
  <c r="F198" i="7" a="1"/>
  <c r="F198" i="7" s="1"/>
  <c r="I199" i="7" a="1"/>
  <c r="I199" i="7" s="1"/>
  <c r="F202" i="7" a="1"/>
  <c r="F202" i="7" s="1"/>
  <c r="I203" i="7" a="1"/>
  <c r="I203" i="7" s="1"/>
  <c r="F206" i="7" a="1"/>
  <c r="F206" i="7" s="1"/>
  <c r="I207" i="7" a="1"/>
  <c r="I207" i="7" s="1"/>
  <c r="F210" i="7" a="1"/>
  <c r="F210" i="7" s="1"/>
  <c r="I211" i="7" a="1"/>
  <c r="I211" i="7" s="1"/>
  <c r="F214" i="7" a="1"/>
  <c r="F214" i="7" s="1"/>
  <c r="I215" i="7" a="1"/>
  <c r="I215" i="7" s="1"/>
  <c r="F218" i="7" a="1"/>
  <c r="F218" i="7" s="1"/>
  <c r="I219" i="7" a="1"/>
  <c r="I219" i="7" s="1"/>
  <c r="F222" i="7" a="1"/>
  <c r="F222" i="7" s="1"/>
  <c r="I223" i="7" a="1"/>
  <c r="I223" i="7" s="1"/>
  <c r="F226" i="7" a="1"/>
  <c r="F226" i="7" s="1"/>
  <c r="I227" i="7" a="1"/>
  <c r="I227" i="7" s="1"/>
  <c r="F230" i="7" a="1"/>
  <c r="F230" i="7" s="1"/>
  <c r="I231" i="7" a="1"/>
  <c r="I231" i="7" s="1"/>
  <c r="F234" i="7" a="1"/>
  <c r="F234" i="7" s="1"/>
  <c r="I235" i="7" a="1"/>
  <c r="I235" i="7" s="1"/>
  <c r="F238" i="7" a="1"/>
  <c r="F238" i="7" s="1"/>
  <c r="I239" i="7" a="1"/>
  <c r="I239" i="7" s="1"/>
  <c r="F242" i="7" a="1"/>
  <c r="F242" i="7" s="1"/>
  <c r="I243" i="7" a="1"/>
  <c r="I243" i="7" s="1"/>
  <c r="J98" i="7" a="1"/>
  <c r="J98" i="7" s="1"/>
  <c r="D102" i="7" a="1"/>
  <c r="D102" i="7" s="1"/>
  <c r="G109" i="7" a="1"/>
  <c r="G109" i="7" s="1"/>
  <c r="H114" i="7" a="1"/>
  <c r="H114" i="7" s="1"/>
  <c r="K116" i="7" a="1"/>
  <c r="K116" i="7" s="1"/>
  <c r="D119" i="7" a="1"/>
  <c r="D119" i="7" s="1"/>
  <c r="E121" i="7" a="1"/>
  <c r="E121" i="7" s="1"/>
  <c r="E123" i="7" a="1"/>
  <c r="E123" i="7" s="1"/>
  <c r="E125" i="7" a="1"/>
  <c r="E125" i="7" s="1"/>
  <c r="D127" i="7" a="1"/>
  <c r="D127" i="7" s="1"/>
  <c r="K132" i="7" a="1"/>
  <c r="K132" i="7" s="1"/>
  <c r="K134" i="7" a="1"/>
  <c r="K134" i="7" s="1"/>
  <c r="I136" i="7" a="1"/>
  <c r="I136" i="7" s="1"/>
  <c r="E138" i="7" a="1"/>
  <c r="E138" i="7" s="1"/>
  <c r="H141" i="7" a="1"/>
  <c r="H141" i="7" s="1"/>
  <c r="E143" i="7" a="1"/>
  <c r="E143" i="7" s="1"/>
  <c r="K144" i="7" a="1"/>
  <c r="K144" i="7" s="1"/>
  <c r="H146" i="7" a="1"/>
  <c r="H146" i="7" s="1"/>
  <c r="G149" i="7" a="1"/>
  <c r="G149" i="7" s="1"/>
  <c r="H152" i="7" a="1"/>
  <c r="H152" i="7" s="1"/>
  <c r="G155" i="7" a="1"/>
  <c r="G155" i="7" s="1"/>
  <c r="H158" i="7" a="1"/>
  <c r="H158" i="7" s="1"/>
  <c r="G161" i="7" a="1"/>
  <c r="G161" i="7" s="1"/>
  <c r="H164" i="7" a="1"/>
  <c r="H164" i="7" s="1"/>
  <c r="G167" i="7" a="1"/>
  <c r="G167" i="7" s="1"/>
  <c r="H170" i="7" a="1"/>
  <c r="H170" i="7" s="1"/>
  <c r="G173" i="7" a="1"/>
  <c r="G173" i="7" s="1"/>
  <c r="H176" i="7" a="1"/>
  <c r="H176" i="7" s="1"/>
  <c r="G179" i="7" a="1"/>
  <c r="G179" i="7" s="1"/>
  <c r="G182" i="7" a="1"/>
  <c r="G182" i="7" s="1"/>
  <c r="J183" i="7" a="1"/>
  <c r="J183" i="7" s="1"/>
  <c r="D185" i="7" a="1"/>
  <c r="D185" i="7" s="1"/>
  <c r="G186" i="7" a="1"/>
  <c r="G186" i="7" s="1"/>
  <c r="J187" i="7" a="1"/>
  <c r="J187" i="7" s="1"/>
  <c r="D189" i="7" a="1"/>
  <c r="D189" i="7" s="1"/>
  <c r="G190" i="7" a="1"/>
  <c r="G190" i="7" s="1"/>
  <c r="J191" i="7" a="1"/>
  <c r="J191" i="7" s="1"/>
  <c r="D193" i="7" a="1"/>
  <c r="D193" i="7" s="1"/>
  <c r="G194" i="7" a="1"/>
  <c r="G194" i="7" s="1"/>
  <c r="J195" i="7" a="1"/>
  <c r="J195" i="7" s="1"/>
  <c r="D197" i="7" a="1"/>
  <c r="D197" i="7" s="1"/>
  <c r="G198" i="7" a="1"/>
  <c r="G198" i="7" s="1"/>
  <c r="J199" i="7" a="1"/>
  <c r="J199" i="7" s="1"/>
  <c r="D201" i="7" a="1"/>
  <c r="D201" i="7" s="1"/>
  <c r="G202" i="7" a="1"/>
  <c r="G202" i="7" s="1"/>
  <c r="J203" i="7" a="1"/>
  <c r="J203" i="7" s="1"/>
  <c r="D205" i="7" a="1"/>
  <c r="D205" i="7" s="1"/>
  <c r="G206" i="7" a="1"/>
  <c r="G206" i="7" s="1"/>
  <c r="J207" i="7" a="1"/>
  <c r="J207" i="7" s="1"/>
  <c r="D209" i="7" a="1"/>
  <c r="D209" i="7" s="1"/>
  <c r="G210" i="7" a="1"/>
  <c r="G210" i="7" s="1"/>
  <c r="J211" i="7" a="1"/>
  <c r="J211" i="7" s="1"/>
  <c r="D213" i="7" a="1"/>
  <c r="D213" i="7" s="1"/>
  <c r="G214" i="7" a="1"/>
  <c r="G214" i="7" s="1"/>
  <c r="J215" i="7" a="1"/>
  <c r="J215" i="7" s="1"/>
  <c r="D217" i="7" a="1"/>
  <c r="D217" i="7" s="1"/>
  <c r="G218" i="7" a="1"/>
  <c r="G218" i="7" s="1"/>
  <c r="J219" i="7" a="1"/>
  <c r="J219" i="7" s="1"/>
  <c r="D221" i="7" a="1"/>
  <c r="D221" i="7" s="1"/>
  <c r="G222" i="7" a="1"/>
  <c r="G222" i="7" s="1"/>
  <c r="J223" i="7" a="1"/>
  <c r="J223" i="7" s="1"/>
  <c r="D225" i="7" a="1"/>
  <c r="D225" i="7" s="1"/>
  <c r="G226" i="7" a="1"/>
  <c r="G226" i="7" s="1"/>
  <c r="J227" i="7" a="1"/>
  <c r="J227" i="7" s="1"/>
  <c r="D229" i="7" a="1"/>
  <c r="D229" i="7" s="1"/>
  <c r="G230" i="7" a="1"/>
  <c r="G230" i="7" s="1"/>
  <c r="J231" i="7" a="1"/>
  <c r="J231" i="7" s="1"/>
  <c r="D233" i="7" a="1"/>
  <c r="D233" i="7" s="1"/>
  <c r="G234" i="7" a="1"/>
  <c r="G234" i="7" s="1"/>
  <c r="J235" i="7" a="1"/>
  <c r="J235" i="7" s="1"/>
  <c r="D237" i="7" a="1"/>
  <c r="D237" i="7" s="1"/>
  <c r="G238" i="7" a="1"/>
  <c r="G238" i="7" s="1"/>
  <c r="J85" i="7" a="1"/>
  <c r="J85" i="7" s="1"/>
  <c r="D90" i="7" a="1"/>
  <c r="D90" i="7" s="1"/>
  <c r="D95" i="7" a="1"/>
  <c r="D95" i="7" s="1"/>
  <c r="J102" i="7" a="1"/>
  <c r="J102" i="7" s="1"/>
  <c r="D106" i="7" a="1"/>
  <c r="D106" i="7" s="1"/>
  <c r="J109" i="7" a="1"/>
  <c r="J109" i="7" s="1"/>
  <c r="D112" i="7" a="1"/>
  <c r="D112" i="7" s="1"/>
  <c r="J114" i="7" a="1"/>
  <c r="J114" i="7" s="1"/>
  <c r="E119" i="7" a="1"/>
  <c r="E119" i="7" s="1"/>
  <c r="G121" i="7" a="1"/>
  <c r="G121" i="7" s="1"/>
  <c r="G123" i="7" a="1"/>
  <c r="G123" i="7" s="1"/>
  <c r="G125" i="7" a="1"/>
  <c r="G125" i="7" s="1"/>
  <c r="E127" i="7" a="1"/>
  <c r="E127" i="7" s="1"/>
  <c r="E129" i="7" a="1"/>
  <c r="E129" i="7" s="1"/>
  <c r="D131" i="7" a="1"/>
  <c r="D131" i="7" s="1"/>
  <c r="J136" i="7" a="1"/>
  <c r="J136" i="7" s="1"/>
  <c r="H138" i="7" a="1"/>
  <c r="H138" i="7" s="1"/>
  <c r="D140" i="7" a="1"/>
  <c r="D140" i="7" s="1"/>
  <c r="J141" i="7" a="1"/>
  <c r="J141" i="7" s="1"/>
  <c r="F143" i="7" a="1"/>
  <c r="F143" i="7" s="1"/>
  <c r="I146" i="7" a="1"/>
  <c r="I146" i="7" s="1"/>
  <c r="D148" i="7" a="1"/>
  <c r="D148" i="7" s="1"/>
  <c r="H149" i="7" a="1"/>
  <c r="H149" i="7" s="1"/>
  <c r="D151" i="7" a="1"/>
  <c r="D151" i="7" s="1"/>
  <c r="I152" i="7" a="1"/>
  <c r="I152" i="7" s="1"/>
  <c r="D154" i="7" a="1"/>
  <c r="D154" i="7" s="1"/>
  <c r="H155" i="7" a="1"/>
  <c r="H155" i="7" s="1"/>
  <c r="D157" i="7" a="1"/>
  <c r="D157" i="7" s="1"/>
  <c r="I158" i="7" a="1"/>
  <c r="I158" i="7" s="1"/>
  <c r="D160" i="7" a="1"/>
  <c r="D160" i="7" s="1"/>
  <c r="H161" i="7" a="1"/>
  <c r="H161" i="7" s="1"/>
  <c r="D163" i="7" a="1"/>
  <c r="D163" i="7" s="1"/>
  <c r="I164" i="7" a="1"/>
  <c r="I164" i="7" s="1"/>
  <c r="D166" i="7" a="1"/>
  <c r="D166" i="7" s="1"/>
  <c r="H167" i="7" a="1"/>
  <c r="H167" i="7" s="1"/>
  <c r="D169" i="7" a="1"/>
  <c r="D169" i="7" s="1"/>
  <c r="I170" i="7" a="1"/>
  <c r="I170" i="7" s="1"/>
  <c r="D172" i="7" a="1"/>
  <c r="D172" i="7" s="1"/>
  <c r="H173" i="7" a="1"/>
  <c r="H173" i="7" s="1"/>
  <c r="D175" i="7" a="1"/>
  <c r="D175" i="7" s="1"/>
  <c r="I176" i="7" a="1"/>
  <c r="I176" i="7" s="1"/>
  <c r="D178" i="7" a="1"/>
  <c r="D178" i="7" s="1"/>
  <c r="H179" i="7" a="1"/>
  <c r="H179" i="7" s="1"/>
  <c r="D181" i="7" a="1"/>
  <c r="D181" i="7" s="1"/>
  <c r="H182" i="7" a="1"/>
  <c r="H182" i="7" s="1"/>
  <c r="K183" i="7" a="1"/>
  <c r="K183" i="7" s="1"/>
  <c r="E185" i="7" a="1"/>
  <c r="E185" i="7" s="1"/>
  <c r="H186" i="7" a="1"/>
  <c r="H186" i="7" s="1"/>
  <c r="K187" i="7" a="1"/>
  <c r="K187" i="7" s="1"/>
  <c r="E189" i="7" a="1"/>
  <c r="E189" i="7" s="1"/>
  <c r="H190" i="7" a="1"/>
  <c r="H190" i="7" s="1"/>
  <c r="K191" i="7" a="1"/>
  <c r="K191" i="7" s="1"/>
  <c r="E193" i="7" a="1"/>
  <c r="E193" i="7" s="1"/>
  <c r="H194" i="7" a="1"/>
  <c r="H194" i="7" s="1"/>
  <c r="K195" i="7" a="1"/>
  <c r="K195" i="7" s="1"/>
  <c r="E197" i="7" a="1"/>
  <c r="E197" i="7" s="1"/>
  <c r="H198" i="7" a="1"/>
  <c r="H198" i="7" s="1"/>
  <c r="K199" i="7" a="1"/>
  <c r="K199" i="7" s="1"/>
  <c r="E201" i="7" a="1"/>
  <c r="E201" i="7" s="1"/>
  <c r="H202" i="7" a="1"/>
  <c r="H202" i="7" s="1"/>
  <c r="K203" i="7" a="1"/>
  <c r="K203" i="7" s="1"/>
  <c r="E205" i="7" a="1"/>
  <c r="E205" i="7" s="1"/>
  <c r="H206" i="7" a="1"/>
  <c r="H206" i="7" s="1"/>
  <c r="K207" i="7" a="1"/>
  <c r="K207" i="7" s="1"/>
  <c r="E209" i="7" a="1"/>
  <c r="E209" i="7" s="1"/>
  <c r="H210" i="7" a="1"/>
  <c r="H210" i="7" s="1"/>
  <c r="K211" i="7" a="1"/>
  <c r="K211" i="7" s="1"/>
  <c r="E213" i="7" a="1"/>
  <c r="E213" i="7" s="1"/>
  <c r="H214" i="7" a="1"/>
  <c r="H214" i="7" s="1"/>
  <c r="K215" i="7" a="1"/>
  <c r="K215" i="7" s="1"/>
  <c r="E217" i="7" a="1"/>
  <c r="E217" i="7" s="1"/>
  <c r="H218" i="7" a="1"/>
  <c r="H218" i="7" s="1"/>
  <c r="K219" i="7" a="1"/>
  <c r="K219" i="7" s="1"/>
  <c r="E221" i="7" a="1"/>
  <c r="E221" i="7" s="1"/>
  <c r="H222" i="7" a="1"/>
  <c r="H222" i="7" s="1"/>
  <c r="K223" i="7" a="1"/>
  <c r="K223" i="7" s="1"/>
  <c r="E225" i="7" a="1"/>
  <c r="E225" i="7" s="1"/>
  <c r="H226" i="7" a="1"/>
  <c r="H226" i="7" s="1"/>
  <c r="K227" i="7" a="1"/>
  <c r="K227" i="7" s="1"/>
  <c r="E229" i="7" a="1"/>
  <c r="E229" i="7" s="1"/>
  <c r="H230" i="7" a="1"/>
  <c r="H230" i="7" s="1"/>
  <c r="K231" i="7" a="1"/>
  <c r="K231" i="7" s="1"/>
  <c r="E233" i="7" a="1"/>
  <c r="E233" i="7" s="1"/>
  <c r="H234" i="7" a="1"/>
  <c r="H234" i="7" s="1"/>
  <c r="K235" i="7" a="1"/>
  <c r="K235" i="7" s="1"/>
  <c r="E237" i="7" a="1"/>
  <c r="E237" i="7" s="1"/>
  <c r="H238" i="7" a="1"/>
  <c r="H238" i="7" s="1"/>
  <c r="K239" i="7" a="1"/>
  <c r="K239" i="7" s="1"/>
  <c r="G95" i="7" a="1"/>
  <c r="G95" i="7" s="1"/>
  <c r="D99" i="7" a="1"/>
  <c r="D99" i="7" s="1"/>
  <c r="J106" i="7" a="1"/>
  <c r="J106" i="7" s="1"/>
  <c r="K109" i="7" a="1"/>
  <c r="K109" i="7" s="1"/>
  <c r="G112" i="7" a="1"/>
  <c r="G112" i="7" s="1"/>
  <c r="E117" i="7" a="1"/>
  <c r="E117" i="7" s="1"/>
  <c r="G119" i="7" a="1"/>
  <c r="G119" i="7" s="1"/>
  <c r="J121" i="7" a="1"/>
  <c r="J121" i="7" s="1"/>
  <c r="H123" i="7" a="1"/>
  <c r="H123" i="7" s="1"/>
  <c r="H125" i="7" a="1"/>
  <c r="H125" i="7" s="1"/>
  <c r="G127" i="7" a="1"/>
  <c r="G127" i="7" s="1"/>
  <c r="G129" i="7" a="1"/>
  <c r="G129" i="7" s="1"/>
  <c r="E131" i="7" a="1"/>
  <c r="E131" i="7" s="1"/>
  <c r="E133" i="7" a="1"/>
  <c r="E133" i="7" s="1"/>
  <c r="D135" i="7" a="1"/>
  <c r="D135" i="7" s="1"/>
  <c r="K136" i="7" a="1"/>
  <c r="K136" i="7" s="1"/>
  <c r="I138" i="7" a="1"/>
  <c r="I138" i="7" s="1"/>
  <c r="E140" i="7" a="1"/>
  <c r="E140" i="7" s="1"/>
  <c r="K141" i="7" a="1"/>
  <c r="K141" i="7" s="1"/>
  <c r="G143" i="7" a="1"/>
  <c r="G143" i="7" s="1"/>
  <c r="E145" i="7" a="1"/>
  <c r="E145" i="7" s="1"/>
  <c r="J146" i="7" a="1"/>
  <c r="J146" i="7" s="1"/>
  <c r="E148" i="7" a="1"/>
  <c r="E148" i="7" s="1"/>
  <c r="J149" i="7" a="1"/>
  <c r="J149" i="7" s="1"/>
  <c r="E151" i="7" a="1"/>
  <c r="E151" i="7" s="1"/>
  <c r="J152" i="7" a="1"/>
  <c r="J152" i="7" s="1"/>
  <c r="E154" i="7" a="1"/>
  <c r="E154" i="7" s="1"/>
  <c r="J155" i="7" a="1"/>
  <c r="J155" i="7" s="1"/>
  <c r="E157" i="7" a="1"/>
  <c r="E157" i="7" s="1"/>
  <c r="J158" i="7" a="1"/>
  <c r="J158" i="7" s="1"/>
  <c r="E160" i="7" a="1"/>
  <c r="E160" i="7" s="1"/>
  <c r="J161" i="7" a="1"/>
  <c r="J161" i="7" s="1"/>
  <c r="E163" i="7" a="1"/>
  <c r="E163" i="7" s="1"/>
  <c r="J164" i="7" a="1"/>
  <c r="J164" i="7" s="1"/>
  <c r="E166" i="7" a="1"/>
  <c r="E166" i="7" s="1"/>
  <c r="J167" i="7" a="1"/>
  <c r="J167" i="7" s="1"/>
  <c r="E169" i="7" a="1"/>
  <c r="E169" i="7" s="1"/>
  <c r="J170" i="7" a="1"/>
  <c r="J170" i="7" s="1"/>
  <c r="E172" i="7" a="1"/>
  <c r="E172" i="7" s="1"/>
  <c r="J173" i="7" a="1"/>
  <c r="J173" i="7" s="1"/>
  <c r="E175" i="7" a="1"/>
  <c r="E175" i="7" s="1"/>
  <c r="J176" i="7" a="1"/>
  <c r="J176" i="7" s="1"/>
  <c r="E178" i="7" a="1"/>
  <c r="E178" i="7" s="1"/>
  <c r="J179" i="7" a="1"/>
  <c r="J179" i="7" s="1"/>
  <c r="E181" i="7" a="1"/>
  <c r="E181" i="7" s="1"/>
  <c r="I182" i="7" a="1"/>
  <c r="I182" i="7" s="1"/>
  <c r="F185" i="7" a="1"/>
  <c r="F185" i="7" s="1"/>
  <c r="I186" i="7" a="1"/>
  <c r="I186" i="7" s="1"/>
  <c r="F189" i="7" a="1"/>
  <c r="F189" i="7" s="1"/>
  <c r="I190" i="7" a="1"/>
  <c r="I190" i="7" s="1"/>
  <c r="F193" i="7" a="1"/>
  <c r="F193" i="7" s="1"/>
  <c r="I194" i="7" a="1"/>
  <c r="I194" i="7" s="1"/>
  <c r="F197" i="7" a="1"/>
  <c r="F197" i="7" s="1"/>
  <c r="I198" i="7" a="1"/>
  <c r="I198" i="7" s="1"/>
  <c r="F201" i="7" a="1"/>
  <c r="F201" i="7" s="1"/>
  <c r="I202" i="7" a="1"/>
  <c r="I202" i="7" s="1"/>
  <c r="F205" i="7" a="1"/>
  <c r="F205" i="7" s="1"/>
  <c r="I206" i="7" a="1"/>
  <c r="I206" i="7" s="1"/>
  <c r="F209" i="7" a="1"/>
  <c r="F209" i="7" s="1"/>
  <c r="I210" i="7" a="1"/>
  <c r="I210" i="7" s="1"/>
  <c r="F213" i="7" a="1"/>
  <c r="F213" i="7" s="1"/>
  <c r="I214" i="7" a="1"/>
  <c r="I214" i="7" s="1"/>
  <c r="F217" i="7" a="1"/>
  <c r="F217" i="7" s="1"/>
  <c r="I218" i="7" a="1"/>
  <c r="I218" i="7" s="1"/>
  <c r="F221" i="7" a="1"/>
  <c r="F221" i="7" s="1"/>
  <c r="I222" i="7" a="1"/>
  <c r="I222" i="7" s="1"/>
  <c r="F225" i="7" a="1"/>
  <c r="F225" i="7" s="1"/>
  <c r="I226" i="7" a="1"/>
  <c r="I226" i="7" s="1"/>
  <c r="F229" i="7" a="1"/>
  <c r="F229" i="7" s="1"/>
  <c r="I230" i="7" a="1"/>
  <c r="I230" i="7" s="1"/>
  <c r="F233" i="7" a="1"/>
  <c r="F233" i="7" s="1"/>
  <c r="I234" i="7" a="1"/>
  <c r="I234" i="7" s="1"/>
  <c r="F237" i="7" a="1"/>
  <c r="F237" i="7" s="1"/>
  <c r="I238" i="7" a="1"/>
  <c r="I238" i="7" s="1"/>
  <c r="F241" i="7" a="1"/>
  <c r="F241" i="7" s="1"/>
  <c r="I242" i="7" a="1"/>
  <c r="I242" i="7" s="1"/>
  <c r="F245" i="7" a="1"/>
  <c r="F245" i="7" s="1"/>
  <c r="I246" i="7" a="1"/>
  <c r="I246" i="7" s="1"/>
  <c r="F249" i="7" a="1"/>
  <c r="F249" i="7" s="1"/>
  <c r="I250" i="7" a="1"/>
  <c r="I250" i="7" s="1"/>
  <c r="F253" i="7" a="1"/>
  <c r="F253" i="7" s="1"/>
  <c r="I254" i="7" a="1"/>
  <c r="I254" i="7" s="1"/>
  <c r="F257" i="7" a="1"/>
  <c r="F257" i="7" s="1"/>
  <c r="I258" i="7" a="1"/>
  <c r="I258" i="7" s="1"/>
  <c r="F261" i="7" a="1"/>
  <c r="F261" i="7" s="1"/>
  <c r="I262" i="7" a="1"/>
  <c r="I262" i="7" s="1"/>
  <c r="F265" i="7" a="1"/>
  <c r="F265" i="7" s="1"/>
  <c r="I266" i="7" a="1"/>
  <c r="I266" i="7" s="1"/>
  <c r="F269" i="7" a="1"/>
  <c r="F269" i="7" s="1"/>
  <c r="I270" i="7" a="1"/>
  <c r="I270" i="7" s="1"/>
  <c r="F273" i="7" a="1"/>
  <c r="F273" i="7" s="1"/>
  <c r="I274" i="7" a="1"/>
  <c r="I274" i="7" s="1"/>
  <c r="D86" i="7" a="1"/>
  <c r="D86" i="7" s="1"/>
  <c r="D91" i="7" a="1"/>
  <c r="D91" i="7" s="1"/>
  <c r="G99" i="7" a="1"/>
  <c r="G99" i="7" s="1"/>
  <c r="D103" i="7" a="1"/>
  <c r="D103" i="7" s="1"/>
  <c r="H112" i="7" a="1"/>
  <c r="H112" i="7" s="1"/>
  <c r="D115" i="7" a="1"/>
  <c r="D115" i="7" s="1"/>
  <c r="G117" i="7" a="1"/>
  <c r="G117" i="7" s="1"/>
  <c r="H119" i="7" a="1"/>
  <c r="H119" i="7" s="1"/>
  <c r="K121" i="7" a="1"/>
  <c r="K121" i="7" s="1"/>
  <c r="K123" i="7" a="1"/>
  <c r="K123" i="7" s="1"/>
  <c r="J125" i="7" a="1"/>
  <c r="J125" i="7" s="1"/>
  <c r="H127" i="7" a="1"/>
  <c r="H127" i="7" s="1"/>
  <c r="H129" i="7" a="1"/>
  <c r="H129" i="7" s="1"/>
  <c r="G131" i="7" a="1"/>
  <c r="G131" i="7" s="1"/>
  <c r="G133" i="7" a="1"/>
  <c r="G133" i="7" s="1"/>
  <c r="E135" i="7" a="1"/>
  <c r="E135" i="7" s="1"/>
  <c r="J138" i="7" a="1"/>
  <c r="J138" i="7" s="1"/>
  <c r="G140" i="7" a="1"/>
  <c r="G140" i="7" s="1"/>
  <c r="H143" i="7" a="1"/>
  <c r="H143" i="7" s="1"/>
  <c r="F145" i="7" a="1"/>
  <c r="F145" i="7" s="1"/>
  <c r="K146" i="7" a="1"/>
  <c r="K146" i="7" s="1"/>
  <c r="G148" i="7" a="1"/>
  <c r="G148" i="7" s="1"/>
  <c r="K149" i="7" a="1"/>
  <c r="K149" i="7" s="1"/>
  <c r="F151" i="7" a="1"/>
  <c r="F151" i="7" s="1"/>
  <c r="K152" i="7" a="1"/>
  <c r="K152" i="7" s="1"/>
  <c r="G154" i="7" a="1"/>
  <c r="G154" i="7" s="1"/>
  <c r="K155" i="7" a="1"/>
  <c r="K155" i="7" s="1"/>
  <c r="F157" i="7" a="1"/>
  <c r="F157" i="7" s="1"/>
  <c r="K158" i="7" a="1"/>
  <c r="K158" i="7" s="1"/>
  <c r="G160" i="7" a="1"/>
  <c r="G160" i="7" s="1"/>
  <c r="K161" i="7" a="1"/>
  <c r="K161" i="7" s="1"/>
  <c r="F163" i="7" a="1"/>
  <c r="F163" i="7" s="1"/>
  <c r="K164" i="7" a="1"/>
  <c r="K164" i="7" s="1"/>
  <c r="G166" i="7" a="1"/>
  <c r="G166" i="7" s="1"/>
  <c r="K167" i="7" a="1"/>
  <c r="K167" i="7" s="1"/>
  <c r="F169" i="7" a="1"/>
  <c r="F169" i="7" s="1"/>
  <c r="K170" i="7" a="1"/>
  <c r="K170" i="7" s="1"/>
  <c r="G172" i="7" a="1"/>
  <c r="G172" i="7" s="1"/>
  <c r="K173" i="7" a="1"/>
  <c r="K173" i="7" s="1"/>
  <c r="F175" i="7" a="1"/>
  <c r="F175" i="7" s="1"/>
  <c r="K176" i="7" a="1"/>
  <c r="K176" i="7" s="1"/>
  <c r="G178" i="7" a="1"/>
  <c r="G178" i="7" s="1"/>
  <c r="K179" i="7" a="1"/>
  <c r="K179" i="7" s="1"/>
  <c r="F181" i="7" a="1"/>
  <c r="F181" i="7" s="1"/>
  <c r="J182" i="7" a="1"/>
  <c r="J182" i="7" s="1"/>
  <c r="D184" i="7" a="1"/>
  <c r="D184" i="7" s="1"/>
  <c r="G185" i="7" a="1"/>
  <c r="G185" i="7" s="1"/>
  <c r="J186" i="7" a="1"/>
  <c r="J186" i="7" s="1"/>
  <c r="D188" i="7" a="1"/>
  <c r="D188" i="7" s="1"/>
  <c r="G189" i="7" a="1"/>
  <c r="G189" i="7" s="1"/>
  <c r="J190" i="7" a="1"/>
  <c r="J190" i="7" s="1"/>
  <c r="D192" i="7" a="1"/>
  <c r="D192" i="7" s="1"/>
  <c r="G193" i="7" a="1"/>
  <c r="G193" i="7" s="1"/>
  <c r="J194" i="7" a="1"/>
  <c r="J194" i="7" s="1"/>
  <c r="D196" i="7" a="1"/>
  <c r="D196" i="7" s="1"/>
  <c r="G197" i="7" a="1"/>
  <c r="G197" i="7" s="1"/>
  <c r="J198" i="7" a="1"/>
  <c r="J198" i="7" s="1"/>
  <c r="D200" i="7" a="1"/>
  <c r="D200" i="7" s="1"/>
  <c r="G201" i="7" a="1"/>
  <c r="G201" i="7" s="1"/>
  <c r="J202" i="7" a="1"/>
  <c r="J202" i="7" s="1"/>
  <c r="D204" i="7" a="1"/>
  <c r="D204" i="7" s="1"/>
  <c r="G205" i="7" a="1"/>
  <c r="G205" i="7" s="1"/>
  <c r="J206" i="7" a="1"/>
  <c r="J206" i="7" s="1"/>
  <c r="D208" i="7" a="1"/>
  <c r="D208" i="7" s="1"/>
  <c r="G209" i="7" a="1"/>
  <c r="G209" i="7" s="1"/>
  <c r="J210" i="7" a="1"/>
  <c r="J210" i="7" s="1"/>
  <c r="D212" i="7" a="1"/>
  <c r="D212" i="7" s="1"/>
  <c r="G213" i="7" a="1"/>
  <c r="G213" i="7" s="1"/>
  <c r="J214" i="7" a="1"/>
  <c r="J214" i="7" s="1"/>
  <c r="D216" i="7" a="1"/>
  <c r="D216" i="7" s="1"/>
  <c r="G217" i="7" a="1"/>
  <c r="G217" i="7" s="1"/>
  <c r="J218" i="7" a="1"/>
  <c r="J218" i="7" s="1"/>
  <c r="D220" i="7" a="1"/>
  <c r="D220" i="7" s="1"/>
  <c r="G221" i="7" a="1"/>
  <c r="G221" i="7" s="1"/>
  <c r="J222" i="7" a="1"/>
  <c r="J222" i="7" s="1"/>
  <c r="D224" i="7" a="1"/>
  <c r="D224" i="7" s="1"/>
  <c r="G225" i="7" a="1"/>
  <c r="G225" i="7" s="1"/>
  <c r="J226" i="7" a="1"/>
  <c r="J226" i="7" s="1"/>
  <c r="D228" i="7" a="1"/>
  <c r="D228" i="7" s="1"/>
  <c r="G229" i="7" a="1"/>
  <c r="G229" i="7" s="1"/>
  <c r="J230" i="7" a="1"/>
  <c r="J230" i="7" s="1"/>
  <c r="D232" i="7" a="1"/>
  <c r="D232" i="7" s="1"/>
  <c r="G233" i="7" a="1"/>
  <c r="G233" i="7" s="1"/>
  <c r="J234" i="7" a="1"/>
  <c r="J234" i="7" s="1"/>
  <c r="D236" i="7" a="1"/>
  <c r="D236" i="7" s="1"/>
  <c r="G237" i="7" a="1"/>
  <c r="G237" i="7" s="1"/>
  <c r="J238" i="7" a="1"/>
  <c r="J238" i="7" s="1"/>
  <c r="D240" i="7" a="1"/>
  <c r="D240" i="7" s="1"/>
  <c r="G241" i="7" a="1"/>
  <c r="G241" i="7" s="1"/>
  <c r="J242" i="7" a="1"/>
  <c r="J242" i="7" s="1"/>
  <c r="D244" i="7" a="1"/>
  <c r="D244" i="7" s="1"/>
  <c r="G245" i="7" a="1"/>
  <c r="G245" i="7" s="1"/>
  <c r="J246" i="7" a="1"/>
  <c r="J246" i="7" s="1"/>
  <c r="D248" i="7" a="1"/>
  <c r="D248" i="7" s="1"/>
  <c r="G249" i="7" a="1"/>
  <c r="G249" i="7" s="1"/>
  <c r="J250" i="7" a="1"/>
  <c r="J250" i="7" s="1"/>
  <c r="D252" i="7" a="1"/>
  <c r="D252" i="7" s="1"/>
  <c r="G253" i="7" a="1"/>
  <c r="G253" i="7" s="1"/>
  <c r="J254" i="7" a="1"/>
  <c r="J254" i="7" s="1"/>
  <c r="D256" i="7" a="1"/>
  <c r="D256" i="7" s="1"/>
  <c r="G257" i="7" a="1"/>
  <c r="G257" i="7" s="1"/>
  <c r="J258" i="7" a="1"/>
  <c r="J258" i="7" s="1"/>
  <c r="D260" i="7" a="1"/>
  <c r="D260" i="7" s="1"/>
  <c r="G261" i="7" a="1"/>
  <c r="G261" i="7" s="1"/>
  <c r="J262" i="7" a="1"/>
  <c r="J262" i="7" s="1"/>
  <c r="D264" i="7" a="1"/>
  <c r="D264" i="7" s="1"/>
  <c r="G265" i="7" a="1"/>
  <c r="G265" i="7" s="1"/>
  <c r="G91" i="7" a="1"/>
  <c r="G91" i="7" s="1"/>
  <c r="D96" i="7" a="1"/>
  <c r="D96" i="7" s="1"/>
  <c r="G103" i="7" a="1"/>
  <c r="G103" i="7" s="1"/>
  <c r="D107" i="7" a="1"/>
  <c r="D107" i="7" s="1"/>
  <c r="D110" i="7" a="1"/>
  <c r="D110" i="7" s="1"/>
  <c r="J112" i="7" a="1"/>
  <c r="J112" i="7" s="1"/>
  <c r="E115" i="7" a="1"/>
  <c r="E115" i="7" s="1"/>
  <c r="J117" i="7" a="1"/>
  <c r="J117" i="7" s="1"/>
  <c r="K119" i="7" a="1"/>
  <c r="K119" i="7" s="1"/>
  <c r="K125" i="7" a="1"/>
  <c r="K125" i="7" s="1"/>
  <c r="K127" i="7" a="1"/>
  <c r="K127" i="7" s="1"/>
  <c r="J129" i="7" a="1"/>
  <c r="J129" i="7" s="1"/>
  <c r="H131" i="7" a="1"/>
  <c r="H131" i="7" s="1"/>
  <c r="H133" i="7" a="1"/>
  <c r="H133" i="7" s="1"/>
  <c r="G135" i="7" a="1"/>
  <c r="G135" i="7" s="1"/>
  <c r="E137" i="7" a="1"/>
  <c r="E137" i="7" s="1"/>
  <c r="K138" i="7" a="1"/>
  <c r="K138" i="7" s="1"/>
  <c r="H140" i="7" a="1"/>
  <c r="H140" i="7" s="1"/>
  <c r="D142" i="7" a="1"/>
  <c r="D142" i="7" s="1"/>
  <c r="K143" i="7" a="1"/>
  <c r="K143" i="7" s="1"/>
  <c r="G145" i="7" a="1"/>
  <c r="G145" i="7" s="1"/>
  <c r="H148" i="7" a="1"/>
  <c r="H148" i="7" s="1"/>
  <c r="G151" i="7" a="1"/>
  <c r="G151" i="7" s="1"/>
  <c r="H154" i="7" a="1"/>
  <c r="H154" i="7" s="1"/>
  <c r="G157" i="7" a="1"/>
  <c r="G157" i="7" s="1"/>
  <c r="H160" i="7" a="1"/>
  <c r="H160" i="7" s="1"/>
  <c r="G163" i="7" a="1"/>
  <c r="G163" i="7" s="1"/>
  <c r="H166" i="7" a="1"/>
  <c r="H166" i="7" s="1"/>
  <c r="G169" i="7" a="1"/>
  <c r="G169" i="7" s="1"/>
  <c r="H172" i="7" a="1"/>
  <c r="H172" i="7" s="1"/>
  <c r="G175" i="7" a="1"/>
  <c r="G175" i="7" s="1"/>
  <c r="H178" i="7" a="1"/>
  <c r="H178" i="7" s="1"/>
  <c r="G181" i="7" a="1"/>
  <c r="G181" i="7" s="1"/>
  <c r="K182" i="7" a="1"/>
  <c r="K182" i="7" s="1"/>
  <c r="E184" i="7" a="1"/>
  <c r="E184" i="7" s="1"/>
  <c r="H185" i="7" a="1"/>
  <c r="H185" i="7" s="1"/>
  <c r="K186" i="7" a="1"/>
  <c r="K186" i="7" s="1"/>
  <c r="E188" i="7" a="1"/>
  <c r="E188" i="7" s="1"/>
  <c r="H189" i="7" a="1"/>
  <c r="H189" i="7" s="1"/>
  <c r="K190" i="7" a="1"/>
  <c r="K190" i="7" s="1"/>
  <c r="E192" i="7" a="1"/>
  <c r="E192" i="7" s="1"/>
  <c r="H193" i="7" a="1"/>
  <c r="H193" i="7" s="1"/>
  <c r="K194" i="7" a="1"/>
  <c r="K194" i="7" s="1"/>
  <c r="E196" i="7" a="1"/>
  <c r="E196" i="7" s="1"/>
  <c r="H197" i="7" a="1"/>
  <c r="H197" i="7" s="1"/>
  <c r="K198" i="7" a="1"/>
  <c r="K198" i="7" s="1"/>
  <c r="E200" i="7" a="1"/>
  <c r="E200" i="7" s="1"/>
  <c r="H201" i="7" a="1"/>
  <c r="H201" i="7" s="1"/>
  <c r="K202" i="7" a="1"/>
  <c r="K202" i="7" s="1"/>
  <c r="E204" i="7" a="1"/>
  <c r="E204" i="7" s="1"/>
  <c r="H205" i="7" a="1"/>
  <c r="H205" i="7" s="1"/>
  <c r="K206" i="7" a="1"/>
  <c r="K206" i="7" s="1"/>
  <c r="E208" i="7" a="1"/>
  <c r="E208" i="7" s="1"/>
  <c r="H209" i="7" a="1"/>
  <c r="H209" i="7" s="1"/>
  <c r="K210" i="7" a="1"/>
  <c r="K210" i="7" s="1"/>
  <c r="E212" i="7" a="1"/>
  <c r="E212" i="7" s="1"/>
  <c r="H213" i="7" a="1"/>
  <c r="H213" i="7" s="1"/>
  <c r="K214" i="7" a="1"/>
  <c r="K214" i="7" s="1"/>
  <c r="E216" i="7" a="1"/>
  <c r="E216" i="7" s="1"/>
  <c r="H217" i="7" a="1"/>
  <c r="H217" i="7" s="1"/>
  <c r="K218" i="7" a="1"/>
  <c r="K218" i="7" s="1"/>
  <c r="E220" i="7" a="1"/>
  <c r="E220" i="7" s="1"/>
  <c r="H221" i="7" a="1"/>
  <c r="H221" i="7" s="1"/>
  <c r="K222" i="7" a="1"/>
  <c r="K222" i="7" s="1"/>
  <c r="E224" i="7" a="1"/>
  <c r="E224" i="7" s="1"/>
  <c r="H225" i="7" a="1"/>
  <c r="H225" i="7" s="1"/>
  <c r="K226" i="7" a="1"/>
  <c r="K226" i="7" s="1"/>
  <c r="E228" i="7" a="1"/>
  <c r="E228" i="7" s="1"/>
  <c r="H229" i="7" a="1"/>
  <c r="H229" i="7" s="1"/>
  <c r="K230" i="7" a="1"/>
  <c r="K230" i="7" s="1"/>
  <c r="E232" i="7" a="1"/>
  <c r="E232" i="7" s="1"/>
  <c r="H233" i="7" a="1"/>
  <c r="H233" i="7" s="1"/>
  <c r="K234" i="7" a="1"/>
  <c r="K234" i="7" s="1"/>
  <c r="E236" i="7" a="1"/>
  <c r="E236" i="7" s="1"/>
  <c r="H237" i="7" a="1"/>
  <c r="H237" i="7" s="1"/>
  <c r="K238" i="7" a="1"/>
  <c r="K238" i="7" s="1"/>
  <c r="E240" i="7" a="1"/>
  <c r="E240" i="7" s="1"/>
  <c r="H241" i="7" a="1"/>
  <c r="H241" i="7" s="1"/>
  <c r="K242" i="7" a="1"/>
  <c r="K242" i="7" s="1"/>
  <c r="E244" i="7" a="1"/>
  <c r="E244" i="7" s="1"/>
  <c r="H245" i="7" a="1"/>
  <c r="H245" i="7" s="1"/>
  <c r="K246" i="7" a="1"/>
  <c r="K246" i="7" s="1"/>
  <c r="D87" i="7" a="1"/>
  <c r="D87" i="7" s="1"/>
  <c r="G96" i="7" a="1"/>
  <c r="G96" i="7" s="1"/>
  <c r="D100" i="7" a="1"/>
  <c r="D100" i="7" s="1"/>
  <c r="G107" i="7" a="1"/>
  <c r="G107" i="7" s="1"/>
  <c r="H110" i="7" a="1"/>
  <c r="H110" i="7" s="1"/>
  <c r="G115" i="7" a="1"/>
  <c r="G115" i="7" s="1"/>
  <c r="K117" i="7" a="1"/>
  <c r="K117" i="7" s="1"/>
  <c r="D122" i="7" a="1"/>
  <c r="D122" i="7" s="1"/>
  <c r="D124" i="7" a="1"/>
  <c r="D124" i="7" s="1"/>
  <c r="K129" i="7" a="1"/>
  <c r="K129" i="7" s="1"/>
  <c r="K131" i="7" a="1"/>
  <c r="K131" i="7" s="1"/>
  <c r="J133" i="7" a="1"/>
  <c r="J133" i="7" s="1"/>
  <c r="H135" i="7" a="1"/>
  <c r="H135" i="7" s="1"/>
  <c r="F137" i="7" a="1"/>
  <c r="F137" i="7" s="1"/>
  <c r="I140" i="7" a="1"/>
  <c r="I140" i="7" s="1"/>
  <c r="E142" i="7" a="1"/>
  <c r="E142" i="7" s="1"/>
  <c r="H145" i="7" a="1"/>
  <c r="H145" i="7" s="1"/>
  <c r="D147" i="7" a="1"/>
  <c r="D147" i="7" s="1"/>
  <c r="I148" i="7" a="1"/>
  <c r="I148" i="7" s="1"/>
  <c r="D150" i="7" a="1"/>
  <c r="D150" i="7" s="1"/>
  <c r="H151" i="7" a="1"/>
  <c r="H151" i="7" s="1"/>
  <c r="D153" i="7" a="1"/>
  <c r="D153" i="7" s="1"/>
  <c r="I154" i="7" a="1"/>
  <c r="I154" i="7" s="1"/>
  <c r="D156" i="7" a="1"/>
  <c r="D156" i="7" s="1"/>
  <c r="H157" i="7" a="1"/>
  <c r="H157" i="7" s="1"/>
  <c r="D159" i="7" a="1"/>
  <c r="D159" i="7" s="1"/>
  <c r="I160" i="7" a="1"/>
  <c r="I160" i="7" s="1"/>
  <c r="D162" i="7" a="1"/>
  <c r="D162" i="7" s="1"/>
  <c r="H163" i="7" a="1"/>
  <c r="H163" i="7" s="1"/>
  <c r="D165" i="7" a="1"/>
  <c r="D165" i="7" s="1"/>
  <c r="I166" i="7" a="1"/>
  <c r="I166" i="7" s="1"/>
  <c r="D168" i="7" a="1"/>
  <c r="D168" i="7" s="1"/>
  <c r="H169" i="7" a="1"/>
  <c r="H169" i="7" s="1"/>
  <c r="D171" i="7" a="1"/>
  <c r="D171" i="7" s="1"/>
  <c r="I172" i="7" a="1"/>
  <c r="I172" i="7" s="1"/>
  <c r="D174" i="7" a="1"/>
  <c r="D174" i="7" s="1"/>
  <c r="H175" i="7" a="1"/>
  <c r="H175" i="7" s="1"/>
  <c r="D177" i="7" a="1"/>
  <c r="D177" i="7" s="1"/>
  <c r="I178" i="7" a="1"/>
  <c r="I178" i="7" s="1"/>
  <c r="D180" i="7" a="1"/>
  <c r="D180" i="7" s="1"/>
  <c r="H181" i="7" a="1"/>
  <c r="H181" i="7" s="1"/>
  <c r="F184" i="7" a="1"/>
  <c r="F184" i="7" s="1"/>
  <c r="I185" i="7" a="1"/>
  <c r="I185" i="7" s="1"/>
  <c r="F188" i="7" a="1"/>
  <c r="F188" i="7" s="1"/>
  <c r="I189" i="7" a="1"/>
  <c r="I189" i="7" s="1"/>
  <c r="F192" i="7" a="1"/>
  <c r="F192" i="7" s="1"/>
  <c r="I193" i="7" a="1"/>
  <c r="I193" i="7" s="1"/>
  <c r="F196" i="7" a="1"/>
  <c r="F196" i="7" s="1"/>
  <c r="I197" i="7" a="1"/>
  <c r="I197" i="7" s="1"/>
  <c r="F200" i="7" a="1"/>
  <c r="F200" i="7" s="1"/>
  <c r="I201" i="7" a="1"/>
  <c r="I201" i="7" s="1"/>
  <c r="F204" i="7" a="1"/>
  <c r="F204" i="7" s="1"/>
  <c r="I205" i="7" a="1"/>
  <c r="I205" i="7" s="1"/>
  <c r="F208" i="7" a="1"/>
  <c r="F208" i="7" s="1"/>
  <c r="I209" i="7" a="1"/>
  <c r="I209" i="7" s="1"/>
  <c r="F212" i="7" a="1"/>
  <c r="F212" i="7" s="1"/>
  <c r="I213" i="7" a="1"/>
  <c r="I213" i="7" s="1"/>
  <c r="F216" i="7" a="1"/>
  <c r="F216" i="7" s="1"/>
  <c r="I217" i="7" a="1"/>
  <c r="I217" i="7" s="1"/>
  <c r="F220" i="7" a="1"/>
  <c r="F220" i="7" s="1"/>
  <c r="I221" i="7" a="1"/>
  <c r="I221" i="7" s="1"/>
  <c r="F224" i="7" a="1"/>
  <c r="F224" i="7" s="1"/>
  <c r="I225" i="7" a="1"/>
  <c r="I225" i="7" s="1"/>
  <c r="F228" i="7" a="1"/>
  <c r="F228" i="7" s="1"/>
  <c r="I229" i="7" a="1"/>
  <c r="I229" i="7" s="1"/>
  <c r="F232" i="7" a="1"/>
  <c r="F232" i="7" s="1"/>
  <c r="I233" i="7" a="1"/>
  <c r="I233" i="7" s="1"/>
  <c r="F236" i="7" a="1"/>
  <c r="F236" i="7" s="1"/>
  <c r="J81" i="7" a="1"/>
  <c r="J81" i="7" s="1"/>
  <c r="G87" i="7" a="1"/>
  <c r="G87" i="7" s="1"/>
  <c r="G92" i="7" a="1"/>
  <c r="G92" i="7" s="1"/>
  <c r="J96" i="7" a="1"/>
  <c r="J96" i="7" s="1"/>
  <c r="G100" i="7" a="1"/>
  <c r="G100" i="7" s="1"/>
  <c r="D104" i="7" a="1"/>
  <c r="D104" i="7" s="1"/>
  <c r="J110" i="7" a="1"/>
  <c r="J110" i="7" s="1"/>
  <c r="E113" i="7" a="1"/>
  <c r="E113" i="7" s="1"/>
  <c r="K115" i="7" a="1"/>
  <c r="K115" i="7" s="1"/>
  <c r="D120" i="7" a="1"/>
  <c r="D120" i="7" s="1"/>
  <c r="E122" i="7" a="1"/>
  <c r="E122" i="7" s="1"/>
  <c r="E124" i="7" a="1"/>
  <c r="E124" i="7" s="1"/>
  <c r="D126" i="7" a="1"/>
  <c r="D126" i="7" s="1"/>
  <c r="D128" i="7" a="1"/>
  <c r="D128" i="7" s="1"/>
  <c r="K133" i="7" a="1"/>
  <c r="K133" i="7" s="1"/>
  <c r="K135" i="7" a="1"/>
  <c r="K135" i="7" s="1"/>
  <c r="G137" i="7" a="1"/>
  <c r="G137" i="7" s="1"/>
  <c r="D139" i="7" a="1"/>
  <c r="D139" i="7" s="1"/>
  <c r="J140" i="7" a="1"/>
  <c r="J140" i="7" s="1"/>
  <c r="H142" i="7" a="1"/>
  <c r="H142" i="7" s="1"/>
  <c r="D144" i="7" a="1"/>
  <c r="D144" i="7" s="1"/>
  <c r="J145" i="7" a="1"/>
  <c r="J145" i="7" s="1"/>
  <c r="E147" i="7" a="1"/>
  <c r="E147" i="7" s="1"/>
  <c r="J148" i="7" a="1"/>
  <c r="J148" i="7" s="1"/>
  <c r="E150" i="7" a="1"/>
  <c r="E150" i="7" s="1"/>
  <c r="J151" i="7" a="1"/>
  <c r="J151" i="7" s="1"/>
  <c r="E153" i="7" a="1"/>
  <c r="E153" i="7" s="1"/>
  <c r="J154" i="7" a="1"/>
  <c r="J154" i="7" s="1"/>
  <c r="E156" i="7" a="1"/>
  <c r="E156" i="7" s="1"/>
  <c r="J157" i="7" a="1"/>
  <c r="J157" i="7" s="1"/>
  <c r="E159" i="7" a="1"/>
  <c r="E159" i="7" s="1"/>
  <c r="J160" i="7" a="1"/>
  <c r="J160" i="7" s="1"/>
  <c r="E162" i="7" a="1"/>
  <c r="E162" i="7" s="1"/>
  <c r="J163" i="7" a="1"/>
  <c r="J163" i="7" s="1"/>
  <c r="E165" i="7" a="1"/>
  <c r="E165" i="7" s="1"/>
  <c r="J166" i="7" a="1"/>
  <c r="J166" i="7" s="1"/>
  <c r="E168" i="7" a="1"/>
  <c r="E168" i="7" s="1"/>
  <c r="J169" i="7" a="1"/>
  <c r="J169" i="7" s="1"/>
  <c r="E171" i="7" a="1"/>
  <c r="E171" i="7" s="1"/>
  <c r="J172" i="7" a="1"/>
  <c r="J172" i="7" s="1"/>
  <c r="E174" i="7" a="1"/>
  <c r="E174" i="7" s="1"/>
  <c r="J175" i="7" a="1"/>
  <c r="J175" i="7" s="1"/>
  <c r="E177" i="7" a="1"/>
  <c r="E177" i="7" s="1"/>
  <c r="J178" i="7" a="1"/>
  <c r="J178" i="7" s="1"/>
  <c r="E180" i="7" a="1"/>
  <c r="E180" i="7" s="1"/>
  <c r="J181" i="7" a="1"/>
  <c r="J181" i="7" s="1"/>
  <c r="D183" i="7" a="1"/>
  <c r="D183" i="7" s="1"/>
  <c r="G184" i="7" a="1"/>
  <c r="G184" i="7" s="1"/>
  <c r="J185" i="7" a="1"/>
  <c r="J185" i="7" s="1"/>
  <c r="D187" i="7" a="1"/>
  <c r="D187" i="7" s="1"/>
  <c r="G188" i="7" a="1"/>
  <c r="G188" i="7" s="1"/>
  <c r="J189" i="7" a="1"/>
  <c r="J189" i="7" s="1"/>
  <c r="D191" i="7" a="1"/>
  <c r="D191" i="7" s="1"/>
  <c r="G192" i="7" a="1"/>
  <c r="G192" i="7" s="1"/>
  <c r="J193" i="7" a="1"/>
  <c r="J193" i="7" s="1"/>
  <c r="D195" i="7" a="1"/>
  <c r="D195" i="7" s="1"/>
  <c r="G196" i="7" a="1"/>
  <c r="G196" i="7" s="1"/>
  <c r="J197" i="7" a="1"/>
  <c r="J197" i="7" s="1"/>
  <c r="D199" i="7" a="1"/>
  <c r="D199" i="7" s="1"/>
  <c r="G200" i="7" a="1"/>
  <c r="G200" i="7" s="1"/>
  <c r="J201" i="7" a="1"/>
  <c r="J201" i="7" s="1"/>
  <c r="D203" i="7" a="1"/>
  <c r="D203" i="7" s="1"/>
  <c r="G204" i="7" a="1"/>
  <c r="G204" i="7" s="1"/>
  <c r="J205" i="7" a="1"/>
  <c r="J205" i="7" s="1"/>
  <c r="D207" i="7" a="1"/>
  <c r="D207" i="7" s="1"/>
  <c r="G208" i="7" a="1"/>
  <c r="G208" i="7" s="1"/>
  <c r="J209" i="7" a="1"/>
  <c r="J209" i="7" s="1"/>
  <c r="D211" i="7" a="1"/>
  <c r="D211" i="7" s="1"/>
  <c r="G212" i="7" a="1"/>
  <c r="G212" i="7" s="1"/>
  <c r="J213" i="7" a="1"/>
  <c r="J213" i="7" s="1"/>
  <c r="D215" i="7" a="1"/>
  <c r="D215" i="7" s="1"/>
  <c r="G216" i="7" a="1"/>
  <c r="G216" i="7" s="1"/>
  <c r="J217" i="7" a="1"/>
  <c r="J217" i="7" s="1"/>
  <c r="J92" i="7" a="1"/>
  <c r="J92" i="7" s="1"/>
  <c r="J100" i="7" a="1"/>
  <c r="J100" i="7" s="1"/>
  <c r="G104" i="7" a="1"/>
  <c r="G104" i="7" s="1"/>
  <c r="D108" i="7" a="1"/>
  <c r="D108" i="7" s="1"/>
  <c r="G113" i="7" a="1"/>
  <c r="G113" i="7" s="1"/>
  <c r="D118" i="7" a="1"/>
  <c r="D118" i="7" s="1"/>
  <c r="G120" i="7" a="1"/>
  <c r="G120" i="7" s="1"/>
  <c r="H122" i="7" a="1"/>
  <c r="H122" i="7" s="1"/>
  <c r="G124" i="7" a="1"/>
  <c r="G124" i="7" s="1"/>
  <c r="E126" i="7" a="1"/>
  <c r="E126" i="7" s="1"/>
  <c r="E128" i="7" a="1"/>
  <c r="E128" i="7" s="1"/>
  <c r="D130" i="7" a="1"/>
  <c r="D130" i="7" s="1"/>
  <c r="D132" i="7" a="1"/>
  <c r="D132" i="7" s="1"/>
  <c r="H137" i="7" a="1"/>
  <c r="H137" i="7" s="1"/>
  <c r="E139" i="7" a="1"/>
  <c r="E139" i="7" s="1"/>
  <c r="K140" i="7" a="1"/>
  <c r="K140" i="7" s="1"/>
  <c r="I142" i="7" a="1"/>
  <c r="I142" i="7" s="1"/>
  <c r="E144" i="7" a="1"/>
  <c r="E144" i="7" s="1"/>
  <c r="K145" i="7" a="1"/>
  <c r="K145" i="7" s="1"/>
  <c r="F147" i="7" a="1"/>
  <c r="F147" i="7" s="1"/>
  <c r="K148" i="7" a="1"/>
  <c r="K148" i="7" s="1"/>
  <c r="G150" i="7" a="1"/>
  <c r="G150" i="7" s="1"/>
  <c r="K151" i="7" a="1"/>
  <c r="K151" i="7" s="1"/>
  <c r="F153" i="7" a="1"/>
  <c r="F153" i="7" s="1"/>
  <c r="K154" i="7" a="1"/>
  <c r="K154" i="7" s="1"/>
  <c r="G156" i="7" a="1"/>
  <c r="G156" i="7" s="1"/>
  <c r="K157" i="7" a="1"/>
  <c r="K157" i="7" s="1"/>
  <c r="F159" i="7" a="1"/>
  <c r="F159" i="7" s="1"/>
  <c r="K160" i="7" a="1"/>
  <c r="K160" i="7" s="1"/>
  <c r="G162" i="7" a="1"/>
  <c r="G162" i="7" s="1"/>
  <c r="K163" i="7" a="1"/>
  <c r="K163" i="7" s="1"/>
  <c r="F165" i="7" a="1"/>
  <c r="F165" i="7" s="1"/>
  <c r="K166" i="7" a="1"/>
  <c r="K166" i="7" s="1"/>
  <c r="G168" i="7" a="1"/>
  <c r="G168" i="7" s="1"/>
  <c r="K169" i="7" a="1"/>
  <c r="K169" i="7" s="1"/>
  <c r="F171" i="7" a="1"/>
  <c r="F171" i="7" s="1"/>
  <c r="K172" i="7" a="1"/>
  <c r="K172" i="7" s="1"/>
  <c r="G174" i="7" a="1"/>
  <c r="G174" i="7" s="1"/>
  <c r="K175" i="7" a="1"/>
  <c r="K175" i="7" s="1"/>
  <c r="F177" i="7" a="1"/>
  <c r="F177" i="7" s="1"/>
  <c r="K178" i="7" a="1"/>
  <c r="K178" i="7" s="1"/>
  <c r="G180" i="7" a="1"/>
  <c r="G180" i="7" s="1"/>
  <c r="K181" i="7" a="1"/>
  <c r="K181" i="7" s="1"/>
  <c r="E183" i="7" a="1"/>
  <c r="E183" i="7" s="1"/>
  <c r="H184" i="7" a="1"/>
  <c r="H184" i="7" s="1"/>
  <c r="K185" i="7" a="1"/>
  <c r="K185" i="7" s="1"/>
  <c r="E187" i="7" a="1"/>
  <c r="E187" i="7" s="1"/>
  <c r="H188" i="7" a="1"/>
  <c r="H188" i="7" s="1"/>
  <c r="K189" i="7" a="1"/>
  <c r="K189" i="7" s="1"/>
  <c r="E191" i="7" a="1"/>
  <c r="E191" i="7" s="1"/>
  <c r="H192" i="7" a="1"/>
  <c r="H192" i="7" s="1"/>
  <c r="K193" i="7" a="1"/>
  <c r="K193" i="7" s="1"/>
  <c r="E195" i="7" a="1"/>
  <c r="E195" i="7" s="1"/>
  <c r="H196" i="7" a="1"/>
  <c r="H196" i="7" s="1"/>
  <c r="K197" i="7" a="1"/>
  <c r="K197" i="7" s="1"/>
  <c r="E199" i="7" a="1"/>
  <c r="E199" i="7" s="1"/>
  <c r="H200" i="7" a="1"/>
  <c r="H200" i="7" s="1"/>
  <c r="K201" i="7" a="1"/>
  <c r="K201" i="7" s="1"/>
  <c r="E203" i="7" a="1"/>
  <c r="E203" i="7" s="1"/>
  <c r="H204" i="7" a="1"/>
  <c r="H204" i="7" s="1"/>
  <c r="K205" i="7" a="1"/>
  <c r="K205" i="7" s="1"/>
  <c r="E207" i="7" a="1"/>
  <c r="E207" i="7" s="1"/>
  <c r="H208" i="7" a="1"/>
  <c r="H208" i="7" s="1"/>
  <c r="K209" i="7" a="1"/>
  <c r="K209" i="7" s="1"/>
  <c r="E211" i="7" a="1"/>
  <c r="E211" i="7" s="1"/>
  <c r="H212" i="7" a="1"/>
  <c r="H212" i="7" s="1"/>
  <c r="K213" i="7" a="1"/>
  <c r="K213" i="7" s="1"/>
  <c r="E215" i="7" a="1"/>
  <c r="E215" i="7" s="1"/>
  <c r="H216" i="7" a="1"/>
  <c r="H216" i="7" s="1"/>
  <c r="K217" i="7" a="1"/>
  <c r="K217" i="7" s="1"/>
  <c r="E219" i="7" a="1"/>
  <c r="E219" i="7" s="1"/>
  <c r="H220" i="7" a="1"/>
  <c r="H220" i="7" s="1"/>
  <c r="K221" i="7" a="1"/>
  <c r="K221" i="7" s="1"/>
  <c r="E223" i="7" a="1"/>
  <c r="E223" i="7" s="1"/>
  <c r="H224" i="7" a="1"/>
  <c r="H224" i="7" s="1"/>
  <c r="K225" i="7" a="1"/>
  <c r="K225" i="7" s="1"/>
  <c r="E227" i="7" a="1"/>
  <c r="E227" i="7" s="1"/>
  <c r="H228" i="7" a="1"/>
  <c r="H228" i="7" s="1"/>
  <c r="K229" i="7" a="1"/>
  <c r="K229" i="7" s="1"/>
  <c r="E231" i="7" a="1"/>
  <c r="E231" i="7" s="1"/>
  <c r="H232" i="7" a="1"/>
  <c r="H232" i="7" s="1"/>
  <c r="K233" i="7" a="1"/>
  <c r="K233" i="7" s="1"/>
  <c r="E235" i="7" a="1"/>
  <c r="E235" i="7" s="1"/>
  <c r="H236" i="7" a="1"/>
  <c r="H236" i="7" s="1"/>
  <c r="K237" i="7" a="1"/>
  <c r="K237" i="7" s="1"/>
  <c r="E239" i="7" a="1"/>
  <c r="E239" i="7" s="1"/>
  <c r="H240" i="7" a="1"/>
  <c r="H240" i="7" s="1"/>
  <c r="K241" i="7" a="1"/>
  <c r="K241" i="7" s="1"/>
  <c r="E243" i="7" a="1"/>
  <c r="E243" i="7" s="1"/>
  <c r="H244" i="7" a="1"/>
  <c r="H244" i="7" s="1"/>
  <c r="K245" i="7" a="1"/>
  <c r="K245" i="7" s="1"/>
  <c r="E247" i="7" a="1"/>
  <c r="E247" i="7" s="1"/>
  <c r="H248" i="7" a="1"/>
  <c r="H248" i="7" s="1"/>
  <c r="K249" i="7" a="1"/>
  <c r="K249" i="7" s="1"/>
  <c r="E251" i="7" a="1"/>
  <c r="E251" i="7" s="1"/>
  <c r="H252" i="7" a="1"/>
  <c r="H252" i="7" s="1"/>
  <c r="K253" i="7" a="1"/>
  <c r="K253" i="7" s="1"/>
  <c r="E255" i="7" a="1"/>
  <c r="E255" i="7" s="1"/>
  <c r="H256" i="7" a="1"/>
  <c r="H256" i="7" s="1"/>
  <c r="K257" i="7" a="1"/>
  <c r="K257" i="7" s="1"/>
  <c r="E259" i="7" a="1"/>
  <c r="E259" i="7" s="1"/>
  <c r="H260" i="7" a="1"/>
  <c r="H260" i="7" s="1"/>
  <c r="K261" i="7" a="1"/>
  <c r="K261" i="7" s="1"/>
  <c r="E263" i="7" a="1"/>
  <c r="E263" i="7" s="1"/>
  <c r="H264" i="7" a="1"/>
  <c r="H264" i="7" s="1"/>
  <c r="K265" i="7" a="1"/>
  <c r="K265" i="7" s="1"/>
  <c r="E267" i="7" a="1"/>
  <c r="E267" i="7" s="1"/>
  <c r="H268" i="7" a="1"/>
  <c r="H268" i="7" s="1"/>
  <c r="K269" i="7" a="1"/>
  <c r="K269" i="7" s="1"/>
  <c r="E271" i="7" a="1"/>
  <c r="E271" i="7" s="1"/>
  <c r="G88" i="7" a="1"/>
  <c r="G88" i="7" s="1"/>
  <c r="G97" i="7" a="1"/>
  <c r="G97" i="7" s="1"/>
  <c r="J104" i="7" a="1"/>
  <c r="J104" i="7" s="1"/>
  <c r="G108" i="7" a="1"/>
  <c r="G108" i="7" s="1"/>
  <c r="D111" i="7" a="1"/>
  <c r="D111" i="7" s="1"/>
  <c r="J113" i="7" a="1"/>
  <c r="J113" i="7" s="1"/>
  <c r="D116" i="7" a="1"/>
  <c r="D116" i="7" s="1"/>
  <c r="E118" i="7" a="1"/>
  <c r="E118" i="7" s="1"/>
  <c r="H120" i="7" a="1"/>
  <c r="H120" i="7" s="1"/>
  <c r="J122" i="7" a="1"/>
  <c r="J122" i="7" s="1"/>
  <c r="H124" i="7" a="1"/>
  <c r="H124" i="7" s="1"/>
  <c r="H126" i="7" a="1"/>
  <c r="H126" i="7" s="1"/>
  <c r="G128" i="7" a="1"/>
  <c r="G128" i="7" s="1"/>
  <c r="E130" i="7" a="1"/>
  <c r="E130" i="7" s="1"/>
  <c r="E132" i="7" a="1"/>
  <c r="E132" i="7" s="1"/>
  <c r="D134" i="7" a="1"/>
  <c r="D134" i="7" s="1"/>
  <c r="D136" i="7" a="1"/>
  <c r="D136" i="7" s="1"/>
  <c r="J137" i="7" a="1"/>
  <c r="J137" i="7" s="1"/>
  <c r="F139" i="7" a="1"/>
  <c r="F139" i="7" s="1"/>
  <c r="J142" i="7" a="1"/>
  <c r="J142" i="7" s="1"/>
  <c r="G144" i="7" a="1"/>
  <c r="G144" i="7" s="1"/>
  <c r="G147" i="7" a="1"/>
  <c r="G147" i="7" s="1"/>
  <c r="H150" i="7" a="1"/>
  <c r="H150" i="7" s="1"/>
  <c r="G153" i="7" a="1"/>
  <c r="G153" i="7" s="1"/>
  <c r="H156" i="7" a="1"/>
  <c r="H156" i="7" s="1"/>
  <c r="G159" i="7" a="1"/>
  <c r="G159" i="7" s="1"/>
  <c r="H162" i="7" a="1"/>
  <c r="H162" i="7" s="1"/>
  <c r="G165" i="7" a="1"/>
  <c r="G165" i="7" s="1"/>
  <c r="H168" i="7" a="1"/>
  <c r="H168" i="7" s="1"/>
  <c r="G171" i="7" a="1"/>
  <c r="G171" i="7" s="1"/>
  <c r="H174" i="7" a="1"/>
  <c r="H174" i="7" s="1"/>
  <c r="G177" i="7" a="1"/>
  <c r="G177" i="7" s="1"/>
  <c r="H180" i="7" a="1"/>
  <c r="H180" i="7" s="1"/>
  <c r="F183" i="7" a="1"/>
  <c r="F183" i="7" s="1"/>
  <c r="I184" i="7" a="1"/>
  <c r="I184" i="7" s="1"/>
  <c r="F187" i="7" a="1"/>
  <c r="F187" i="7" s="1"/>
  <c r="I188" i="7" a="1"/>
  <c r="I188" i="7" s="1"/>
  <c r="F191" i="7" a="1"/>
  <c r="F191" i="7" s="1"/>
  <c r="I192" i="7" a="1"/>
  <c r="I192" i="7" s="1"/>
  <c r="F195" i="7" a="1"/>
  <c r="F195" i="7" s="1"/>
  <c r="I196" i="7" a="1"/>
  <c r="I196" i="7" s="1"/>
  <c r="F199" i="7" a="1"/>
  <c r="F199" i="7" s="1"/>
  <c r="I200" i="7" a="1"/>
  <c r="I200" i="7" s="1"/>
  <c r="F203" i="7" a="1"/>
  <c r="F203" i="7" s="1"/>
  <c r="I204" i="7" a="1"/>
  <c r="I204" i="7" s="1"/>
  <c r="F207" i="7" a="1"/>
  <c r="F207" i="7" s="1"/>
  <c r="I208" i="7" a="1"/>
  <c r="I208" i="7" s="1"/>
  <c r="F211" i="7" a="1"/>
  <c r="F211" i="7" s="1"/>
  <c r="I212" i="7" a="1"/>
  <c r="I212" i="7" s="1"/>
  <c r="F215" i="7" a="1"/>
  <c r="F215" i="7" s="1"/>
  <c r="I216" i="7" a="1"/>
  <c r="I216" i="7" s="1"/>
  <c r="F219" i="7" a="1"/>
  <c r="F219" i="7" s="1"/>
  <c r="I220" i="7" a="1"/>
  <c r="I220" i="7" s="1"/>
  <c r="F223" i="7" a="1"/>
  <c r="F223" i="7" s="1"/>
  <c r="I224" i="7" a="1"/>
  <c r="I224" i="7" s="1"/>
  <c r="F227" i="7" a="1"/>
  <c r="F227" i="7" s="1"/>
  <c r="I228" i="7" a="1"/>
  <c r="I228" i="7" s="1"/>
  <c r="F231" i="7" a="1"/>
  <c r="F231" i="7" s="1"/>
  <c r="I232" i="7" a="1"/>
  <c r="I232" i="7" s="1"/>
  <c r="F235" i="7" a="1"/>
  <c r="F235" i="7" s="1"/>
  <c r="I236" i="7" a="1"/>
  <c r="I236" i="7" s="1"/>
  <c r="F239" i="7" a="1"/>
  <c r="F239" i="7" s="1"/>
  <c r="I240" i="7" a="1"/>
  <c r="I240" i="7" s="1"/>
  <c r="F243" i="7" a="1"/>
  <c r="F243" i="7" s="1"/>
  <c r="I244" i="7" a="1"/>
  <c r="I244" i="7" s="1"/>
  <c r="F247" i="7" a="1"/>
  <c r="F247" i="7" s="1"/>
  <c r="I248" i="7" a="1"/>
  <c r="I248" i="7" s="1"/>
  <c r="F251" i="7" a="1"/>
  <c r="F251" i="7" s="1"/>
  <c r="I252" i="7" a="1"/>
  <c r="I252" i="7" s="1"/>
  <c r="F255" i="7" a="1"/>
  <c r="F255" i="7" s="1"/>
  <c r="I256" i="7" a="1"/>
  <c r="I256" i="7" s="1"/>
  <c r="F259" i="7" a="1"/>
  <c r="F259" i="7" s="1"/>
  <c r="I260" i="7" a="1"/>
  <c r="I260" i="7" s="1"/>
  <c r="F263" i="7" a="1"/>
  <c r="F263" i="7" s="1"/>
  <c r="I264" i="7" a="1"/>
  <c r="I264" i="7" s="1"/>
  <c r="F267" i="7" a="1"/>
  <c r="F267" i="7" s="1"/>
  <c r="I268" i="7" a="1"/>
  <c r="I268" i="7" s="1"/>
  <c r="F271" i="7" a="1"/>
  <c r="F271" i="7" s="1"/>
  <c r="I272" i="7" a="1"/>
  <c r="I272" i="7" s="1"/>
  <c r="F275" i="7" a="1"/>
  <c r="F275" i="7" s="1"/>
  <c r="I276" i="7" a="1"/>
  <c r="I276" i="7" s="1"/>
  <c r="F279" i="7" a="1"/>
  <c r="F279" i="7" s="1"/>
  <c r="I280" i="7" a="1"/>
  <c r="I280" i="7" s="1"/>
  <c r="F283" i="7" a="1"/>
  <c r="F283" i="7" s="1"/>
  <c r="I284" i="7" a="1"/>
  <c r="I284" i="7" s="1"/>
  <c r="F287" i="7" a="1"/>
  <c r="F287" i="7" s="1"/>
  <c r="I288" i="7" a="1"/>
  <c r="I288" i="7" s="1"/>
  <c r="F291" i="7" a="1"/>
  <c r="F291" i="7" s="1"/>
  <c r="I292" i="7" a="1"/>
  <c r="I292" i="7" s="1"/>
  <c r="F295" i="7" a="1"/>
  <c r="F295" i="7" s="1"/>
  <c r="I296" i="7" a="1"/>
  <c r="I296" i="7" s="1"/>
  <c r="F299" i="7" a="1"/>
  <c r="F299" i="7" s="1"/>
  <c r="I300" i="7" a="1"/>
  <c r="I300" i="7" s="1"/>
  <c r="F303" i="7" a="1"/>
  <c r="F303" i="7" s="1"/>
  <c r="I304" i="7" a="1"/>
  <c r="I304" i="7" s="1"/>
  <c r="F307" i="7" a="1"/>
  <c r="F307" i="7" s="1"/>
  <c r="I308" i="7" a="1"/>
  <c r="I308" i="7" s="1"/>
  <c r="F311" i="7" a="1"/>
  <c r="F311" i="7" s="1"/>
  <c r="D83" i="7" a="1"/>
  <c r="D83" i="7" s="1"/>
  <c r="J88" i="7" a="1"/>
  <c r="J88" i="7" s="1"/>
  <c r="J93" i="7" a="1"/>
  <c r="J93" i="7" s="1"/>
  <c r="J97" i="7" a="1"/>
  <c r="J97" i="7" s="1"/>
  <c r="G101" i="7" a="1"/>
  <c r="G101" i="7" s="1"/>
  <c r="J108" i="7" a="1"/>
  <c r="J108" i="7" s="1"/>
  <c r="E111" i="7" a="1"/>
  <c r="E111" i="7" s="1"/>
  <c r="K113" i="7" a="1"/>
  <c r="K113" i="7" s="1"/>
  <c r="G116" i="7" a="1"/>
  <c r="G116" i="7" s="1"/>
  <c r="H118" i="7" a="1"/>
  <c r="H118" i="7" s="1"/>
  <c r="J120" i="7" a="1"/>
  <c r="J120" i="7" s="1"/>
  <c r="K122" i="7" a="1"/>
  <c r="K122" i="7" s="1"/>
  <c r="J124" i="7" a="1"/>
  <c r="J124" i="7" s="1"/>
  <c r="J126" i="7" a="1"/>
  <c r="J126" i="7" s="1"/>
  <c r="H128" i="7" a="1"/>
  <c r="H128" i="7" s="1"/>
  <c r="H130" i="7" a="1"/>
  <c r="H130" i="7" s="1"/>
  <c r="G132" i="7" a="1"/>
  <c r="G132" i="7" s="1"/>
  <c r="E134" i="7" a="1"/>
  <c r="E134" i="7" s="1"/>
  <c r="E136" i="7" a="1"/>
  <c r="E136" i="7" s="1"/>
  <c r="K137" i="7" a="1"/>
  <c r="K137" i="7" s="1"/>
  <c r="G139" i="7" a="1"/>
  <c r="G139" i="7" s="1"/>
  <c r="E141" i="7" a="1"/>
  <c r="E141" i="7" s="1"/>
  <c r="K142" i="7" a="1"/>
  <c r="K142" i="7" s="1"/>
  <c r="H144" i="7" a="1"/>
  <c r="H144" i="7" s="1"/>
  <c r="D146" i="7" a="1"/>
  <c r="D146" i="7" s="1"/>
  <c r="H147" i="7" a="1"/>
  <c r="H147" i="7" s="1"/>
  <c r="D149" i="7" a="1"/>
  <c r="D149" i="7" s="1"/>
  <c r="I150" i="7" a="1"/>
  <c r="I150" i="7" s="1"/>
  <c r="D152" i="7" a="1"/>
  <c r="D152" i="7" s="1"/>
  <c r="H153" i="7" a="1"/>
  <c r="H153" i="7" s="1"/>
  <c r="D155" i="7" a="1"/>
  <c r="D155" i="7" s="1"/>
  <c r="I156" i="7" a="1"/>
  <c r="I156" i="7" s="1"/>
  <c r="D158" i="7" a="1"/>
  <c r="D158" i="7" s="1"/>
  <c r="H159" i="7" a="1"/>
  <c r="H159" i="7" s="1"/>
  <c r="D161" i="7" a="1"/>
  <c r="D161" i="7" s="1"/>
  <c r="I162" i="7" a="1"/>
  <c r="I162" i="7" s="1"/>
  <c r="D164" i="7" a="1"/>
  <c r="D164" i="7" s="1"/>
  <c r="H165" i="7" a="1"/>
  <c r="H165" i="7" s="1"/>
  <c r="D167" i="7" a="1"/>
  <c r="D167" i="7" s="1"/>
  <c r="I168" i="7" a="1"/>
  <c r="I168" i="7" s="1"/>
  <c r="D170" i="7" a="1"/>
  <c r="D170" i="7" s="1"/>
  <c r="H171" i="7" a="1"/>
  <c r="H171" i="7" s="1"/>
  <c r="D173" i="7" a="1"/>
  <c r="D173" i="7" s="1"/>
  <c r="I174" i="7" a="1"/>
  <c r="I174" i="7" s="1"/>
  <c r="D176" i="7" a="1"/>
  <c r="D176" i="7" s="1"/>
  <c r="H177" i="7" a="1"/>
  <c r="H177" i="7" s="1"/>
  <c r="D179" i="7" a="1"/>
  <c r="D179" i="7" s="1"/>
  <c r="I180" i="7" a="1"/>
  <c r="I180" i="7" s="1"/>
  <c r="D182" i="7" a="1"/>
  <c r="D182" i="7" s="1"/>
  <c r="G183" i="7" a="1"/>
  <c r="G183" i="7" s="1"/>
  <c r="J184" i="7" a="1"/>
  <c r="J184" i="7" s="1"/>
  <c r="D186" i="7" a="1"/>
  <c r="D186" i="7" s="1"/>
  <c r="G187" i="7" a="1"/>
  <c r="G187" i="7" s="1"/>
  <c r="J188" i="7" a="1"/>
  <c r="J188" i="7" s="1"/>
  <c r="D190" i="7" a="1"/>
  <c r="D190" i="7" s="1"/>
  <c r="G191" i="7" a="1"/>
  <c r="G191" i="7" s="1"/>
  <c r="J192" i="7" a="1"/>
  <c r="J192" i="7" s="1"/>
  <c r="D194" i="7" a="1"/>
  <c r="D194" i="7" s="1"/>
  <c r="G195" i="7" a="1"/>
  <c r="G195" i="7" s="1"/>
  <c r="J196" i="7" a="1"/>
  <c r="J196" i="7" s="1"/>
  <c r="D198" i="7" a="1"/>
  <c r="D198" i="7" s="1"/>
  <c r="G199" i="7" a="1"/>
  <c r="G199" i="7" s="1"/>
  <c r="J200" i="7" a="1"/>
  <c r="J200" i="7" s="1"/>
  <c r="D202" i="7" a="1"/>
  <c r="D202" i="7" s="1"/>
  <c r="G203" i="7" a="1"/>
  <c r="G203" i="7" s="1"/>
  <c r="J204" i="7" a="1"/>
  <c r="J204" i="7" s="1"/>
  <c r="D206" i="7" a="1"/>
  <c r="D206" i="7" s="1"/>
  <c r="G207" i="7" a="1"/>
  <c r="G207" i="7" s="1"/>
  <c r="J208" i="7" a="1"/>
  <c r="J208" i="7" s="1"/>
  <c r="D210" i="7" a="1"/>
  <c r="D210" i="7" s="1"/>
  <c r="G211" i="7" a="1"/>
  <c r="G211" i="7" s="1"/>
  <c r="J212" i="7" a="1"/>
  <c r="J212" i="7" s="1"/>
  <c r="D214" i="7" a="1"/>
  <c r="D214" i="7" s="1"/>
  <c r="G215" i="7" a="1"/>
  <c r="G215" i="7" s="1"/>
  <c r="J216" i="7" a="1"/>
  <c r="J216" i="7" s="1"/>
  <c r="D218" i="7" a="1"/>
  <c r="D218" i="7" s="1"/>
  <c r="G219" i="7" a="1"/>
  <c r="G219" i="7" s="1"/>
  <c r="J220" i="7" a="1"/>
  <c r="J220" i="7" s="1"/>
  <c r="D222" i="7" a="1"/>
  <c r="D222" i="7" s="1"/>
  <c r="G224" i="7" a="1"/>
  <c r="G224" i="7" s="1"/>
  <c r="D238" i="7" a="1"/>
  <c r="D238" i="7" s="1"/>
  <c r="I241" i="7" a="1"/>
  <c r="I241" i="7" s="1"/>
  <c r="K243" i="7" a="1"/>
  <c r="K243" i="7" s="1"/>
  <c r="D246" i="7" a="1"/>
  <c r="D246" i="7" s="1"/>
  <c r="J251" i="7" a="1"/>
  <c r="J251" i="7" s="1"/>
  <c r="I253" i="7" a="1"/>
  <c r="I253" i="7" s="1"/>
  <c r="H255" i="7" a="1"/>
  <c r="H255" i="7" s="1"/>
  <c r="E257" i="7" a="1"/>
  <c r="E257" i="7" s="1"/>
  <c r="D259" i="7" a="1"/>
  <c r="D259" i="7" s="1"/>
  <c r="K262" i="7" a="1"/>
  <c r="K262" i="7" s="1"/>
  <c r="J264" i="7" a="1"/>
  <c r="J264" i="7" s="1"/>
  <c r="G266" i="7" a="1"/>
  <c r="G266" i="7" s="1"/>
  <c r="D268" i="7" a="1"/>
  <c r="D268" i="7" s="1"/>
  <c r="J269" i="7" a="1"/>
  <c r="J269" i="7" s="1"/>
  <c r="H271" i="7" a="1"/>
  <c r="H271" i="7" s="1"/>
  <c r="G274" i="7" a="1"/>
  <c r="G274" i="7" s="1"/>
  <c r="G277" i="7" a="1"/>
  <c r="G277" i="7" s="1"/>
  <c r="J278" i="7" a="1"/>
  <c r="J278" i="7" s="1"/>
  <c r="E280" i="7" a="1"/>
  <c r="E280" i="7" s="1"/>
  <c r="I281" i="7" a="1"/>
  <c r="I281" i="7" s="1"/>
  <c r="G284" i="7" a="1"/>
  <c r="G284" i="7" s="1"/>
  <c r="K285" i="7" a="1"/>
  <c r="K285" i="7" s="1"/>
  <c r="E287" i="7" a="1"/>
  <c r="E287" i="7" s="1"/>
  <c r="J288" i="7" a="1"/>
  <c r="J288" i="7" s="1"/>
  <c r="D290" i="7" a="1"/>
  <c r="D290" i="7" s="1"/>
  <c r="H291" i="7" a="1"/>
  <c r="H291" i="7" s="1"/>
  <c r="F294" i="7" a="1"/>
  <c r="F294" i="7" s="1"/>
  <c r="J295" i="7" a="1"/>
  <c r="J295" i="7" s="1"/>
  <c r="E297" i="7" a="1"/>
  <c r="E297" i="7" s="1"/>
  <c r="H298" i="7" a="1"/>
  <c r="H298" i="7" s="1"/>
  <c r="G301" i="7" a="1"/>
  <c r="G301" i="7" s="1"/>
  <c r="J302" i="7" a="1"/>
  <c r="J302" i="7" s="1"/>
  <c r="E304" i="7" a="1"/>
  <c r="E304" i="7" s="1"/>
  <c r="I305" i="7" a="1"/>
  <c r="I305" i="7" s="1"/>
  <c r="G308" i="7" a="1"/>
  <c r="G308" i="7" s="1"/>
  <c r="K309" i="7" a="1"/>
  <c r="K309" i="7" s="1"/>
  <c r="E311" i="7" a="1"/>
  <c r="E311" i="7" s="1"/>
  <c r="I312" i="7" a="1"/>
  <c r="I312" i="7" s="1"/>
  <c r="F315" i="7" a="1"/>
  <c r="F315" i="7" s="1"/>
  <c r="I316" i="7" a="1"/>
  <c r="I316" i="7" s="1"/>
  <c r="F319" i="7" a="1"/>
  <c r="F319" i="7" s="1"/>
  <c r="I320" i="7" a="1"/>
  <c r="I320" i="7" s="1"/>
  <c r="F323" i="7" a="1"/>
  <c r="F323" i="7" s="1"/>
  <c r="I324" i="7" a="1"/>
  <c r="I324" i="7" s="1"/>
  <c r="F327" i="7" a="1"/>
  <c r="F327" i="7" s="1"/>
  <c r="I328" i="7" a="1"/>
  <c r="I328" i="7" s="1"/>
  <c r="F331" i="7" a="1"/>
  <c r="F331" i="7" s="1"/>
  <c r="I332" i="7" a="1"/>
  <c r="I332" i="7" s="1"/>
  <c r="F335" i="7" a="1"/>
  <c r="F335" i="7" s="1"/>
  <c r="I336" i="7" a="1"/>
  <c r="I336" i="7" s="1"/>
  <c r="F339" i="7" a="1"/>
  <c r="F339" i="7" s="1"/>
  <c r="I340" i="7" a="1"/>
  <c r="I340" i="7" s="1"/>
  <c r="F343" i="7" a="1"/>
  <c r="F343" i="7" s="1"/>
  <c r="I344" i="7" a="1"/>
  <c r="I344" i="7" s="1"/>
  <c r="F347" i="7" a="1"/>
  <c r="F347" i="7" s="1"/>
  <c r="I348" i="7" a="1"/>
  <c r="I348" i="7" s="1"/>
  <c r="F351" i="7" a="1"/>
  <c r="F351" i="7" s="1"/>
  <c r="I352" i="7" a="1"/>
  <c r="I352" i="7" s="1"/>
  <c r="F355" i="7" a="1"/>
  <c r="F355" i="7" s="1"/>
  <c r="I356" i="7" a="1"/>
  <c r="I356" i="7" s="1"/>
  <c r="F359" i="7" a="1"/>
  <c r="F359" i="7" s="1"/>
  <c r="I360" i="7" a="1"/>
  <c r="I360" i="7" s="1"/>
  <c r="F363" i="7" a="1"/>
  <c r="F363" i="7" s="1"/>
  <c r="I364" i="7" a="1"/>
  <c r="I364" i="7" s="1"/>
  <c r="F367" i="7" a="1"/>
  <c r="F367" i="7" s="1"/>
  <c r="I368" i="7" a="1"/>
  <c r="I368" i="7" s="1"/>
  <c r="F371" i="7" a="1"/>
  <c r="F371" i="7" s="1"/>
  <c r="I372" i="7" a="1"/>
  <c r="I372" i="7" s="1"/>
  <c r="F375" i="7" a="1"/>
  <c r="F375" i="7" s="1"/>
  <c r="I376" i="7" a="1"/>
  <c r="I376" i="7" s="1"/>
  <c r="F379" i="7" a="1"/>
  <c r="F379" i="7" s="1"/>
  <c r="I380" i="7" a="1"/>
  <c r="I380" i="7" s="1"/>
  <c r="F383" i="7" a="1"/>
  <c r="F383" i="7" s="1"/>
  <c r="I384" i="7" a="1"/>
  <c r="I384" i="7" s="1"/>
  <c r="F387" i="7" a="1"/>
  <c r="F387" i="7" s="1"/>
  <c r="I388" i="7" a="1"/>
  <c r="I388" i="7" s="1"/>
  <c r="F391" i="7" a="1"/>
  <c r="F391" i="7" s="1"/>
  <c r="I392" i="7" a="1"/>
  <c r="I392" i="7" s="1"/>
  <c r="F395" i="7" a="1"/>
  <c r="F395" i="7" s="1"/>
  <c r="I396" i="7" a="1"/>
  <c r="I396" i="7" s="1"/>
  <c r="F399" i="7" a="1"/>
  <c r="F399" i="7" s="1"/>
  <c r="J7" i="7" a="1"/>
  <c r="J7" i="7" s="1"/>
  <c r="G343" i="7" a="1"/>
  <c r="G343" i="7" s="1"/>
  <c r="J348" i="7" a="1"/>
  <c r="J348" i="7" s="1"/>
  <c r="J352" i="7" a="1"/>
  <c r="J352" i="7" s="1"/>
  <c r="J224" i="7" a="1"/>
  <c r="J224" i="7" s="1"/>
  <c r="J229" i="7" a="1"/>
  <c r="J229" i="7" s="1"/>
  <c r="D234" i="7" a="1"/>
  <c r="D234" i="7" s="1"/>
  <c r="J241" i="7" a="1"/>
  <c r="J241" i="7" s="1"/>
  <c r="E246" i="7" a="1"/>
  <c r="E246" i="7" s="1"/>
  <c r="E248" i="7" a="1"/>
  <c r="E248" i="7" s="1"/>
  <c r="D250" i="7" a="1"/>
  <c r="D250" i="7" s="1"/>
  <c r="K251" i="7" a="1"/>
  <c r="K251" i="7" s="1"/>
  <c r="J253" i="7" a="1"/>
  <c r="J253" i="7" s="1"/>
  <c r="I255" i="7" a="1"/>
  <c r="I255" i="7" s="1"/>
  <c r="H257" i="7" a="1"/>
  <c r="H257" i="7" s="1"/>
  <c r="G259" i="7" a="1"/>
  <c r="G259" i="7" s="1"/>
  <c r="D261" i="7" a="1"/>
  <c r="D261" i="7" s="1"/>
  <c r="K264" i="7" a="1"/>
  <c r="K264" i="7" s="1"/>
  <c r="H266" i="7" a="1"/>
  <c r="H266" i="7" s="1"/>
  <c r="E268" i="7" a="1"/>
  <c r="E268" i="7" s="1"/>
  <c r="I271" i="7" a="1"/>
  <c r="I271" i="7" s="1"/>
  <c r="D273" i="7" a="1"/>
  <c r="D273" i="7" s="1"/>
  <c r="H274" i="7" a="1"/>
  <c r="H274" i="7" s="1"/>
  <c r="D276" i="7" a="1"/>
  <c r="D276" i="7" s="1"/>
  <c r="H277" i="7" a="1"/>
  <c r="H277" i="7" s="1"/>
  <c r="K278" i="7" a="1"/>
  <c r="K278" i="7" s="1"/>
  <c r="F280" i="7" a="1"/>
  <c r="F280" i="7" s="1"/>
  <c r="J281" i="7" a="1"/>
  <c r="J281" i="7" s="1"/>
  <c r="D283" i="7" a="1"/>
  <c r="D283" i="7" s="1"/>
  <c r="H284" i="7" a="1"/>
  <c r="H284" i="7" s="1"/>
  <c r="G287" i="7" a="1"/>
  <c r="G287" i="7" s="1"/>
  <c r="K288" i="7" a="1"/>
  <c r="K288" i="7" s="1"/>
  <c r="E290" i="7" a="1"/>
  <c r="E290" i="7" s="1"/>
  <c r="I291" i="7" a="1"/>
  <c r="I291" i="7" s="1"/>
  <c r="D293" i="7" a="1"/>
  <c r="D293" i="7" s="1"/>
  <c r="G294" i="7" a="1"/>
  <c r="G294" i="7" s="1"/>
  <c r="K295" i="7" a="1"/>
  <c r="K295" i="7" s="1"/>
  <c r="F297" i="7" a="1"/>
  <c r="F297" i="7" s="1"/>
  <c r="I298" i="7" a="1"/>
  <c r="I298" i="7" s="1"/>
  <c r="D300" i="7" a="1"/>
  <c r="D300" i="7" s="1"/>
  <c r="H301" i="7" a="1"/>
  <c r="H301" i="7" s="1"/>
  <c r="K302" i="7" a="1"/>
  <c r="K302" i="7" s="1"/>
  <c r="F304" i="7" a="1"/>
  <c r="F304" i="7" s="1"/>
  <c r="J305" i="7" a="1"/>
  <c r="J305" i="7" s="1"/>
  <c r="D307" i="7" a="1"/>
  <c r="D307" i="7" s="1"/>
  <c r="H308" i="7" a="1"/>
  <c r="H308" i="7" s="1"/>
  <c r="G311" i="7" a="1"/>
  <c r="G311" i="7" s="1"/>
  <c r="J312" i="7" a="1"/>
  <c r="J312" i="7" s="1"/>
  <c r="D314" i="7" a="1"/>
  <c r="D314" i="7" s="1"/>
  <c r="G315" i="7" a="1"/>
  <c r="G315" i="7" s="1"/>
  <c r="J316" i="7" a="1"/>
  <c r="J316" i="7" s="1"/>
  <c r="D318" i="7" a="1"/>
  <c r="D318" i="7" s="1"/>
  <c r="G319" i="7" a="1"/>
  <c r="G319" i="7" s="1"/>
  <c r="J320" i="7" a="1"/>
  <c r="J320" i="7" s="1"/>
  <c r="D322" i="7" a="1"/>
  <c r="D322" i="7" s="1"/>
  <c r="G323" i="7" a="1"/>
  <c r="G323" i="7" s="1"/>
  <c r="J324" i="7" a="1"/>
  <c r="J324" i="7" s="1"/>
  <c r="D326" i="7" a="1"/>
  <c r="D326" i="7" s="1"/>
  <c r="G327" i="7" a="1"/>
  <c r="G327" i="7" s="1"/>
  <c r="J328" i="7" a="1"/>
  <c r="J328" i="7" s="1"/>
  <c r="D330" i="7" a="1"/>
  <c r="D330" i="7" s="1"/>
  <c r="G331" i="7" a="1"/>
  <c r="G331" i="7" s="1"/>
  <c r="J332" i="7" a="1"/>
  <c r="J332" i="7" s="1"/>
  <c r="D334" i="7" a="1"/>
  <c r="D334" i="7" s="1"/>
  <c r="G335" i="7" a="1"/>
  <c r="G335" i="7" s="1"/>
  <c r="J336" i="7" a="1"/>
  <c r="J336" i="7" s="1"/>
  <c r="D338" i="7" a="1"/>
  <c r="D338" i="7" s="1"/>
  <c r="G339" i="7" a="1"/>
  <c r="G339" i="7" s="1"/>
  <c r="J340" i="7" a="1"/>
  <c r="J340" i="7" s="1"/>
  <c r="D342" i="7" a="1"/>
  <c r="D342" i="7" s="1"/>
  <c r="J344" i="7" a="1"/>
  <c r="J344" i="7" s="1"/>
  <c r="D346" i="7" a="1"/>
  <c r="D346" i="7" s="1"/>
  <c r="G347" i="7" a="1"/>
  <c r="G347" i="7" s="1"/>
  <c r="D350" i="7" a="1"/>
  <c r="D350" i="7" s="1"/>
  <c r="G351" i="7" a="1"/>
  <c r="G351" i="7" s="1"/>
  <c r="D354" i="7" a="1"/>
  <c r="D354" i="7" s="1"/>
  <c r="D219" i="7" a="1"/>
  <c r="D219" i="7" s="1"/>
  <c r="D239" i="7" a="1"/>
  <c r="D239" i="7" s="1"/>
  <c r="F244" i="7" a="1"/>
  <c r="F244" i="7" s="1"/>
  <c r="F246" i="7" a="1"/>
  <c r="F246" i="7" s="1"/>
  <c r="F248" i="7" a="1"/>
  <c r="F248" i="7" s="1"/>
  <c r="E250" i="7" a="1"/>
  <c r="E250" i="7" s="1"/>
  <c r="J255" i="7" a="1"/>
  <c r="J255" i="7" s="1"/>
  <c r="I257" i="7" a="1"/>
  <c r="I257" i="7" s="1"/>
  <c r="H259" i="7" a="1"/>
  <c r="H259" i="7" s="1"/>
  <c r="E261" i="7" a="1"/>
  <c r="E261" i="7" s="1"/>
  <c r="D263" i="7" a="1"/>
  <c r="D263" i="7" s="1"/>
  <c r="J266" i="7" a="1"/>
  <c r="J266" i="7" s="1"/>
  <c r="F268" i="7" a="1"/>
  <c r="F268" i="7" s="1"/>
  <c r="D270" i="7" a="1"/>
  <c r="D270" i="7" s="1"/>
  <c r="J271" i="7" a="1"/>
  <c r="J271" i="7" s="1"/>
  <c r="E273" i="7" a="1"/>
  <c r="E273" i="7" s="1"/>
  <c r="J274" i="7" a="1"/>
  <c r="J274" i="7" s="1"/>
  <c r="E276" i="7" a="1"/>
  <c r="E276" i="7" s="1"/>
  <c r="I277" i="7" a="1"/>
  <c r="I277" i="7" s="1"/>
  <c r="G280" i="7" a="1"/>
  <c r="G280" i="7" s="1"/>
  <c r="K281" i="7" a="1"/>
  <c r="K281" i="7" s="1"/>
  <c r="E283" i="7" a="1"/>
  <c r="E283" i="7" s="1"/>
  <c r="J284" i="7" a="1"/>
  <c r="J284" i="7" s="1"/>
  <c r="D286" i="7" a="1"/>
  <c r="D286" i="7" s="1"/>
  <c r="H287" i="7" a="1"/>
  <c r="H287" i="7" s="1"/>
  <c r="F290" i="7" a="1"/>
  <c r="F290" i="7" s="1"/>
  <c r="J291" i="7" a="1"/>
  <c r="J291" i="7" s="1"/>
  <c r="E293" i="7" a="1"/>
  <c r="E293" i="7" s="1"/>
  <c r="H294" i="7" a="1"/>
  <c r="H294" i="7" s="1"/>
  <c r="G297" i="7" a="1"/>
  <c r="G297" i="7" s="1"/>
  <c r="J298" i="7" a="1"/>
  <c r="J298" i="7" s="1"/>
  <c r="E300" i="7" a="1"/>
  <c r="E300" i="7" s="1"/>
  <c r="I301" i="7" a="1"/>
  <c r="I301" i="7" s="1"/>
  <c r="G304" i="7" a="1"/>
  <c r="G304" i="7" s="1"/>
  <c r="K305" i="7" a="1"/>
  <c r="K305" i="7" s="1"/>
  <c r="E307" i="7" a="1"/>
  <c r="E307" i="7" s="1"/>
  <c r="J308" i="7" a="1"/>
  <c r="J308" i="7" s="1"/>
  <c r="D310" i="7" a="1"/>
  <c r="D310" i="7" s="1"/>
  <c r="H311" i="7" a="1"/>
  <c r="H311" i="7" s="1"/>
  <c r="K312" i="7" a="1"/>
  <c r="K312" i="7" s="1"/>
  <c r="E314" i="7" a="1"/>
  <c r="E314" i="7" s="1"/>
  <c r="H315" i="7" a="1"/>
  <c r="H315" i="7" s="1"/>
  <c r="K316" i="7" a="1"/>
  <c r="K316" i="7" s="1"/>
  <c r="E318" i="7" a="1"/>
  <c r="E318" i="7" s="1"/>
  <c r="H319" i="7" a="1"/>
  <c r="H319" i="7" s="1"/>
  <c r="K320" i="7" a="1"/>
  <c r="K320" i="7" s="1"/>
  <c r="E322" i="7" a="1"/>
  <c r="E322" i="7" s="1"/>
  <c r="H323" i="7" a="1"/>
  <c r="H323" i="7" s="1"/>
  <c r="K324" i="7" a="1"/>
  <c r="K324" i="7" s="1"/>
  <c r="E326" i="7" a="1"/>
  <c r="E326" i="7" s="1"/>
  <c r="H327" i="7" a="1"/>
  <c r="H327" i="7" s="1"/>
  <c r="K328" i="7" a="1"/>
  <c r="K328" i="7" s="1"/>
  <c r="E330" i="7" a="1"/>
  <c r="E330" i="7" s="1"/>
  <c r="H331" i="7" a="1"/>
  <c r="H331" i="7" s="1"/>
  <c r="K332" i="7" a="1"/>
  <c r="K332" i="7" s="1"/>
  <c r="E334" i="7" a="1"/>
  <c r="E334" i="7" s="1"/>
  <c r="H335" i="7" a="1"/>
  <c r="H335" i="7" s="1"/>
  <c r="K336" i="7" a="1"/>
  <c r="K336" i="7" s="1"/>
  <c r="E338" i="7" a="1"/>
  <c r="E338" i="7" s="1"/>
  <c r="H339" i="7" a="1"/>
  <c r="H339" i="7" s="1"/>
  <c r="K340" i="7" a="1"/>
  <c r="K340" i="7" s="1"/>
  <c r="E342" i="7" a="1"/>
  <c r="E342" i="7" s="1"/>
  <c r="H343" i="7" a="1"/>
  <c r="H343" i="7" s="1"/>
  <c r="K344" i="7" a="1"/>
  <c r="K344" i="7" s="1"/>
  <c r="E346" i="7" a="1"/>
  <c r="E346" i="7" s="1"/>
  <c r="H347" i="7" a="1"/>
  <c r="H347" i="7" s="1"/>
  <c r="K348" i="7" a="1"/>
  <c r="K348" i="7" s="1"/>
  <c r="E350" i="7" a="1"/>
  <c r="E350" i="7" s="1"/>
  <c r="H351" i="7" a="1"/>
  <c r="H351" i="7" s="1"/>
  <c r="K352" i="7" a="1"/>
  <c r="K352" i="7" s="1"/>
  <c r="E354" i="7" a="1"/>
  <c r="E354" i="7" s="1"/>
  <c r="H355" i="7" a="1"/>
  <c r="H355" i="7" s="1"/>
  <c r="K356" i="7" a="1"/>
  <c r="K356" i="7" s="1"/>
  <c r="E358" i="7" a="1"/>
  <c r="E358" i="7" s="1"/>
  <c r="H359" i="7" a="1"/>
  <c r="H359" i="7" s="1"/>
  <c r="K360" i="7" a="1"/>
  <c r="K360" i="7" s="1"/>
  <c r="E362" i="7" a="1"/>
  <c r="E362" i="7" s="1"/>
  <c r="H363" i="7" a="1"/>
  <c r="H363" i="7" s="1"/>
  <c r="K364" i="7" a="1"/>
  <c r="K364" i="7" s="1"/>
  <c r="J225" i="7" a="1"/>
  <c r="J225" i="7" s="1"/>
  <c r="D230" i="7" a="1"/>
  <c r="D230" i="7" s="1"/>
  <c r="D235" i="7" a="1"/>
  <c r="D235" i="7" s="1"/>
  <c r="G239" i="7" a="1"/>
  <c r="G239" i="7" s="1"/>
  <c r="D242" i="7" a="1"/>
  <c r="D242" i="7" s="1"/>
  <c r="G244" i="7" a="1"/>
  <c r="G244" i="7" s="1"/>
  <c r="G246" i="7" a="1"/>
  <c r="G246" i="7" s="1"/>
  <c r="G248" i="7" a="1"/>
  <c r="G248" i="7" s="1"/>
  <c r="F250" i="7" a="1"/>
  <c r="F250" i="7" s="1"/>
  <c r="E252" i="7" a="1"/>
  <c r="E252" i="7" s="1"/>
  <c r="D254" i="7" a="1"/>
  <c r="D254" i="7" s="1"/>
  <c r="K255" i="7" a="1"/>
  <c r="K255" i="7" s="1"/>
  <c r="J257" i="7" a="1"/>
  <c r="J257" i="7" s="1"/>
  <c r="I259" i="7" a="1"/>
  <c r="I259" i="7" s="1"/>
  <c r="H261" i="7" a="1"/>
  <c r="H261" i="7" s="1"/>
  <c r="G263" i="7" a="1"/>
  <c r="G263" i="7" s="1"/>
  <c r="D265" i="7" a="1"/>
  <c r="D265" i="7" s="1"/>
  <c r="K266" i="7" a="1"/>
  <c r="K266" i="7" s="1"/>
  <c r="G268" i="7" a="1"/>
  <c r="G268" i="7" s="1"/>
  <c r="E270" i="7" a="1"/>
  <c r="E270" i="7" s="1"/>
  <c r="K271" i="7" a="1"/>
  <c r="K271" i="7" s="1"/>
  <c r="G273" i="7" a="1"/>
  <c r="G273" i="7" s="1"/>
  <c r="K274" i="7" a="1"/>
  <c r="K274" i="7" s="1"/>
  <c r="F276" i="7" a="1"/>
  <c r="F276" i="7" s="1"/>
  <c r="J277" i="7" a="1"/>
  <c r="J277" i="7" s="1"/>
  <c r="D279" i="7" a="1"/>
  <c r="D279" i="7" s="1"/>
  <c r="H280" i="7" a="1"/>
  <c r="H280" i="7" s="1"/>
  <c r="G283" i="7" a="1"/>
  <c r="G283" i="7" s="1"/>
  <c r="K284" i="7" a="1"/>
  <c r="K284" i="7" s="1"/>
  <c r="E286" i="7" a="1"/>
  <c r="E286" i="7" s="1"/>
  <c r="I287" i="7" a="1"/>
  <c r="I287" i="7" s="1"/>
  <c r="D289" i="7" a="1"/>
  <c r="D289" i="7" s="1"/>
  <c r="G290" i="7" a="1"/>
  <c r="G290" i="7" s="1"/>
  <c r="K291" i="7" a="1"/>
  <c r="K291" i="7" s="1"/>
  <c r="F293" i="7" a="1"/>
  <c r="F293" i="7" s="1"/>
  <c r="I294" i="7" a="1"/>
  <c r="I294" i="7" s="1"/>
  <c r="D296" i="7" a="1"/>
  <c r="D296" i="7" s="1"/>
  <c r="H297" i="7" a="1"/>
  <c r="H297" i="7" s="1"/>
  <c r="K298" i="7" a="1"/>
  <c r="K298" i="7" s="1"/>
  <c r="F300" i="7" a="1"/>
  <c r="F300" i="7" s="1"/>
  <c r="J301" i="7" a="1"/>
  <c r="J301" i="7" s="1"/>
  <c r="D303" i="7" a="1"/>
  <c r="D303" i="7" s="1"/>
  <c r="H304" i="7" a="1"/>
  <c r="H304" i="7" s="1"/>
  <c r="G307" i="7" a="1"/>
  <c r="G307" i="7" s="1"/>
  <c r="K308" i="7" a="1"/>
  <c r="K308" i="7" s="1"/>
  <c r="E310" i="7" a="1"/>
  <c r="E310" i="7" s="1"/>
  <c r="I311" i="7" a="1"/>
  <c r="I311" i="7" s="1"/>
  <c r="F314" i="7" a="1"/>
  <c r="F314" i="7" s="1"/>
  <c r="I315" i="7" a="1"/>
  <c r="I315" i="7" s="1"/>
  <c r="F318" i="7" a="1"/>
  <c r="F318" i="7" s="1"/>
  <c r="I319" i="7" a="1"/>
  <c r="I319" i="7" s="1"/>
  <c r="F322" i="7" a="1"/>
  <c r="F322" i="7" s="1"/>
  <c r="I323" i="7" a="1"/>
  <c r="I323" i="7" s="1"/>
  <c r="F326" i="7" a="1"/>
  <c r="F326" i="7" s="1"/>
  <c r="I327" i="7" a="1"/>
  <c r="I327" i="7" s="1"/>
  <c r="F330" i="7" a="1"/>
  <c r="F330" i="7" s="1"/>
  <c r="I331" i="7" a="1"/>
  <c r="I331" i="7" s="1"/>
  <c r="F334" i="7" a="1"/>
  <c r="F334" i="7" s="1"/>
  <c r="I335" i="7" a="1"/>
  <c r="I335" i="7" s="1"/>
  <c r="F338" i="7" a="1"/>
  <c r="F338" i="7" s="1"/>
  <c r="I339" i="7" a="1"/>
  <c r="I339" i="7" s="1"/>
  <c r="F342" i="7" a="1"/>
  <c r="F342" i="7" s="1"/>
  <c r="I343" i="7" a="1"/>
  <c r="I343" i="7" s="1"/>
  <c r="F346" i="7" a="1"/>
  <c r="F346" i="7" s="1"/>
  <c r="I347" i="7" a="1"/>
  <c r="I347" i="7" s="1"/>
  <c r="F350" i="7" a="1"/>
  <c r="F350" i="7" s="1"/>
  <c r="I351" i="7" a="1"/>
  <c r="I351" i="7" s="1"/>
  <c r="F354" i="7" a="1"/>
  <c r="F354" i="7" s="1"/>
  <c r="I355" i="7" a="1"/>
  <c r="I355" i="7" s="1"/>
  <c r="F358" i="7" a="1"/>
  <c r="F358" i="7" s="1"/>
  <c r="I359" i="7" a="1"/>
  <c r="I359" i="7" s="1"/>
  <c r="F362" i="7" a="1"/>
  <c r="F362" i="7" s="1"/>
  <c r="I363" i="7" a="1"/>
  <c r="I363" i="7" s="1"/>
  <c r="F366" i="7" a="1"/>
  <c r="F366" i="7" s="1"/>
  <c r="I367" i="7" a="1"/>
  <c r="I367" i="7" s="1"/>
  <c r="F370" i="7" a="1"/>
  <c r="F370" i="7" s="1"/>
  <c r="I371" i="7" a="1"/>
  <c r="I371" i="7" s="1"/>
  <c r="F374" i="7" a="1"/>
  <c r="F374" i="7" s="1"/>
  <c r="I375" i="7" a="1"/>
  <c r="I375" i="7" s="1"/>
  <c r="F378" i="7" a="1"/>
  <c r="F378" i="7" s="1"/>
  <c r="I379" i="7" a="1"/>
  <c r="I379" i="7" s="1"/>
  <c r="G220" i="7" a="1"/>
  <c r="G220" i="7" s="1"/>
  <c r="G235" i="7" a="1"/>
  <c r="G235" i="7" s="1"/>
  <c r="J239" i="7" a="1"/>
  <c r="J239" i="7" s="1"/>
  <c r="E242" i="7" a="1"/>
  <c r="E242" i="7" s="1"/>
  <c r="J244" i="7" a="1"/>
  <c r="J244" i="7" s="1"/>
  <c r="H246" i="7" a="1"/>
  <c r="H246" i="7" s="1"/>
  <c r="J248" i="7" a="1"/>
  <c r="J248" i="7" s="1"/>
  <c r="G250" i="7" a="1"/>
  <c r="G250" i="7" s="1"/>
  <c r="F252" i="7" a="1"/>
  <c r="F252" i="7" s="1"/>
  <c r="E254" i="7" a="1"/>
  <c r="E254" i="7" s="1"/>
  <c r="J259" i="7" a="1"/>
  <c r="J259" i="7" s="1"/>
  <c r="I261" i="7" a="1"/>
  <c r="I261" i="7" s="1"/>
  <c r="H263" i="7" a="1"/>
  <c r="H263" i="7" s="1"/>
  <c r="E265" i="7" a="1"/>
  <c r="E265" i="7" s="1"/>
  <c r="J268" i="7" a="1"/>
  <c r="J268" i="7" s="1"/>
  <c r="F270" i="7" a="1"/>
  <c r="F270" i="7" s="1"/>
  <c r="H273" i="7" a="1"/>
  <c r="H273" i="7" s="1"/>
  <c r="G276" i="7" a="1"/>
  <c r="G276" i="7" s="1"/>
  <c r="K277" i="7" a="1"/>
  <c r="K277" i="7" s="1"/>
  <c r="E279" i="7" a="1"/>
  <c r="E279" i="7" s="1"/>
  <c r="J280" i="7" a="1"/>
  <c r="J280" i="7" s="1"/>
  <c r="D282" i="7" a="1"/>
  <c r="D282" i="7" s="1"/>
  <c r="H283" i="7" a="1"/>
  <c r="H283" i="7" s="1"/>
  <c r="F286" i="7" a="1"/>
  <c r="F286" i="7" s="1"/>
  <c r="J287" i="7" a="1"/>
  <c r="J287" i="7" s="1"/>
  <c r="E289" i="7" a="1"/>
  <c r="E289" i="7" s="1"/>
  <c r="H290" i="7" a="1"/>
  <c r="H290" i="7" s="1"/>
  <c r="G293" i="7" a="1"/>
  <c r="G293" i="7" s="1"/>
  <c r="J294" i="7" a="1"/>
  <c r="J294" i="7" s="1"/>
  <c r="E296" i="7" a="1"/>
  <c r="E296" i="7" s="1"/>
  <c r="I297" i="7" a="1"/>
  <c r="I297" i="7" s="1"/>
  <c r="G300" i="7" a="1"/>
  <c r="G300" i="7" s="1"/>
  <c r="K301" i="7" a="1"/>
  <c r="K301" i="7" s="1"/>
  <c r="E303" i="7" a="1"/>
  <c r="E303" i="7" s="1"/>
  <c r="J304" i="7" a="1"/>
  <c r="J304" i="7" s="1"/>
  <c r="D306" i="7" a="1"/>
  <c r="D306" i="7" s="1"/>
  <c r="H307" i="7" a="1"/>
  <c r="H307" i="7" s="1"/>
  <c r="F310" i="7" a="1"/>
  <c r="F310" i="7" s="1"/>
  <c r="J311" i="7" a="1"/>
  <c r="J311" i="7" s="1"/>
  <c r="D313" i="7" a="1"/>
  <c r="D313" i="7" s="1"/>
  <c r="G314" i="7" a="1"/>
  <c r="G314" i="7" s="1"/>
  <c r="J315" i="7" a="1"/>
  <c r="J315" i="7" s="1"/>
  <c r="D317" i="7" a="1"/>
  <c r="D317" i="7" s="1"/>
  <c r="G318" i="7" a="1"/>
  <c r="G318" i="7" s="1"/>
  <c r="J319" i="7" a="1"/>
  <c r="J319" i="7" s="1"/>
  <c r="D321" i="7" a="1"/>
  <c r="D321" i="7" s="1"/>
  <c r="G322" i="7" a="1"/>
  <c r="G322" i="7" s="1"/>
  <c r="J323" i="7" a="1"/>
  <c r="J323" i="7" s="1"/>
  <c r="D325" i="7" a="1"/>
  <c r="D325" i="7" s="1"/>
  <c r="G326" i="7" a="1"/>
  <c r="G326" i="7" s="1"/>
  <c r="J327" i="7" a="1"/>
  <c r="J327" i="7" s="1"/>
  <c r="D329" i="7" a="1"/>
  <c r="D329" i="7" s="1"/>
  <c r="G330" i="7" a="1"/>
  <c r="G330" i="7" s="1"/>
  <c r="J331" i="7" a="1"/>
  <c r="J331" i="7" s="1"/>
  <c r="D333" i="7" a="1"/>
  <c r="D333" i="7" s="1"/>
  <c r="G334" i="7" a="1"/>
  <c r="G334" i="7" s="1"/>
  <c r="J335" i="7" a="1"/>
  <c r="J335" i="7" s="1"/>
  <c r="D337" i="7" a="1"/>
  <c r="D337" i="7" s="1"/>
  <c r="G338" i="7" a="1"/>
  <c r="G338" i="7" s="1"/>
  <c r="J339" i="7" a="1"/>
  <c r="J339" i="7" s="1"/>
  <c r="D341" i="7" a="1"/>
  <c r="D341" i="7" s="1"/>
  <c r="G342" i="7" a="1"/>
  <c r="G342" i="7" s="1"/>
  <c r="J343" i="7" a="1"/>
  <c r="J343" i="7" s="1"/>
  <c r="D345" i="7" a="1"/>
  <c r="D345" i="7" s="1"/>
  <c r="G346" i="7" a="1"/>
  <c r="G346" i="7" s="1"/>
  <c r="J347" i="7" a="1"/>
  <c r="J347" i="7" s="1"/>
  <c r="D349" i="7" a="1"/>
  <c r="D349" i="7" s="1"/>
  <c r="G350" i="7" a="1"/>
  <c r="G350" i="7" s="1"/>
  <c r="J351" i="7" a="1"/>
  <c r="J351" i="7" s="1"/>
  <c r="D353" i="7" a="1"/>
  <c r="D353" i="7" s="1"/>
  <c r="G354" i="7" a="1"/>
  <c r="G354" i="7" s="1"/>
  <c r="J355" i="7" a="1"/>
  <c r="J355" i="7" s="1"/>
  <c r="D357" i="7" a="1"/>
  <c r="D357" i="7" s="1"/>
  <c r="G358" i="7" a="1"/>
  <c r="G358" i="7" s="1"/>
  <c r="J359" i="7" a="1"/>
  <c r="J359" i="7" s="1"/>
  <c r="D361" i="7" a="1"/>
  <c r="D361" i="7" s="1"/>
  <c r="G362" i="7" a="1"/>
  <c r="G362" i="7" s="1"/>
  <c r="J363" i="7" a="1"/>
  <c r="J363" i="7" s="1"/>
  <c r="D365" i="7" a="1"/>
  <c r="D365" i="7" s="1"/>
  <c r="G366" i="7" a="1"/>
  <c r="G366" i="7" s="1"/>
  <c r="J367" i="7" a="1"/>
  <c r="J367" i="7" s="1"/>
  <c r="D369" i="7" a="1"/>
  <c r="D369" i="7" s="1"/>
  <c r="G370" i="7" a="1"/>
  <c r="G370" i="7" s="1"/>
  <c r="J371" i="7" a="1"/>
  <c r="J371" i="7" s="1"/>
  <c r="D373" i="7" a="1"/>
  <c r="D373" i="7" s="1"/>
  <c r="G374" i="7" a="1"/>
  <c r="G374" i="7" s="1"/>
  <c r="J375" i="7" a="1"/>
  <c r="J375" i="7" s="1"/>
  <c r="D377" i="7" a="1"/>
  <c r="D377" i="7" s="1"/>
  <c r="G378" i="7" a="1"/>
  <c r="G378" i="7" s="1"/>
  <c r="J379" i="7" a="1"/>
  <c r="J379" i="7" s="1"/>
  <c r="D381" i="7" a="1"/>
  <c r="D381" i="7" s="1"/>
  <c r="G382" i="7" a="1"/>
  <c r="G382" i="7" s="1"/>
  <c r="J383" i="7" a="1"/>
  <c r="J383" i="7" s="1"/>
  <c r="D385" i="7" a="1"/>
  <c r="D385" i="7" s="1"/>
  <c r="G386" i="7" a="1"/>
  <c r="G386" i="7" s="1"/>
  <c r="J387" i="7" a="1"/>
  <c r="J387" i="7" s="1"/>
  <c r="D389" i="7" a="1"/>
  <c r="D389" i="7" s="1"/>
  <c r="G390" i="7" a="1"/>
  <c r="G390" i="7" s="1"/>
  <c r="J391" i="7" a="1"/>
  <c r="J391" i="7" s="1"/>
  <c r="D393" i="7" a="1"/>
  <c r="D393" i="7" s="1"/>
  <c r="G394" i="7" a="1"/>
  <c r="G394" i="7" s="1"/>
  <c r="D226" i="7" a="1"/>
  <c r="D226" i="7" s="1"/>
  <c r="D231" i="7" a="1"/>
  <c r="D231" i="7" s="1"/>
  <c r="G242" i="7" a="1"/>
  <c r="G242" i="7" s="1"/>
  <c r="K244" i="7" a="1"/>
  <c r="K244" i="7" s="1"/>
  <c r="K248" i="7" a="1"/>
  <c r="K248" i="7" s="1"/>
  <c r="H250" i="7" a="1"/>
  <c r="H250" i="7" s="1"/>
  <c r="G252" i="7" a="1"/>
  <c r="G252" i="7" s="1"/>
  <c r="F254" i="7" a="1"/>
  <c r="F254" i="7" s="1"/>
  <c r="E256" i="7" a="1"/>
  <c r="E256" i="7" s="1"/>
  <c r="D258" i="7" a="1"/>
  <c r="D258" i="7" s="1"/>
  <c r="K259" i="7" a="1"/>
  <c r="K259" i="7" s="1"/>
  <c r="J261" i="7" a="1"/>
  <c r="J261" i="7" s="1"/>
  <c r="I263" i="7" a="1"/>
  <c r="I263" i="7" s="1"/>
  <c r="H265" i="7" a="1"/>
  <c r="H265" i="7" s="1"/>
  <c r="D267" i="7" a="1"/>
  <c r="D267" i="7" s="1"/>
  <c r="K268" i="7" a="1"/>
  <c r="K268" i="7" s="1"/>
  <c r="G270" i="7" a="1"/>
  <c r="G270" i="7" s="1"/>
  <c r="D272" i="7" a="1"/>
  <c r="D272" i="7" s="1"/>
  <c r="I273" i="7" a="1"/>
  <c r="I273" i="7" s="1"/>
  <c r="D275" i="7" a="1"/>
  <c r="D275" i="7" s="1"/>
  <c r="H276" i="7" a="1"/>
  <c r="H276" i="7" s="1"/>
  <c r="G279" i="7" a="1"/>
  <c r="G279" i="7" s="1"/>
  <c r="K280" i="7" a="1"/>
  <c r="K280" i="7" s="1"/>
  <c r="E282" i="7" a="1"/>
  <c r="E282" i="7" s="1"/>
  <c r="I283" i="7" a="1"/>
  <c r="I283" i="7" s="1"/>
  <c r="D285" i="7" a="1"/>
  <c r="D285" i="7" s="1"/>
  <c r="G286" i="7" a="1"/>
  <c r="G286" i="7" s="1"/>
  <c r="K287" i="7" a="1"/>
  <c r="K287" i="7" s="1"/>
  <c r="F289" i="7" a="1"/>
  <c r="F289" i="7" s="1"/>
  <c r="I290" i="7" a="1"/>
  <c r="I290" i="7" s="1"/>
  <c r="D292" i="7" a="1"/>
  <c r="D292" i="7" s="1"/>
  <c r="H293" i="7" a="1"/>
  <c r="H293" i="7" s="1"/>
  <c r="K294" i="7" a="1"/>
  <c r="K294" i="7" s="1"/>
  <c r="F296" i="7" a="1"/>
  <c r="F296" i="7" s="1"/>
  <c r="J297" i="7" a="1"/>
  <c r="J297" i="7" s="1"/>
  <c r="D299" i="7" a="1"/>
  <c r="D299" i="7" s="1"/>
  <c r="H300" i="7" a="1"/>
  <c r="H300" i="7" s="1"/>
  <c r="G303" i="7" a="1"/>
  <c r="G303" i="7" s="1"/>
  <c r="K304" i="7" a="1"/>
  <c r="K304" i="7" s="1"/>
  <c r="E306" i="7" a="1"/>
  <c r="E306" i="7" s="1"/>
  <c r="I307" i="7" a="1"/>
  <c r="I307" i="7" s="1"/>
  <c r="D309" i="7" a="1"/>
  <c r="D309" i="7" s="1"/>
  <c r="G310" i="7" a="1"/>
  <c r="G310" i="7" s="1"/>
  <c r="K311" i="7" a="1"/>
  <c r="K311" i="7" s="1"/>
  <c r="E313" i="7" a="1"/>
  <c r="E313" i="7" s="1"/>
  <c r="H314" i="7" a="1"/>
  <c r="H314" i="7" s="1"/>
  <c r="K315" i="7" a="1"/>
  <c r="K315" i="7" s="1"/>
  <c r="E317" i="7" a="1"/>
  <c r="E317" i="7" s="1"/>
  <c r="H318" i="7" a="1"/>
  <c r="H318" i="7" s="1"/>
  <c r="K319" i="7" a="1"/>
  <c r="K319" i="7" s="1"/>
  <c r="E321" i="7" a="1"/>
  <c r="E321" i="7" s="1"/>
  <c r="H322" i="7" a="1"/>
  <c r="H322" i="7" s="1"/>
  <c r="K323" i="7" a="1"/>
  <c r="K323" i="7" s="1"/>
  <c r="E325" i="7" a="1"/>
  <c r="E325" i="7" s="1"/>
  <c r="H326" i="7" a="1"/>
  <c r="H326" i="7" s="1"/>
  <c r="K327" i="7" a="1"/>
  <c r="K327" i="7" s="1"/>
  <c r="E329" i="7" a="1"/>
  <c r="E329" i="7" s="1"/>
  <c r="H330" i="7" a="1"/>
  <c r="H330" i="7" s="1"/>
  <c r="K331" i="7" a="1"/>
  <c r="K331" i="7" s="1"/>
  <c r="E333" i="7" a="1"/>
  <c r="E333" i="7" s="1"/>
  <c r="H334" i="7" a="1"/>
  <c r="H334" i="7" s="1"/>
  <c r="K335" i="7" a="1"/>
  <c r="K335" i="7" s="1"/>
  <c r="E337" i="7" a="1"/>
  <c r="E337" i="7" s="1"/>
  <c r="H338" i="7" a="1"/>
  <c r="H338" i="7" s="1"/>
  <c r="K339" i="7" a="1"/>
  <c r="K339" i="7" s="1"/>
  <c r="E341" i="7" a="1"/>
  <c r="E341" i="7" s="1"/>
  <c r="H342" i="7" a="1"/>
  <c r="H342" i="7" s="1"/>
  <c r="K343" i="7" a="1"/>
  <c r="K343" i="7" s="1"/>
  <c r="E345" i="7" a="1"/>
  <c r="E345" i="7" s="1"/>
  <c r="H346" i="7" a="1"/>
  <c r="H346" i="7" s="1"/>
  <c r="K347" i="7" a="1"/>
  <c r="K347" i="7" s="1"/>
  <c r="E349" i="7" a="1"/>
  <c r="E349" i="7" s="1"/>
  <c r="H350" i="7" a="1"/>
  <c r="H350" i="7" s="1"/>
  <c r="K351" i="7" a="1"/>
  <c r="K351" i="7" s="1"/>
  <c r="E353" i="7" a="1"/>
  <c r="E353" i="7" s="1"/>
  <c r="H354" i="7" a="1"/>
  <c r="H354" i="7" s="1"/>
  <c r="K355" i="7" a="1"/>
  <c r="K355" i="7" s="1"/>
  <c r="E357" i="7" a="1"/>
  <c r="E357" i="7" s="1"/>
  <c r="H358" i="7" a="1"/>
  <c r="H358" i="7" s="1"/>
  <c r="K359" i="7" a="1"/>
  <c r="K359" i="7" s="1"/>
  <c r="E361" i="7" a="1"/>
  <c r="E361" i="7" s="1"/>
  <c r="H362" i="7" a="1"/>
  <c r="H362" i="7" s="1"/>
  <c r="K363" i="7" a="1"/>
  <c r="K363" i="7" s="1"/>
  <c r="E365" i="7" a="1"/>
  <c r="E365" i="7" s="1"/>
  <c r="H366" i="7" a="1"/>
  <c r="H366" i="7" s="1"/>
  <c r="K367" i="7" a="1"/>
  <c r="K367" i="7" s="1"/>
  <c r="E369" i="7" a="1"/>
  <c r="E369" i="7" s="1"/>
  <c r="H370" i="7" a="1"/>
  <c r="H370" i="7" s="1"/>
  <c r="K371" i="7" a="1"/>
  <c r="K371" i="7" s="1"/>
  <c r="E373" i="7" a="1"/>
  <c r="E373" i="7" s="1"/>
  <c r="H374" i="7" a="1"/>
  <c r="H374" i="7" s="1"/>
  <c r="K375" i="7" a="1"/>
  <c r="K375" i="7" s="1"/>
  <c r="E377" i="7" a="1"/>
  <c r="E377" i="7" s="1"/>
  <c r="H378" i="7" a="1"/>
  <c r="H378" i="7" s="1"/>
  <c r="K379" i="7" a="1"/>
  <c r="K379" i="7" s="1"/>
  <c r="E381" i="7" a="1"/>
  <c r="E381" i="7" s="1"/>
  <c r="H382" i="7" a="1"/>
  <c r="H382" i="7" s="1"/>
  <c r="K383" i="7" a="1"/>
  <c r="K383" i="7" s="1"/>
  <c r="E385" i="7" a="1"/>
  <c r="E385" i="7" s="1"/>
  <c r="H386" i="7" a="1"/>
  <c r="H386" i="7" s="1"/>
  <c r="K387" i="7" a="1"/>
  <c r="K387" i="7" s="1"/>
  <c r="E389" i="7" a="1"/>
  <c r="E389" i="7" s="1"/>
  <c r="H390" i="7" a="1"/>
  <c r="H390" i="7" s="1"/>
  <c r="K391" i="7" a="1"/>
  <c r="K391" i="7" s="1"/>
  <c r="E393" i="7" a="1"/>
  <c r="E393" i="7" s="1"/>
  <c r="H394" i="7" a="1"/>
  <c r="H394" i="7" s="1"/>
  <c r="J221" i="7" a="1"/>
  <c r="J221" i="7" s="1"/>
  <c r="G231" i="7" a="1"/>
  <c r="G231" i="7" s="1"/>
  <c r="G236" i="7" a="1"/>
  <c r="G236" i="7" s="1"/>
  <c r="F240" i="7" a="1"/>
  <c r="F240" i="7" s="1"/>
  <c r="H242" i="7" a="1"/>
  <c r="H242" i="7" s="1"/>
  <c r="D247" i="7" a="1"/>
  <c r="D247" i="7" s="1"/>
  <c r="K250" i="7" a="1"/>
  <c r="K250" i="7" s="1"/>
  <c r="J252" i="7" a="1"/>
  <c r="J252" i="7" s="1"/>
  <c r="G254" i="7" a="1"/>
  <c r="G254" i="7" s="1"/>
  <c r="F256" i="7" a="1"/>
  <c r="F256" i="7" s="1"/>
  <c r="E258" i="7" a="1"/>
  <c r="E258" i="7" s="1"/>
  <c r="J263" i="7" a="1"/>
  <c r="J263" i="7" s="1"/>
  <c r="I265" i="7" a="1"/>
  <c r="I265" i="7" s="1"/>
  <c r="G267" i="7" a="1"/>
  <c r="G267" i="7" s="1"/>
  <c r="H270" i="7" a="1"/>
  <c r="H270" i="7" s="1"/>
  <c r="E272" i="7" a="1"/>
  <c r="E272" i="7" s="1"/>
  <c r="J273" i="7" a="1"/>
  <c r="J273" i="7" s="1"/>
  <c r="E275" i="7" a="1"/>
  <c r="E275" i="7" s="1"/>
  <c r="J276" i="7" a="1"/>
  <c r="J276" i="7" s="1"/>
  <c r="D278" i="7" a="1"/>
  <c r="D278" i="7" s="1"/>
  <c r="H279" i="7" a="1"/>
  <c r="H279" i="7" s="1"/>
  <c r="F282" i="7" a="1"/>
  <c r="F282" i="7" s="1"/>
  <c r="J283" i="7" a="1"/>
  <c r="J283" i="7" s="1"/>
  <c r="E285" i="7" a="1"/>
  <c r="E285" i="7" s="1"/>
  <c r="H286" i="7" a="1"/>
  <c r="H286" i="7" s="1"/>
  <c r="G289" i="7" a="1"/>
  <c r="G289" i="7" s="1"/>
  <c r="J290" i="7" a="1"/>
  <c r="J290" i="7" s="1"/>
  <c r="E292" i="7" a="1"/>
  <c r="E292" i="7" s="1"/>
  <c r="I293" i="7" a="1"/>
  <c r="I293" i="7" s="1"/>
  <c r="G296" i="7" a="1"/>
  <c r="G296" i="7" s="1"/>
  <c r="K297" i="7" a="1"/>
  <c r="K297" i="7" s="1"/>
  <c r="E299" i="7" a="1"/>
  <c r="E299" i="7" s="1"/>
  <c r="J300" i="7" a="1"/>
  <c r="J300" i="7" s="1"/>
  <c r="D302" i="7" a="1"/>
  <c r="D302" i="7" s="1"/>
  <c r="H303" i="7" a="1"/>
  <c r="H303" i="7" s="1"/>
  <c r="F306" i="7" a="1"/>
  <c r="F306" i="7" s="1"/>
  <c r="J307" i="7" a="1"/>
  <c r="J307" i="7" s="1"/>
  <c r="E309" i="7" a="1"/>
  <c r="E309" i="7" s="1"/>
  <c r="H310" i="7" a="1"/>
  <c r="H310" i="7" s="1"/>
  <c r="F313" i="7" a="1"/>
  <c r="F313" i="7" s="1"/>
  <c r="I314" i="7" a="1"/>
  <c r="I314" i="7" s="1"/>
  <c r="F317" i="7" a="1"/>
  <c r="F317" i="7" s="1"/>
  <c r="I318" i="7" a="1"/>
  <c r="I318" i="7" s="1"/>
  <c r="F321" i="7" a="1"/>
  <c r="F321" i="7" s="1"/>
  <c r="I322" i="7" a="1"/>
  <c r="I322" i="7" s="1"/>
  <c r="F325" i="7" a="1"/>
  <c r="F325" i="7" s="1"/>
  <c r="I326" i="7" a="1"/>
  <c r="I326" i="7" s="1"/>
  <c r="F329" i="7" a="1"/>
  <c r="F329" i="7" s="1"/>
  <c r="I330" i="7" a="1"/>
  <c r="I330" i="7" s="1"/>
  <c r="F333" i="7" a="1"/>
  <c r="F333" i="7" s="1"/>
  <c r="I334" i="7" a="1"/>
  <c r="I334" i="7" s="1"/>
  <c r="F337" i="7" a="1"/>
  <c r="F337" i="7" s="1"/>
  <c r="I338" i="7" a="1"/>
  <c r="I338" i="7" s="1"/>
  <c r="F341" i="7" a="1"/>
  <c r="F341" i="7" s="1"/>
  <c r="I342" i="7" a="1"/>
  <c r="I342" i="7" s="1"/>
  <c r="F345" i="7" a="1"/>
  <c r="F345" i="7" s="1"/>
  <c r="I346" i="7" a="1"/>
  <c r="I346" i="7" s="1"/>
  <c r="F349" i="7" a="1"/>
  <c r="F349" i="7" s="1"/>
  <c r="I350" i="7" a="1"/>
  <c r="I350" i="7" s="1"/>
  <c r="F353" i="7" a="1"/>
  <c r="F353" i="7" s="1"/>
  <c r="I354" i="7" a="1"/>
  <c r="I354" i="7" s="1"/>
  <c r="F357" i="7" a="1"/>
  <c r="F357" i="7" s="1"/>
  <c r="I358" i="7" a="1"/>
  <c r="I358" i="7" s="1"/>
  <c r="F361" i="7" a="1"/>
  <c r="F361" i="7" s="1"/>
  <c r="I362" i="7" a="1"/>
  <c r="I362" i="7" s="1"/>
  <c r="F365" i="7" a="1"/>
  <c r="F365" i="7" s="1"/>
  <c r="I366" i="7" a="1"/>
  <c r="I366" i="7" s="1"/>
  <c r="F369" i="7" a="1"/>
  <c r="F369" i="7" s="1"/>
  <c r="I370" i="7" a="1"/>
  <c r="I370" i="7" s="1"/>
  <c r="F373" i="7" a="1"/>
  <c r="F373" i="7" s="1"/>
  <c r="I374" i="7" a="1"/>
  <c r="I374" i="7" s="1"/>
  <c r="F377" i="7" a="1"/>
  <c r="F377" i="7" s="1"/>
  <c r="I378" i="7" a="1"/>
  <c r="I378" i="7" s="1"/>
  <c r="F381" i="7" a="1"/>
  <c r="F381" i="7" s="1"/>
  <c r="I382" i="7" a="1"/>
  <c r="I382" i="7" s="1"/>
  <c r="F385" i="7" a="1"/>
  <c r="F385" i="7" s="1"/>
  <c r="I386" i="7" a="1"/>
  <c r="I386" i="7" s="1"/>
  <c r="F389" i="7" a="1"/>
  <c r="F389" i="7" s="1"/>
  <c r="I390" i="7" a="1"/>
  <c r="I390" i="7" s="1"/>
  <c r="F393" i="7" a="1"/>
  <c r="F393" i="7" s="1"/>
  <c r="I394" i="7" a="1"/>
  <c r="I394" i="7" s="1"/>
  <c r="F397" i="7" a="1"/>
  <c r="F397" i="7" s="1"/>
  <c r="D227" i="7" a="1"/>
  <c r="D227" i="7" s="1"/>
  <c r="J236" i="7" a="1"/>
  <c r="J236" i="7" s="1"/>
  <c r="G240" i="7" a="1"/>
  <c r="G240" i="7" s="1"/>
  <c r="D245" i="7" a="1"/>
  <c r="D245" i="7" s="1"/>
  <c r="G247" i="7" a="1"/>
  <c r="G247" i="7" s="1"/>
  <c r="D249" i="7" a="1"/>
  <c r="D249" i="7" s="1"/>
  <c r="K252" i="7" a="1"/>
  <c r="K252" i="7" s="1"/>
  <c r="H254" i="7" a="1"/>
  <c r="H254" i="7" s="1"/>
  <c r="G256" i="7" a="1"/>
  <c r="G256" i="7" s="1"/>
  <c r="F258" i="7" a="1"/>
  <c r="F258" i="7" s="1"/>
  <c r="E260" i="7" a="1"/>
  <c r="E260" i="7" s="1"/>
  <c r="D262" i="7" a="1"/>
  <c r="D262" i="7" s="1"/>
  <c r="K263" i="7" a="1"/>
  <c r="K263" i="7" s="1"/>
  <c r="J265" i="7" a="1"/>
  <c r="J265" i="7" s="1"/>
  <c r="H267" i="7" a="1"/>
  <c r="H267" i="7" s="1"/>
  <c r="D269" i="7" a="1"/>
  <c r="D269" i="7" s="1"/>
  <c r="J270" i="7" a="1"/>
  <c r="J270" i="7" s="1"/>
  <c r="F272" i="7" a="1"/>
  <c r="F272" i="7" s="1"/>
  <c r="K273" i="7" a="1"/>
  <c r="K273" i="7" s="1"/>
  <c r="G275" i="7" a="1"/>
  <c r="G275" i="7" s="1"/>
  <c r="K276" i="7" a="1"/>
  <c r="K276" i="7" s="1"/>
  <c r="E278" i="7" a="1"/>
  <c r="E278" i="7" s="1"/>
  <c r="I279" i="7" a="1"/>
  <c r="I279" i="7" s="1"/>
  <c r="D281" i="7" a="1"/>
  <c r="D281" i="7" s="1"/>
  <c r="G282" i="7" a="1"/>
  <c r="G282" i="7" s="1"/>
  <c r="K283" i="7" a="1"/>
  <c r="K283" i="7" s="1"/>
  <c r="F285" i="7" a="1"/>
  <c r="F285" i="7" s="1"/>
  <c r="I286" i="7" a="1"/>
  <c r="I286" i="7" s="1"/>
  <c r="D288" i="7" a="1"/>
  <c r="D288" i="7" s="1"/>
  <c r="H289" i="7" a="1"/>
  <c r="H289" i="7" s="1"/>
  <c r="K290" i="7" a="1"/>
  <c r="K290" i="7" s="1"/>
  <c r="F292" i="7" a="1"/>
  <c r="F292" i="7" s="1"/>
  <c r="J293" i="7" a="1"/>
  <c r="J293" i="7" s="1"/>
  <c r="D295" i="7" a="1"/>
  <c r="D295" i="7" s="1"/>
  <c r="H296" i="7" a="1"/>
  <c r="H296" i="7" s="1"/>
  <c r="G299" i="7" a="1"/>
  <c r="G299" i="7" s="1"/>
  <c r="K300" i="7" a="1"/>
  <c r="K300" i="7" s="1"/>
  <c r="E302" i="7" a="1"/>
  <c r="E302" i="7" s="1"/>
  <c r="I303" i="7" a="1"/>
  <c r="I303" i="7" s="1"/>
  <c r="D305" i="7" a="1"/>
  <c r="D305" i="7" s="1"/>
  <c r="G306" i="7" a="1"/>
  <c r="G306" i="7" s="1"/>
  <c r="K307" i="7" a="1"/>
  <c r="K307" i="7" s="1"/>
  <c r="F309" i="7" a="1"/>
  <c r="F309" i="7" s="1"/>
  <c r="I310" i="7" a="1"/>
  <c r="I310" i="7" s="1"/>
  <c r="D312" i="7" a="1"/>
  <c r="D312" i="7" s="1"/>
  <c r="G313" i="7" a="1"/>
  <c r="G313" i="7" s="1"/>
  <c r="J314" i="7" a="1"/>
  <c r="J314" i="7" s="1"/>
  <c r="D316" i="7" a="1"/>
  <c r="D316" i="7" s="1"/>
  <c r="G317" i="7" a="1"/>
  <c r="G317" i="7" s="1"/>
  <c r="J318" i="7" a="1"/>
  <c r="J318" i="7" s="1"/>
  <c r="D320" i="7" a="1"/>
  <c r="D320" i="7" s="1"/>
  <c r="G321" i="7" a="1"/>
  <c r="G321" i="7" s="1"/>
  <c r="J322" i="7" a="1"/>
  <c r="J322" i="7" s="1"/>
  <c r="D324" i="7" a="1"/>
  <c r="D324" i="7" s="1"/>
  <c r="G325" i="7" a="1"/>
  <c r="G325" i="7" s="1"/>
  <c r="J326" i="7" a="1"/>
  <c r="J326" i="7" s="1"/>
  <c r="D328" i="7" a="1"/>
  <c r="D328" i="7" s="1"/>
  <c r="G329" i="7" a="1"/>
  <c r="G329" i="7" s="1"/>
  <c r="J330" i="7" a="1"/>
  <c r="J330" i="7" s="1"/>
  <c r="D332" i="7" a="1"/>
  <c r="D332" i="7" s="1"/>
  <c r="G333" i="7" a="1"/>
  <c r="G333" i="7" s="1"/>
  <c r="J334" i="7" a="1"/>
  <c r="J334" i="7" s="1"/>
  <c r="D336" i="7" a="1"/>
  <c r="D336" i="7" s="1"/>
  <c r="G337" i="7" a="1"/>
  <c r="G337" i="7" s="1"/>
  <c r="J338" i="7" a="1"/>
  <c r="J338" i="7" s="1"/>
  <c r="D340" i="7" a="1"/>
  <c r="D340" i="7" s="1"/>
  <c r="G341" i="7" a="1"/>
  <c r="G341" i="7" s="1"/>
  <c r="J342" i="7" a="1"/>
  <c r="J342" i="7" s="1"/>
  <c r="D344" i="7" a="1"/>
  <c r="D344" i="7" s="1"/>
  <c r="G345" i="7" a="1"/>
  <c r="G345" i="7" s="1"/>
  <c r="J346" i="7" a="1"/>
  <c r="J346" i="7" s="1"/>
  <c r="D348" i="7" a="1"/>
  <c r="D348" i="7" s="1"/>
  <c r="G349" i="7" a="1"/>
  <c r="G349" i="7" s="1"/>
  <c r="J350" i="7" a="1"/>
  <c r="J350" i="7" s="1"/>
  <c r="D352" i="7" a="1"/>
  <c r="D352" i="7" s="1"/>
  <c r="G353" i="7" a="1"/>
  <c r="G353" i="7" s="1"/>
  <c r="J354" i="7" a="1"/>
  <c r="J354" i="7" s="1"/>
  <c r="D356" i="7" a="1"/>
  <c r="D356" i="7" s="1"/>
  <c r="G357" i="7" a="1"/>
  <c r="G357" i="7" s="1"/>
  <c r="J358" i="7" a="1"/>
  <c r="J358" i="7" s="1"/>
  <c r="D360" i="7" a="1"/>
  <c r="D360" i="7" s="1"/>
  <c r="G361" i="7" a="1"/>
  <c r="G361" i="7" s="1"/>
  <c r="J362" i="7" a="1"/>
  <c r="J362" i="7" s="1"/>
  <c r="D364" i="7" a="1"/>
  <c r="D364" i="7" s="1"/>
  <c r="G365" i="7" a="1"/>
  <c r="G365" i="7" s="1"/>
  <c r="G227" i="7" a="1"/>
  <c r="G227" i="7" s="1"/>
  <c r="G232" i="7" a="1"/>
  <c r="G232" i="7" s="1"/>
  <c r="J240" i="7" a="1"/>
  <c r="J240" i="7" s="1"/>
  <c r="D243" i="7" a="1"/>
  <c r="D243" i="7" s="1"/>
  <c r="E245" i="7" a="1"/>
  <c r="E245" i="7" s="1"/>
  <c r="H247" i="7" a="1"/>
  <c r="H247" i="7" s="1"/>
  <c r="E249" i="7" a="1"/>
  <c r="E249" i="7" s="1"/>
  <c r="D251" i="7" a="1"/>
  <c r="D251" i="7" s="1"/>
  <c r="K254" i="7" a="1"/>
  <c r="K254" i="7" s="1"/>
  <c r="J256" i="7" a="1"/>
  <c r="J256" i="7" s="1"/>
  <c r="G258" i="7" a="1"/>
  <c r="G258" i="7" s="1"/>
  <c r="F260" i="7" a="1"/>
  <c r="F260" i="7" s="1"/>
  <c r="E262" i="7" a="1"/>
  <c r="E262" i="7" s="1"/>
  <c r="I267" i="7" a="1"/>
  <c r="I267" i="7" s="1"/>
  <c r="E269" i="7" a="1"/>
  <c r="E269" i="7" s="1"/>
  <c r="K270" i="7" a="1"/>
  <c r="K270" i="7" s="1"/>
  <c r="G272" i="7" a="1"/>
  <c r="G272" i="7" s="1"/>
  <c r="H275" i="7" a="1"/>
  <c r="H275" i="7" s="1"/>
  <c r="F278" i="7" a="1"/>
  <c r="F278" i="7" s="1"/>
  <c r="J279" i="7" a="1"/>
  <c r="J279" i="7" s="1"/>
  <c r="E281" i="7" a="1"/>
  <c r="E281" i="7" s="1"/>
  <c r="H282" i="7" a="1"/>
  <c r="H282" i="7" s="1"/>
  <c r="G285" i="7" a="1"/>
  <c r="G285" i="7" s="1"/>
  <c r="J286" i="7" a="1"/>
  <c r="J286" i="7" s="1"/>
  <c r="E288" i="7" a="1"/>
  <c r="E288" i="7" s="1"/>
  <c r="I289" i="7" a="1"/>
  <c r="I289" i="7" s="1"/>
  <c r="G292" i="7" a="1"/>
  <c r="G292" i="7" s="1"/>
  <c r="K293" i="7" a="1"/>
  <c r="K293" i="7" s="1"/>
  <c r="E295" i="7" a="1"/>
  <c r="E295" i="7" s="1"/>
  <c r="J296" i="7" a="1"/>
  <c r="J296" i="7" s="1"/>
  <c r="D298" i="7" a="1"/>
  <c r="D298" i="7" s="1"/>
  <c r="H299" i="7" a="1"/>
  <c r="H299" i="7" s="1"/>
  <c r="F302" i="7" a="1"/>
  <c r="F302" i="7" s="1"/>
  <c r="J303" i="7" a="1"/>
  <c r="J303" i="7" s="1"/>
  <c r="E305" i="7" a="1"/>
  <c r="E305" i="7" s="1"/>
  <c r="H306" i="7" a="1"/>
  <c r="H306" i="7" s="1"/>
  <c r="G309" i="7" a="1"/>
  <c r="G309" i="7" s="1"/>
  <c r="J310" i="7" a="1"/>
  <c r="J310" i="7" s="1"/>
  <c r="E312" i="7" a="1"/>
  <c r="E312" i="7" s="1"/>
  <c r="H313" i="7" a="1"/>
  <c r="H313" i="7" s="1"/>
  <c r="K314" i="7" a="1"/>
  <c r="K314" i="7" s="1"/>
  <c r="E316" i="7" a="1"/>
  <c r="E316" i="7" s="1"/>
  <c r="H317" i="7" a="1"/>
  <c r="H317" i="7" s="1"/>
  <c r="K318" i="7" a="1"/>
  <c r="K318" i="7" s="1"/>
  <c r="E320" i="7" a="1"/>
  <c r="E320" i="7" s="1"/>
  <c r="H321" i="7" a="1"/>
  <c r="H321" i="7" s="1"/>
  <c r="K322" i="7" a="1"/>
  <c r="K322" i="7" s="1"/>
  <c r="E324" i="7" a="1"/>
  <c r="E324" i="7" s="1"/>
  <c r="H325" i="7" a="1"/>
  <c r="H325" i="7" s="1"/>
  <c r="K326" i="7" a="1"/>
  <c r="K326" i="7" s="1"/>
  <c r="E328" i="7" a="1"/>
  <c r="E328" i="7" s="1"/>
  <c r="H329" i="7" a="1"/>
  <c r="H329" i="7" s="1"/>
  <c r="K330" i="7" a="1"/>
  <c r="K330" i="7" s="1"/>
  <c r="E332" i="7" a="1"/>
  <c r="E332" i="7" s="1"/>
  <c r="H333" i="7" a="1"/>
  <c r="H333" i="7" s="1"/>
  <c r="K334" i="7" a="1"/>
  <c r="K334" i="7" s="1"/>
  <c r="E336" i="7" a="1"/>
  <c r="E336" i="7" s="1"/>
  <c r="H337" i="7" a="1"/>
  <c r="H337" i="7" s="1"/>
  <c r="K338" i="7" a="1"/>
  <c r="K338" i="7" s="1"/>
  <c r="E340" i="7" a="1"/>
  <c r="E340" i="7" s="1"/>
  <c r="H341" i="7" a="1"/>
  <c r="H341" i="7" s="1"/>
  <c r="K342" i="7" a="1"/>
  <c r="K342" i="7" s="1"/>
  <c r="E344" i="7" a="1"/>
  <c r="E344" i="7" s="1"/>
  <c r="H345" i="7" a="1"/>
  <c r="H345" i="7" s="1"/>
  <c r="K346" i="7" a="1"/>
  <c r="K346" i="7" s="1"/>
  <c r="E348" i="7" a="1"/>
  <c r="E348" i="7" s="1"/>
  <c r="H349" i="7" a="1"/>
  <c r="H349" i="7" s="1"/>
  <c r="K350" i="7" a="1"/>
  <c r="K350" i="7" s="1"/>
  <c r="E352" i="7" a="1"/>
  <c r="E352" i="7" s="1"/>
  <c r="H353" i="7" a="1"/>
  <c r="H353" i="7" s="1"/>
  <c r="D223" i="7" a="1"/>
  <c r="D223" i="7" s="1"/>
  <c r="J232" i="7" a="1"/>
  <c r="J232" i="7" s="1"/>
  <c r="I237" i="7" a="1"/>
  <c r="I237" i="7" s="1"/>
  <c r="G243" i="7" a="1"/>
  <c r="G243" i="7" s="1"/>
  <c r="I245" i="7" a="1"/>
  <c r="I245" i="7" s="1"/>
  <c r="I247" i="7" a="1"/>
  <c r="I247" i="7" s="1"/>
  <c r="H249" i="7" a="1"/>
  <c r="H249" i="7" s="1"/>
  <c r="G251" i="7" a="1"/>
  <c r="G251" i="7" s="1"/>
  <c r="D253" i="7" a="1"/>
  <c r="D253" i="7" s="1"/>
  <c r="K256" i="7" a="1"/>
  <c r="K256" i="7" s="1"/>
  <c r="H258" i="7" a="1"/>
  <c r="H258" i="7" s="1"/>
  <c r="G260" i="7" a="1"/>
  <c r="G260" i="7" s="1"/>
  <c r="F262" i="7" a="1"/>
  <c r="F262" i="7" s="1"/>
  <c r="E264" i="7" a="1"/>
  <c r="E264" i="7" s="1"/>
  <c r="D266" i="7" a="1"/>
  <c r="D266" i="7" s="1"/>
  <c r="J267" i="7" a="1"/>
  <c r="J267" i="7" s="1"/>
  <c r="G269" i="7" a="1"/>
  <c r="G269" i="7" s="1"/>
  <c r="H272" i="7" a="1"/>
  <c r="H272" i="7" s="1"/>
  <c r="D274" i="7" a="1"/>
  <c r="D274" i="7" s="1"/>
  <c r="I275" i="7" a="1"/>
  <c r="I275" i="7" s="1"/>
  <c r="D277" i="7" a="1"/>
  <c r="D277" i="7" s="1"/>
  <c r="G278" i="7" a="1"/>
  <c r="G278" i="7" s="1"/>
  <c r="K279" i="7" a="1"/>
  <c r="K279" i="7" s="1"/>
  <c r="F281" i="7" a="1"/>
  <c r="F281" i="7" s="1"/>
  <c r="I282" i="7" a="1"/>
  <c r="I282" i="7" s="1"/>
  <c r="D284" i="7" a="1"/>
  <c r="D284" i="7" s="1"/>
  <c r="H285" i="7" a="1"/>
  <c r="H285" i="7" s="1"/>
  <c r="K286" i="7" a="1"/>
  <c r="K286" i="7" s="1"/>
  <c r="F288" i="7" a="1"/>
  <c r="F288" i="7" s="1"/>
  <c r="J289" i="7" a="1"/>
  <c r="J289" i="7" s="1"/>
  <c r="D291" i="7" a="1"/>
  <c r="D291" i="7" s="1"/>
  <c r="H292" i="7" a="1"/>
  <c r="H292" i="7" s="1"/>
  <c r="G295" i="7" a="1"/>
  <c r="G295" i="7" s="1"/>
  <c r="K296" i="7" a="1"/>
  <c r="K296" i="7" s="1"/>
  <c r="E298" i="7" a="1"/>
  <c r="E298" i="7" s="1"/>
  <c r="I299" i="7" a="1"/>
  <c r="I299" i="7" s="1"/>
  <c r="D301" i="7" a="1"/>
  <c r="D301" i="7" s="1"/>
  <c r="G302" i="7" a="1"/>
  <c r="G302" i="7" s="1"/>
  <c r="K303" i="7" a="1"/>
  <c r="K303" i="7" s="1"/>
  <c r="F305" i="7" a="1"/>
  <c r="F305" i="7" s="1"/>
  <c r="I306" i="7" a="1"/>
  <c r="I306" i="7" s="1"/>
  <c r="D308" i="7" a="1"/>
  <c r="D308" i="7" s="1"/>
  <c r="H309" i="7" a="1"/>
  <c r="H309" i="7" s="1"/>
  <c r="K310" i="7" a="1"/>
  <c r="K310" i="7" s="1"/>
  <c r="F312" i="7" a="1"/>
  <c r="F312" i="7" s="1"/>
  <c r="I313" i="7" a="1"/>
  <c r="I313" i="7" s="1"/>
  <c r="F316" i="7" a="1"/>
  <c r="F316" i="7" s="1"/>
  <c r="I317" i="7" a="1"/>
  <c r="I317" i="7" s="1"/>
  <c r="F320" i="7" a="1"/>
  <c r="F320" i="7" s="1"/>
  <c r="I321" i="7" a="1"/>
  <c r="I321" i="7" s="1"/>
  <c r="F324" i="7" a="1"/>
  <c r="F324" i="7" s="1"/>
  <c r="I325" i="7" a="1"/>
  <c r="I325" i="7" s="1"/>
  <c r="F328" i="7" a="1"/>
  <c r="F328" i="7" s="1"/>
  <c r="I329" i="7" a="1"/>
  <c r="I329" i="7" s="1"/>
  <c r="F332" i="7" a="1"/>
  <c r="F332" i="7" s="1"/>
  <c r="I333" i="7" a="1"/>
  <c r="I333" i="7" s="1"/>
  <c r="F336" i="7" a="1"/>
  <c r="F336" i="7" s="1"/>
  <c r="I337" i="7" a="1"/>
  <c r="I337" i="7" s="1"/>
  <c r="F340" i="7" a="1"/>
  <c r="F340" i="7" s="1"/>
  <c r="I341" i="7" a="1"/>
  <c r="I341" i="7" s="1"/>
  <c r="F344" i="7" a="1"/>
  <c r="F344" i="7" s="1"/>
  <c r="I345" i="7" a="1"/>
  <c r="I345" i="7" s="1"/>
  <c r="F348" i="7" a="1"/>
  <c r="F348" i="7" s="1"/>
  <c r="I349" i="7" a="1"/>
  <c r="I349" i="7" s="1"/>
  <c r="F352" i="7" a="1"/>
  <c r="F352" i="7" s="1"/>
  <c r="I353" i="7" a="1"/>
  <c r="I353" i="7" s="1"/>
  <c r="F356" i="7" a="1"/>
  <c r="F356" i="7" s="1"/>
  <c r="I357" i="7" a="1"/>
  <c r="I357" i="7" s="1"/>
  <c r="F360" i="7" a="1"/>
  <c r="F360" i="7" s="1"/>
  <c r="I361" i="7" a="1"/>
  <c r="I361" i="7" s="1"/>
  <c r="F364" i="7" a="1"/>
  <c r="F364" i="7" s="1"/>
  <c r="I365" i="7" a="1"/>
  <c r="I365" i="7" s="1"/>
  <c r="F368" i="7" a="1"/>
  <c r="F368" i="7" s="1"/>
  <c r="I369" i="7" a="1"/>
  <c r="I369" i="7" s="1"/>
  <c r="F372" i="7" a="1"/>
  <c r="F372" i="7" s="1"/>
  <c r="I373" i="7" a="1"/>
  <c r="I373" i="7" s="1"/>
  <c r="F376" i="7" a="1"/>
  <c r="F376" i="7" s="1"/>
  <c r="I377" i="7" a="1"/>
  <c r="I377" i="7" s="1"/>
  <c r="F380" i="7" a="1"/>
  <c r="F380" i="7" s="1"/>
  <c r="I381" i="7" a="1"/>
  <c r="I381" i="7" s="1"/>
  <c r="F384" i="7" a="1"/>
  <c r="F384" i="7" s="1"/>
  <c r="I385" i="7" a="1"/>
  <c r="I385" i="7" s="1"/>
  <c r="F388" i="7" a="1"/>
  <c r="F388" i="7" s="1"/>
  <c r="I389" i="7" a="1"/>
  <c r="I389" i="7" s="1"/>
  <c r="F392" i="7" a="1"/>
  <c r="F392" i="7" s="1"/>
  <c r="I393" i="7" a="1"/>
  <c r="I393" i="7" s="1"/>
  <c r="F396" i="7" a="1"/>
  <c r="F396" i="7" s="1"/>
  <c r="I397" i="7" a="1"/>
  <c r="I397" i="7" s="1"/>
  <c r="G7" i="7" a="1"/>
  <c r="G7" i="7" s="1"/>
  <c r="D359" i="7" a="1"/>
  <c r="D359" i="7" s="1"/>
  <c r="J361" i="7" a="1"/>
  <c r="J361" i="7" s="1"/>
  <c r="G364" i="7" a="1"/>
  <c r="G364" i="7" s="1"/>
  <c r="D367" i="7" a="1"/>
  <c r="D367" i="7" s="1"/>
  <c r="J369" i="7" a="1"/>
  <c r="J369" i="7" s="1"/>
  <c r="G372" i="7" a="1"/>
  <c r="G372" i="7" s="1"/>
  <c r="J373" i="7" a="1"/>
  <c r="J373" i="7" s="1"/>
  <c r="J377" i="7" a="1"/>
  <c r="J377" i="7" s="1"/>
  <c r="G380" i="7" a="1"/>
  <c r="G380" i="7" s="1"/>
  <c r="D383" i="7" a="1"/>
  <c r="D383" i="7" s="1"/>
  <c r="J385" i="7" a="1"/>
  <c r="J385" i="7" s="1"/>
  <c r="G388" i="7" a="1"/>
  <c r="G388" i="7" s="1"/>
  <c r="D391" i="7" a="1"/>
  <c r="D391" i="7" s="1"/>
  <c r="J393" i="7" a="1"/>
  <c r="J393" i="7" s="1"/>
  <c r="D395" i="7" a="1"/>
  <c r="D395" i="7" s="1"/>
  <c r="J397" i="7" a="1"/>
  <c r="J397" i="7" s="1"/>
  <c r="H7" i="7" a="1"/>
  <c r="H7" i="7" s="1"/>
  <c r="E359" i="7" a="1"/>
  <c r="E359" i="7" s="1"/>
  <c r="K361" i="7" a="1"/>
  <c r="K361" i="7" s="1"/>
  <c r="K365" i="7" a="1"/>
  <c r="K365" i="7" s="1"/>
  <c r="K369" i="7" a="1"/>
  <c r="K369" i="7" s="1"/>
  <c r="K373" i="7" a="1"/>
  <c r="K373" i="7" s="1"/>
  <c r="E379" i="7" a="1"/>
  <c r="E379" i="7" s="1"/>
  <c r="E383" i="7" a="1"/>
  <c r="E383" i="7" s="1"/>
  <c r="G223" i="7" a="1"/>
  <c r="G223" i="7" s="1"/>
  <c r="G228" i="7" a="1"/>
  <c r="G228" i="7" s="1"/>
  <c r="J237" i="7" a="1"/>
  <c r="J237" i="7" s="1"/>
  <c r="D241" i="7" a="1"/>
  <c r="D241" i="7" s="1"/>
  <c r="H243" i="7" a="1"/>
  <c r="H243" i="7" s="1"/>
  <c r="J245" i="7" a="1"/>
  <c r="J245" i="7" s="1"/>
  <c r="J247" i="7" a="1"/>
  <c r="J247" i="7" s="1"/>
  <c r="I249" i="7" a="1"/>
  <c r="I249" i="7" s="1"/>
  <c r="H251" i="7" a="1"/>
  <c r="H251" i="7" s="1"/>
  <c r="E253" i="7" a="1"/>
  <c r="E253" i="7" s="1"/>
  <c r="D255" i="7" a="1"/>
  <c r="D255" i="7" s="1"/>
  <c r="K258" i="7" a="1"/>
  <c r="K258" i="7" s="1"/>
  <c r="J260" i="7" a="1"/>
  <c r="J260" i="7" s="1"/>
  <c r="G262" i="7" a="1"/>
  <c r="G262" i="7" s="1"/>
  <c r="F264" i="7" a="1"/>
  <c r="F264" i="7" s="1"/>
  <c r="E266" i="7" a="1"/>
  <c r="E266" i="7" s="1"/>
  <c r="K267" i="7" a="1"/>
  <c r="K267" i="7" s="1"/>
  <c r="H269" i="7" a="1"/>
  <c r="H269" i="7" s="1"/>
  <c r="D271" i="7" a="1"/>
  <c r="D271" i="7" s="1"/>
  <c r="J272" i="7" a="1"/>
  <c r="J272" i="7" s="1"/>
  <c r="E274" i="7" a="1"/>
  <c r="E274" i="7" s="1"/>
  <c r="J275" i="7" a="1"/>
  <c r="J275" i="7" s="1"/>
  <c r="E277" i="7" a="1"/>
  <c r="E277" i="7" s="1"/>
  <c r="H278" i="7" a="1"/>
  <c r="H278" i="7" s="1"/>
  <c r="G281" i="7" a="1"/>
  <c r="G281" i="7" s="1"/>
  <c r="J282" i="7" a="1"/>
  <c r="J282" i="7" s="1"/>
  <c r="E284" i="7" a="1"/>
  <c r="E284" i="7" s="1"/>
  <c r="I285" i="7" a="1"/>
  <c r="I285" i="7" s="1"/>
  <c r="G288" i="7" a="1"/>
  <c r="G288" i="7" s="1"/>
  <c r="K289" i="7" a="1"/>
  <c r="K289" i="7" s="1"/>
  <c r="E291" i="7" a="1"/>
  <c r="E291" i="7" s="1"/>
  <c r="J292" i="7" a="1"/>
  <c r="J292" i="7" s="1"/>
  <c r="D294" i="7" a="1"/>
  <c r="D294" i="7" s="1"/>
  <c r="H295" i="7" a="1"/>
  <c r="H295" i="7" s="1"/>
  <c r="F298" i="7" a="1"/>
  <c r="F298" i="7" s="1"/>
  <c r="J299" i="7" a="1"/>
  <c r="J299" i="7" s="1"/>
  <c r="E301" i="7" a="1"/>
  <c r="E301" i="7" s="1"/>
  <c r="H302" i="7" a="1"/>
  <c r="H302" i="7" s="1"/>
  <c r="G305" i="7" a="1"/>
  <c r="G305" i="7" s="1"/>
  <c r="J306" i="7" a="1"/>
  <c r="J306" i="7" s="1"/>
  <c r="E308" i="7" a="1"/>
  <c r="E308" i="7" s="1"/>
  <c r="I309" i="7" a="1"/>
  <c r="I309" i="7" s="1"/>
  <c r="G312" i="7" a="1"/>
  <c r="G312" i="7" s="1"/>
  <c r="J313" i="7" a="1"/>
  <c r="J313" i="7" s="1"/>
  <c r="D315" i="7" a="1"/>
  <c r="D315" i="7" s="1"/>
  <c r="G316" i="7" a="1"/>
  <c r="G316" i="7" s="1"/>
  <c r="J317" i="7" a="1"/>
  <c r="J317" i="7" s="1"/>
  <c r="D319" i="7" a="1"/>
  <c r="D319" i="7" s="1"/>
  <c r="G320" i="7" a="1"/>
  <c r="G320" i="7" s="1"/>
  <c r="J321" i="7" a="1"/>
  <c r="J321" i="7" s="1"/>
  <c r="D323" i="7" a="1"/>
  <c r="D323" i="7" s="1"/>
  <c r="G324" i="7" a="1"/>
  <c r="G324" i="7" s="1"/>
  <c r="J325" i="7" a="1"/>
  <c r="J325" i="7" s="1"/>
  <c r="D327" i="7" a="1"/>
  <c r="D327" i="7" s="1"/>
  <c r="G328" i="7" a="1"/>
  <c r="G328" i="7" s="1"/>
  <c r="J329" i="7" a="1"/>
  <c r="J329" i="7" s="1"/>
  <c r="D331" i="7" a="1"/>
  <c r="D331" i="7" s="1"/>
  <c r="G332" i="7" a="1"/>
  <c r="G332" i="7" s="1"/>
  <c r="J333" i="7" a="1"/>
  <c r="J333" i="7" s="1"/>
  <c r="D335" i="7" a="1"/>
  <c r="D335" i="7" s="1"/>
  <c r="G336" i="7" a="1"/>
  <c r="G336" i="7" s="1"/>
  <c r="J337" i="7" a="1"/>
  <c r="J337" i="7" s="1"/>
  <c r="D339" i="7" a="1"/>
  <c r="D339" i="7" s="1"/>
  <c r="G340" i="7" a="1"/>
  <c r="G340" i="7" s="1"/>
  <c r="J341" i="7" a="1"/>
  <c r="J341" i="7" s="1"/>
  <c r="D343" i="7" a="1"/>
  <c r="D343" i="7" s="1"/>
  <c r="G344" i="7" a="1"/>
  <c r="G344" i="7" s="1"/>
  <c r="J345" i="7" a="1"/>
  <c r="J345" i="7" s="1"/>
  <c r="D347" i="7" a="1"/>
  <c r="D347" i="7" s="1"/>
  <c r="G348" i="7" a="1"/>
  <c r="G348" i="7" s="1"/>
  <c r="J349" i="7" a="1"/>
  <c r="J349" i="7" s="1"/>
  <c r="D351" i="7" a="1"/>
  <c r="D351" i="7" s="1"/>
  <c r="G352" i="7" a="1"/>
  <c r="G352" i="7" s="1"/>
  <c r="J353" i="7" a="1"/>
  <c r="J353" i="7" s="1"/>
  <c r="D355" i="7" a="1"/>
  <c r="D355" i="7" s="1"/>
  <c r="G356" i="7" a="1"/>
  <c r="G356" i="7" s="1"/>
  <c r="J357" i="7" a="1"/>
  <c r="J357" i="7" s="1"/>
  <c r="G360" i="7" a="1"/>
  <c r="G360" i="7" s="1"/>
  <c r="D363" i="7" a="1"/>
  <c r="D363" i="7" s="1"/>
  <c r="J365" i="7" a="1"/>
  <c r="J365" i="7" s="1"/>
  <c r="G368" i="7" a="1"/>
  <c r="G368" i="7" s="1"/>
  <c r="D371" i="7" a="1"/>
  <c r="D371" i="7" s="1"/>
  <c r="D375" i="7" a="1"/>
  <c r="D375" i="7" s="1"/>
  <c r="G376" i="7" a="1"/>
  <c r="G376" i="7" s="1"/>
  <c r="D379" i="7" a="1"/>
  <c r="D379" i="7" s="1"/>
  <c r="J381" i="7" a="1"/>
  <c r="J381" i="7" s="1"/>
  <c r="G384" i="7" a="1"/>
  <c r="G384" i="7" s="1"/>
  <c r="D387" i="7" a="1"/>
  <c r="D387" i="7" s="1"/>
  <c r="J389" i="7" a="1"/>
  <c r="J389" i="7" s="1"/>
  <c r="G392" i="7" a="1"/>
  <c r="G392" i="7" s="1"/>
  <c r="G396" i="7" a="1"/>
  <c r="G396" i="7" s="1"/>
  <c r="D399" i="7" a="1"/>
  <c r="D399" i="7" s="1"/>
  <c r="K357" i="7" a="1"/>
  <c r="K357" i="7" s="1"/>
  <c r="E363" i="7" a="1"/>
  <c r="E363" i="7" s="1"/>
  <c r="E367" i="7" a="1"/>
  <c r="E367" i="7" s="1"/>
  <c r="E371" i="7" a="1"/>
  <c r="E371" i="7" s="1"/>
  <c r="E375" i="7" a="1"/>
  <c r="E375" i="7" s="1"/>
  <c r="K377" i="7" a="1"/>
  <c r="K377" i="7" s="1"/>
  <c r="K381" i="7" a="1"/>
  <c r="K381" i="7" s="1"/>
  <c r="J228" i="7" a="1"/>
  <c r="J228" i="7" s="1"/>
  <c r="J233" i="7" a="1"/>
  <c r="J233" i="7" s="1"/>
  <c r="E241" i="7" a="1"/>
  <c r="E241" i="7" s="1"/>
  <c r="J243" i="7" a="1"/>
  <c r="J243" i="7" s="1"/>
  <c r="K247" i="7" a="1"/>
  <c r="K247" i="7" s="1"/>
  <c r="J249" i="7" a="1"/>
  <c r="J249" i="7" s="1"/>
  <c r="I251" i="7" a="1"/>
  <c r="I251" i="7" s="1"/>
  <c r="H253" i="7" a="1"/>
  <c r="H253" i="7" s="1"/>
  <c r="G255" i="7" a="1"/>
  <c r="G255" i="7" s="1"/>
  <c r="D257" i="7" a="1"/>
  <c r="D257" i="7" s="1"/>
  <c r="K260" i="7" a="1"/>
  <c r="K260" i="7" s="1"/>
  <c r="H262" i="7" a="1"/>
  <c r="H262" i="7" s="1"/>
  <c r="G264" i="7" a="1"/>
  <c r="G264" i="7" s="1"/>
  <c r="F266" i="7" a="1"/>
  <c r="F266" i="7" s="1"/>
  <c r="I269" i="7" a="1"/>
  <c r="I269" i="7" s="1"/>
  <c r="G271" i="7" a="1"/>
  <c r="G271" i="7" s="1"/>
  <c r="K272" i="7" a="1"/>
  <c r="K272" i="7" s="1"/>
  <c r="F274" i="7" a="1"/>
  <c r="F274" i="7" s="1"/>
  <c r="K275" i="7" a="1"/>
  <c r="K275" i="7" s="1"/>
  <c r="F277" i="7" a="1"/>
  <c r="F277" i="7" s="1"/>
  <c r="I278" i="7" a="1"/>
  <c r="I278" i="7" s="1"/>
  <c r="D280" i="7" a="1"/>
  <c r="D280" i="7" s="1"/>
  <c r="H281" i="7" a="1"/>
  <c r="H281" i="7" s="1"/>
  <c r="K282" i="7" a="1"/>
  <c r="K282" i="7" s="1"/>
  <c r="F284" i="7" a="1"/>
  <c r="F284" i="7" s="1"/>
  <c r="J285" i="7" a="1"/>
  <c r="J285" i="7" s="1"/>
  <c r="D287" i="7" a="1"/>
  <c r="D287" i="7" s="1"/>
  <c r="H288" i="7" a="1"/>
  <c r="H288" i="7" s="1"/>
  <c r="G291" i="7" a="1"/>
  <c r="G291" i="7" s="1"/>
  <c r="K292" i="7" a="1"/>
  <c r="K292" i="7" s="1"/>
  <c r="E294" i="7" a="1"/>
  <c r="E294" i="7" s="1"/>
  <c r="I295" i="7" a="1"/>
  <c r="I295" i="7" s="1"/>
  <c r="D297" i="7" a="1"/>
  <c r="D297" i="7" s="1"/>
  <c r="G298" i="7" a="1"/>
  <c r="G298" i="7" s="1"/>
  <c r="K299" i="7" a="1"/>
  <c r="K299" i="7" s="1"/>
  <c r="F301" i="7" a="1"/>
  <c r="F301" i="7" s="1"/>
  <c r="I302" i="7" a="1"/>
  <c r="I302" i="7" s="1"/>
  <c r="D304" i="7" a="1"/>
  <c r="D304" i="7" s="1"/>
  <c r="H305" i="7" a="1"/>
  <c r="H305" i="7" s="1"/>
  <c r="K306" i="7" a="1"/>
  <c r="K306" i="7" s="1"/>
  <c r="F308" i="7" a="1"/>
  <c r="F308" i="7" s="1"/>
  <c r="J309" i="7" a="1"/>
  <c r="J309" i="7" s="1"/>
  <c r="D311" i="7" a="1"/>
  <c r="D311" i="7" s="1"/>
  <c r="H312" i="7" a="1"/>
  <c r="H312" i="7" s="1"/>
  <c r="K313" i="7" a="1"/>
  <c r="K313" i="7" s="1"/>
  <c r="E315" i="7" a="1"/>
  <c r="E315" i="7" s="1"/>
  <c r="H316" i="7" a="1"/>
  <c r="H316" i="7" s="1"/>
  <c r="K317" i="7" a="1"/>
  <c r="K317" i="7" s="1"/>
  <c r="E319" i="7" a="1"/>
  <c r="E319" i="7" s="1"/>
  <c r="H320" i="7" a="1"/>
  <c r="H320" i="7" s="1"/>
  <c r="K321" i="7" a="1"/>
  <c r="K321" i="7" s="1"/>
  <c r="E323" i="7" a="1"/>
  <c r="E323" i="7" s="1"/>
  <c r="H324" i="7" a="1"/>
  <c r="H324" i="7" s="1"/>
  <c r="K325" i="7" a="1"/>
  <c r="K325" i="7" s="1"/>
  <c r="E327" i="7" a="1"/>
  <c r="E327" i="7" s="1"/>
  <c r="H328" i="7" a="1"/>
  <c r="H328" i="7" s="1"/>
  <c r="K329" i="7" a="1"/>
  <c r="K329" i="7" s="1"/>
  <c r="E331" i="7" a="1"/>
  <c r="E331" i="7" s="1"/>
  <c r="H332" i="7" a="1"/>
  <c r="H332" i="7" s="1"/>
  <c r="K333" i="7" a="1"/>
  <c r="K333" i="7" s="1"/>
  <c r="E335" i="7" a="1"/>
  <c r="E335" i="7" s="1"/>
  <c r="H336" i="7" a="1"/>
  <c r="H336" i="7" s="1"/>
  <c r="K337" i="7" a="1"/>
  <c r="K337" i="7" s="1"/>
  <c r="E339" i="7" a="1"/>
  <c r="E339" i="7" s="1"/>
  <c r="H340" i="7" a="1"/>
  <c r="H340" i="7" s="1"/>
  <c r="K341" i="7" a="1"/>
  <c r="K341" i="7" s="1"/>
  <c r="E343" i="7" a="1"/>
  <c r="E343" i="7" s="1"/>
  <c r="H344" i="7" a="1"/>
  <c r="H344" i="7" s="1"/>
  <c r="K345" i="7" a="1"/>
  <c r="K345" i="7" s="1"/>
  <c r="E347" i="7" a="1"/>
  <c r="E347" i="7" s="1"/>
  <c r="H348" i="7" a="1"/>
  <c r="H348" i="7" s="1"/>
  <c r="K349" i="7" a="1"/>
  <c r="K349" i="7" s="1"/>
  <c r="E351" i="7" a="1"/>
  <c r="E351" i="7" s="1"/>
  <c r="H352" i="7" a="1"/>
  <c r="H352" i="7" s="1"/>
  <c r="K353" i="7" a="1"/>
  <c r="K353" i="7" s="1"/>
  <c r="E355" i="7" a="1"/>
  <c r="E355" i="7" s="1"/>
  <c r="H356" i="7" a="1"/>
  <c r="H356" i="7" s="1"/>
  <c r="H360" i="7" a="1"/>
  <c r="H360" i="7" s="1"/>
  <c r="H364" i="7" a="1"/>
  <c r="H364" i="7" s="1"/>
  <c r="H368" i="7" a="1"/>
  <c r="H368" i="7" s="1"/>
  <c r="H372" i="7" a="1"/>
  <c r="H372" i="7" s="1"/>
  <c r="H376" i="7" a="1"/>
  <c r="H376" i="7" s="1"/>
  <c r="H380" i="7" a="1"/>
  <c r="H380" i="7" s="1"/>
  <c r="H384" i="7" a="1"/>
  <c r="H384" i="7" s="1"/>
  <c r="H357" i="7" a="1"/>
  <c r="H357" i="7" s="1"/>
  <c r="D362" i="7" a="1"/>
  <c r="D362" i="7" s="1"/>
  <c r="J366" i="7" a="1"/>
  <c r="J366" i="7" s="1"/>
  <c r="H369" i="7" a="1"/>
  <c r="H369" i="7" s="1"/>
  <c r="J372" i="7" a="1"/>
  <c r="J372" i="7" s="1"/>
  <c r="H375" i="7" a="1"/>
  <c r="H375" i="7" s="1"/>
  <c r="J378" i="7" a="1"/>
  <c r="J378" i="7" s="1"/>
  <c r="H381" i="7" a="1"/>
  <c r="H381" i="7" s="1"/>
  <c r="D384" i="7" a="1"/>
  <c r="D384" i="7" s="1"/>
  <c r="J386" i="7" a="1"/>
  <c r="J386" i="7" s="1"/>
  <c r="K388" i="7" a="1"/>
  <c r="K388" i="7" s="1"/>
  <c r="E391" i="7" a="1"/>
  <c r="E391" i="7" s="1"/>
  <c r="H393" i="7" a="1"/>
  <c r="H393" i="7" s="1"/>
  <c r="I395" i="7" a="1"/>
  <c r="I395" i="7" s="1"/>
  <c r="G397" i="7" a="1"/>
  <c r="G397" i="7" s="1"/>
  <c r="E399" i="7" a="1"/>
  <c r="E399" i="7" s="1"/>
  <c r="K399" i="7" a="1"/>
  <c r="K399" i="7" s="1"/>
  <c r="E397" i="7" a="1"/>
  <c r="E397" i="7" s="1"/>
  <c r="K362" i="7" a="1"/>
  <c r="K362" i="7" s="1"/>
  <c r="K366" i="7" a="1"/>
  <c r="K366" i="7" s="1"/>
  <c r="K372" i="7" a="1"/>
  <c r="K372" i="7" s="1"/>
  <c r="K378" i="7" a="1"/>
  <c r="K378" i="7" s="1"/>
  <c r="E384" i="7" a="1"/>
  <c r="E384" i="7" s="1"/>
  <c r="K386" i="7" a="1"/>
  <c r="K386" i="7" s="1"/>
  <c r="G391" i="7" a="1"/>
  <c r="G391" i="7" s="1"/>
  <c r="K393" i="7" a="1"/>
  <c r="K393" i="7" s="1"/>
  <c r="J395" i="7" a="1"/>
  <c r="J395" i="7" s="1"/>
  <c r="H397" i="7" a="1"/>
  <c r="H397" i="7" s="1"/>
  <c r="J392" i="7" a="1"/>
  <c r="J392" i="7" s="1"/>
  <c r="D358" i="7" a="1"/>
  <c r="D358" i="7" s="1"/>
  <c r="D370" i="7" a="1"/>
  <c r="D370" i="7" s="1"/>
  <c r="D376" i="7" a="1"/>
  <c r="D376" i="7" s="1"/>
  <c r="D382" i="7" a="1"/>
  <c r="D382" i="7" s="1"/>
  <c r="J384" i="7" a="1"/>
  <c r="J384" i="7" s="1"/>
  <c r="G389" i="7" a="1"/>
  <c r="G389" i="7" s="1"/>
  <c r="H391" i="7" a="1"/>
  <c r="H391" i="7" s="1"/>
  <c r="K395" i="7" a="1"/>
  <c r="K395" i="7" s="1"/>
  <c r="K397" i="7" a="1"/>
  <c r="K397" i="7" s="1"/>
  <c r="G399" i="7" a="1"/>
  <c r="G399" i="7" s="1"/>
  <c r="F7" i="6" a="1"/>
  <c r="F7" i="6" s="1"/>
  <c r="I391" i="7" a="1"/>
  <c r="I391" i="7" s="1"/>
  <c r="H398" i="7" a="1"/>
  <c r="H398" i="7" s="1"/>
  <c r="K358" i="7" a="1"/>
  <c r="K358" i="7" s="1"/>
  <c r="G363" i="7" a="1"/>
  <c r="G363" i="7" s="1"/>
  <c r="G367" i="7" a="1"/>
  <c r="G367" i="7" s="1"/>
  <c r="E370" i="7" a="1"/>
  <c r="E370" i="7" s="1"/>
  <c r="G373" i="7" a="1"/>
  <c r="G373" i="7" s="1"/>
  <c r="E376" i="7" a="1"/>
  <c r="E376" i="7" s="1"/>
  <c r="G379" i="7" a="1"/>
  <c r="G379" i="7" s="1"/>
  <c r="E382" i="7" a="1"/>
  <c r="E382" i="7" s="1"/>
  <c r="K384" i="7" a="1"/>
  <c r="K384" i="7" s="1"/>
  <c r="E387" i="7" a="1"/>
  <c r="E387" i="7" s="1"/>
  <c r="H389" i="7" a="1"/>
  <c r="H389" i="7" s="1"/>
  <c r="D394" i="7" a="1"/>
  <c r="D394" i="7" s="1"/>
  <c r="H399" i="7" a="1"/>
  <c r="H399" i="7" s="1"/>
  <c r="E7" i="7" a="1"/>
  <c r="E7" i="7" s="1"/>
  <c r="H367" i="7" a="1"/>
  <c r="H367" i="7" s="1"/>
  <c r="J370" i="7" a="1"/>
  <c r="J370" i="7" s="1"/>
  <c r="H373" i="7" a="1"/>
  <c r="H373" i="7" s="1"/>
  <c r="J376" i="7" a="1"/>
  <c r="J376" i="7" s="1"/>
  <c r="H379" i="7" a="1"/>
  <c r="H379" i="7" s="1"/>
  <c r="F382" i="7" a="1"/>
  <c r="F382" i="7" s="1"/>
  <c r="G387" i="7" a="1"/>
  <c r="G387" i="7" s="1"/>
  <c r="K389" i="7" a="1"/>
  <c r="K389" i="7" s="1"/>
  <c r="E394" i="7" a="1"/>
  <c r="E394" i="7" s="1"/>
  <c r="D396" i="7" a="1"/>
  <c r="D396" i="7" s="1"/>
  <c r="D398" i="7" a="1"/>
  <c r="D398" i="7" s="1"/>
  <c r="I399" i="7" a="1"/>
  <c r="I399" i="7" s="1"/>
  <c r="J394" i="7" a="1"/>
  <c r="J394" i="7" s="1"/>
  <c r="D7" i="7" a="1"/>
  <c r="D7" i="7" s="1"/>
  <c r="K398" i="7" a="1"/>
  <c r="K398" i="7" s="1"/>
  <c r="K354" i="7" a="1"/>
  <c r="K354" i="7" s="1"/>
  <c r="G359" i="7" a="1"/>
  <c r="G359" i="7" s="1"/>
  <c r="E364" i="7" a="1"/>
  <c r="E364" i="7" s="1"/>
  <c r="K370" i="7" a="1"/>
  <c r="K370" i="7" s="1"/>
  <c r="K376" i="7" a="1"/>
  <c r="K376" i="7" s="1"/>
  <c r="J382" i="7" a="1"/>
  <c r="J382" i="7" s="1"/>
  <c r="G385" i="7" a="1"/>
  <c r="G385" i="7" s="1"/>
  <c r="H387" i="7" a="1"/>
  <c r="H387" i="7" s="1"/>
  <c r="D392" i="7" a="1"/>
  <c r="D392" i="7" s="1"/>
  <c r="F394" i="7" a="1"/>
  <c r="F394" i="7" s="1"/>
  <c r="E396" i="7" a="1"/>
  <c r="E396" i="7" s="1"/>
  <c r="E398" i="7" a="1"/>
  <c r="E398" i="7" s="1"/>
  <c r="J399" i="7" a="1"/>
  <c r="J399" i="7" s="1"/>
  <c r="H396" i="7" a="1"/>
  <c r="H396" i="7" s="1"/>
  <c r="K396" i="7" a="1"/>
  <c r="K396" i="7" s="1"/>
  <c r="K7" i="7" a="1"/>
  <c r="K7" i="7" s="1"/>
  <c r="J364" i="7" a="1"/>
  <c r="J364" i="7" s="1"/>
  <c r="D368" i="7" a="1"/>
  <c r="D368" i="7" s="1"/>
  <c r="D374" i="7" a="1"/>
  <c r="D374" i="7" s="1"/>
  <c r="D380" i="7" a="1"/>
  <c r="D380" i="7" s="1"/>
  <c r="K382" i="7" a="1"/>
  <c r="K382" i="7" s="1"/>
  <c r="H385" i="7" a="1"/>
  <c r="H385" i="7" s="1"/>
  <c r="I387" i="7" a="1"/>
  <c r="I387" i="7" s="1"/>
  <c r="D390" i="7" a="1"/>
  <c r="D390" i="7" s="1"/>
  <c r="E392" i="7" a="1"/>
  <c r="E392" i="7" s="1"/>
  <c r="F398" i="7" a="1"/>
  <c r="F398" i="7" s="1"/>
  <c r="H395" i="7" a="1"/>
  <c r="H395" i="7" s="1"/>
  <c r="G355" i="7" a="1"/>
  <c r="G355" i="7" s="1"/>
  <c r="E360" i="7" a="1"/>
  <c r="E360" i="7" s="1"/>
  <c r="E368" i="7" a="1"/>
  <c r="E368" i="7" s="1"/>
  <c r="G371" i="7" a="1"/>
  <c r="G371" i="7" s="1"/>
  <c r="E374" i="7" a="1"/>
  <c r="E374" i="7" s="1"/>
  <c r="G377" i="7" a="1"/>
  <c r="G377" i="7" s="1"/>
  <c r="E380" i="7" a="1"/>
  <c r="E380" i="7" s="1"/>
  <c r="K385" i="7" a="1"/>
  <c r="K385" i="7" s="1"/>
  <c r="E390" i="7" a="1"/>
  <c r="E390" i="7" s="1"/>
  <c r="H392" i="7" a="1"/>
  <c r="H392" i="7" s="1"/>
  <c r="K394" i="7" a="1"/>
  <c r="K394" i="7" s="1"/>
  <c r="J396" i="7" a="1"/>
  <c r="J396" i="7" s="1"/>
  <c r="G398" i="7" a="1"/>
  <c r="G398" i="7" s="1"/>
  <c r="F386" i="7" a="1"/>
  <c r="F386" i="7" s="1"/>
  <c r="J360" i="7" a="1"/>
  <c r="J360" i="7" s="1"/>
  <c r="H365" i="7" a="1"/>
  <c r="H365" i="7" s="1"/>
  <c r="J368" i="7" a="1"/>
  <c r="J368" i="7" s="1"/>
  <c r="H371" i="7" a="1"/>
  <c r="H371" i="7" s="1"/>
  <c r="J374" i="7" a="1"/>
  <c r="J374" i="7" s="1"/>
  <c r="H377" i="7" a="1"/>
  <c r="H377" i="7" s="1"/>
  <c r="J380" i="7" a="1"/>
  <c r="J380" i="7" s="1"/>
  <c r="G383" i="7" a="1"/>
  <c r="G383" i="7" s="1"/>
  <c r="D388" i="7" a="1"/>
  <c r="D388" i="7" s="1"/>
  <c r="F390" i="7" a="1"/>
  <c r="F390" i="7" s="1"/>
  <c r="J388" i="7" a="1"/>
  <c r="J388" i="7" s="1"/>
  <c r="E356" i="7" a="1"/>
  <c r="E356" i="7" s="1"/>
  <c r="K368" i="7" a="1"/>
  <c r="K368" i="7" s="1"/>
  <c r="K374" i="7" a="1"/>
  <c r="K374" i="7" s="1"/>
  <c r="K380" i="7" a="1"/>
  <c r="K380" i="7" s="1"/>
  <c r="H383" i="7" a="1"/>
  <c r="H383" i="7" s="1"/>
  <c r="D386" i="7" a="1"/>
  <c r="D386" i="7" s="1"/>
  <c r="E388" i="7" a="1"/>
  <c r="E388" i="7" s="1"/>
  <c r="J390" i="7" a="1"/>
  <c r="J390" i="7" s="1"/>
  <c r="K392" i="7" a="1"/>
  <c r="K392" i="7" s="1"/>
  <c r="E395" i="7" a="1"/>
  <c r="E395" i="7" s="1"/>
  <c r="I398" i="7" a="1"/>
  <c r="I398" i="7" s="1"/>
  <c r="F7" i="7" a="1"/>
  <c r="F7" i="7" s="1"/>
  <c r="D397" i="7" a="1"/>
  <c r="D397" i="7" s="1"/>
  <c r="I7" i="7" a="1"/>
  <c r="I7" i="7" s="1"/>
  <c r="G381" i="7" a="1"/>
  <c r="G381" i="7" s="1"/>
  <c r="J356" i="7" a="1"/>
  <c r="J356" i="7" s="1"/>
  <c r="H361" i="7" a="1"/>
  <c r="H361" i="7" s="1"/>
  <c r="D366" i="7" a="1"/>
  <c r="D366" i="7" s="1"/>
  <c r="D372" i="7" a="1"/>
  <c r="D372" i="7" s="1"/>
  <c r="D378" i="7" a="1"/>
  <c r="D378" i="7" s="1"/>
  <c r="I383" i="7" a="1"/>
  <c r="I383" i="7" s="1"/>
  <c r="E386" i="7" a="1"/>
  <c r="E386" i="7" s="1"/>
  <c r="H388" i="7" a="1"/>
  <c r="H388" i="7" s="1"/>
  <c r="K390" i="7" a="1"/>
  <c r="K390" i="7" s="1"/>
  <c r="G395" i="7" a="1"/>
  <c r="G395" i="7" s="1"/>
  <c r="J398" i="7" a="1"/>
  <c r="J398" i="7" s="1"/>
  <c r="E378" i="7" a="1"/>
  <c r="E378" i="7" s="1"/>
  <c r="E366" i="7" a="1"/>
  <c r="E366" i="7" s="1"/>
  <c r="G369" i="7" a="1"/>
  <c r="G369" i="7" s="1"/>
  <c r="E372" i="7" a="1"/>
  <c r="E372" i="7" s="1"/>
  <c r="G375" i="7" a="1"/>
  <c r="G375" i="7" s="1"/>
  <c r="G393" i="7" a="1"/>
  <c r="G393" i="7" s="1"/>
  <c r="K6" i="7" a="1"/>
  <c r="K6" i="7" s="1"/>
  <c r="H7" i="6" a="1"/>
  <c r="H7" i="6" s="1"/>
  <c r="G7" i="6" a="1"/>
  <c r="G7" i="6" s="1"/>
  <c r="J6" i="7" a="1"/>
  <c r="J6" i="7" s="1"/>
  <c r="L10" i="9" s="1"/>
  <c r="G6" i="7" a="1"/>
  <c r="G6" i="7" s="1"/>
  <c r="J44" i="3" s="1"/>
  <c r="I6" i="7" a="1"/>
  <c r="I6" i="7" s="1"/>
  <c r="K10" i="9" s="1"/>
  <c r="F6" i="7" a="1"/>
  <c r="F6" i="7" s="1"/>
  <c r="I44" i="3" s="1"/>
  <c r="H6" i="7" a="1"/>
  <c r="H6" i="7" s="1"/>
  <c r="E6" i="7" a="1"/>
  <c r="E6" i="7" s="1"/>
  <c r="H44" i="3" s="1"/>
  <c r="K6" i="8" a="1"/>
  <c r="K6" i="8" s="1"/>
  <c r="AC79" i="3" s="1" a="1"/>
  <c r="AC79" i="3" s="1"/>
  <c r="AB79" i="3" s="1"/>
  <c r="J6" i="8" a="1"/>
  <c r="J6" i="8" s="1"/>
  <c r="K11" i="9" s="1"/>
  <c r="I6" i="8" a="1"/>
  <c r="I6" i="8" s="1"/>
  <c r="I11" i="9" s="1"/>
  <c r="H6" i="8" a="1"/>
  <c r="H6" i="8" s="1"/>
  <c r="K76" i="3" s="1"/>
  <c r="D6" i="7" a="1"/>
  <c r="D6" i="7" s="1"/>
  <c r="H10" i="9" s="1"/>
  <c r="G6" i="8" a="1"/>
  <c r="G6" i="8" s="1"/>
  <c r="J76" i="3" s="1"/>
  <c r="F6" i="8" a="1"/>
  <c r="F6" i="8" s="1"/>
  <c r="G11" i="9" s="1"/>
  <c r="E6" i="8" a="1"/>
  <c r="E6" i="8" s="1"/>
  <c r="H76" i="3" s="1"/>
  <c r="AC14" i="3" a="1"/>
  <c r="AC14" i="3" s="1"/>
  <c r="AB14" i="3" s="1"/>
  <c r="AB15" i="3" s="1"/>
  <c r="AB16" i="3" s="1"/>
  <c r="AB17" i="3" s="1"/>
  <c r="AB18" i="3" s="1"/>
  <c r="L9" i="9"/>
  <c r="G9" i="9"/>
  <c r="H19" i="9" s="1"/>
  <c r="K11" i="3"/>
  <c r="J11" i="3"/>
  <c r="I11" i="3"/>
  <c r="H11" i="3"/>
  <c r="G11" i="3"/>
  <c r="F11" i="3"/>
  <c r="L11" i="3"/>
  <c r="M11" i="3"/>
  <c r="E11" i="9"/>
  <c r="H11" i="9"/>
  <c r="F9" i="9"/>
  <c r="K9" i="9"/>
  <c r="I9" i="9"/>
  <c r="H9" i="9"/>
  <c r="F76" i="3"/>
  <c r="G76" i="3"/>
  <c r="F44" i="3"/>
  <c r="C9" i="6"/>
  <c r="G14" i="3" l="1" a="1"/>
  <c r="H41" i="9" s="1"/>
  <c r="G47" i="3" a="1"/>
  <c r="G47" i="3" s="1"/>
  <c r="K44" i="3"/>
  <c r="D10" i="9"/>
  <c r="E10" i="9"/>
  <c r="F10" i="9"/>
  <c r="G44" i="3"/>
  <c r="L44" i="3"/>
  <c r="I10" i="9"/>
  <c r="I12" i="9" s="1"/>
  <c r="M44" i="3"/>
  <c r="N11" i="3"/>
  <c r="M76" i="3"/>
  <c r="L76" i="3"/>
  <c r="F11" i="9"/>
  <c r="I76" i="3"/>
  <c r="L11" i="9"/>
  <c r="AC47" i="3" a="1"/>
  <c r="AC47" i="3" s="1"/>
  <c r="AB47" i="3" s="1"/>
  <c r="AB48" i="3" s="1"/>
  <c r="AB49" i="3" s="1"/>
  <c r="AB50" i="3" s="1"/>
  <c r="G12" i="9"/>
  <c r="G266" i="9"/>
  <c r="I205" i="9"/>
  <c r="F266" i="9"/>
  <c r="H205" i="9"/>
  <c r="F80" i="9"/>
  <c r="G80" i="9"/>
  <c r="I19" i="9"/>
  <c r="K19" i="9" s="1"/>
  <c r="K12" i="9"/>
  <c r="H12" i="9"/>
  <c r="C10" i="6"/>
  <c r="E9" i="9" s="1"/>
  <c r="G79" i="3" a="1"/>
  <c r="C37" i="9" l="1"/>
  <c r="B37" i="9" s="1"/>
  <c r="F99" i="9"/>
  <c r="E89" i="9"/>
  <c r="H81" i="9"/>
  <c r="T32" i="3"/>
  <c r="G38" i="9" s="1"/>
  <c r="L30" i="9"/>
  <c r="U19" i="3"/>
  <c r="G97" i="9"/>
  <c r="E88" i="9"/>
  <c r="K33" i="9"/>
  <c r="I22" i="9"/>
  <c r="H39" i="9"/>
  <c r="G83" i="9"/>
  <c r="F89" i="9"/>
  <c r="C83" i="9"/>
  <c r="L24" i="9"/>
  <c r="I41" i="9"/>
  <c r="C43" i="9"/>
  <c r="B43" i="9" s="1"/>
  <c r="H104" i="9"/>
  <c r="E103" i="9"/>
  <c r="C102" i="9"/>
  <c r="B102" i="9" s="1"/>
  <c r="I37" i="9"/>
  <c r="T18" i="3"/>
  <c r="G24" i="9" s="1"/>
  <c r="T23" i="3"/>
  <c r="G29" i="9" s="1"/>
  <c r="U24" i="3"/>
  <c r="U30" i="3"/>
  <c r="G91" i="9"/>
  <c r="F103" i="9"/>
  <c r="K27" i="9"/>
  <c r="L38" i="9"/>
  <c r="H33" i="9"/>
  <c r="H97" i="9"/>
  <c r="F83" i="9"/>
  <c r="E95" i="9"/>
  <c r="C94" i="9"/>
  <c r="B94" i="9" s="1"/>
  <c r="I29" i="9"/>
  <c r="C31" i="9"/>
  <c r="B31" i="9" s="1"/>
  <c r="H92" i="9"/>
  <c r="E91" i="9"/>
  <c r="C90" i="9"/>
  <c r="B90" i="9" s="1"/>
  <c r="I25" i="9"/>
  <c r="T36" i="3"/>
  <c r="G42" i="9" s="1"/>
  <c r="I35" i="9"/>
  <c r="K31" i="9"/>
  <c r="L34" i="9"/>
  <c r="C88" i="9"/>
  <c r="F101" i="9"/>
  <c r="H31" i="9"/>
  <c r="G103" i="9"/>
  <c r="H25" i="9"/>
  <c r="T29" i="3"/>
  <c r="G35" i="9" s="1"/>
  <c r="G85" i="9"/>
  <c r="K21" i="9"/>
  <c r="L32" i="9"/>
  <c r="H27" i="9"/>
  <c r="H85" i="9"/>
  <c r="H96" i="9"/>
  <c r="E83" i="9"/>
  <c r="C82" i="9"/>
  <c r="B82" i="9" s="1"/>
  <c r="K42" i="9"/>
  <c r="I40" i="9"/>
  <c r="C42" i="9"/>
  <c r="B42" i="9" s="1"/>
  <c r="G104" i="9"/>
  <c r="E102" i="9"/>
  <c r="K40" i="9"/>
  <c r="T17" i="3"/>
  <c r="G23" i="9" s="1"/>
  <c r="T34" i="3"/>
  <c r="G40" i="9" s="1"/>
  <c r="U16" i="3"/>
  <c r="U14" i="3"/>
  <c r="H101" i="9"/>
  <c r="F91" i="9"/>
  <c r="C99" i="9"/>
  <c r="B99" i="9" s="1"/>
  <c r="L26" i="9"/>
  <c r="H21" i="9"/>
  <c r="C35" i="9"/>
  <c r="B35" i="9" s="1"/>
  <c r="H84" i="9"/>
  <c r="G100" i="9"/>
  <c r="E94" i="9"/>
  <c r="K36" i="9"/>
  <c r="I28" i="9"/>
  <c r="C30" i="9"/>
  <c r="B30" i="9" s="1"/>
  <c r="G98" i="9"/>
  <c r="E90" i="9"/>
  <c r="K34" i="9"/>
  <c r="C100" i="9"/>
  <c r="B100" i="9" s="1"/>
  <c r="L42" i="9"/>
  <c r="H35" i="9"/>
  <c r="I23" i="9"/>
  <c r="F93" i="9"/>
  <c r="T20" i="3"/>
  <c r="G26" i="9" s="1"/>
  <c r="C95" i="9"/>
  <c r="B95" i="9" s="1"/>
  <c r="L22" i="9"/>
  <c r="U35" i="3"/>
  <c r="I33" i="9"/>
  <c r="E82" i="9"/>
  <c r="L41" i="9"/>
  <c r="G92" i="9"/>
  <c r="U29" i="3"/>
  <c r="E99" i="9"/>
  <c r="C22" i="9"/>
  <c r="K24" i="9"/>
  <c r="F98" i="9"/>
  <c r="T14" i="3"/>
  <c r="G20" i="9" s="1"/>
  <c r="U17" i="3"/>
  <c r="C27" i="9"/>
  <c r="H88" i="9"/>
  <c r="E87" i="9"/>
  <c r="E98" i="9"/>
  <c r="K38" i="9"/>
  <c r="L43" i="9"/>
  <c r="H38" i="9"/>
  <c r="G82" i="9"/>
  <c r="F94" i="9"/>
  <c r="C81" i="9"/>
  <c r="B81" i="9" s="1"/>
  <c r="L29" i="9"/>
  <c r="H30" i="9"/>
  <c r="H103" i="9"/>
  <c r="F92" i="9"/>
  <c r="E101" i="9"/>
  <c r="E84" i="9"/>
  <c r="K23" i="9"/>
  <c r="G95" i="9"/>
  <c r="L28" i="9"/>
  <c r="U26" i="3"/>
  <c r="E100" i="9"/>
  <c r="I34" i="9"/>
  <c r="G89" i="9"/>
  <c r="C91" i="9"/>
  <c r="B91" i="9" s="1"/>
  <c r="T28" i="3"/>
  <c r="G34" i="9" s="1"/>
  <c r="H89" i="9"/>
  <c r="F104" i="9"/>
  <c r="U23" i="3"/>
  <c r="H100" i="9"/>
  <c r="I21" i="9"/>
  <c r="G88" i="9"/>
  <c r="L35" i="9"/>
  <c r="H36" i="9"/>
  <c r="G86" i="9"/>
  <c r="T33" i="3"/>
  <c r="G39" i="9" s="1"/>
  <c r="T27" i="3"/>
  <c r="G33" i="9" s="1"/>
  <c r="T21" i="3"/>
  <c r="G27" i="9" s="1"/>
  <c r="U22" i="3"/>
  <c r="I36" i="9"/>
  <c r="C38" i="9"/>
  <c r="B38" i="9" s="1"/>
  <c r="G102" i="9"/>
  <c r="E86" i="9"/>
  <c r="K32" i="9"/>
  <c r="L37" i="9"/>
  <c r="H32" i="9"/>
  <c r="H95" i="9"/>
  <c r="F88" i="9"/>
  <c r="C93" i="9"/>
  <c r="B93" i="9" s="1"/>
  <c r="L23" i="9"/>
  <c r="H24" i="9"/>
  <c r="H91" i="9"/>
  <c r="F86" i="9"/>
  <c r="U38" i="3"/>
  <c r="H86" i="9"/>
  <c r="G87" i="9"/>
  <c r="H23" i="9"/>
  <c r="T30" i="3"/>
  <c r="G36" i="9" s="1"/>
  <c r="T19" i="3"/>
  <c r="G25" i="9" s="1"/>
  <c r="U36" i="3"/>
  <c r="C98" i="9"/>
  <c r="B98" i="9" s="1"/>
  <c r="C34" i="9"/>
  <c r="B34" i="9" s="1"/>
  <c r="G94" i="9"/>
  <c r="K30" i="9"/>
  <c r="H42" i="9"/>
  <c r="K28" i="9"/>
  <c r="T16" i="3"/>
  <c r="G22" i="9" s="1"/>
  <c r="T31" i="3"/>
  <c r="G37" i="9" s="1"/>
  <c r="C39" i="9"/>
  <c r="B39" i="9" s="1"/>
  <c r="C86" i="9"/>
  <c r="I32" i="9"/>
  <c r="F100" i="9"/>
  <c r="K22" i="9"/>
  <c r="U34" i="3"/>
  <c r="T15" i="3"/>
  <c r="G21" i="9" s="1"/>
  <c r="G14" i="3"/>
  <c r="F14" i="3" s="1"/>
  <c r="U15" i="3"/>
  <c r="I24" i="9"/>
  <c r="C26" i="9"/>
  <c r="G96" i="9"/>
  <c r="F102" i="9"/>
  <c r="K26" i="9"/>
  <c r="L31" i="9"/>
  <c r="H26" i="9"/>
  <c r="H83" i="9"/>
  <c r="F82" i="9"/>
  <c r="E81" i="9"/>
  <c r="C104" i="9"/>
  <c r="B104" i="9" s="1"/>
  <c r="I39" i="9"/>
  <c r="C41" i="9"/>
  <c r="B41" i="9" s="1"/>
  <c r="H102" i="9"/>
  <c r="H90" i="9"/>
  <c r="G101" i="9"/>
  <c r="U27" i="3"/>
  <c r="C25" i="9"/>
  <c r="K25" i="9"/>
  <c r="C103" i="9"/>
  <c r="B103" i="9" s="1"/>
  <c r="H93" i="9"/>
  <c r="U28" i="3"/>
  <c r="F97" i="9"/>
  <c r="C87" i="9"/>
  <c r="T38" i="3"/>
  <c r="K20" i="9"/>
  <c r="L39" i="9"/>
  <c r="G90" i="9"/>
  <c r="L25" i="9"/>
  <c r="I27" i="9"/>
  <c r="N39" i="3"/>
  <c r="L33" i="9"/>
  <c r="H34" i="9"/>
  <c r="G84" i="9"/>
  <c r="F90" i="9"/>
  <c r="C85" i="9"/>
  <c r="C96" i="9"/>
  <c r="B96" i="9" s="1"/>
  <c r="I31" i="9"/>
  <c r="C21" i="9"/>
  <c r="B21" i="9" s="1"/>
  <c r="H82" i="9"/>
  <c r="F81" i="9"/>
  <c r="E104" i="9"/>
  <c r="K41" i="9"/>
  <c r="I38" i="9"/>
  <c r="C40" i="9"/>
  <c r="B40" i="9" s="1"/>
  <c r="L20" i="9"/>
  <c r="T24" i="3"/>
  <c r="G30" i="9" s="1"/>
  <c r="C36" i="9"/>
  <c r="B36" i="9" s="1"/>
  <c r="H29" i="9"/>
  <c r="U31" i="3"/>
  <c r="K39" i="9"/>
  <c r="F95" i="9"/>
  <c r="F87" i="9"/>
  <c r="T35" i="3"/>
  <c r="G41" i="9" s="1"/>
  <c r="F85" i="9"/>
  <c r="M39" i="3"/>
  <c r="S23" i="3" s="1"/>
  <c r="H40" i="9"/>
  <c r="F96" i="9"/>
  <c r="C97" i="9"/>
  <c r="B97" i="9" s="1"/>
  <c r="I43" i="9"/>
  <c r="C33" i="9"/>
  <c r="B33" i="9" s="1"/>
  <c r="E93" i="9"/>
  <c r="C92" i="9"/>
  <c r="B92" i="9" s="1"/>
  <c r="C29" i="9"/>
  <c r="B29" i="9" s="1"/>
  <c r="T26" i="3"/>
  <c r="G32" i="9" s="1"/>
  <c r="C20" i="9"/>
  <c r="B20" i="9" s="1"/>
  <c r="U21" i="3"/>
  <c r="T37" i="3"/>
  <c r="G43" i="9" s="1"/>
  <c r="H20" i="9"/>
  <c r="U32" i="3"/>
  <c r="C101" i="9"/>
  <c r="B101" i="9" s="1"/>
  <c r="L27" i="9"/>
  <c r="H28" i="9"/>
  <c r="H99" i="9"/>
  <c r="F84" i="9"/>
  <c r="E97" i="9"/>
  <c r="C84" i="9"/>
  <c r="K43" i="9"/>
  <c r="I42" i="9"/>
  <c r="C32" i="9"/>
  <c r="B32" i="9" s="1"/>
  <c r="G99" i="9"/>
  <c r="E92" i="9"/>
  <c r="K35" i="9"/>
  <c r="I26" i="9"/>
  <c r="C28" i="9"/>
  <c r="H37" i="9"/>
  <c r="U37" i="3"/>
  <c r="L36" i="9"/>
  <c r="C24" i="9"/>
  <c r="U25" i="3"/>
  <c r="U18" i="3"/>
  <c r="T22" i="3"/>
  <c r="G28" i="9" s="1"/>
  <c r="C23" i="9"/>
  <c r="U33" i="3"/>
  <c r="H94" i="9"/>
  <c r="T25" i="3"/>
  <c r="G31" i="9" s="1"/>
  <c r="I20" i="9"/>
  <c r="U20" i="3"/>
  <c r="C89" i="9"/>
  <c r="B89" i="9" s="1"/>
  <c r="L21" i="9"/>
  <c r="H22" i="9"/>
  <c r="H87" i="9"/>
  <c r="H98" i="9"/>
  <c r="E85" i="9"/>
  <c r="E96" i="9"/>
  <c r="K37" i="9"/>
  <c r="I30" i="9"/>
  <c r="H43" i="9"/>
  <c r="G93" i="9"/>
  <c r="G81" i="9"/>
  <c r="K29" i="9"/>
  <c r="L40" i="9"/>
  <c r="C176" i="9"/>
  <c r="F12" i="9"/>
  <c r="M72" i="3"/>
  <c r="G178" i="9"/>
  <c r="C120" i="9"/>
  <c r="K72" i="3"/>
  <c r="S50" i="3" s="1"/>
  <c r="I176" i="9" s="1"/>
  <c r="G174" i="9"/>
  <c r="C182" i="9"/>
  <c r="C178" i="9"/>
  <c r="U50" i="3"/>
  <c r="C173" i="9"/>
  <c r="B173" i="9" s="1"/>
  <c r="B174" i="9" s="1"/>
  <c r="H175" i="9"/>
  <c r="H119" i="9"/>
  <c r="L116" i="9"/>
  <c r="I117" i="9"/>
  <c r="T50" i="3"/>
  <c r="G115" i="9" s="1"/>
  <c r="H117" i="9"/>
  <c r="L114" i="9"/>
  <c r="I115" i="9"/>
  <c r="U49" i="3"/>
  <c r="N72" i="3"/>
  <c r="H173" i="9"/>
  <c r="H180" i="9"/>
  <c r="G179" i="9"/>
  <c r="U54" i="3"/>
  <c r="C118" i="9"/>
  <c r="T49" i="3"/>
  <c r="G114" i="9" s="1"/>
  <c r="H115" i="9"/>
  <c r="I120" i="9"/>
  <c r="C116" i="9"/>
  <c r="I113" i="9"/>
  <c r="U56" i="3"/>
  <c r="C174" i="9"/>
  <c r="H176" i="9"/>
  <c r="G175" i="9"/>
  <c r="H113" i="9"/>
  <c r="U48" i="3"/>
  <c r="F178" i="9"/>
  <c r="G180" i="9"/>
  <c r="F179" i="9"/>
  <c r="L118" i="9"/>
  <c r="F177" i="9"/>
  <c r="U55" i="3"/>
  <c r="F182" i="9"/>
  <c r="C119" i="9"/>
  <c r="U47" i="3"/>
  <c r="F174" i="9"/>
  <c r="G176" i="9"/>
  <c r="F175" i="9"/>
  <c r="I118" i="9"/>
  <c r="C177" i="9"/>
  <c r="L112" i="9"/>
  <c r="T56" i="3"/>
  <c r="G121" i="9" s="1"/>
  <c r="C117" i="9"/>
  <c r="I112" i="9"/>
  <c r="L119" i="9"/>
  <c r="H181" i="9"/>
  <c r="C180" i="9"/>
  <c r="F173" i="9"/>
  <c r="H112" i="9"/>
  <c r="T48" i="3"/>
  <c r="G113" i="9" s="1"/>
  <c r="C114" i="9"/>
  <c r="L121" i="9"/>
  <c r="T55" i="3"/>
  <c r="G120" i="9" s="1"/>
  <c r="C115" i="9"/>
  <c r="H120" i="9"/>
  <c r="L117" i="9"/>
  <c r="H177" i="9"/>
  <c r="F180" i="9"/>
  <c r="F47" i="3"/>
  <c r="L123" i="9"/>
  <c r="T58" i="3"/>
  <c r="G123" i="9" s="1"/>
  <c r="U57" i="3"/>
  <c r="C183" i="9"/>
  <c r="U58" i="3"/>
  <c r="C184" i="9"/>
  <c r="I123" i="9"/>
  <c r="S57" i="3"/>
  <c r="I183" i="9" s="1"/>
  <c r="F183" i="9"/>
  <c r="S58" i="3"/>
  <c r="I184" i="9" s="1"/>
  <c r="T57" i="3"/>
  <c r="G122" i="9" s="1"/>
  <c r="G183" i="9"/>
  <c r="C122" i="9"/>
  <c r="H183" i="9"/>
  <c r="H122" i="9"/>
  <c r="H184" i="9"/>
  <c r="F184" i="9"/>
  <c r="C123" i="9"/>
  <c r="B123" i="9" s="1"/>
  <c r="I122" i="9"/>
  <c r="G184" i="9"/>
  <c r="H123" i="9"/>
  <c r="L122" i="9"/>
  <c r="T51" i="3"/>
  <c r="G116" i="9" s="1"/>
  <c r="C121" i="9"/>
  <c r="I116" i="9"/>
  <c r="T47" i="3"/>
  <c r="G112" i="9" s="1"/>
  <c r="I114" i="9"/>
  <c r="T52" i="3"/>
  <c r="G117" i="9" s="1"/>
  <c r="C113" i="9"/>
  <c r="H118" i="9"/>
  <c r="L115" i="9"/>
  <c r="U53" i="3"/>
  <c r="G173" i="9"/>
  <c r="G181" i="9"/>
  <c r="F176" i="9"/>
  <c r="H182" i="9"/>
  <c r="H121" i="9"/>
  <c r="C181" i="9"/>
  <c r="T54" i="3"/>
  <c r="G119" i="9" s="1"/>
  <c r="C112" i="9"/>
  <c r="B112" i="9" s="1"/>
  <c r="H116" i="9"/>
  <c r="L113" i="9"/>
  <c r="U52" i="3"/>
  <c r="C175" i="9"/>
  <c r="G177" i="9"/>
  <c r="C179" i="9"/>
  <c r="H178" i="9"/>
  <c r="I119" i="9"/>
  <c r="T53" i="3"/>
  <c r="G118" i="9" s="1"/>
  <c r="L120" i="9"/>
  <c r="H114" i="9"/>
  <c r="I121" i="9"/>
  <c r="U51" i="3"/>
  <c r="L72" i="3"/>
  <c r="G182" i="9"/>
  <c r="F181" i="9"/>
  <c r="H179" i="9"/>
  <c r="H174" i="9"/>
  <c r="N76" i="3"/>
  <c r="H270" i="9"/>
  <c r="H274" i="9"/>
  <c r="H278" i="9"/>
  <c r="H282" i="9"/>
  <c r="H286" i="9"/>
  <c r="H290" i="9"/>
  <c r="C279" i="9"/>
  <c r="B279" i="9" s="1"/>
  <c r="I218" i="9"/>
  <c r="K207" i="9"/>
  <c r="K213" i="9"/>
  <c r="K219" i="9"/>
  <c r="K225" i="9"/>
  <c r="C211" i="9"/>
  <c r="C223" i="9"/>
  <c r="B223" i="9" s="1"/>
  <c r="C206" i="9"/>
  <c r="B206" i="9" s="1"/>
  <c r="F271" i="9"/>
  <c r="F275" i="9"/>
  <c r="F279" i="9"/>
  <c r="F283" i="9"/>
  <c r="F287" i="9"/>
  <c r="C268" i="9"/>
  <c r="C280" i="9"/>
  <c r="B280" i="9" s="1"/>
  <c r="I207" i="9"/>
  <c r="I219" i="9"/>
  <c r="L207" i="9"/>
  <c r="L213" i="9"/>
  <c r="L219" i="9"/>
  <c r="L225" i="9"/>
  <c r="H208" i="9"/>
  <c r="H214" i="9"/>
  <c r="H220" i="9"/>
  <c r="H226" i="9"/>
  <c r="C212" i="9"/>
  <c r="C224" i="9"/>
  <c r="B224" i="9" s="1"/>
  <c r="G271" i="9"/>
  <c r="G275" i="9"/>
  <c r="G279" i="9"/>
  <c r="G283" i="9"/>
  <c r="G287" i="9"/>
  <c r="C269" i="9"/>
  <c r="C281" i="9"/>
  <c r="B281" i="9" s="1"/>
  <c r="H267" i="9"/>
  <c r="I208" i="9"/>
  <c r="I220" i="9"/>
  <c r="K208" i="9"/>
  <c r="K214" i="9"/>
  <c r="K220" i="9"/>
  <c r="K226" i="9"/>
  <c r="C213" i="9"/>
  <c r="C225" i="9"/>
  <c r="B225" i="9" s="1"/>
  <c r="H271" i="9"/>
  <c r="H275" i="9"/>
  <c r="H279" i="9"/>
  <c r="H283" i="9"/>
  <c r="H287" i="9"/>
  <c r="C270" i="9"/>
  <c r="C282" i="9"/>
  <c r="B282" i="9" s="1"/>
  <c r="G267" i="9"/>
  <c r="I209" i="9"/>
  <c r="I221" i="9"/>
  <c r="L208" i="9"/>
  <c r="L214" i="9"/>
  <c r="L220" i="9"/>
  <c r="L226" i="9"/>
  <c r="H209" i="9"/>
  <c r="H215" i="9"/>
  <c r="H221" i="9"/>
  <c r="H227" i="9"/>
  <c r="C214" i="9"/>
  <c r="C226" i="9"/>
  <c r="B226" i="9" s="1"/>
  <c r="F268" i="9"/>
  <c r="F272" i="9"/>
  <c r="F276" i="9"/>
  <c r="F280" i="9"/>
  <c r="F284" i="9"/>
  <c r="F288" i="9"/>
  <c r="C271" i="9"/>
  <c r="C283" i="9"/>
  <c r="B283" i="9" s="1"/>
  <c r="F267" i="9"/>
  <c r="I210" i="9"/>
  <c r="I222" i="9"/>
  <c r="K209" i="9"/>
  <c r="K215" i="9"/>
  <c r="K221" i="9"/>
  <c r="K227" i="9"/>
  <c r="C215" i="9"/>
  <c r="C227" i="9"/>
  <c r="B227" i="9" s="1"/>
  <c r="G268" i="9"/>
  <c r="G272" i="9"/>
  <c r="G276" i="9"/>
  <c r="G280" i="9"/>
  <c r="G284" i="9"/>
  <c r="G288" i="9"/>
  <c r="C272" i="9"/>
  <c r="C284" i="9"/>
  <c r="B284" i="9" s="1"/>
  <c r="C267" i="9"/>
  <c r="B268" i="9" s="1"/>
  <c r="I211" i="9"/>
  <c r="I223" i="9"/>
  <c r="L209" i="9"/>
  <c r="L215" i="9"/>
  <c r="L221" i="9"/>
  <c r="L227" i="9"/>
  <c r="H210" i="9"/>
  <c r="H216" i="9"/>
  <c r="H222" i="9"/>
  <c r="H228" i="9"/>
  <c r="C216" i="9"/>
  <c r="B216" i="9" s="1"/>
  <c r="C228" i="9"/>
  <c r="B228" i="9" s="1"/>
  <c r="H268" i="9"/>
  <c r="H272" i="9"/>
  <c r="H276" i="9"/>
  <c r="H280" i="9"/>
  <c r="H284" i="9"/>
  <c r="H288" i="9"/>
  <c r="C273" i="9"/>
  <c r="C285" i="9"/>
  <c r="B285" i="9" s="1"/>
  <c r="I212" i="9"/>
  <c r="I224" i="9"/>
  <c r="K210" i="9"/>
  <c r="K216" i="9"/>
  <c r="K222" i="9"/>
  <c r="K228" i="9"/>
  <c r="C217" i="9"/>
  <c r="B217" i="9" s="1"/>
  <c r="C229" i="9"/>
  <c r="B229" i="9" s="1"/>
  <c r="F269" i="9"/>
  <c r="F273" i="9"/>
  <c r="F277" i="9"/>
  <c r="F281" i="9"/>
  <c r="F285" i="9"/>
  <c r="F289" i="9"/>
  <c r="C274" i="9"/>
  <c r="C286" i="9"/>
  <c r="B286" i="9" s="1"/>
  <c r="I213" i="9"/>
  <c r="I225" i="9"/>
  <c r="L210" i="9"/>
  <c r="L216" i="9"/>
  <c r="L222" i="9"/>
  <c r="L228" i="9"/>
  <c r="H211" i="9"/>
  <c r="H217" i="9"/>
  <c r="H223" i="9"/>
  <c r="H229" i="9"/>
  <c r="C218" i="9"/>
  <c r="B218" i="9" s="1"/>
  <c r="L206" i="9"/>
  <c r="G269" i="9"/>
  <c r="G273" i="9"/>
  <c r="G277" i="9"/>
  <c r="G281" i="9"/>
  <c r="G285" i="9"/>
  <c r="G289" i="9"/>
  <c r="C275" i="9"/>
  <c r="C287" i="9"/>
  <c r="B287" i="9" s="1"/>
  <c r="I214" i="9"/>
  <c r="I226" i="9"/>
  <c r="K211" i="9"/>
  <c r="K217" i="9"/>
  <c r="K223" i="9"/>
  <c r="K229" i="9"/>
  <c r="C207" i="9"/>
  <c r="B207" i="9" s="1"/>
  <c r="C219" i="9"/>
  <c r="B219" i="9" s="1"/>
  <c r="K206" i="9"/>
  <c r="H269" i="9"/>
  <c r="H273" i="9"/>
  <c r="H277" i="9"/>
  <c r="H281" i="9"/>
  <c r="H285" i="9"/>
  <c r="H289" i="9"/>
  <c r="C276" i="9"/>
  <c r="C288" i="9"/>
  <c r="B288" i="9" s="1"/>
  <c r="I215" i="9"/>
  <c r="I227" i="9"/>
  <c r="L211" i="9"/>
  <c r="L217" i="9"/>
  <c r="L223" i="9"/>
  <c r="L229" i="9"/>
  <c r="H212" i="9"/>
  <c r="H218" i="9"/>
  <c r="H224" i="9"/>
  <c r="C208" i="9"/>
  <c r="C220" i="9"/>
  <c r="B220" i="9" s="1"/>
  <c r="I206" i="9"/>
  <c r="F270" i="9"/>
  <c r="F274" i="9"/>
  <c r="F278" i="9"/>
  <c r="F282" i="9"/>
  <c r="F286" i="9"/>
  <c r="F290" i="9"/>
  <c r="C277" i="9"/>
  <c r="B277" i="9" s="1"/>
  <c r="C289" i="9"/>
  <c r="B289" i="9" s="1"/>
  <c r="I216" i="9"/>
  <c r="I228" i="9"/>
  <c r="K212" i="9"/>
  <c r="K218" i="9"/>
  <c r="K224" i="9"/>
  <c r="C209" i="9"/>
  <c r="C221" i="9"/>
  <c r="B221" i="9" s="1"/>
  <c r="H206" i="9"/>
  <c r="G270" i="9"/>
  <c r="G274" i="9"/>
  <c r="G278" i="9"/>
  <c r="G282" i="9"/>
  <c r="G286" i="9"/>
  <c r="G290" i="9"/>
  <c r="C278" i="9"/>
  <c r="B278" i="9" s="1"/>
  <c r="C290" i="9"/>
  <c r="B290" i="9" s="1"/>
  <c r="I217" i="9"/>
  <c r="I229" i="9"/>
  <c r="L212" i="9"/>
  <c r="L218" i="9"/>
  <c r="L224" i="9"/>
  <c r="H207" i="9"/>
  <c r="H213" i="9"/>
  <c r="H219" i="9"/>
  <c r="H225" i="9"/>
  <c r="C210" i="9"/>
  <c r="C222" i="9"/>
  <c r="B222" i="9" s="1"/>
  <c r="K205" i="9"/>
  <c r="K174" i="9"/>
  <c r="K173" i="9"/>
  <c r="K175" i="9"/>
  <c r="K176" i="9"/>
  <c r="K177" i="9"/>
  <c r="K178" i="9"/>
  <c r="K179" i="9"/>
  <c r="K182" i="9"/>
  <c r="K180" i="9"/>
  <c r="K181" i="9"/>
  <c r="S26" i="3"/>
  <c r="S30" i="3"/>
  <c r="S31" i="3"/>
  <c r="S22" i="3"/>
  <c r="S38" i="3"/>
  <c r="S18" i="3"/>
  <c r="L12" i="9"/>
  <c r="S20" i="3"/>
  <c r="S15" i="3"/>
  <c r="S37" i="3"/>
  <c r="S29" i="3"/>
  <c r="S25" i="3"/>
  <c r="S17" i="3"/>
  <c r="S36" i="3"/>
  <c r="S24" i="3"/>
  <c r="S28" i="3"/>
  <c r="S34" i="3"/>
  <c r="N104" i="3"/>
  <c r="M104" i="3"/>
  <c r="S93" i="3" s="1"/>
  <c r="S33" i="3"/>
  <c r="S16" i="3"/>
  <c r="S19" i="3"/>
  <c r="S21" i="3"/>
  <c r="S14" i="3"/>
  <c r="S35" i="3"/>
  <c r="S32" i="3"/>
  <c r="S27" i="3"/>
  <c r="U86" i="3"/>
  <c r="U98" i="3"/>
  <c r="U79" i="3"/>
  <c r="U87" i="3"/>
  <c r="U99" i="3"/>
  <c r="U88" i="3"/>
  <c r="U100" i="3"/>
  <c r="U94" i="3"/>
  <c r="U95" i="3"/>
  <c r="U96" i="3"/>
  <c r="U89" i="3"/>
  <c r="U101" i="3"/>
  <c r="U83" i="3"/>
  <c r="U82" i="3"/>
  <c r="U81" i="3"/>
  <c r="U90" i="3"/>
  <c r="U102" i="3"/>
  <c r="U91" i="3"/>
  <c r="U103" i="3"/>
  <c r="U93" i="3"/>
  <c r="U92" i="3"/>
  <c r="U85" i="3"/>
  <c r="U84" i="3"/>
  <c r="U97" i="3"/>
  <c r="U80" i="3"/>
  <c r="F15" i="3"/>
  <c r="T87" i="3"/>
  <c r="G214" i="9" s="1"/>
  <c r="T99" i="3"/>
  <c r="G226" i="9" s="1"/>
  <c r="T86" i="3"/>
  <c r="G213" i="9" s="1"/>
  <c r="T88" i="3"/>
  <c r="G215" i="9" s="1"/>
  <c r="T100" i="3"/>
  <c r="G227" i="9" s="1"/>
  <c r="T89" i="3"/>
  <c r="G216" i="9" s="1"/>
  <c r="T101" i="3"/>
  <c r="G228" i="9" s="1"/>
  <c r="T90" i="3"/>
  <c r="G217" i="9" s="1"/>
  <c r="T102" i="3"/>
  <c r="G229" i="9" s="1"/>
  <c r="T98" i="3"/>
  <c r="G225" i="9" s="1"/>
  <c r="T91" i="3"/>
  <c r="G218" i="9" s="1"/>
  <c r="T103" i="3"/>
  <c r="T97" i="3"/>
  <c r="G224" i="9" s="1"/>
  <c r="T80" i="3"/>
  <c r="G207" i="9" s="1"/>
  <c r="T92" i="3"/>
  <c r="G219" i="9" s="1"/>
  <c r="T79" i="3"/>
  <c r="G206" i="9" s="1"/>
  <c r="T81" i="3"/>
  <c r="G208" i="9" s="1"/>
  <c r="T93" i="3"/>
  <c r="G220" i="9" s="1"/>
  <c r="T82" i="3"/>
  <c r="G209" i="9" s="1"/>
  <c r="T94" i="3"/>
  <c r="G221" i="9" s="1"/>
  <c r="T83" i="3"/>
  <c r="G210" i="9" s="1"/>
  <c r="T95" i="3"/>
  <c r="G222" i="9" s="1"/>
  <c r="T84" i="3"/>
  <c r="G211" i="9" s="1"/>
  <c r="T96" i="3"/>
  <c r="G223" i="9" s="1"/>
  <c r="T85" i="3"/>
  <c r="G212" i="9" s="1"/>
  <c r="G79" i="3"/>
  <c r="S51" i="3" l="1"/>
  <c r="I177" i="9" s="1"/>
  <c r="K114" i="9"/>
  <c r="B22" i="9"/>
  <c r="B23" i="9" s="1"/>
  <c r="B24" i="9" s="1"/>
  <c r="B25" i="9" s="1"/>
  <c r="B26" i="9" s="1"/>
  <c r="B27" i="9" s="1"/>
  <c r="B28" i="9" s="1"/>
  <c r="K117" i="9"/>
  <c r="K44" i="9"/>
  <c r="H44" i="9"/>
  <c r="G105" i="9"/>
  <c r="I95" i="9" s="1"/>
  <c r="I44" i="9"/>
  <c r="B83" i="9"/>
  <c r="B84" i="9" s="1"/>
  <c r="B85" i="9"/>
  <c r="B86" i="9" s="1"/>
  <c r="B87" i="9" s="1"/>
  <c r="B88" i="9" s="1"/>
  <c r="K113" i="9"/>
  <c r="L176" i="9"/>
  <c r="K115" i="9"/>
  <c r="K120" i="9"/>
  <c r="B113" i="9"/>
  <c r="B114" i="9" s="1"/>
  <c r="B115" i="9" s="1"/>
  <c r="B116" i="9" s="1"/>
  <c r="B117" i="9" s="1"/>
  <c r="B118" i="9" s="1"/>
  <c r="B119" i="9" s="1"/>
  <c r="B120" i="9" s="1"/>
  <c r="B121" i="9" s="1"/>
  <c r="B122" i="9" s="1"/>
  <c r="K116" i="9"/>
  <c r="K122" i="9"/>
  <c r="K123" i="9"/>
  <c r="K112" i="9"/>
  <c r="K121" i="9"/>
  <c r="S47" i="3"/>
  <c r="I173" i="9" s="1"/>
  <c r="L175" i="9"/>
  <c r="S49" i="3"/>
  <c r="I175" i="9" s="1"/>
  <c r="S53" i="3"/>
  <c r="I179" i="9" s="1"/>
  <c r="S52" i="3"/>
  <c r="I178" i="9" s="1"/>
  <c r="S56" i="3"/>
  <c r="I182" i="9" s="1"/>
  <c r="S55" i="3"/>
  <c r="I181" i="9" s="1"/>
  <c r="S48" i="3"/>
  <c r="I174" i="9" s="1"/>
  <c r="S54" i="3"/>
  <c r="I180" i="9" s="1"/>
  <c r="H137" i="9"/>
  <c r="K119" i="9"/>
  <c r="L178" i="9"/>
  <c r="K118" i="9"/>
  <c r="I137" i="9"/>
  <c r="L179" i="9"/>
  <c r="L183" i="9"/>
  <c r="L174" i="9"/>
  <c r="L181" i="9" a="1"/>
  <c r="L181" i="9" s="1"/>
  <c r="L180" i="9"/>
  <c r="B175" i="9"/>
  <c r="B176" i="9" s="1"/>
  <c r="B177" i="9" s="1"/>
  <c r="B178" i="9" s="1"/>
  <c r="B179" i="9" s="1"/>
  <c r="B180" i="9" s="1"/>
  <c r="B181" i="9" s="1"/>
  <c r="B182" i="9" s="1"/>
  <c r="B183" i="9" s="1"/>
  <c r="B184" i="9" s="1"/>
  <c r="L177" i="9"/>
  <c r="L173" i="9"/>
  <c r="L184" i="9"/>
  <c r="G198" i="9"/>
  <c r="B269" i="9"/>
  <c r="B208" i="9"/>
  <c r="B209" i="9" s="1"/>
  <c r="B210" i="9" s="1"/>
  <c r="B211" i="9" s="1"/>
  <c r="B212" i="9" s="1"/>
  <c r="B213" i="9" s="1"/>
  <c r="B214" i="9" s="1"/>
  <c r="B215" i="9" s="1"/>
  <c r="B270" i="9"/>
  <c r="B271" i="9" s="1"/>
  <c r="B272" i="9" s="1"/>
  <c r="B273" i="9" s="1"/>
  <c r="B274" i="9" s="1"/>
  <c r="B275" i="9" s="1"/>
  <c r="B276" i="9" s="1"/>
  <c r="I230" i="9"/>
  <c r="H230" i="9"/>
  <c r="G291" i="9"/>
  <c r="K230" i="9"/>
  <c r="L291" i="9"/>
  <c r="K82" i="9"/>
  <c r="L82" i="9" s="1"/>
  <c r="I83" i="9"/>
  <c r="I92" i="9"/>
  <c r="K80" i="9"/>
  <c r="K85" i="9"/>
  <c r="L85" i="9" s="1"/>
  <c r="I88" i="9"/>
  <c r="I94" i="9"/>
  <c r="I85" i="9"/>
  <c r="K81" i="9"/>
  <c r="L81" i="9" s="1"/>
  <c r="I103" i="9"/>
  <c r="I97" i="9"/>
  <c r="I100" i="9"/>
  <c r="I87" i="9"/>
  <c r="K84" i="9"/>
  <c r="L84" i="9" s="1"/>
  <c r="I101" i="9"/>
  <c r="K86" i="9"/>
  <c r="L86" i="9" s="1"/>
  <c r="I84" i="9"/>
  <c r="I99" i="9"/>
  <c r="K83" i="9"/>
  <c r="L83" i="9" s="1"/>
  <c r="I98" i="9"/>
  <c r="I96" i="9"/>
  <c r="I82" i="9"/>
  <c r="I89" i="9"/>
  <c r="S79" i="3"/>
  <c r="S99" i="3"/>
  <c r="S89" i="3"/>
  <c r="S100" i="3"/>
  <c r="S88" i="3"/>
  <c r="S85" i="3"/>
  <c r="S102" i="3"/>
  <c r="S81" i="3"/>
  <c r="S90" i="3"/>
  <c r="S97" i="3"/>
  <c r="S84" i="3"/>
  <c r="S39" i="3"/>
  <c r="S96" i="3"/>
  <c r="S98" i="3"/>
  <c r="S95" i="3"/>
  <c r="S92" i="3"/>
  <c r="S101" i="3"/>
  <c r="S83" i="3"/>
  <c r="S80" i="3"/>
  <c r="S103" i="3"/>
  <c r="S94" i="3"/>
  <c r="S91" i="3"/>
  <c r="S82" i="3"/>
  <c r="S87" i="3"/>
  <c r="S86" i="3"/>
  <c r="F16" i="3"/>
  <c r="F48" i="3"/>
  <c r="F79" i="3"/>
  <c r="F80" i="3" s="1"/>
  <c r="F81" i="3" s="1"/>
  <c r="I102" i="9" l="1"/>
  <c r="I104" i="9"/>
  <c r="I80" i="9"/>
  <c r="I86" i="9"/>
  <c r="I93" i="9"/>
  <c r="I81" i="9"/>
  <c r="I91" i="9"/>
  <c r="I90" i="9"/>
  <c r="I105" i="9" s="1"/>
  <c r="L44" i="9"/>
  <c r="L182" i="9"/>
  <c r="K137" i="9"/>
  <c r="L137" i="9"/>
  <c r="S72" i="3"/>
  <c r="L230" i="9"/>
  <c r="K266" i="9"/>
  <c r="K291" i="9" s="1"/>
  <c r="I266" i="9"/>
  <c r="I287" i="9"/>
  <c r="I277" i="9"/>
  <c r="I272" i="9"/>
  <c r="I285" i="9"/>
  <c r="I275" i="9"/>
  <c r="I276" i="9"/>
  <c r="I269" i="9"/>
  <c r="I270" i="9"/>
  <c r="I283" i="9"/>
  <c r="I274" i="9"/>
  <c r="I273" i="9"/>
  <c r="I286" i="9"/>
  <c r="I290" i="9"/>
  <c r="I278" i="9"/>
  <c r="I289" i="9"/>
  <c r="I280" i="9"/>
  <c r="I268" i="9"/>
  <c r="I288" i="9"/>
  <c r="I281" i="9"/>
  <c r="I282" i="9"/>
  <c r="I271" i="9"/>
  <c r="I279" i="9"/>
  <c r="I284" i="9"/>
  <c r="I267" i="9"/>
  <c r="L80" i="9"/>
  <c r="I198" i="9"/>
  <c r="K198" i="9"/>
  <c r="K105" i="9"/>
  <c r="S104" i="3"/>
  <c r="F17" i="3"/>
  <c r="F49" i="3"/>
  <c r="I291" i="9" l="1"/>
  <c r="F18" i="3"/>
  <c r="F50" i="3"/>
  <c r="F19" i="3" l="1"/>
  <c r="F51" i="3"/>
  <c r="F20" i="3" l="1"/>
  <c r="F52" i="3"/>
  <c r="F21" i="3" l="1"/>
  <c r="F53" i="3"/>
  <c r="F22" i="3" l="1"/>
  <c r="F54" i="3"/>
  <c r="F23" i="3" l="1"/>
  <c r="F55" i="3"/>
  <c r="F24" i="3" l="1"/>
  <c r="F56" i="3"/>
  <c r="F57" i="3" s="1"/>
  <c r="F58" i="3" s="1"/>
  <c r="F25" i="3" l="1"/>
  <c r="L105" i="9"/>
  <c r="L198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<sst xmlns="http://schemas.openxmlformats.org/spreadsheetml/2006/main" count="1111" uniqueCount="221">
  <si>
    <t>조회일자</t>
    <phoneticPr fontId="3" type="noConversion"/>
  </si>
  <si>
    <t>계좌번호</t>
    <phoneticPr fontId="3" type="noConversion"/>
  </si>
  <si>
    <t>상품옵션</t>
    <phoneticPr fontId="3" type="noConversion"/>
  </si>
  <si>
    <t>평가금액</t>
  </si>
  <si>
    <t>평가손익</t>
  </si>
  <si>
    <t>상품유형</t>
  </si>
  <si>
    <t>상품명</t>
  </si>
  <si>
    <t>수량</t>
  </si>
  <si>
    <t>기준가(이율)</t>
  </si>
  <si>
    <t>매입금액</t>
  </si>
  <si>
    <t>증거금액(수량)</t>
  </si>
  <si>
    <t>수익률</t>
  </si>
  <si>
    <t>미래에셋인도중소형포커스증권자투자신탁1호(주식)C-P2e</t>
  </si>
  <si>
    <t>마이다스책임투자증권투자신탁(주식)C-Pe2</t>
  </si>
  <si>
    <t>AB미국그로스증권투자신탁(주식-재간접형)Ce-P2</t>
  </si>
  <si>
    <t>한국투자연금베트남증권자투자신탁(주식혼합)C-Re</t>
  </si>
  <si>
    <t>우리하이플러스채권증권자투자신탁1호(채권)C-Pe</t>
  </si>
  <si>
    <t>한국투자글로벌AI&amp;반도체TOP10증권자투자신탁UH(주식)C-Re</t>
  </si>
  <si>
    <t>WON 미국우주항공방산</t>
  </si>
  <si>
    <t>KODEX 로봇액티브</t>
  </si>
  <si>
    <t>ACE 미국30년국채액티브(H)</t>
  </si>
  <si>
    <t>자동운용상품(고유계정대)</t>
  </si>
  <si>
    <t>IRP</t>
  </si>
  <si>
    <t>연금저축</t>
  </si>
  <si>
    <t>예수금</t>
  </si>
  <si>
    <t>총자산</t>
  </si>
  <si>
    <t>총수익률</t>
  </si>
  <si>
    <t>종목코드</t>
  </si>
  <si>
    <t>잔고수량</t>
  </si>
  <si>
    <t>매입가</t>
  </si>
  <si>
    <t>현재가</t>
  </si>
  <si>
    <t>TIGER 200</t>
  </si>
  <si>
    <t>TIGER 미국나스닥100</t>
  </si>
  <si>
    <t>KIWOOM 인도Nifty50(합성)</t>
  </si>
  <si>
    <t>ACE 베트남VN30(합성)</t>
  </si>
  <si>
    <t>SOL 미국배당다우존스</t>
  </si>
  <si>
    <t>TIGER 미국배당다우존스타겟커버드콜2호</t>
  </si>
  <si>
    <t>KIWOOM 글로벌AI반도체</t>
  </si>
  <si>
    <t>ACE 미국30년국채액티브</t>
  </si>
  <si>
    <t>DB_연금저축_HISTORY</t>
    <phoneticPr fontId="3" type="noConversion"/>
  </si>
  <si>
    <t>NO.</t>
    <phoneticPr fontId="3" type="noConversion"/>
  </si>
  <si>
    <t>조회일</t>
    <phoneticPr fontId="3" type="noConversion"/>
  </si>
  <si>
    <t>고객명</t>
    <phoneticPr fontId="3" type="noConversion"/>
  </si>
  <si>
    <t>매입금액</t>
    <phoneticPr fontId="3" type="noConversion"/>
  </si>
  <si>
    <t>평가금액</t>
    <phoneticPr fontId="3" type="noConversion"/>
  </si>
  <si>
    <t>평가손익</t>
    <phoneticPr fontId="3" type="noConversion"/>
  </si>
  <si>
    <t>상품유형</t>
    <phoneticPr fontId="3" type="noConversion"/>
  </si>
  <si>
    <t>상품명</t>
    <phoneticPr fontId="3" type="noConversion"/>
  </si>
  <si>
    <t>종목코드</t>
    <phoneticPr fontId="3" type="noConversion"/>
  </si>
  <si>
    <t>잔고수량</t>
    <phoneticPr fontId="3" type="noConversion"/>
  </si>
  <si>
    <t>매입가</t>
    <phoneticPr fontId="3" type="noConversion"/>
  </si>
  <si>
    <t>현재가</t>
    <phoneticPr fontId="3" type="noConversion"/>
  </si>
  <si>
    <t>수익률</t>
    <phoneticPr fontId="3" type="noConversion"/>
  </si>
  <si>
    <t>신영밸류고배당증권자(주식)C-P</t>
  </si>
  <si>
    <t>DAYP01-003</t>
  </si>
  <si>
    <t>NH-Amundi 개인신종MMF1호C-P1(연금저축)</t>
  </si>
  <si>
    <t>DENP01-005</t>
  </si>
  <si>
    <t>만기일</t>
    <phoneticPr fontId="3" type="noConversion"/>
  </si>
  <si>
    <t>플랜명</t>
    <phoneticPr fontId="3" type="noConversion"/>
  </si>
  <si>
    <t>누적수익률</t>
    <phoneticPr fontId="3" type="noConversion"/>
  </si>
  <si>
    <t>플랜번호</t>
    <phoneticPr fontId="3" type="noConversion"/>
  </si>
  <si>
    <t>수량</t>
    <phoneticPr fontId="3" type="noConversion"/>
  </si>
  <si>
    <t>기준가(이율)</t>
    <phoneticPr fontId="3" type="noConversion"/>
  </si>
  <si>
    <t>총입금액</t>
  </si>
  <si>
    <t>총입금액</t>
    <phoneticPr fontId="3" type="noConversion"/>
  </si>
  <si>
    <t>총출금액</t>
  </si>
  <si>
    <t>총출금액</t>
    <phoneticPr fontId="3" type="noConversion"/>
  </si>
  <si>
    <t>증거금액(수량)</t>
    <phoneticPr fontId="3" type="noConversion"/>
  </si>
  <si>
    <t>수익률</t>
    <phoneticPr fontId="3" type="noConversion"/>
  </si>
  <si>
    <t>DB_IRP_HISTORY</t>
    <phoneticPr fontId="3" type="noConversion"/>
  </si>
  <si>
    <t>납입원금</t>
    <phoneticPr fontId="3" type="noConversion"/>
  </si>
  <si>
    <t>월 납입액</t>
    <phoneticPr fontId="3" type="noConversion"/>
  </si>
  <si>
    <t>납입원금</t>
    <phoneticPr fontId="3" type="noConversion"/>
  </si>
  <si>
    <t>월납입액</t>
    <phoneticPr fontId="3" type="noConversion"/>
  </si>
  <si>
    <t>■ 개요</t>
    <phoneticPr fontId="3" type="noConversion"/>
  </si>
  <si>
    <t>연금저축</t>
    <phoneticPr fontId="3" type="noConversion"/>
  </si>
  <si>
    <t>IRP</t>
    <phoneticPr fontId="3" type="noConversion"/>
  </si>
  <si>
    <t>자금현황</t>
    <phoneticPr fontId="3" type="noConversion"/>
  </si>
  <si>
    <t>구분</t>
    <phoneticPr fontId="3" type="noConversion"/>
  </si>
  <si>
    <t>수익금액</t>
    <phoneticPr fontId="3" type="noConversion"/>
  </si>
  <si>
    <t>조회일</t>
    <phoneticPr fontId="3" type="noConversion"/>
  </si>
  <si>
    <t>상품종류</t>
    <phoneticPr fontId="3" type="noConversion"/>
  </si>
  <si>
    <t xml:space="preserve">상품종류 : </t>
    <phoneticPr fontId="3" type="noConversion"/>
  </si>
  <si>
    <t>연금저축_거치</t>
  </si>
  <si>
    <t>연금저축_거치</t>
    <phoneticPr fontId="3" type="noConversion"/>
  </si>
  <si>
    <t>조회일</t>
    <phoneticPr fontId="3" type="noConversion"/>
  </si>
  <si>
    <t>No</t>
    <phoneticPr fontId="3" type="noConversion"/>
  </si>
  <si>
    <t>No</t>
    <phoneticPr fontId="3" type="noConversion"/>
  </si>
  <si>
    <t>위험도</t>
    <phoneticPr fontId="3" type="noConversion"/>
  </si>
  <si>
    <t>상품명</t>
    <phoneticPr fontId="3" type="noConversion"/>
  </si>
  <si>
    <t>절대성장형</t>
    <phoneticPr fontId="3" type="noConversion"/>
  </si>
  <si>
    <t>안정형</t>
    <phoneticPr fontId="3" type="noConversion"/>
  </si>
  <si>
    <t>성장형</t>
    <phoneticPr fontId="3" type="noConversion"/>
  </si>
  <si>
    <t>절대안정형</t>
    <phoneticPr fontId="3" type="noConversion"/>
  </si>
  <si>
    <t>상품별 위험도 DATA</t>
    <phoneticPr fontId="3" type="noConversion"/>
  </si>
  <si>
    <t>NH 투자증권 세액공제 투자상품 종합보고서</t>
    <phoneticPr fontId="3" type="noConversion"/>
  </si>
  <si>
    <t>■ 연금저축</t>
    <phoneticPr fontId="3" type="noConversion"/>
  </si>
  <si>
    <t>위험도</t>
    <phoneticPr fontId="3" type="noConversion"/>
  </si>
  <si>
    <t>■ IRP</t>
    <phoneticPr fontId="3" type="noConversion"/>
  </si>
  <si>
    <t>지역</t>
    <phoneticPr fontId="3" type="noConversion"/>
  </si>
  <si>
    <t>미국</t>
    <phoneticPr fontId="3" type="noConversion"/>
  </si>
  <si>
    <t>베트남</t>
    <phoneticPr fontId="3" type="noConversion"/>
  </si>
  <si>
    <t>글로벌</t>
    <phoneticPr fontId="3" type="noConversion"/>
  </si>
  <si>
    <t>인도</t>
    <phoneticPr fontId="3" type="noConversion"/>
  </si>
  <si>
    <t>국내</t>
    <phoneticPr fontId="3" type="noConversion"/>
  </si>
  <si>
    <t>예수금</t>
    <phoneticPr fontId="3" type="noConversion"/>
  </si>
  <si>
    <t>-</t>
    <phoneticPr fontId="3" type="noConversion"/>
  </si>
  <si>
    <t>총 누적수익률</t>
    <phoneticPr fontId="3" type="noConversion"/>
  </si>
  <si>
    <t>비중</t>
    <phoneticPr fontId="3" type="noConversion"/>
  </si>
  <si>
    <t>Total</t>
    <phoneticPr fontId="3" type="noConversion"/>
  </si>
  <si>
    <t>날짜</t>
    <phoneticPr fontId="3" type="noConversion"/>
  </si>
  <si>
    <t>수익률</t>
    <phoneticPr fontId="3" type="noConversion"/>
  </si>
  <si>
    <t>동적 수익률 그래프</t>
    <phoneticPr fontId="3" type="noConversion"/>
  </si>
  <si>
    <t>상품코드</t>
    <phoneticPr fontId="3" type="noConversion"/>
  </si>
  <si>
    <t>기준가</t>
    <phoneticPr fontId="3" type="noConversion"/>
  </si>
  <si>
    <t>비중</t>
    <phoneticPr fontId="3" type="noConversion"/>
  </si>
  <si>
    <t>수정비중</t>
    <phoneticPr fontId="3" type="noConversion"/>
  </si>
  <si>
    <t>변경후 평가금액</t>
    <phoneticPr fontId="3" type="noConversion"/>
  </si>
  <si>
    <t>(+/-)</t>
    <phoneticPr fontId="3" type="noConversion"/>
  </si>
  <si>
    <t>KODEX 국고채3년</t>
  </si>
  <si>
    <t>절대안정형</t>
    <phoneticPr fontId="3" type="noConversion"/>
  </si>
  <si>
    <t>절대성장형</t>
    <phoneticPr fontId="3" type="noConversion"/>
  </si>
  <si>
    <t>국내</t>
    <phoneticPr fontId="3" type="noConversion"/>
  </si>
  <si>
    <t>글로벌</t>
    <phoneticPr fontId="3" type="noConversion"/>
  </si>
  <si>
    <t>지역분석 그래프</t>
    <phoneticPr fontId="3" type="noConversion"/>
  </si>
  <si>
    <t>위험도분석 그래프</t>
    <phoneticPr fontId="3" type="noConversion"/>
  </si>
  <si>
    <t>행 레이블</t>
  </si>
  <si>
    <t>합계 : 비중</t>
  </si>
  <si>
    <t>Total</t>
    <phoneticPr fontId="3" type="noConversion"/>
  </si>
  <si>
    <t>예수금</t>
    <phoneticPr fontId="3" type="noConversion"/>
  </si>
  <si>
    <t>● 포트폴리오 변경</t>
    <phoneticPr fontId="3" type="noConversion"/>
  </si>
  <si>
    <t>● 수익률 그래프</t>
    <phoneticPr fontId="3" type="noConversion"/>
  </si>
  <si>
    <t>● 지역분산</t>
    <phoneticPr fontId="3" type="noConversion"/>
  </si>
  <si>
    <t>● 위험도 분산</t>
    <phoneticPr fontId="3" type="noConversion"/>
  </si>
  <si>
    <t>TIGER 글로벌리튬&amp;2차전지SOLACTIVE(합성)</t>
    <phoneticPr fontId="3" type="noConversion"/>
  </si>
  <si>
    <t>절대안정형</t>
    <phoneticPr fontId="3" type="noConversion"/>
  </si>
  <si>
    <t>국내</t>
    <phoneticPr fontId="3" type="noConversion"/>
  </si>
  <si>
    <t>성장형</t>
    <phoneticPr fontId="3" type="noConversion"/>
  </si>
  <si>
    <t>평가손익</t>
    <phoneticPr fontId="3" type="noConversion"/>
  </si>
  <si>
    <t>종목코드</t>
    <phoneticPr fontId="3" type="noConversion"/>
  </si>
  <si>
    <t>KODEX 미국S&amp;P500(H)</t>
    <phoneticPr fontId="3" type="noConversion"/>
  </si>
  <si>
    <t>● 포트폴리오 분석</t>
    <phoneticPr fontId="3" type="noConversion"/>
  </si>
  <si>
    <t>국내</t>
  </si>
  <si>
    <t>절대안정형</t>
  </si>
  <si>
    <t>성장형</t>
  </si>
  <si>
    <t>구분</t>
    <phoneticPr fontId="3" type="noConversion"/>
  </si>
  <si>
    <t>계좌번호</t>
    <phoneticPr fontId="3" type="noConversion"/>
  </si>
  <si>
    <t>납입일</t>
    <phoneticPr fontId="3" type="noConversion"/>
  </si>
  <si>
    <t>정기납입일</t>
    <phoneticPr fontId="3" type="noConversion"/>
  </si>
  <si>
    <t>플랜번호</t>
  </si>
  <si>
    <t>S0124210712831</t>
  </si>
  <si>
    <t>플랜명</t>
  </si>
  <si>
    <t>김명화_개인IRP</t>
  </si>
  <si>
    <t>누적수익률</t>
  </si>
  <si>
    <t>총 입금액</t>
  </si>
  <si>
    <t>총 출금액</t>
  </si>
  <si>
    <t>매수일자</t>
  </si>
  <si>
    <t>만기일</t>
  </si>
  <si>
    <t>수익증권</t>
  </si>
  <si>
    <t>-</t>
  </si>
  <si>
    <t>ETF</t>
  </si>
  <si>
    <t>현금성자산(원화)</t>
  </si>
  <si>
    <t>매수일자</t>
    <phoneticPr fontId="3" type="noConversion"/>
  </si>
  <si>
    <t>만기일</t>
    <phoneticPr fontId="3" type="noConversion"/>
  </si>
  <si>
    <t>204-03-53***8</t>
    <phoneticPr fontId="3" type="noConversion"/>
  </si>
  <si>
    <t>김명화</t>
    <phoneticPr fontId="3" type="noConversion"/>
  </si>
  <si>
    <t>절대성장형</t>
  </si>
  <si>
    <t>안정형</t>
  </si>
  <si>
    <t>인도</t>
  </si>
  <si>
    <t>베트남</t>
  </si>
  <si>
    <t>미국</t>
  </si>
  <si>
    <t>글로벌</t>
  </si>
  <si>
    <t>우리하이플러스채권증권자1(채권)C-P1e</t>
  </si>
  <si>
    <t>NDC412-002</t>
  </si>
  <si>
    <t>AB미국그로스증권(주식-재간접형)Ce-P</t>
  </si>
  <si>
    <t>NGAB54-001</t>
  </si>
  <si>
    <t>KCGI차이나증권투자신탁[주식]C-Pe2</t>
  </si>
  <si>
    <t>중국</t>
  </si>
  <si>
    <t>마이다스책임투자증권(주식)C-Pe1</t>
  </si>
  <si>
    <t>NAMD81-004</t>
  </si>
  <si>
    <t>NH-Amundi 개인신종MMF1호C-P1e</t>
  </si>
  <si>
    <t>NENH02-005</t>
  </si>
  <si>
    <t>기업은행 정기예금_5Y</t>
  </si>
  <si>
    <t>KODEX 에너지화학</t>
  </si>
  <si>
    <t>TIGER 차이나CSI300</t>
  </si>
  <si>
    <t>키움슈로더유로증권자투자신탁(주식-재간접형)C-CPe(퇴직연금)</t>
  </si>
  <si>
    <t>이스트스프링차이나드래곤A Share증권자(H)[주식]C-P(퇴직연금)E</t>
  </si>
  <si>
    <t>미래에셋글로벌클린인프라증권자투자신탁[주식]Crp-e</t>
  </si>
  <si>
    <t>국내</t>
    <phoneticPr fontId="3" type="noConversion"/>
  </si>
  <si>
    <t>중국</t>
    <phoneticPr fontId="3" type="noConversion"/>
  </si>
  <si>
    <t>유럽</t>
    <phoneticPr fontId="3" type="noConversion"/>
  </si>
  <si>
    <t>절대성장형</t>
    <phoneticPr fontId="3" type="noConversion"/>
  </si>
  <si>
    <t>글로벌</t>
    <phoneticPr fontId="3" type="noConversion"/>
  </si>
  <si>
    <t>이리츠코크렙</t>
  </si>
  <si>
    <t>이지스밸류플러스리츠</t>
  </si>
  <si>
    <t>마이다스신성장기업포커스증권자투자신탁(주식)C-Pe2</t>
  </si>
  <si>
    <t>유리베트남알파증권자투자신탁[주식]C-P1e</t>
  </si>
  <si>
    <t>KCGI차이나증권투자신탁[주식]C-Pe</t>
  </si>
  <si>
    <t>NAMP56-003</t>
  </si>
  <si>
    <t>미래에셋인도중소형포커스증권자1(주식)CPe</t>
  </si>
  <si>
    <t>NAMP69-004</t>
  </si>
  <si>
    <t>유리베트남알파연금저축증권자[주식]C-e</t>
  </si>
  <si>
    <t>NAYRP2-005</t>
  </si>
  <si>
    <t>KB코리아뉴웨이브증권투자신탁(주식)C-Pe</t>
  </si>
  <si>
    <t>NAZ564-001</t>
  </si>
  <si>
    <t>KODEX 200</t>
  </si>
  <si>
    <t>KODEX 미국빅테크10(H)</t>
  </si>
  <si>
    <t>TIGER BBIG</t>
  </si>
  <si>
    <t>한국투자글로벌AI&amp;반도체TOP10증권자(H)CPe</t>
  </si>
  <si>
    <t>NAH225-008</t>
  </si>
  <si>
    <t>KODEX 미국S&amp;P500</t>
  </si>
  <si>
    <t>TIGER 미국테크TOP10 INDXX</t>
  </si>
  <si>
    <t>카디안차이나드래곤AShareUH주식CP2E</t>
  </si>
  <si>
    <t>NABP58-003</t>
  </si>
  <si>
    <t>NABP58-006</t>
  </si>
  <si>
    <t>TIGER 미국필라델피아반도체나스닥</t>
  </si>
  <si>
    <t>TIGER 미국S&amp;P500</t>
  </si>
  <si>
    <t>미래에셋N2글로벌자산배분70증권투자1호(주식혼합-재간접)O</t>
  </si>
  <si>
    <t>NH-Amundi하나로TDF2045증권투자신탁[주식혼합-재간접형]C-O</t>
  </si>
  <si>
    <t>삼성한국형TDF2045증권투자신탁H[주식혼합-재간접형]O(디폴트)</t>
  </si>
  <si>
    <t>NGAB54-004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</si>
</sst>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%"/>
    <numFmt numFmtId="177" formatCode="&quot;작성일 : &quot;yyyy/mm/dd"/>
    <numFmt numFmtId="178" formatCode="&quot;■ &quot;\ General"/>
    <numFmt numFmtId="179" formatCode="&quot;매월 : &quot;0&quot;일&quot;"/>
    <numFmt numFmtId="180" formatCode="0&quot;일&quot;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b/>
      <sz val="14"/>
      <color theme="9" tint="-0.49998474074526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color theme="5" tint="-0.249977111117893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4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87">
    <xf numFmtId="0" fontId="0" fillId="0" borderId="0" xfId="0">
      <alignment vertical="center"/>
    </xf>
    <xf numFmtId="0" fontId="0" fillId="3" borderId="0" xfId="0" applyFill="1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3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176" fontId="0" fillId="0" borderId="0" xfId="1" applyNumberFormat="1" applyFont="1">
      <alignment vertical="center"/>
    </xf>
    <xf numFmtId="0" fontId="0" fillId="3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>
      <alignment vertical="center"/>
    </xf>
    <xf numFmtId="14" fontId="5" fillId="4" borderId="0" xfId="0" applyNumberFormat="1" applyFont="1" applyFill="1" applyAlignment="1">
      <alignment horizontal="center" vertical="center"/>
    </xf>
    <xf numFmtId="14" fontId="2" fillId="4" borderId="0" xfId="0" applyNumberFormat="1" applyFont="1" applyFill="1" applyAlignment="1">
      <alignment horizontal="center" vertical="center"/>
    </xf>
    <xf numFmtId="41" fontId="0" fillId="0" borderId="0" xfId="2" applyFo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0" fillId="2" borderId="4" xfId="0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>
      <alignment vertical="center"/>
    </xf>
    <xf numFmtId="14" fontId="0" fillId="2" borderId="5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41" fontId="0" fillId="0" borderId="0" xfId="2" applyFont="1" applyBorder="1">
      <alignment vertical="center"/>
    </xf>
    <xf numFmtId="41" fontId="0" fillId="3" borderId="0" xfId="2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41" fontId="6" fillId="3" borderId="0" xfId="2" applyFont="1" applyFill="1" applyBorder="1" applyAlignment="1">
      <alignment horizontal="center" vertical="center"/>
    </xf>
    <xf numFmtId="41" fontId="6" fillId="3" borderId="0" xfId="2" applyFont="1" applyFill="1" applyAlignment="1">
      <alignment horizontal="center" vertical="center"/>
    </xf>
    <xf numFmtId="176" fontId="6" fillId="3" borderId="0" xfId="1" applyNumberFormat="1" applyFont="1" applyFill="1" applyAlignment="1">
      <alignment horizontal="center" vertical="center"/>
    </xf>
    <xf numFmtId="41" fontId="5" fillId="4" borderId="0" xfId="2" applyFont="1" applyFill="1" applyAlignment="1">
      <alignment horizontal="center" vertical="center"/>
    </xf>
    <xf numFmtId="176" fontId="5" fillId="4" borderId="0" xfId="1" applyNumberFormat="1" applyFont="1" applyFill="1" applyAlignment="1">
      <alignment horizontal="center" vertical="center"/>
    </xf>
    <xf numFmtId="0" fontId="0" fillId="0" borderId="5" xfId="0" applyBorder="1">
      <alignment vertical="center"/>
    </xf>
    <xf numFmtId="41" fontId="0" fillId="5" borderId="4" xfId="2" applyFont="1" applyFill="1" applyBorder="1" applyAlignment="1">
      <alignment horizontal="center" vertical="center"/>
    </xf>
    <xf numFmtId="41" fontId="0" fillId="5" borderId="5" xfId="2" applyFont="1" applyFill="1" applyBorder="1" applyAlignment="1">
      <alignment horizontal="center" vertical="center"/>
    </xf>
    <xf numFmtId="41" fontId="8" fillId="6" borderId="5" xfId="2" applyFont="1" applyFill="1" applyBorder="1" applyAlignment="1">
      <alignment horizontal="center" vertical="center"/>
    </xf>
    <xf numFmtId="41" fontId="1" fillId="6" borderId="4" xfId="2" applyFont="1" applyFill="1" applyBorder="1" applyAlignment="1">
      <alignment horizontal="center" vertical="center"/>
    </xf>
    <xf numFmtId="41" fontId="1" fillId="0" borderId="0" xfId="2" applyFont="1" applyBorder="1">
      <alignment vertical="center"/>
    </xf>
    <xf numFmtId="14" fontId="0" fillId="0" borderId="0" xfId="0" applyNumberFormat="1" applyAlignment="1">
      <alignment horizontal="center" vertical="center"/>
    </xf>
    <xf numFmtId="14" fontId="7" fillId="3" borderId="0" xfId="0" applyNumberFormat="1" applyFont="1" applyFill="1" applyAlignment="1">
      <alignment horizontal="center" vertical="center"/>
    </xf>
    <xf numFmtId="41" fontId="9" fillId="0" borderId="0" xfId="2" applyFont="1" applyAlignment="1">
      <alignment horizontal="center" vertical="center"/>
    </xf>
    <xf numFmtId="41" fontId="0" fillId="3" borderId="0" xfId="2" applyFont="1" applyFill="1" applyAlignment="1">
      <alignment horizontal="center" vertical="center"/>
    </xf>
    <xf numFmtId="176" fontId="0" fillId="3" borderId="0" xfId="1" applyNumberFormat="1" applyFon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41" fontId="2" fillId="4" borderId="0" xfId="2" applyFont="1" applyFill="1" applyAlignment="1">
      <alignment horizontal="center" vertical="center"/>
    </xf>
    <xf numFmtId="176" fontId="2" fillId="4" borderId="0" xfId="1" applyNumberFormat="1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4" fillId="2" borderId="0" xfId="0" applyNumberFormat="1" applyFont="1" applyFill="1">
      <alignment vertical="center"/>
    </xf>
    <xf numFmtId="0" fontId="5" fillId="4" borderId="13" xfId="0" applyFont="1" applyFill="1" applyBorder="1" applyAlignment="1">
      <alignment horizontal="center" vertical="center"/>
    </xf>
    <xf numFmtId="41" fontId="5" fillId="4" borderId="13" xfId="2" applyFont="1" applyFill="1" applyBorder="1" applyAlignment="1">
      <alignment horizontal="center" vertical="center"/>
    </xf>
    <xf numFmtId="176" fontId="5" fillId="4" borderId="13" xfId="1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2" fillId="4" borderId="13" xfId="0" applyFont="1" applyFill="1" applyBorder="1" applyAlignment="1">
      <alignment horizontal="center" vertical="center"/>
    </xf>
    <xf numFmtId="14" fontId="5" fillId="4" borderId="13" xfId="0" applyNumberFormat="1" applyFont="1" applyFill="1" applyBorder="1" applyAlignment="1">
      <alignment horizontal="center" vertical="center"/>
    </xf>
    <xf numFmtId="176" fontId="0" fillId="0" borderId="13" xfId="1" applyNumberFormat="1" applyFont="1" applyBorder="1" applyAlignment="1">
      <alignment horizontal="center" vertical="center"/>
    </xf>
    <xf numFmtId="41" fontId="0" fillId="0" borderId="13" xfId="2" applyFont="1" applyBorder="1" applyAlignment="1">
      <alignment horizontal="center" vertical="center"/>
    </xf>
    <xf numFmtId="14" fontId="0" fillId="0" borderId="13" xfId="1" applyNumberFormat="1" applyFont="1" applyBorder="1" applyAlignment="1">
      <alignment horizontal="center" vertical="center"/>
    </xf>
    <xf numFmtId="41" fontId="0" fillId="3" borderId="13" xfId="2" applyFont="1" applyFill="1" applyBorder="1" applyAlignment="1">
      <alignment horizontal="center" vertical="center"/>
    </xf>
    <xf numFmtId="176" fontId="0" fillId="3" borderId="13" xfId="1" applyNumberFormat="1" applyFont="1" applyFill="1" applyBorder="1" applyAlignment="1">
      <alignment horizontal="center" vertical="center"/>
    </xf>
    <xf numFmtId="41" fontId="6" fillId="3" borderId="13" xfId="2" applyFont="1" applyFill="1" applyBorder="1" applyAlignment="1">
      <alignment horizontal="center" vertical="center"/>
    </xf>
    <xf numFmtId="176" fontId="6" fillId="3" borderId="13" xfId="1" applyNumberFormat="1" applyFont="1" applyFill="1" applyBorder="1" applyAlignment="1">
      <alignment horizontal="center" vertical="center"/>
    </xf>
    <xf numFmtId="176" fontId="5" fillId="4" borderId="0" xfId="1" applyNumberFormat="1" applyFont="1" applyFill="1" applyBorder="1" applyAlignment="1">
      <alignment horizontal="center" vertical="center"/>
    </xf>
    <xf numFmtId="176" fontId="0" fillId="0" borderId="0" xfId="1" applyNumberFormat="1" applyFont="1" applyBorder="1" applyAlignment="1">
      <alignment horizontal="center" vertical="center"/>
    </xf>
    <xf numFmtId="0" fontId="11" fillId="4" borderId="0" xfId="0" applyFont="1" applyFill="1">
      <alignment vertical="center"/>
    </xf>
    <xf numFmtId="0" fontId="12" fillId="7" borderId="0" xfId="0" applyFont="1" applyFill="1">
      <alignment vertical="center"/>
    </xf>
    <xf numFmtId="0" fontId="0" fillId="0" borderId="4" xfId="0" applyBorder="1" applyAlignment="1">
      <alignment horizontal="center" vertical="center"/>
    </xf>
    <xf numFmtId="41" fontId="0" fillId="0" borderId="5" xfId="2" applyFont="1" applyBorder="1" applyAlignment="1">
      <alignment horizontal="center" vertical="center"/>
    </xf>
    <xf numFmtId="176" fontId="0" fillId="0" borderId="6" xfId="1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0" fillId="0" borderId="13" xfId="1" applyNumberFormat="1" applyFon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41" fontId="0" fillId="3" borderId="11" xfId="2" applyFont="1" applyFill="1" applyBorder="1" applyAlignment="1">
      <alignment horizontal="center" vertical="center"/>
    </xf>
    <xf numFmtId="176" fontId="0" fillId="3" borderId="11" xfId="1" applyNumberFormat="1" applyFont="1" applyFill="1" applyBorder="1" applyAlignment="1">
      <alignment horizontal="center" vertical="center"/>
    </xf>
    <xf numFmtId="10" fontId="0" fillId="3" borderId="11" xfId="1" applyNumberFormat="1" applyFont="1" applyFill="1" applyBorder="1" applyAlignment="1">
      <alignment horizontal="center" vertical="center"/>
    </xf>
    <xf numFmtId="176" fontId="0" fillId="3" borderId="12" xfId="1" applyNumberFormat="1" applyFont="1" applyFill="1" applyBorder="1" applyAlignment="1">
      <alignment horizontal="center" vertical="center"/>
    </xf>
    <xf numFmtId="14" fontId="0" fillId="3" borderId="11" xfId="1" applyNumberFormat="1" applyFont="1" applyFill="1" applyBorder="1" applyAlignment="1">
      <alignment horizontal="center" vertical="center"/>
    </xf>
    <xf numFmtId="176" fontId="7" fillId="0" borderId="0" xfId="1" applyNumberFormat="1" applyFont="1" applyAlignment="1">
      <alignment horizontal="center" vertical="center"/>
    </xf>
    <xf numFmtId="14" fontId="7" fillId="4" borderId="0" xfId="0" applyNumberFormat="1" applyFont="1" applyFill="1">
      <alignment vertical="center"/>
    </xf>
    <xf numFmtId="14" fontId="0" fillId="0" borderId="13" xfId="0" applyNumberFormat="1" applyBorder="1">
      <alignment vertical="center"/>
    </xf>
    <xf numFmtId="176" fontId="7" fillId="4" borderId="0" xfId="1" applyNumberFormat="1" applyFont="1" applyFill="1">
      <alignment vertical="center"/>
    </xf>
    <xf numFmtId="176" fontId="0" fillId="0" borderId="13" xfId="1" applyNumberFormat="1" applyFont="1" applyBorder="1">
      <alignment vertical="center"/>
    </xf>
    <xf numFmtId="0" fontId="11" fillId="4" borderId="0" xfId="0" applyFont="1" applyFill="1" applyAlignment="1">
      <alignment horizontal="left" vertical="center"/>
    </xf>
    <xf numFmtId="14" fontId="0" fillId="0" borderId="5" xfId="0" applyNumberFormat="1" applyBorder="1" applyAlignment="1">
      <alignment horizontal="center" vertical="center"/>
    </xf>
    <xf numFmtId="0" fontId="0" fillId="0" borderId="0" xfId="0" pivotButton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14" fontId="0" fillId="8" borderId="5" xfId="0" applyNumberFormat="1" applyFill="1" applyBorder="1" applyAlignment="1">
      <alignment horizontal="center" vertical="center"/>
    </xf>
    <xf numFmtId="41" fontId="0" fillId="8" borderId="5" xfId="2" applyFont="1" applyFill="1" applyBorder="1" applyAlignment="1">
      <alignment horizontal="center" vertical="center"/>
    </xf>
    <xf numFmtId="41" fontId="7" fillId="3" borderId="15" xfId="2" applyFont="1" applyFill="1" applyBorder="1" applyAlignment="1">
      <alignment horizontal="center" vertical="center"/>
    </xf>
    <xf numFmtId="176" fontId="7" fillId="3" borderId="16" xfId="1" applyNumberFormat="1" applyFont="1" applyFill="1" applyBorder="1" applyAlignment="1">
      <alignment horizontal="center" vertical="center"/>
    </xf>
    <xf numFmtId="176" fontId="0" fillId="0" borderId="5" xfId="1" applyNumberFormat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Continuous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176" fontId="7" fillId="0" borderId="6" xfId="1" applyNumberFormat="1" applyFont="1" applyBorder="1" applyAlignment="1">
      <alignment horizontal="center" vertical="center"/>
    </xf>
    <xf numFmtId="41" fontId="0" fillId="3" borderId="5" xfId="2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Continuous" vertical="center"/>
    </xf>
    <xf numFmtId="41" fontId="0" fillId="2" borderId="11" xfId="2" applyFont="1" applyFill="1" applyBorder="1" applyAlignment="1">
      <alignment horizontal="center" vertical="center"/>
    </xf>
    <xf numFmtId="176" fontId="7" fillId="2" borderId="12" xfId="1" applyNumberFormat="1" applyFont="1" applyFill="1" applyBorder="1" applyAlignment="1">
      <alignment horizontal="center" vertical="center"/>
    </xf>
    <xf numFmtId="10" fontId="7" fillId="0" borderId="5" xfId="1" applyNumberFormat="1" applyFont="1" applyBorder="1" applyAlignment="1">
      <alignment horizontal="center" vertical="center"/>
    </xf>
    <xf numFmtId="41" fontId="0" fillId="0" borderId="2" xfId="0" applyNumberFormat="1" applyBorder="1" applyAlignment="1">
      <alignment horizontal="center" vertical="center"/>
    </xf>
    <xf numFmtId="0" fontId="0" fillId="0" borderId="5" xfId="0" applyBorder="1" applyAlignment="1">
      <alignment horizontal="centerContinuous" vertical="center"/>
    </xf>
    <xf numFmtId="0" fontId="0" fillId="0" borderId="7" xfId="0" applyBorder="1" applyAlignment="1">
      <alignment horizontal="center" vertical="center"/>
    </xf>
    <xf numFmtId="41" fontId="0" fillId="0" borderId="8" xfId="2" applyFont="1" applyBorder="1" applyAlignment="1">
      <alignment horizontal="center" vertical="center"/>
    </xf>
    <xf numFmtId="41" fontId="0" fillId="3" borderId="8" xfId="2" applyFont="1" applyFill="1" applyBorder="1" applyAlignment="1">
      <alignment horizontal="center" vertical="center"/>
    </xf>
    <xf numFmtId="176" fontId="7" fillId="0" borderId="9" xfId="1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Continuous" vertical="center"/>
    </xf>
    <xf numFmtId="0" fontId="7" fillId="0" borderId="18" xfId="0" applyFont="1" applyBorder="1" applyAlignment="1">
      <alignment horizontal="centerContinuous" vertical="center"/>
    </xf>
    <xf numFmtId="0" fontId="7" fillId="0" borderId="4" xfId="0" applyFont="1" applyBorder="1" applyAlignment="1">
      <alignment horizontal="centerContinuous" vertical="center"/>
    </xf>
    <xf numFmtId="0" fontId="7" fillId="0" borderId="9" xfId="0" applyFont="1" applyBorder="1" applyAlignment="1">
      <alignment horizontal="centerContinuous" vertical="center"/>
    </xf>
    <xf numFmtId="0" fontId="7" fillId="0" borderId="19" xfId="0" applyFont="1" applyBorder="1" applyAlignment="1">
      <alignment horizontal="centerContinuous" vertical="center"/>
    </xf>
    <xf numFmtId="0" fontId="7" fillId="0" borderId="7" xfId="0" applyFont="1" applyBorder="1" applyAlignment="1">
      <alignment horizontal="centerContinuous" vertical="center"/>
    </xf>
    <xf numFmtId="0" fontId="7" fillId="0" borderId="3" xfId="0" applyFont="1" applyBorder="1" applyAlignment="1">
      <alignment horizontal="centerContinuous" vertical="center"/>
    </xf>
    <xf numFmtId="0" fontId="7" fillId="0" borderId="17" xfId="0" applyFont="1" applyBorder="1" applyAlignment="1">
      <alignment horizontal="centerContinuous" vertical="center"/>
    </xf>
    <xf numFmtId="0" fontId="7" fillId="0" borderId="1" xfId="0" applyFont="1" applyBorder="1" applyAlignment="1">
      <alignment horizontal="centerContinuous" vertical="center"/>
    </xf>
    <xf numFmtId="9" fontId="7" fillId="0" borderId="3" xfId="0" applyNumberFormat="1" applyFont="1" applyBorder="1" applyAlignment="1">
      <alignment horizontal="center" vertical="center"/>
    </xf>
    <xf numFmtId="41" fontId="0" fillId="3" borderId="2" xfId="0" applyNumberFormat="1" applyFill="1" applyBorder="1" applyAlignment="1">
      <alignment horizontal="center" vertical="center"/>
    </xf>
    <xf numFmtId="41" fontId="0" fillId="0" borderId="5" xfId="0" applyNumberFormat="1" applyBorder="1">
      <alignment vertical="center"/>
    </xf>
    <xf numFmtId="9" fontId="0" fillId="0" borderId="5" xfId="0" applyNumberFormat="1" applyBorder="1" applyAlignment="1">
      <alignment horizontal="center" vertical="center"/>
    </xf>
    <xf numFmtId="176" fontId="0" fillId="0" borderId="8" xfId="1" applyNumberFormat="1" applyFont="1" applyBorder="1" applyAlignment="1">
      <alignment horizontal="center" vertical="center"/>
    </xf>
    <xf numFmtId="10" fontId="7" fillId="0" borderId="8" xfId="1" applyNumberFormat="1" applyFont="1" applyBorder="1" applyAlignment="1">
      <alignment horizontal="center" vertical="center"/>
    </xf>
    <xf numFmtId="10" fontId="2" fillId="0" borderId="0" xfId="0" applyNumberFormat="1" applyFont="1">
      <alignment vertical="center"/>
    </xf>
    <xf numFmtId="38" fontId="7" fillId="3" borderId="6" xfId="0" applyNumberFormat="1" applyFont="1" applyFill="1" applyBorder="1" applyAlignment="1">
      <alignment horizontal="center" vertical="center"/>
    </xf>
    <xf numFmtId="10" fontId="7" fillId="2" borderId="5" xfId="1" applyNumberFormat="1" applyFont="1" applyFill="1" applyBorder="1" applyAlignment="1">
      <alignment horizontal="center" vertical="center"/>
    </xf>
    <xf numFmtId="10" fontId="7" fillId="3" borderId="5" xfId="1" applyNumberFormat="1" applyFont="1" applyFill="1" applyBorder="1" applyAlignment="1">
      <alignment horizontal="center" vertical="center"/>
    </xf>
    <xf numFmtId="10" fontId="7" fillId="3" borderId="8" xfId="1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4" fillId="2" borderId="0" xfId="0" applyFont="1" applyFill="1">
      <alignment vertical="center"/>
    </xf>
    <xf numFmtId="0" fontId="0" fillId="2" borderId="0" xfId="0" applyFill="1">
      <alignment vertical="center"/>
    </xf>
    <xf numFmtId="0" fontId="12" fillId="9" borderId="0" xfId="0" applyFont="1" applyFill="1">
      <alignment vertical="center"/>
    </xf>
    <xf numFmtId="0" fontId="14" fillId="10" borderId="0" xfId="0" applyFont="1" applyFill="1">
      <alignment vertical="center"/>
    </xf>
    <xf numFmtId="0" fontId="0" fillId="10" borderId="0" xfId="0" applyFill="1">
      <alignment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176" fontId="0" fillId="0" borderId="5" xfId="1" applyNumberFormat="1" applyFont="1" applyBorder="1" applyAlignment="1">
      <alignment horizontal="center" vertical="center" wrapText="1"/>
    </xf>
    <xf numFmtId="10" fontId="0" fillId="0" borderId="5" xfId="1" applyNumberFormat="1" applyFont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Continuous" vertical="center" wrapText="1"/>
    </xf>
    <xf numFmtId="0" fontId="7" fillId="10" borderId="1" xfId="0" applyFont="1" applyFill="1" applyBorder="1" applyAlignment="1">
      <alignment horizontal="centerContinuous" vertical="center" wrapText="1"/>
    </xf>
    <xf numFmtId="0" fontId="7" fillId="10" borderId="2" xfId="0" applyFont="1" applyFill="1" applyBorder="1" applyAlignment="1">
      <alignment horizontal="centerContinuous" vertical="center"/>
    </xf>
    <xf numFmtId="41" fontId="0" fillId="10" borderId="5" xfId="2" applyFont="1" applyFill="1" applyBorder="1" applyAlignment="1">
      <alignment horizontal="center" vertical="center"/>
    </xf>
    <xf numFmtId="38" fontId="7" fillId="10" borderId="6" xfId="0" applyNumberFormat="1" applyFont="1" applyFill="1" applyBorder="1" applyAlignment="1">
      <alignment horizontal="center" vertical="center"/>
    </xf>
    <xf numFmtId="10" fontId="7" fillId="10" borderId="5" xfId="1" applyNumberFormat="1" applyFont="1" applyFill="1" applyBorder="1" applyAlignment="1">
      <alignment horizontal="center" vertical="center"/>
    </xf>
    <xf numFmtId="10" fontId="7" fillId="10" borderId="8" xfId="1" applyNumberFormat="1" applyFont="1" applyFill="1" applyBorder="1" applyAlignment="1">
      <alignment horizontal="center" vertical="center"/>
    </xf>
    <xf numFmtId="10" fontId="15" fillId="10" borderId="5" xfId="1" applyNumberFormat="1" applyFont="1" applyFill="1" applyBorder="1" applyAlignment="1">
      <alignment horizontal="center" vertical="center"/>
    </xf>
    <xf numFmtId="41" fontId="0" fillId="0" borderId="5" xfId="2" applyFont="1" applyBorder="1" applyAlignment="1">
      <alignment horizontal="center" vertical="center" wrapText="1"/>
    </xf>
    <xf numFmtId="0" fontId="0" fillId="0" borderId="6" xfId="0" applyBorder="1" applyAlignment="1">
      <alignment horizontal="centerContinuous" vertical="center" wrapText="1"/>
    </xf>
    <xf numFmtId="0" fontId="0" fillId="0" borderId="18" xfId="0" applyBorder="1" applyAlignment="1">
      <alignment horizontal="centerContinuous" vertical="center" wrapText="1"/>
    </xf>
    <xf numFmtId="0" fontId="0" fillId="0" borderId="4" xfId="0" applyBorder="1" applyAlignment="1">
      <alignment horizontal="centerContinuous" vertical="center" wrapText="1"/>
    </xf>
    <xf numFmtId="0" fontId="0" fillId="0" borderId="4" xfId="0" applyBorder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0" fillId="0" borderId="25" xfId="0" applyBorder="1" applyAlignment="1">
      <alignment horizontal="centerContinuous" vertical="center"/>
    </xf>
    <xf numFmtId="0" fontId="0" fillId="0" borderId="9" xfId="0" applyBorder="1" applyAlignment="1">
      <alignment horizontal="centerContinuous" vertical="center" wrapText="1"/>
    </xf>
    <xf numFmtId="0" fontId="0" fillId="0" borderId="19" xfId="0" applyBorder="1" applyAlignment="1">
      <alignment horizontal="centerContinuous" vertical="center" wrapText="1"/>
    </xf>
    <xf numFmtId="0" fontId="0" fillId="0" borderId="7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8" xfId="0" applyBorder="1" applyAlignment="1">
      <alignment horizontal="centerContinuous" vertical="center"/>
    </xf>
    <xf numFmtId="0" fontId="0" fillId="0" borderId="30" xfId="0" applyBorder="1" applyAlignment="1">
      <alignment horizontal="centerContinuous" vertical="center"/>
    </xf>
    <xf numFmtId="0" fontId="0" fillId="0" borderId="20" xfId="0" applyBorder="1" applyAlignment="1">
      <alignment horizontal="centerContinuous" vertical="center"/>
    </xf>
    <xf numFmtId="0" fontId="0" fillId="0" borderId="9" xfId="0" applyBorder="1" applyAlignment="1">
      <alignment horizontal="centerContinuous" vertical="center"/>
    </xf>
    <xf numFmtId="0" fontId="0" fillId="0" borderId="19" xfId="0" applyBorder="1" applyAlignment="1">
      <alignment horizontal="centerContinuous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Continuous" vertical="center"/>
    </xf>
    <xf numFmtId="0" fontId="0" fillId="10" borderId="17" xfId="0" applyFill="1" applyBorder="1" applyAlignment="1">
      <alignment horizontal="centerContinuous" vertical="center"/>
    </xf>
    <xf numFmtId="0" fontId="0" fillId="10" borderId="1" xfId="0" applyFill="1" applyBorder="1" applyAlignment="1">
      <alignment horizontal="centerContinuous" vertical="center"/>
    </xf>
    <xf numFmtId="0" fontId="0" fillId="12" borderId="29" xfId="0" applyFill="1" applyBorder="1" applyAlignment="1">
      <alignment horizontal="centerContinuous" vertical="center"/>
    </xf>
    <xf numFmtId="0" fontId="0" fillId="12" borderId="31" xfId="0" applyFill="1" applyBorder="1" applyAlignment="1">
      <alignment horizontal="centerContinuous" vertical="center"/>
    </xf>
    <xf numFmtId="0" fontId="0" fillId="12" borderId="26" xfId="0" applyFill="1" applyBorder="1" applyAlignment="1">
      <alignment horizontal="centerContinuous" vertical="center"/>
    </xf>
    <xf numFmtId="41" fontId="7" fillId="2" borderId="11" xfId="2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0" fontId="7" fillId="2" borderId="11" xfId="1" applyNumberFormat="1" applyFont="1" applyFill="1" applyBorder="1" applyAlignment="1">
      <alignment horizontal="center" vertical="center"/>
    </xf>
    <xf numFmtId="10" fontId="7" fillId="2" borderId="11" xfId="0" applyNumberFormat="1" applyFont="1" applyFill="1" applyBorder="1" applyAlignment="1">
      <alignment horizontal="center" vertical="center"/>
    </xf>
    <xf numFmtId="41" fontId="7" fillId="12" borderId="11" xfId="2" applyFont="1" applyFill="1" applyBorder="1" applyAlignment="1">
      <alignment horizontal="center" vertical="center"/>
    </xf>
    <xf numFmtId="0" fontId="7" fillId="12" borderId="11" xfId="0" applyFont="1" applyFill="1" applyBorder="1" applyAlignment="1">
      <alignment horizontal="center" vertical="center"/>
    </xf>
    <xf numFmtId="10" fontId="7" fillId="12" borderId="11" xfId="1" applyNumberFormat="1" applyFont="1" applyFill="1" applyBorder="1" applyAlignment="1">
      <alignment horizontal="center" vertical="center"/>
    </xf>
    <xf numFmtId="10" fontId="7" fillId="12" borderId="11" xfId="0" applyNumberFormat="1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2" borderId="26" xfId="0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41" fontId="0" fillId="12" borderId="28" xfId="2" applyFont="1" applyFill="1" applyBorder="1" applyAlignment="1">
      <alignment horizontal="center" vertical="center"/>
    </xf>
    <xf numFmtId="176" fontId="0" fillId="12" borderId="29" xfId="1" applyNumberFormat="1" applyFont="1" applyFill="1" applyBorder="1" applyAlignment="1">
      <alignment horizontal="center" vertical="center"/>
    </xf>
    <xf numFmtId="176" fontId="0" fillId="8" borderId="5" xfId="1" applyNumberFormat="1" applyFont="1" applyFill="1" applyBorder="1" applyAlignment="1">
      <alignment horizontal="center" vertical="center"/>
    </xf>
    <xf numFmtId="178" fontId="12" fillId="13" borderId="0" xfId="0" applyNumberFormat="1" applyFont="1" applyFill="1">
      <alignment vertical="center"/>
    </xf>
    <xf numFmtId="0" fontId="12" fillId="13" borderId="0" xfId="0" applyFont="1" applyFill="1">
      <alignment vertical="center"/>
    </xf>
    <xf numFmtId="0" fontId="16" fillId="14" borderId="0" xfId="0" applyFont="1" applyFill="1">
      <alignment vertical="center"/>
    </xf>
    <xf numFmtId="0" fontId="17" fillId="14" borderId="0" xfId="0" applyFont="1" applyFill="1">
      <alignment vertical="center"/>
    </xf>
    <xf numFmtId="0" fontId="7" fillId="14" borderId="1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Continuous" vertical="center" wrapText="1"/>
    </xf>
    <xf numFmtId="0" fontId="7" fillId="14" borderId="1" xfId="0" applyFont="1" applyFill="1" applyBorder="1" applyAlignment="1">
      <alignment horizontal="centerContinuous" vertical="center" wrapText="1"/>
    </xf>
    <xf numFmtId="0" fontId="7" fillId="14" borderId="2" xfId="0" applyFont="1" applyFill="1" applyBorder="1" applyAlignment="1">
      <alignment horizontal="centerContinuous" vertical="center"/>
    </xf>
    <xf numFmtId="0" fontId="7" fillId="14" borderId="2" xfId="0" applyFont="1" applyFill="1" applyBorder="1" applyAlignment="1">
      <alignment horizontal="center" vertical="center"/>
    </xf>
    <xf numFmtId="41" fontId="0" fillId="14" borderId="5" xfId="2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41" fontId="7" fillId="15" borderId="11" xfId="2" applyFont="1" applyFill="1" applyBorder="1" applyAlignment="1">
      <alignment horizontal="center" vertical="center"/>
    </xf>
    <xf numFmtId="0" fontId="7" fillId="15" borderId="11" xfId="0" applyFont="1" applyFill="1" applyBorder="1" applyAlignment="1">
      <alignment horizontal="center" vertical="center"/>
    </xf>
    <xf numFmtId="10" fontId="7" fillId="15" borderId="11" xfId="1" applyNumberFormat="1" applyFont="1" applyFill="1" applyBorder="1" applyAlignment="1">
      <alignment horizontal="center" vertical="center"/>
    </xf>
    <xf numFmtId="10" fontId="7" fillId="15" borderId="11" xfId="0" applyNumberFormat="1" applyFont="1" applyFill="1" applyBorder="1" applyAlignment="1">
      <alignment horizontal="center" vertical="center"/>
    </xf>
    <xf numFmtId="0" fontId="7" fillId="14" borderId="21" xfId="0" applyFont="1" applyFill="1" applyBorder="1" applyAlignment="1">
      <alignment horizontal="center" vertical="center"/>
    </xf>
    <xf numFmtId="0" fontId="7" fillId="14" borderId="23" xfId="0" applyFont="1" applyFill="1" applyBorder="1" applyAlignment="1">
      <alignment horizontal="centerContinuous" vertical="center"/>
    </xf>
    <xf numFmtId="0" fontId="7" fillId="14" borderId="23" xfId="0" applyFont="1" applyFill="1" applyBorder="1" applyAlignment="1">
      <alignment horizontal="center" vertical="center"/>
    </xf>
    <xf numFmtId="0" fontId="7" fillId="14" borderId="22" xfId="0" applyFont="1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Continuous" vertical="center"/>
    </xf>
    <xf numFmtId="0" fontId="0" fillId="15" borderId="11" xfId="0" applyFill="1" applyBorder="1" applyAlignment="1">
      <alignment horizontal="center" vertical="center"/>
    </xf>
    <xf numFmtId="41" fontId="0" fillId="15" borderId="11" xfId="2" applyFont="1" applyFill="1" applyBorder="1" applyAlignment="1">
      <alignment horizontal="center" vertical="center"/>
    </xf>
    <xf numFmtId="176" fontId="7" fillId="15" borderId="12" xfId="1" applyNumberFormat="1" applyFont="1" applyFill="1" applyBorder="1" applyAlignment="1">
      <alignment horizontal="center" vertical="center"/>
    </xf>
    <xf numFmtId="41" fontId="0" fillId="14" borderId="2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9" fontId="0" fillId="0" borderId="22" xfId="0" applyNumberFormat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0" fontId="0" fillId="14" borderId="2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80" fontId="0" fillId="0" borderId="17" xfId="0" applyNumberFormat="1" applyBorder="1" applyAlignment="1">
      <alignment horizontal="center" vertical="center"/>
    </xf>
    <xf numFmtId="180" fontId="0" fillId="0" borderId="18" xfId="0" applyNumberFormat="1" applyBorder="1" applyAlignment="1">
      <alignment horizontal="center" vertical="center"/>
    </xf>
    <xf numFmtId="180" fontId="0" fillId="0" borderId="19" xfId="0" applyNumberFormat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41" fontId="0" fillId="0" borderId="5" xfId="2" applyFont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indent="1"/>
    </xf>
    <xf numFmtId="0" fontId="7" fillId="3" borderId="3" xfId="0" applyFont="1" applyFill="1" applyBorder="1" applyAlignment="1">
      <alignment horizontal="left" vertical="center" indent="1"/>
    </xf>
    <xf numFmtId="0" fontId="7" fillId="3" borderId="23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177" fontId="0" fillId="0" borderId="0" xfId="0" applyNumberFormat="1" applyAlignment="1">
      <alignment horizontal="right"/>
    </xf>
    <xf numFmtId="41" fontId="0" fillId="0" borderId="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41" fontId="0" fillId="0" borderId="8" xfId="2" applyFont="1" applyBorder="1" applyAlignment="1">
      <alignment horizontal="center" vertical="center"/>
    </xf>
    <xf numFmtId="41" fontId="0" fillId="2" borderId="11" xfId="2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41" fontId="0" fillId="8" borderId="5" xfId="2" applyFont="1" applyFill="1" applyBorder="1" applyAlignment="1">
      <alignment horizontal="center" vertical="center"/>
    </xf>
    <xf numFmtId="41" fontId="7" fillId="3" borderId="15" xfId="2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7" fillId="12" borderId="27" xfId="0" applyFont="1" applyFill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  <xf numFmtId="41" fontId="0" fillId="12" borderId="12" xfId="2" applyFont="1" applyFill="1" applyBorder="1" applyAlignment="1">
      <alignment horizontal="center" vertical="center"/>
    </xf>
    <xf numFmtId="41" fontId="0" fillId="12" borderId="10" xfId="2" applyFont="1" applyFill="1" applyBorder="1" applyAlignment="1">
      <alignment horizontal="center" vertical="center"/>
    </xf>
    <xf numFmtId="0" fontId="7" fillId="14" borderId="23" xfId="0" applyFont="1" applyFill="1" applyBorder="1" applyAlignment="1">
      <alignment horizontal="center" vertical="center"/>
    </xf>
    <xf numFmtId="41" fontId="0" fillId="15" borderId="11" xfId="2" applyFont="1" applyFill="1" applyBorder="1" applyAlignment="1">
      <alignment horizontal="center" vertical="center"/>
    </xf>
    <xf numFmtId="0" fontId="7" fillId="15" borderId="27" xfId="0" applyFont="1" applyFill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/>
    </xf>
  </cellXfs>
  <cellStyles count="3">
    <cellStyle name="백분율" xfId="1" builtinId="5"/>
    <cellStyle name="쉼표 [0]" xfId="2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1"/>
          <c:order val="0"/>
          <c:tx>
            <c:strRef>
              <c:f>Data_Templet!$AD$13</c:f>
              <c:strCache>
                <c:ptCount val="1"/>
                <c:pt idx="0">
                  <c:v>수익률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diamond"/>
            <c:size val="13"/>
            <c:spPr>
              <a:solidFill>
                <a:schemeClr val="accent6">
                  <a:lumMod val="75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Data_Templet!$AC$14:$AC$25</c:f>
            </c:multiLvlStrRef>
          </c:cat>
          <c:val>
            <c:numRef>
              <c:f>Data_Templet!$AD$14:$AD$25</c:f>
              <c:numCache>
                <c:formatCode>0.0%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1-40D3-90BA-A7C94426FC0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871784"/>
        <c:axId val="738560888"/>
      </c:lineChart>
      <c:dateAx>
        <c:axId val="61187178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38560888"/>
        <c:crosses val="autoZero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738560888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611871784"/>
        <c:crossesAt val="45964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[NH수익률 관리 프로그램.xlsx]Data_Templet!피벗 테이블1</c:name>
    <c:fmtId val="3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Data_Templet!$AH$13</c:f>
              <c:strCache>
                <c:ptCount val="1"/>
                <c:pt idx="0">
                  <c:v>요약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56-4F11-8A24-B091BFCAF5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Data_Templet!$AG$14</c:f>
              <c:strCache>
                <c:ptCount val="1"/>
              </c:strCache>
            </c:strRef>
          </c:cat>
          <c:val>
            <c:numRef>
              <c:f>Data_Templet!$AH$14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0-44FB-A350-96DD52A780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04689279131387"/>
          <c:y val="0.26034585267926696"/>
          <c:w val="0.11100053876191621"/>
          <c:h val="0.100997983088976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[NH수익률 관리 프로그램.xlsx]Data_Templet!피벗 테이블2</c:name>
    <c:fmtId val="3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Data_Templet!$AL$13</c:f>
              <c:strCache>
                <c:ptCount val="1"/>
                <c:pt idx="0">
                  <c:v>요약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08-4796-B8C5-DAE6E69041D6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08-4796-B8C5-DAE6E69041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Data_Templet!$AK$14</c:f>
              <c:strCache>
                <c:ptCount val="1"/>
              </c:strCache>
            </c:strRef>
          </c:cat>
          <c:val>
            <c:numRef>
              <c:f>Data_Templet!$AL$14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6-4AE1-9934-732336A11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22950334715953"/>
          <c:y val="0.25090149884175345"/>
          <c:w val="0.1692210690831209"/>
          <c:h val="0.201996044525655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47035550259715E-2"/>
          <c:y val="6.546588088864895E-2"/>
          <c:w val="0.86233384620723941"/>
          <c:h val="0.76394652885559833"/>
        </c:manualLayout>
      </c:layout>
      <c:lineChart>
        <c:grouping val="standard"/>
        <c:varyColors val="0"/>
        <c:ser>
          <c:idx val="0"/>
          <c:order val="0"/>
          <c:tx>
            <c:strRef>
              <c:f>Data_Templet!$AD$46</c:f>
              <c:strCache>
                <c:ptCount val="1"/>
                <c:pt idx="0">
                  <c:v>수익률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triangle"/>
            <c:size val="11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Data_Templet!$AC$47:$AC$58</c:f>
              <c:numCache>
                <c:formatCode>m/d/yyyy</c:formatCode>
                <c:ptCount val="12"/>
                <c:pt idx="0">
                  <c:v>45992</c:v>
                </c:pt>
                <c:pt idx="1">
                  <c:v>46023</c:v>
                </c:pt>
                <c:pt idx="2">
                  <c:v>46064</c:v>
                </c:pt>
              </c:numCache>
            </c:numRef>
          </c:cat>
          <c:val>
            <c:numRef>
              <c:f>Data_Templet!$AD$47:$AD$58</c:f>
              <c:numCache>
                <c:formatCode>0.0%</c:formatCode>
                <c:ptCount val="12"/>
                <c:pt idx="0">
                  <c:v>0.37240000000000001</c:v>
                </c:pt>
                <c:pt idx="1">
                  <c:v>0.38919999999999999</c:v>
                </c:pt>
                <c:pt idx="2">
                  <c:v>0.46779999999999999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E4-4E06-8524-514081F656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871784"/>
        <c:axId val="738560888"/>
      </c:lineChart>
      <c:dateAx>
        <c:axId val="61187178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38560888"/>
        <c:crosses val="autoZero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738560888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611871784"/>
        <c:crossesAt val="45964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Data_Templet!$AD$78</c:f>
              <c:strCache>
                <c:ptCount val="1"/>
                <c:pt idx="0">
                  <c:v>수익률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11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Data_Templet!$AC$79:$AC$90</c:f>
              <c:numCache>
                <c:formatCode>m/d/yyyy</c:formatCode>
                <c:ptCount val="12"/>
                <c:pt idx="0">
                  <c:v>0</c:v>
                </c:pt>
              </c:numCache>
            </c:numRef>
          </c:cat>
          <c:val>
            <c:numRef>
              <c:f>Data_Templet!$AD$79:$AD$90</c:f>
              <c:numCache>
                <c:formatCode>0.0%</c:formatCode>
                <c:ptCount val="1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D-4536-9481-33057BE404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871784"/>
        <c:axId val="738560888"/>
      </c:lineChart>
      <c:dateAx>
        <c:axId val="61187178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38560888"/>
        <c:crosses val="autoZero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738560888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611871784"/>
        <c:crossesAt val="45964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[NH수익률 관리 프로그램.xlsx]Data_Templet!피벗 테이블3</c:name>
    <c:fmtId val="8"/>
  </c:pivotSource>
  <c:chart>
    <c:autoTitleDeleted val="1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Data_Templet!$AH$46</c:f>
              <c:strCache>
                <c:ptCount val="1"/>
                <c:pt idx="0">
                  <c:v>요약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AB-4D8A-8B71-E1CDE86FAD2E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AB-4D8A-8B71-E1CDE86FAD2E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8AB-4D8A-8B71-E1CDE86FAD2E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8AB-4D8A-8B71-E1CDE86FAD2E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8AB-4D8A-8B71-E1CDE86FAD2E}"/>
              </c:ext>
            </c:extLst>
          </c:dPt>
          <c:cat>
            <c:strRef>
              <c:f>Data_Templet!$AG$47:$AG$51</c:f>
              <c:strCache>
                <c:ptCount val="5"/>
                <c:pt idx="0">
                  <c:v>인도</c:v>
                </c:pt>
                <c:pt idx="1">
                  <c:v>베트남</c:v>
                </c:pt>
                <c:pt idx="2">
                  <c:v>미국</c:v>
                </c:pt>
                <c:pt idx="3">
                  <c:v>글로벌</c:v>
                </c:pt>
                <c:pt idx="4">
                  <c:v>국내</c:v>
                </c:pt>
              </c:strCache>
            </c:strRef>
          </c:cat>
          <c:val>
            <c:numRef>
              <c:f>Data_Templet!$AH$47:$AH$51</c:f>
              <c:numCache>
                <c:formatCode>0.00%</c:formatCode>
                <c:ptCount val="5"/>
                <c:pt idx="0">
                  <c:v>4.3976922744022054E-2</c:v>
                </c:pt>
                <c:pt idx="1">
                  <c:v>8.9474261608075673E-2</c:v>
                </c:pt>
                <c:pt idx="2">
                  <c:v>0.28471450926679054</c:v>
                </c:pt>
                <c:pt idx="3">
                  <c:v>0.19322342072326862</c:v>
                </c:pt>
                <c:pt idx="4">
                  <c:v>0.38861088565784313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F-46EB-8FD9-E87EADB2C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[NH수익률 관리 프로그램.xlsx]Data_Templet!피벗 테이블4</c:name>
    <c:fmtId val="8"/>
  </c:pivotSource>
  <c:chart>
    <c:autoTitleDeleted val="1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Data_Templet!$AL$46</c:f>
              <c:strCache>
                <c:ptCount val="1"/>
                <c:pt idx="0">
                  <c:v>요약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7C-4ADC-BB6F-41EAFED4DDA4}"/>
              </c:ext>
            </c:extLst>
          </c:dPt>
          <c:dPt>
            <c:idx val="1"/>
            <c:bubble3D val="0"/>
            <c:spPr>
              <a:solidFill>
                <a:schemeClr val="accent4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7C-4ADC-BB6F-41EAFED4DDA4}"/>
              </c:ext>
            </c:extLst>
          </c:dPt>
          <c:dPt>
            <c:idx val="2"/>
            <c:bubble3D val="0"/>
            <c:spPr>
              <a:solidFill>
                <a:schemeClr val="accent4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7C-4ADC-BB6F-41EAFED4DDA4}"/>
              </c:ext>
            </c:extLst>
          </c:dPt>
          <c:dPt>
            <c:idx val="3"/>
            <c:bubble3D val="0"/>
            <c:spPr>
              <a:solidFill>
                <a:schemeClr val="accent4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67C-4ADC-BB6F-41EAFED4DD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Data_Templet!$AK$47:$AK$50</c:f>
              <c:strCache>
                <c:ptCount val="4"/>
                <c:pt idx="0">
                  <c:v>절대안정형</c:v>
                </c:pt>
                <c:pt idx="1">
                  <c:v>절대성장형</c:v>
                </c:pt>
                <c:pt idx="2">
                  <c:v>안정형</c:v>
                </c:pt>
                <c:pt idx="3">
                  <c:v>성장형</c:v>
                </c:pt>
              </c:strCache>
            </c:strRef>
          </c:cat>
          <c:val>
            <c:numRef>
              <c:f>Data_Templet!$AL$47:$AL$50</c:f>
              <c:numCache>
                <c:formatCode>0.00%</c:formatCode>
                <c:ptCount val="4"/>
                <c:pt idx="0">
                  <c:v>0.22442268634775092</c:v>
                </c:pt>
                <c:pt idx="1">
                  <c:v>0.57999386617788973</c:v>
                </c:pt>
                <c:pt idx="2">
                  <c:v>8.7788483945924672E-2</c:v>
                </c:pt>
                <c:pt idx="3">
                  <c:v>0.10779496352843465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B-4E66-9873-834B6E66CA0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624453370745235"/>
          <c:y val="0.22486505392930334"/>
          <c:w val="0.13114285487287083"/>
          <c:h val="0.599080382073738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[NH수익률 관리 프로그램.xlsx]Data_Templet!피벗 테이블6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지역분산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[NH수익률 관리 프로그램.xlsx]Data_Templet!피벗 테이블5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위험도 분산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27214</xdr:colOff>
      <xdr:row>5</xdr:row>
      <xdr:rowOff>176893</xdr:rowOff>
    </xdr:from>
    <xdr:to>
      <xdr:col>20</xdr:col>
      <xdr:colOff>1006929</xdr:colOff>
      <xdr:row>11</xdr:row>
      <xdr:rowOff>136071</xdr:rowOff>
    </xdr:to>
    <xdr:sp macro="" textlink="">
      <xdr:nvSpPr>
        <xdr:cNvPr id="2" name="화살표: 아래쪽 1">
          <a:extLst>
            <a:ext uri="{FF2B5EF4-FFF2-40B4-BE49-F238E27FC236}">
              <a16:creationId xmlns:a16="http://schemas.microsoft.com/office/drawing/2014/main" id="{6CE98378-2820-8D2A-C323-669DFBF3618E}"/>
            </a:ext>
          </a:extLst>
        </xdr:cNvPr>
        <xdr:cNvSpPr/>
      </xdr:nvSpPr>
      <xdr:spPr>
        <a:xfrm>
          <a:off x="20356285" y="1197429"/>
          <a:ext cx="2000251" cy="1238249"/>
        </a:xfrm>
        <a:prstGeom prst="downArrow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200" b="1">
              <a:latin typeface="+mj-ea"/>
              <a:ea typeface="+mj-ea"/>
            </a:rPr>
            <a:t>빠진 것</a:t>
          </a:r>
          <a:endParaRPr lang="en-US" altLang="ko-KR" sz="1200" b="1">
            <a:latin typeface="+mj-ea"/>
            <a:ea typeface="+mj-ea"/>
          </a:endParaRPr>
        </a:p>
        <a:p>
          <a:pPr algn="ctr"/>
          <a:r>
            <a:rPr lang="ko-KR" altLang="en-US" sz="1200" b="1">
              <a:latin typeface="+mj-ea"/>
              <a:ea typeface="+mj-ea"/>
            </a:rPr>
            <a:t>없는지</a:t>
          </a:r>
          <a:endParaRPr lang="en-US" altLang="ko-KR" sz="1200" b="1">
            <a:latin typeface="+mj-ea"/>
            <a:ea typeface="+mj-ea"/>
          </a:endParaRPr>
        </a:p>
        <a:p>
          <a:pPr algn="ctr"/>
          <a:r>
            <a:rPr lang="ko-KR" altLang="en-US" sz="1200" b="1">
              <a:latin typeface="+mj-ea"/>
              <a:ea typeface="+mj-ea"/>
            </a:rPr>
            <a:t>검토</a:t>
          </a:r>
          <a:r>
            <a:rPr lang="en-US" altLang="ko-KR" sz="1200" b="1">
              <a:latin typeface="+mj-ea"/>
              <a:ea typeface="+mj-ea"/>
            </a:rPr>
            <a:t>!</a:t>
          </a:r>
        </a:p>
      </xdr:txBody>
    </xdr:sp>
    <xdr:clientData/>
  </xdr:twoCellAnchor>
  <xdr:twoCellAnchor>
    <xdr:from>
      <xdr:col>32</xdr:col>
      <xdr:colOff>-1</xdr:colOff>
      <xdr:row>1</xdr:row>
      <xdr:rowOff>136072</xdr:rowOff>
    </xdr:from>
    <xdr:to>
      <xdr:col>34</xdr:col>
      <xdr:colOff>13607</xdr:colOff>
      <xdr:row>7</xdr:row>
      <xdr:rowOff>163286</xdr:rowOff>
    </xdr:to>
    <xdr:sp macro="" textlink="">
      <xdr:nvSpPr>
        <xdr:cNvPr id="6" name="화살표: 아래쪽 5">
          <a:extLst>
            <a:ext uri="{FF2B5EF4-FFF2-40B4-BE49-F238E27FC236}">
              <a16:creationId xmlns:a16="http://schemas.microsoft.com/office/drawing/2014/main" id="{ADF57ABC-16FD-EC94-EE01-43FCE230F5EA}"/>
            </a:ext>
          </a:extLst>
        </xdr:cNvPr>
        <xdr:cNvSpPr/>
      </xdr:nvSpPr>
      <xdr:spPr>
        <a:xfrm>
          <a:off x="34834285" y="340179"/>
          <a:ext cx="1836965" cy="1251857"/>
        </a:xfrm>
        <a:prstGeom prst="downArrow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 i="1">
              <a:latin typeface="+mj-ea"/>
              <a:ea typeface="+mj-ea"/>
            </a:rPr>
            <a:t>Check!</a:t>
          </a:r>
        </a:p>
      </xdr:txBody>
    </xdr:sp>
    <xdr:clientData/>
  </xdr:twoCellAnchor>
  <xdr:twoCellAnchor>
    <xdr:from>
      <xdr:col>35</xdr:col>
      <xdr:colOff>666750</xdr:colOff>
      <xdr:row>1</xdr:row>
      <xdr:rowOff>136072</xdr:rowOff>
    </xdr:from>
    <xdr:to>
      <xdr:col>38</xdr:col>
      <xdr:colOff>1</xdr:colOff>
      <xdr:row>7</xdr:row>
      <xdr:rowOff>163286</xdr:rowOff>
    </xdr:to>
    <xdr:sp macro="" textlink="">
      <xdr:nvSpPr>
        <xdr:cNvPr id="7" name="화살표: 아래쪽 6">
          <a:extLst>
            <a:ext uri="{FF2B5EF4-FFF2-40B4-BE49-F238E27FC236}">
              <a16:creationId xmlns:a16="http://schemas.microsoft.com/office/drawing/2014/main" id="{91653EB2-AF01-4231-0F1A-94084BA70D96}"/>
            </a:ext>
          </a:extLst>
        </xdr:cNvPr>
        <xdr:cNvSpPr/>
      </xdr:nvSpPr>
      <xdr:spPr>
        <a:xfrm>
          <a:off x="38004750" y="340179"/>
          <a:ext cx="1836965" cy="1251857"/>
        </a:xfrm>
        <a:prstGeom prst="downArrow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 i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Check!</a:t>
          </a:r>
          <a:endParaRPr lang="ko-KR" altLang="ko-KR" sz="1400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675023</xdr:colOff>
      <xdr:row>63</xdr:row>
      <xdr:rowOff>16216</xdr:rowOff>
    </xdr:from>
    <xdr:to>
      <xdr:col>12</xdr:col>
      <xdr:colOff>2722</xdr:colOff>
      <xdr:row>75</xdr:row>
      <xdr:rowOff>15875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C979133F-87AE-3662-12AB-763CAC6BD959}"/>
            </a:ext>
          </a:extLst>
        </xdr:cNvPr>
        <xdr:cNvGrpSpPr/>
      </xdr:nvGrpSpPr>
      <xdr:grpSpPr>
        <a:xfrm>
          <a:off x="675023" y="10520930"/>
          <a:ext cx="11097878" cy="2448945"/>
          <a:chOff x="696999" y="10703588"/>
          <a:chExt cx="11335484" cy="2764970"/>
        </a:xfrm>
      </xdr:grpSpPr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1A5C8ACE-2E57-554C-22FD-8B6F4F7082CC}"/>
              </a:ext>
            </a:extLst>
          </xdr:cNvPr>
          <xdr:cNvSpPr/>
        </xdr:nvSpPr>
        <xdr:spPr>
          <a:xfrm>
            <a:off x="696999" y="10703588"/>
            <a:ext cx="11335484" cy="2764970"/>
          </a:xfrm>
          <a:prstGeom prst="rect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F7AFD1A-266B-F89D-4902-D3EF6A62C61B}"/>
              </a:ext>
            </a:extLst>
          </xdr:cNvPr>
          <xdr:cNvSpPr/>
        </xdr:nvSpPr>
        <xdr:spPr>
          <a:xfrm>
            <a:off x="717288" y="10725802"/>
            <a:ext cx="11270320" cy="268751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533DD7C-0C0F-459D-B086-4DA47F639E7D}"/>
              </a:ext>
            </a:extLst>
          </xdr:cNvPr>
          <xdr:cNvGraphicFramePr>
            <a:graphicFrameLocks/>
          </xdr:cNvGraphicFramePr>
        </xdr:nvGraphicFramePr>
        <xdr:xfrm>
          <a:off x="803506" y="10904575"/>
          <a:ext cx="11106248" cy="23605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</xdr:col>
      <xdr:colOff>13607</xdr:colOff>
      <xdr:row>46</xdr:row>
      <xdr:rowOff>106456</xdr:rowOff>
    </xdr:from>
    <xdr:to>
      <xdr:col>12</xdr:col>
      <xdr:colOff>5654</xdr:colOff>
      <xdr:row>59</xdr:row>
      <xdr:rowOff>201819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1B2B719F-9190-98F1-55FE-D13F14B54E42}"/>
            </a:ext>
          </a:extLst>
        </xdr:cNvPr>
        <xdr:cNvGrpSpPr/>
      </xdr:nvGrpSpPr>
      <xdr:grpSpPr>
        <a:xfrm>
          <a:off x="693964" y="7277420"/>
          <a:ext cx="11081869" cy="2653506"/>
          <a:chOff x="711368" y="7123206"/>
          <a:chExt cx="10849018" cy="2682988"/>
        </a:xfrm>
      </xdr:grpSpPr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17B5901F-F6A9-483A-A2AD-A509895D540F}"/>
              </a:ext>
            </a:extLst>
          </xdr:cNvPr>
          <xdr:cNvSpPr/>
        </xdr:nvSpPr>
        <xdr:spPr>
          <a:xfrm>
            <a:off x="711368" y="7123206"/>
            <a:ext cx="10849018" cy="2682988"/>
          </a:xfrm>
          <a:prstGeom prst="rect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aphicFrame macro="">
        <xdr:nvGraphicFramePr>
          <xdr:cNvPr id="2" name="차트 1">
            <a:extLst>
              <a:ext uri="{FF2B5EF4-FFF2-40B4-BE49-F238E27FC236}">
                <a16:creationId xmlns:a16="http://schemas.microsoft.com/office/drawing/2014/main" id="{0CF041E3-7FA9-4D53-A70C-10EF194C7208}"/>
              </a:ext>
            </a:extLst>
          </xdr:cNvPr>
          <xdr:cNvGraphicFramePr>
            <a:graphicFrameLocks/>
          </xdr:cNvGraphicFramePr>
        </xdr:nvGraphicFramePr>
        <xdr:xfrm>
          <a:off x="751332" y="7134069"/>
          <a:ext cx="4868418" cy="26068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차트 4">
            <a:extLst>
              <a:ext uri="{FF2B5EF4-FFF2-40B4-BE49-F238E27FC236}">
                <a16:creationId xmlns:a16="http://schemas.microsoft.com/office/drawing/2014/main" id="{0B5B9C11-C0C2-4028-9032-E3B58083D338}"/>
              </a:ext>
            </a:extLst>
          </xdr:cNvPr>
          <xdr:cNvGraphicFramePr>
            <a:graphicFrameLocks/>
          </xdr:cNvGraphicFramePr>
        </xdr:nvGraphicFramePr>
        <xdr:xfrm>
          <a:off x="5683250" y="7134070"/>
          <a:ext cx="5817942" cy="260684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</xdr:col>
      <xdr:colOff>0</xdr:colOff>
      <xdr:row>140</xdr:row>
      <xdr:rowOff>0</xdr:rowOff>
    </xdr:from>
    <xdr:to>
      <xdr:col>12</xdr:col>
      <xdr:colOff>8056</xdr:colOff>
      <xdr:row>153</xdr:row>
      <xdr:rowOff>113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CFED5D2A-8E71-7688-E49E-81998A44CAF7}"/>
            </a:ext>
          </a:extLst>
        </xdr:cNvPr>
        <xdr:cNvSpPr/>
      </xdr:nvSpPr>
      <xdr:spPr>
        <a:xfrm>
          <a:off x="680357" y="22900821"/>
          <a:ext cx="11029842" cy="2653506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0</xdr:colOff>
      <xdr:row>156</xdr:row>
      <xdr:rowOff>0</xdr:rowOff>
    </xdr:from>
    <xdr:to>
      <xdr:col>12</xdr:col>
      <xdr:colOff>8056</xdr:colOff>
      <xdr:row>167</xdr:row>
      <xdr:rowOff>190500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E8923362-D3A7-416F-D656-117EED3C3B43}"/>
            </a:ext>
          </a:extLst>
        </xdr:cNvPr>
        <xdr:cNvGrpSpPr/>
      </xdr:nvGrpSpPr>
      <xdr:grpSpPr>
        <a:xfrm>
          <a:off x="680357" y="24465643"/>
          <a:ext cx="11097878" cy="2435678"/>
          <a:chOff x="682625" y="25828625"/>
          <a:chExt cx="11041181" cy="2682988"/>
        </a:xfrm>
      </xdr:grpSpPr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26FA8806-2713-BC90-9A32-38BB1F2008F3}"/>
              </a:ext>
            </a:extLst>
          </xdr:cNvPr>
          <xdr:cNvSpPr/>
        </xdr:nvSpPr>
        <xdr:spPr>
          <a:xfrm>
            <a:off x="682625" y="25828625"/>
            <a:ext cx="11041181" cy="2682988"/>
          </a:xfrm>
          <a:prstGeom prst="rect">
            <a:avLst/>
          </a:prstGeom>
          <a:solidFill>
            <a:schemeClr val="tx2">
              <a:lumMod val="50000"/>
              <a:lumOff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AC5DACD0-53EC-E200-7822-8266CDC73DDB}"/>
              </a:ext>
            </a:extLst>
          </xdr:cNvPr>
          <xdr:cNvSpPr/>
        </xdr:nvSpPr>
        <xdr:spPr>
          <a:xfrm>
            <a:off x="702026" y="25849943"/>
            <a:ext cx="10978869" cy="260638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</xdr:col>
      <xdr:colOff>101845</xdr:colOff>
      <xdr:row>156</xdr:row>
      <xdr:rowOff>192885</xdr:rowOff>
    </xdr:from>
    <xdr:to>
      <xdr:col>11</xdr:col>
      <xdr:colOff>928923</xdr:colOff>
      <xdr:row>167</xdr:row>
      <xdr:rowOff>81643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2559945C-A1B0-D0E2-7DB6-2EF6BB970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233</xdr:row>
      <xdr:rowOff>0</xdr:rowOff>
    </xdr:from>
    <xdr:to>
      <xdr:col>12</xdr:col>
      <xdr:colOff>8056</xdr:colOff>
      <xdr:row>246</xdr:row>
      <xdr:rowOff>113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51BA0C3C-5A70-4AB1-83FC-C703512C7409}"/>
            </a:ext>
          </a:extLst>
        </xdr:cNvPr>
        <xdr:cNvSpPr/>
      </xdr:nvSpPr>
      <xdr:spPr>
        <a:xfrm>
          <a:off x="680357" y="21240750"/>
          <a:ext cx="10852949" cy="265350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0</xdr:colOff>
      <xdr:row>249</xdr:row>
      <xdr:rowOff>0</xdr:rowOff>
    </xdr:from>
    <xdr:to>
      <xdr:col>12</xdr:col>
      <xdr:colOff>8056</xdr:colOff>
      <xdr:row>260</xdr:row>
      <xdr:rowOff>190500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D0B95E8C-2B35-9077-40B1-7E38C3CC439B}"/>
            </a:ext>
          </a:extLst>
        </xdr:cNvPr>
        <xdr:cNvGrpSpPr/>
      </xdr:nvGrpSpPr>
      <xdr:grpSpPr>
        <a:xfrm>
          <a:off x="680357" y="37746214"/>
          <a:ext cx="11097878" cy="2435679"/>
          <a:chOff x="680357" y="37746214"/>
          <a:chExt cx="11029842" cy="2435679"/>
        </a:xfrm>
      </xdr:grpSpPr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129EAA84-5269-6200-51A0-D05EE28D8AA0}"/>
              </a:ext>
            </a:extLst>
          </xdr:cNvPr>
          <xdr:cNvSpPr/>
        </xdr:nvSpPr>
        <xdr:spPr>
          <a:xfrm>
            <a:off x="680357" y="37746214"/>
            <a:ext cx="11029842" cy="2435679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2CC847B7-EC62-3326-7B2E-25F6D77BC904}"/>
              </a:ext>
            </a:extLst>
          </xdr:cNvPr>
          <xdr:cNvSpPr/>
        </xdr:nvSpPr>
        <xdr:spPr>
          <a:xfrm>
            <a:off x="699738" y="37765567"/>
            <a:ext cx="10967594" cy="236613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</xdr:col>
      <xdr:colOff>101845</xdr:colOff>
      <xdr:row>249</xdr:row>
      <xdr:rowOff>192885</xdr:rowOff>
    </xdr:from>
    <xdr:to>
      <xdr:col>11</xdr:col>
      <xdr:colOff>938448</xdr:colOff>
      <xdr:row>261</xdr:row>
      <xdr:rowOff>8993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5C2CB4AE-EE1F-44B5-B9BC-24475812F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27214</xdr:colOff>
      <xdr:row>140</xdr:row>
      <xdr:rowOff>27215</xdr:rowOff>
    </xdr:from>
    <xdr:to>
      <xdr:col>5</xdr:col>
      <xdr:colOff>898072</xdr:colOff>
      <xdr:row>152</xdr:row>
      <xdr:rowOff>122464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1304710-7E22-EE58-41B6-B056C8A2E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13607</xdr:colOff>
      <xdr:row>140</xdr:row>
      <xdr:rowOff>27215</xdr:rowOff>
    </xdr:from>
    <xdr:to>
      <xdr:col>11</xdr:col>
      <xdr:colOff>884464</xdr:colOff>
      <xdr:row>152</xdr:row>
      <xdr:rowOff>122464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D78AB1DC-0ECD-15A2-5492-0AF1B709F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27213</xdr:colOff>
      <xdr:row>233</xdr:row>
      <xdr:rowOff>27213</xdr:rowOff>
    </xdr:from>
    <xdr:to>
      <xdr:col>5</xdr:col>
      <xdr:colOff>911679</xdr:colOff>
      <xdr:row>245</xdr:row>
      <xdr:rowOff>149678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C492DA3C-F512-1623-79F5-38551ADEB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13606</xdr:colOff>
      <xdr:row>233</xdr:row>
      <xdr:rowOff>27214</xdr:rowOff>
    </xdr:from>
    <xdr:to>
      <xdr:col>11</xdr:col>
      <xdr:colOff>898070</xdr:colOff>
      <xdr:row>245</xdr:row>
      <xdr:rowOff>149678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3A595F6B-CFC1-4E3D-FBDE-735FD25F0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4.68080613426" createdVersion="8" refreshedVersion="8" minRefreshableVersion="3" recordCount="25" xr:uid="{3B32E18B-569F-4298-AE35-EB19CE4B33BC}">
  <cacheSource type="worksheet">
    <worksheetSource ref="S46:U71" sheet="Data_Templet"/>
  </cacheSource>
  <cacheFields count="3">
    <cacheField name="비중" numFmtId="10">
      <sharedItems containsSemiMixedTypes="0" containsString="0" containsNumber="1" minValue="0" maxValue="0.22023688974624783"/>
    </cacheField>
    <cacheField name="위험도" numFmtId="176">
      <sharedItems count="5">
        <s v="절대성장형"/>
        <s v="성장형"/>
        <s v="절대안정형"/>
        <s v="안정형"/>
        <s v=""/>
      </sharedItems>
    </cacheField>
    <cacheField name="지역" numFmtId="176">
      <sharedItems count="6">
        <s v="인도"/>
        <s v="국내"/>
        <s v="미국"/>
        <s v="베트남"/>
        <s v="글로벌"/>
        <s v="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4.680806249999" createdVersion="8" refreshedVersion="8" minRefreshableVersion="3" recordCount="25" xr:uid="{8B51034F-CC56-4EA0-A9E7-3927A296F61A}">
  <cacheSource type="worksheet">
    <worksheetSource ref="S78:U103" sheet="Data_Templet"/>
  </cacheSource>
  <cacheFields count="3">
    <cacheField name="비중" numFmtId="10">
      <sharedItems containsSemiMixedTypes="0" containsString="0" containsNumber="1" containsInteger="1" minValue="0" maxValue="0"/>
    </cacheField>
    <cacheField name="위험도" numFmtId="176">
      <sharedItems count="3">
        <s v=""/>
        <s v="성장형" u="1"/>
        <s v="절대안정형" u="1"/>
      </sharedItems>
    </cacheField>
    <cacheField name="지역" numFmtId="176">
      <sharedItems count="2">
        <s v=""/>
        <s v="국내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4.693663541664" createdVersion="8" refreshedVersion="8" minRefreshableVersion="3" recordCount="25" xr:uid="{9EE38658-CFF6-4D48-BDB5-E6B618807992}">
  <cacheSource type="worksheet">
    <worksheetSource ref="S13:U38" sheet="Data_Templet"/>
  </cacheSource>
  <cacheFields count="3">
    <cacheField name="비중" numFmtId="10">
      <sharedItems containsSemiMixedTypes="0" containsString="0" containsNumber="1" containsInteger="1" minValue="0" maxValue="0"/>
    </cacheField>
    <cacheField name="위험도" numFmtId="176">
      <sharedItems count="1">
        <s v=""/>
      </sharedItems>
    </cacheField>
    <cacheField name="지역" numFmtId="176">
      <sharedItems count="1">
        <s v="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4.3976922744022054E-2"/>
    <x v="0"/>
    <x v="0"/>
  </r>
  <r>
    <n v="0.10779496352843465"/>
    <x v="1"/>
    <x v="1"/>
  </r>
  <r>
    <n v="0.14638156318782314"/>
    <x v="0"/>
    <x v="2"/>
  </r>
  <r>
    <n v="8.9474261608075673E-2"/>
    <x v="0"/>
    <x v="3"/>
  </r>
  <r>
    <n v="0.22023688974624783"/>
    <x v="2"/>
    <x v="1"/>
  </r>
  <r>
    <n v="0.19322342072326862"/>
    <x v="0"/>
    <x v="4"/>
  </r>
  <r>
    <n v="5.0544462133042714E-2"/>
    <x v="0"/>
    <x v="2"/>
  </r>
  <r>
    <n v="5.6393235781657558E-2"/>
    <x v="0"/>
    <x v="1"/>
  </r>
  <r>
    <n v="8.7788483945924672E-2"/>
    <x v="3"/>
    <x v="2"/>
  </r>
  <r>
    <n v="4.1857966015030907E-3"/>
    <x v="2"/>
    <x v="1"/>
  </r>
  <r>
    <n v="0"/>
    <x v="4"/>
    <x v="5"/>
  </r>
  <r>
    <n v="0"/>
    <x v="4"/>
    <x v="5"/>
  </r>
  <r>
    <n v="0"/>
    <x v="4"/>
    <x v="5"/>
  </r>
  <r>
    <n v="0"/>
    <x v="4"/>
    <x v="5"/>
  </r>
  <r>
    <n v="0"/>
    <x v="4"/>
    <x v="5"/>
  </r>
  <r>
    <n v="0"/>
    <x v="4"/>
    <x v="5"/>
  </r>
  <r>
    <n v="0"/>
    <x v="4"/>
    <x v="5"/>
  </r>
  <r>
    <n v="0"/>
    <x v="4"/>
    <x v="5"/>
  </r>
  <r>
    <n v="0"/>
    <x v="4"/>
    <x v="5"/>
  </r>
  <r>
    <n v="0"/>
    <x v="4"/>
    <x v="5"/>
  </r>
  <r>
    <n v="0"/>
    <x v="4"/>
    <x v="5"/>
  </r>
  <r>
    <n v="0"/>
    <x v="4"/>
    <x v="5"/>
  </r>
  <r>
    <n v="0"/>
    <x v="4"/>
    <x v="5"/>
  </r>
  <r>
    <n v="0"/>
    <x v="4"/>
    <x v="5"/>
  </r>
  <r>
    <n v="0"/>
    <x v="4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  <r>
    <n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139D1-9571-4DAF-A72D-0E5E9CC9CFAC}" name="피벗 테이블3" cacheId="0" applyNumberFormats="0" applyBorderFormats="0" applyFontFormats="0" applyPatternFormats="0" applyAlignmentFormats="0" applyWidthHeightFormats="1" dataCaption="값" updatedVersion="8" minRefreshableVersion="3" showDrill="0" useAutoFormatting="1" rowGrandTotals="0" colGrandTotals="0" itemPrintTitles="1" createdVersion="8" indent="0" showHeaders="0" outline="1" outlineData="1" multipleFieldFilters="0" chartFormat="13">
  <location ref="AG46:AH51" firstHeaderRow="1" firstDataRow="1" firstDataCol="1"/>
  <pivotFields count="3">
    <pivotField dataField="1" numFmtId="1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sortType="descending" defaultSubtotal="0">
      <items count="6">
        <item x="0"/>
        <item x="3"/>
        <item x="2"/>
        <item x="4"/>
        <item x="1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합계 : 비중" fld="0" baseField="0" baseItem="0" numFmtId="10"/>
  </dataFields>
  <chartFormats count="11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C681E-227D-4C11-A8D6-44B277062FEF}" name="피벗 테이블1" cacheId="2" applyNumberFormats="0" applyBorderFormats="0" applyFontFormats="0" applyPatternFormats="0" applyAlignmentFormats="0" applyWidthHeightFormats="1" dataCaption="값" updatedVersion="8" minRefreshableVersion="3" useAutoFormatting="1" rowGrandTotals="0" colGrandTotals="0" itemPrintTitles="1" createdVersion="8" indent="0" outline="1" outlineData="1" multipleFieldFilters="0" chartFormat="19">
  <location ref="AG13:AH14" firstHeaderRow="1" firstDataRow="1" firstDataCol="1"/>
  <pivotFields count="3">
    <pivotField dataField="1" numFmtId="1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sortType="descending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">
    <i>
      <x/>
    </i>
  </rowItems>
  <colItems count="1">
    <i/>
  </colItems>
  <dataFields count="1">
    <dataField name="합계 : 비중" fld="0" baseField="0" baseItem="0" numFmtId="10"/>
  </dataFields>
  <chartFormats count="6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3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9073A-3BF3-43DF-9C20-C49118875CA5}" name="피벗 테이블2" cacheId="2" applyNumberFormats="0" applyBorderFormats="0" applyFontFormats="0" applyPatternFormats="0" applyAlignmentFormats="0" applyWidthHeightFormats="1" dataCaption="값" updatedVersion="8" minRefreshableVersion="3" useAutoFormatting="1" rowGrandTotals="0" colGrandTotals="0" itemPrintTitles="1" createdVersion="8" indent="0" outline="1" outlineData="1" multipleFieldFilters="0" chartFormat="19">
  <location ref="AK13:AL14" firstHeaderRow="1" firstDataRow="1" firstDataCol="1"/>
  <pivotFields count="3">
    <pivotField dataField="1" numFmtId="1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sortType="descending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">
    <i>
      <x/>
    </i>
  </rowItems>
  <colItems count="1">
    <i/>
  </colItems>
  <dataFields count="1">
    <dataField name="합계 : 비중" fld="0" baseField="0" baseItem="0" numFmtId="10"/>
  </dataFields>
  <chartFormats count="4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8DA61-47D9-4F4E-BD31-08D91BFB6502}" name="피벗 테이블6" cacheId="1" applyNumberFormats="0" applyBorderFormats="0" applyFontFormats="0" applyPatternFormats="0" applyAlignmentFormats="0" applyWidthHeightFormats="1" dataCaption="값" updatedVersion="8" minRefreshableVersion="3" useAutoFormatting="1" rowGrandTotals="0" colGrandTotals="0" itemPrintTitles="1" createdVersion="8" indent="0" outline="1" outlineData="1" multipleFieldFilters="0" chartFormat="9">
  <location ref="AG78:AH78" firstHeaderRow="1" firstDataRow="1" firstDataCol="1"/>
  <pivotFields count="3">
    <pivotField dataField="1" numFmtId="1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sortType="descending" defaultSubtotal="0">
      <items count="2">
        <item m="1" x="1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colItems count="1">
    <i/>
  </colItems>
  <dataFields count="1">
    <dataField name="합계 : 비중" fld="0" baseField="0" baseItem="0" numFmtId="10"/>
  </dataFields>
  <chartFormats count="2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1F690-E532-4891-AA7D-D9DC6C30412C}" name="피벗 테이블5" cacheId="1" applyNumberFormats="0" applyBorderFormats="0" applyFontFormats="0" applyPatternFormats="0" applyAlignmentFormats="0" applyWidthHeightFormats="1" dataCaption="값" updatedVersion="8" minRefreshableVersion="3" useAutoFormatting="1" rowGrandTotals="0" colGrandTotals="0" itemPrintTitles="1" createdVersion="8" indent="0" outline="1" outlineData="1" multipleFieldFilters="0" chartFormat="9">
  <location ref="AK78:AL78" firstHeaderRow="1" firstDataRow="1" firstDataCol="1"/>
  <pivotFields count="3">
    <pivotField dataField="1" numFmtId="1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sortType="descending" defaultSubtotal="0">
      <items count="3">
        <item m="1" x="2"/>
        <item m="1" x="1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colItems count="1">
    <i/>
  </colItems>
  <dataFields count="1">
    <dataField name="합계 : 비중" fld="0" baseField="0" baseItem="0" numFmtId="10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A053F-CD43-48FA-8467-EE00E179E32F}" name="피벗 테이블4" cacheId="0" applyNumberFormats="0" applyBorderFormats="0" applyFontFormats="0" applyPatternFormats="0" applyAlignmentFormats="0" applyWidthHeightFormats="1" dataCaption="값" showMissing="0" updatedVersion="8" minRefreshableVersion="3" useAutoFormatting="1" rowGrandTotals="0" colGrandTotals="0" itemPrintTitles="1" createdVersion="8" indent="0" showHeaders="0" outline="1" outlineData="1" multipleFieldFilters="0" chartFormat="12">
  <location ref="AK46:AL50" firstHeaderRow="1" firstDataRow="1" firstDataCol="1"/>
  <pivotFields count="3">
    <pivotField dataField="1" numFmtId="1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sortType="descending" defaultSubtotal="0">
      <items count="5">
        <item x="2"/>
        <item x="0"/>
        <item x="3"/>
        <item x="1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합계 : 비중" fld="0" baseField="0" baseItem="0" numFmtId="10"/>
  </dataFields>
  <chartFormats count="10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5B4E6F-6E02-4324-AC9D-F4B4F1C6CCB6}">
  <we:reference id="wa200009404" version="1.0.0.5" store="ko-KR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FB6A1-03FB-4E64-AD45-BC5AAAF52110}">
  <sheetPr>
    <tabColor theme="8" tint="0.79998168889431442"/>
  </sheetPr>
  <dimension ref="A1:K210"/>
  <sheetViews>
    <sheetView zoomScaleNormal="100" workbookViewId="0">
      <selection activeCell="E7" sqref="E7"/>
    </sheetView>
  </sheetViews>
  <sheetFormatPr defaultRowHeight="16.5" x14ac:dyDescent="0.3"/>
  <cols>
    <col min="1" max="1" width="10.5" style="4" customWidth="1"/>
    <col min="2" max="6" width="11.375" customWidth="1"/>
    <col min="7" max="7" width="14.625" customWidth="1"/>
    <col min="8" max="9" width="11.375" customWidth="1"/>
    <col min="10" max="10" width="13.5" customWidth="1"/>
    <col min="11" max="11" width="11.125" bestFit="1" customWidth="1"/>
  </cols>
  <sheetData>
    <row r="1" spans="1:11" x14ac:dyDescent="0.3">
      <c r="A1" s="237" t="s">
        <v>145</v>
      </c>
      <c r="B1" s="237"/>
      <c r="C1" s="237" t="s">
        <v>146</v>
      </c>
      <c r="D1" s="237"/>
      <c r="E1" s="233" t="s">
        <v>147</v>
      </c>
    </row>
    <row r="2" spans="1:11" x14ac:dyDescent="0.3">
      <c r="A2" s="240" t="str">
        <f>I2</f>
        <v>연금저축</v>
      </c>
      <c r="B2" s="241"/>
      <c r="C2" s="246"/>
      <c r="D2" s="247"/>
      <c r="E2" s="234"/>
      <c r="H2" t="s">
        <v>81</v>
      </c>
      <c r="I2" t="s">
        <v>75</v>
      </c>
    </row>
    <row r="3" spans="1:11" x14ac:dyDescent="0.3">
      <c r="A3" s="242" t="str">
        <f>I3</f>
        <v>IRP</v>
      </c>
      <c r="B3" s="243"/>
      <c r="C3" s="248" t="s">
        <v>164</v>
      </c>
      <c r="D3" s="249"/>
      <c r="E3" s="235">
        <v>15</v>
      </c>
      <c r="I3" t="s">
        <v>76</v>
      </c>
    </row>
    <row r="4" spans="1:11" x14ac:dyDescent="0.3">
      <c r="A4" s="244" t="str">
        <f>I4</f>
        <v>연금저축_거치</v>
      </c>
      <c r="B4" s="245"/>
      <c r="C4" s="250"/>
      <c r="D4" s="251"/>
      <c r="E4" s="236"/>
      <c r="I4" t="s">
        <v>84</v>
      </c>
    </row>
    <row r="5" spans="1:11" ht="17.25" thickBot="1" x14ac:dyDescent="0.35">
      <c r="A5" s="238" t="s">
        <v>42</v>
      </c>
      <c r="B5" s="239"/>
      <c r="C5" s="252" t="s">
        <v>165</v>
      </c>
      <c r="D5" s="253"/>
      <c r="E5" s="253"/>
    </row>
    <row r="7" spans="1:11" s="10" customFormat="1" x14ac:dyDescent="0.3">
      <c r="A7" s="9" t="s">
        <v>2</v>
      </c>
      <c r="B7" s="10" t="s">
        <v>22</v>
      </c>
      <c r="C7" s="10" t="s">
        <v>22</v>
      </c>
      <c r="D7" s="10" t="s">
        <v>22</v>
      </c>
    </row>
    <row r="8" spans="1:11" s="28" customFormat="1" x14ac:dyDescent="0.3">
      <c r="A8" s="24" t="s">
        <v>0</v>
      </c>
      <c r="B8" s="27">
        <v>46064</v>
      </c>
      <c r="C8" s="27">
        <v>46023</v>
      </c>
      <c r="D8" s="27">
        <v>45992</v>
      </c>
      <c r="E8" s="27"/>
      <c r="F8" s="27"/>
      <c r="G8" s="27"/>
      <c r="H8" s="27"/>
      <c r="I8" s="27"/>
      <c r="J8" s="27"/>
      <c r="K8" s="27"/>
    </row>
    <row r="9" spans="1:11" s="39" customFormat="1" x14ac:dyDescent="0.3">
      <c r="A9" s="38" t="s">
        <v>71</v>
      </c>
      <c r="B9" s="39">
        <v>300000</v>
      </c>
      <c r="C9" s="39">
        <v>300000</v>
      </c>
    </row>
    <row r="10" spans="1:11" s="40" customFormat="1" x14ac:dyDescent="0.3">
      <c r="A10" s="41" t="s">
        <v>70</v>
      </c>
      <c r="B10" s="40">
        <v>80000000</v>
      </c>
      <c r="C10" s="40">
        <v>80000000</v>
      </c>
    </row>
    <row r="11" spans="1:11" s="26" customFormat="1" x14ac:dyDescent="0.3">
      <c r="A11" s="25">
        <v>1</v>
      </c>
      <c r="B11" s="26" t="s">
        <v>149</v>
      </c>
      <c r="C11" s="26" t="s">
        <v>149</v>
      </c>
      <c r="D11" s="26" t="s">
        <v>149</v>
      </c>
    </row>
    <row r="12" spans="1:11" x14ac:dyDescent="0.3">
      <c r="A12" s="4">
        <v>2</v>
      </c>
      <c r="B12" s="2" t="s">
        <v>150</v>
      </c>
      <c r="C12" s="2" t="s">
        <v>150</v>
      </c>
      <c r="D12" t="s">
        <v>150</v>
      </c>
      <c r="F12" s="2"/>
      <c r="G12" s="2"/>
      <c r="H12" s="2"/>
      <c r="I12" s="2"/>
      <c r="J12" s="2"/>
      <c r="K12" s="2"/>
    </row>
    <row r="13" spans="1:11" x14ac:dyDescent="0.3">
      <c r="A13" s="4">
        <v>3</v>
      </c>
      <c r="B13" t="s">
        <v>151</v>
      </c>
      <c r="C13" t="s">
        <v>151</v>
      </c>
      <c r="D13" t="s">
        <v>151</v>
      </c>
    </row>
    <row r="14" spans="1:11" x14ac:dyDescent="0.3">
      <c r="A14" s="4">
        <v>4</v>
      </c>
      <c r="B14" s="2" t="s">
        <v>152</v>
      </c>
      <c r="C14" s="2" t="s">
        <v>152</v>
      </c>
      <c r="D14" t="s">
        <v>152</v>
      </c>
      <c r="F14" s="2"/>
      <c r="G14" s="2"/>
      <c r="H14" s="2"/>
      <c r="I14" s="2"/>
      <c r="J14" s="2"/>
      <c r="K14" s="2"/>
    </row>
    <row r="15" spans="1:11" x14ac:dyDescent="0.3">
      <c r="A15" s="4">
        <v>5</v>
      </c>
      <c r="B15" t="s">
        <v>3</v>
      </c>
      <c r="C15" t="s">
        <v>3</v>
      </c>
      <c r="D15" t="s">
        <v>3</v>
      </c>
    </row>
    <row r="16" spans="1:11" x14ac:dyDescent="0.3">
      <c r="A16" s="4">
        <v>6</v>
      </c>
      <c r="B16" s="2">
        <v>122628271</v>
      </c>
      <c r="C16" s="2">
        <v>117707779</v>
      </c>
      <c r="D16" s="2">
        <v>116370580</v>
      </c>
      <c r="E16" s="2"/>
      <c r="F16" s="2"/>
      <c r="G16" s="2"/>
      <c r="H16" s="2"/>
      <c r="I16" s="2"/>
      <c r="J16" s="2"/>
      <c r="K16" s="2"/>
    </row>
    <row r="17" spans="1:11" x14ac:dyDescent="0.3">
      <c r="A17" s="4">
        <v>7</v>
      </c>
      <c r="B17" t="s">
        <v>4</v>
      </c>
      <c r="C17" t="s">
        <v>4</v>
      </c>
      <c r="D17" t="s">
        <v>4</v>
      </c>
    </row>
    <row r="18" spans="1:11" x14ac:dyDescent="0.3">
      <c r="A18" s="4">
        <v>8</v>
      </c>
      <c r="B18" s="2">
        <v>26500109</v>
      </c>
      <c r="C18" s="2">
        <v>21829617</v>
      </c>
      <c r="D18" s="2">
        <v>20742418</v>
      </c>
      <c r="E18" s="2"/>
      <c r="F18" s="2"/>
      <c r="G18" s="2"/>
      <c r="H18" s="2"/>
      <c r="I18" s="2"/>
      <c r="J18" s="2"/>
      <c r="K18" s="2"/>
    </row>
    <row r="19" spans="1:11" x14ac:dyDescent="0.3">
      <c r="A19" s="4">
        <v>9</v>
      </c>
      <c r="B19" t="s">
        <v>153</v>
      </c>
      <c r="C19" t="s">
        <v>153</v>
      </c>
      <c r="D19" t="s">
        <v>153</v>
      </c>
    </row>
    <row r="20" spans="1:11" x14ac:dyDescent="0.3">
      <c r="A20" s="4">
        <v>10</v>
      </c>
      <c r="B20" s="2">
        <v>46.78</v>
      </c>
      <c r="C20" s="2">
        <v>38.92</v>
      </c>
      <c r="D20">
        <v>37.24</v>
      </c>
      <c r="F20" s="2"/>
      <c r="G20" s="2"/>
      <c r="H20" s="2"/>
      <c r="I20" s="2"/>
      <c r="J20" s="2"/>
      <c r="K20" s="2"/>
    </row>
    <row r="21" spans="1:11" x14ac:dyDescent="0.3">
      <c r="A21" s="4">
        <v>11</v>
      </c>
      <c r="B21" t="s">
        <v>5</v>
      </c>
      <c r="C21" t="s">
        <v>5</v>
      </c>
      <c r="D21" t="s">
        <v>5</v>
      </c>
    </row>
    <row r="22" spans="1:11" x14ac:dyDescent="0.3">
      <c r="A22" s="4">
        <v>12</v>
      </c>
      <c r="B22" s="5" t="s">
        <v>6</v>
      </c>
      <c r="C22" s="5" t="s">
        <v>6</v>
      </c>
      <c r="D22" t="s">
        <v>6</v>
      </c>
      <c r="F22" s="5"/>
      <c r="G22" s="5"/>
      <c r="H22" s="5"/>
      <c r="I22" s="5"/>
      <c r="J22" s="5"/>
      <c r="K22" s="5"/>
    </row>
    <row r="23" spans="1:11" x14ac:dyDescent="0.3">
      <c r="A23" s="4">
        <v>13</v>
      </c>
      <c r="B23" t="s">
        <v>7</v>
      </c>
      <c r="C23" t="s">
        <v>7</v>
      </c>
      <c r="D23" t="s">
        <v>7</v>
      </c>
    </row>
    <row r="24" spans="1:11" x14ac:dyDescent="0.3">
      <c r="A24" s="4">
        <v>14</v>
      </c>
      <c r="B24" t="s">
        <v>8</v>
      </c>
      <c r="C24" t="s">
        <v>8</v>
      </c>
      <c r="D24" t="s">
        <v>8</v>
      </c>
    </row>
    <row r="25" spans="1:11" x14ac:dyDescent="0.3">
      <c r="A25" s="4">
        <v>15</v>
      </c>
      <c r="B25" t="s">
        <v>3</v>
      </c>
      <c r="C25" t="s">
        <v>3</v>
      </c>
      <c r="D25" t="s">
        <v>3</v>
      </c>
    </row>
    <row r="26" spans="1:11" x14ac:dyDescent="0.3">
      <c r="A26" s="4">
        <v>16</v>
      </c>
      <c r="B26" t="s">
        <v>9</v>
      </c>
      <c r="C26" t="s">
        <v>9</v>
      </c>
      <c r="D26" t="s">
        <v>9</v>
      </c>
    </row>
    <row r="27" spans="1:11" x14ac:dyDescent="0.3">
      <c r="A27" s="4">
        <v>17</v>
      </c>
      <c r="B27" t="s">
        <v>154</v>
      </c>
      <c r="C27" t="s">
        <v>154</v>
      </c>
      <c r="D27" t="s">
        <v>154</v>
      </c>
    </row>
    <row r="28" spans="1:11" x14ac:dyDescent="0.3">
      <c r="A28" s="4">
        <v>18</v>
      </c>
      <c r="B28" t="s">
        <v>155</v>
      </c>
      <c r="C28" t="s">
        <v>155</v>
      </c>
      <c r="D28" t="s">
        <v>155</v>
      </c>
    </row>
    <row r="29" spans="1:11" x14ac:dyDescent="0.3">
      <c r="A29" s="4">
        <v>19</v>
      </c>
      <c r="B29" t="s">
        <v>10</v>
      </c>
      <c r="C29" t="s">
        <v>10</v>
      </c>
      <c r="D29" t="s">
        <v>10</v>
      </c>
    </row>
    <row r="30" spans="1:11" x14ac:dyDescent="0.3">
      <c r="A30" s="4">
        <v>20</v>
      </c>
      <c r="B30" t="s">
        <v>156</v>
      </c>
      <c r="C30" t="s">
        <v>156</v>
      </c>
      <c r="D30" t="s">
        <v>156</v>
      </c>
    </row>
    <row r="31" spans="1:11" x14ac:dyDescent="0.3">
      <c r="A31" s="4">
        <v>21</v>
      </c>
      <c r="B31" t="s">
        <v>157</v>
      </c>
      <c r="C31" t="s">
        <v>157</v>
      </c>
      <c r="D31" t="s">
        <v>157</v>
      </c>
    </row>
    <row r="32" spans="1:11" x14ac:dyDescent="0.3">
      <c r="A32" s="4">
        <v>22</v>
      </c>
      <c r="B32" t="s">
        <v>11</v>
      </c>
      <c r="C32" t="s">
        <v>11</v>
      </c>
      <c r="D32" t="s">
        <v>11</v>
      </c>
    </row>
    <row r="33" spans="1:11" x14ac:dyDescent="0.3">
      <c r="A33" s="4">
        <v>23</v>
      </c>
      <c r="B33" t="s">
        <v>158</v>
      </c>
      <c r="C33" t="s">
        <v>158</v>
      </c>
      <c r="D33" t="s">
        <v>158</v>
      </c>
    </row>
    <row r="34" spans="1:11" x14ac:dyDescent="0.3">
      <c r="A34" s="4">
        <v>24</v>
      </c>
      <c r="B34" t="s">
        <v>12</v>
      </c>
      <c r="C34" t="s">
        <v>12</v>
      </c>
      <c r="D34" t="s">
        <v>12</v>
      </c>
    </row>
    <row r="35" spans="1:11" x14ac:dyDescent="0.3">
      <c r="A35" s="4">
        <v>25</v>
      </c>
      <c r="B35" s="2">
        <v>1743983</v>
      </c>
      <c r="C35" s="2">
        <v>1743983</v>
      </c>
      <c r="D35" s="2">
        <v>1743983</v>
      </c>
      <c r="E35" s="2"/>
    </row>
    <row r="36" spans="1:11" x14ac:dyDescent="0.3">
      <c r="A36" s="4">
        <v>26</v>
      </c>
      <c r="B36" s="3">
        <v>3092.24</v>
      </c>
      <c r="C36" s="3">
        <v>3107.13</v>
      </c>
      <c r="D36" s="3">
        <v>3248.72</v>
      </c>
      <c r="E36" s="3"/>
    </row>
    <row r="37" spans="1:11" x14ac:dyDescent="0.3">
      <c r="A37" s="4">
        <v>27</v>
      </c>
      <c r="B37" s="2">
        <v>5392814</v>
      </c>
      <c r="C37" s="2">
        <v>5418782</v>
      </c>
      <c r="D37" s="2">
        <v>5665713</v>
      </c>
      <c r="E37" s="2"/>
      <c r="J37" s="2"/>
    </row>
    <row r="38" spans="1:11" x14ac:dyDescent="0.3">
      <c r="A38" s="4">
        <v>28</v>
      </c>
      <c r="B38" s="2">
        <v>5570000</v>
      </c>
      <c r="C38" s="2">
        <v>5570000</v>
      </c>
      <c r="D38" s="2">
        <v>5570000</v>
      </c>
      <c r="E38" s="2"/>
      <c r="F38" s="3"/>
      <c r="G38" s="3"/>
      <c r="H38" s="3"/>
      <c r="I38" s="3"/>
      <c r="J38" s="3"/>
      <c r="K38" s="3"/>
    </row>
    <row r="39" spans="1:11" x14ac:dyDescent="0.3">
      <c r="A39" s="4">
        <v>29</v>
      </c>
      <c r="B39" s="2">
        <v>5570000</v>
      </c>
      <c r="C39" s="2">
        <v>5570000</v>
      </c>
      <c r="D39" s="2">
        <v>5570000</v>
      </c>
      <c r="E39" s="2"/>
      <c r="F39" s="2"/>
      <c r="G39" s="2"/>
      <c r="H39" s="2"/>
      <c r="I39" s="2"/>
      <c r="J39" s="3"/>
      <c r="K39" s="2"/>
    </row>
    <row r="40" spans="1:11" x14ac:dyDescent="0.3">
      <c r="A40" s="4">
        <v>30</v>
      </c>
      <c r="B40" s="2">
        <v>0</v>
      </c>
      <c r="C40" s="2">
        <v>0</v>
      </c>
      <c r="D40">
        <v>0</v>
      </c>
      <c r="F40" s="2"/>
      <c r="G40" s="2"/>
      <c r="H40" s="2"/>
      <c r="I40" s="2"/>
      <c r="J40" s="2"/>
      <c r="K40" s="2"/>
    </row>
    <row r="41" spans="1:11" x14ac:dyDescent="0.3">
      <c r="A41" s="4">
        <v>31</v>
      </c>
      <c r="B41" s="2">
        <v>0</v>
      </c>
      <c r="C41" s="2">
        <v>0</v>
      </c>
      <c r="D41">
        <v>0</v>
      </c>
      <c r="F41" s="2"/>
      <c r="G41" s="2"/>
      <c r="H41" s="2"/>
      <c r="I41" s="2"/>
      <c r="J41" s="2"/>
      <c r="K41" s="2"/>
    </row>
    <row r="42" spans="1:11" x14ac:dyDescent="0.3">
      <c r="A42" s="4">
        <v>32</v>
      </c>
      <c r="B42" s="5" t="s">
        <v>159</v>
      </c>
      <c r="C42" s="5" t="s">
        <v>159</v>
      </c>
      <c r="D42" t="s">
        <v>159</v>
      </c>
      <c r="F42" s="5"/>
      <c r="G42" s="5"/>
      <c r="H42" s="5"/>
      <c r="I42" s="5"/>
      <c r="J42" s="5"/>
      <c r="K42" s="5"/>
    </row>
    <row r="43" spans="1:11" x14ac:dyDescent="0.3">
      <c r="A43" s="4">
        <v>33</v>
      </c>
      <c r="B43" t="s">
        <v>159</v>
      </c>
      <c r="C43" t="s">
        <v>159</v>
      </c>
      <c r="D43" t="s">
        <v>159</v>
      </c>
      <c r="J43" s="11"/>
    </row>
    <row r="44" spans="1:11" x14ac:dyDescent="0.3">
      <c r="A44" s="4">
        <v>34</v>
      </c>
      <c r="B44">
        <v>-3.181</v>
      </c>
      <c r="C44">
        <v>-2.7149999999999999</v>
      </c>
      <c r="D44">
        <v>1.718</v>
      </c>
    </row>
    <row r="45" spans="1:11" x14ac:dyDescent="0.3">
      <c r="A45" s="4">
        <v>35</v>
      </c>
      <c r="B45" s="2" t="s">
        <v>158</v>
      </c>
      <c r="C45" s="2" t="s">
        <v>158</v>
      </c>
      <c r="D45" s="2" t="s">
        <v>158</v>
      </c>
      <c r="E45" s="2"/>
      <c r="J45" s="2"/>
    </row>
    <row r="46" spans="1:11" x14ac:dyDescent="0.3">
      <c r="A46" s="4">
        <v>36</v>
      </c>
      <c r="B46" s="3" t="s">
        <v>13</v>
      </c>
      <c r="C46" s="3" t="s">
        <v>13</v>
      </c>
      <c r="D46" s="3" t="s">
        <v>13</v>
      </c>
      <c r="E46" s="3"/>
      <c r="J46" s="2"/>
    </row>
    <row r="47" spans="1:11" x14ac:dyDescent="0.3">
      <c r="A47" s="4">
        <v>37</v>
      </c>
      <c r="B47" s="2">
        <v>4017661</v>
      </c>
      <c r="C47" s="2">
        <v>7627192</v>
      </c>
      <c r="D47" s="2">
        <v>7627192</v>
      </c>
      <c r="E47" s="2"/>
      <c r="F47" s="3"/>
      <c r="G47" s="3"/>
      <c r="H47" s="3"/>
      <c r="I47" s="3"/>
    </row>
    <row r="48" spans="1:11" x14ac:dyDescent="0.3">
      <c r="A48" s="4">
        <v>38</v>
      </c>
      <c r="B48" s="2">
        <v>3290.15</v>
      </c>
      <c r="C48" s="2">
        <v>2649.32</v>
      </c>
      <c r="D48" s="2">
        <v>2471.58</v>
      </c>
      <c r="E48" s="2"/>
      <c r="F48" s="2"/>
      <c r="G48" s="2"/>
      <c r="H48" s="2"/>
      <c r="I48" s="2"/>
      <c r="K48" s="2"/>
    </row>
    <row r="49" spans="1:11" x14ac:dyDescent="0.3">
      <c r="A49" s="4">
        <v>39</v>
      </c>
      <c r="B49" s="2">
        <v>13218710</v>
      </c>
      <c r="C49" s="2">
        <v>20206876</v>
      </c>
      <c r="D49" s="2">
        <v>18851220</v>
      </c>
      <c r="E49" s="2"/>
      <c r="F49" s="2"/>
      <c r="G49" s="2"/>
      <c r="H49" s="2"/>
      <c r="I49" s="2"/>
      <c r="K49" s="2"/>
    </row>
    <row r="50" spans="1:11" x14ac:dyDescent="0.3">
      <c r="A50" s="4">
        <v>40</v>
      </c>
      <c r="B50" s="2">
        <v>5647761</v>
      </c>
      <c r="C50" s="2">
        <v>11110352</v>
      </c>
      <c r="D50" s="2">
        <v>11110352</v>
      </c>
      <c r="E50" s="2"/>
      <c r="F50" s="2"/>
      <c r="G50" s="2"/>
      <c r="H50" s="2"/>
      <c r="I50" s="2"/>
      <c r="K50" s="2"/>
    </row>
    <row r="51" spans="1:11" x14ac:dyDescent="0.3">
      <c r="A51" s="4">
        <v>41</v>
      </c>
      <c r="B51" s="2">
        <v>13051372</v>
      </c>
      <c r="C51" s="2">
        <v>13051372</v>
      </c>
      <c r="D51" s="2">
        <v>13051372</v>
      </c>
      <c r="F51" s="5"/>
      <c r="G51" s="5"/>
      <c r="H51" s="5"/>
      <c r="I51" s="5"/>
      <c r="J51" s="2"/>
      <c r="K51" s="2"/>
    </row>
    <row r="52" spans="1:11" x14ac:dyDescent="0.3">
      <c r="A52" s="4">
        <v>42</v>
      </c>
      <c r="B52" s="5">
        <v>14041194</v>
      </c>
      <c r="C52" s="5">
        <v>2981193</v>
      </c>
      <c r="D52" s="2">
        <v>2981193</v>
      </c>
      <c r="K52" s="5"/>
    </row>
    <row r="53" spans="1:11" x14ac:dyDescent="0.3">
      <c r="A53" s="4">
        <v>43</v>
      </c>
      <c r="B53">
        <v>0</v>
      </c>
      <c r="C53">
        <v>0</v>
      </c>
      <c r="D53">
        <v>0</v>
      </c>
      <c r="J53" s="3"/>
    </row>
    <row r="54" spans="1:11" x14ac:dyDescent="0.3">
      <c r="A54" s="4">
        <v>44</v>
      </c>
      <c r="B54" t="s">
        <v>159</v>
      </c>
      <c r="C54" t="s">
        <v>159</v>
      </c>
      <c r="D54" t="s">
        <v>159</v>
      </c>
      <c r="J54" s="2"/>
    </row>
    <row r="55" spans="1:11" x14ac:dyDescent="0.3">
      <c r="A55" s="4">
        <v>45</v>
      </c>
      <c r="B55" s="2" t="s">
        <v>159</v>
      </c>
      <c r="C55" s="2" t="s">
        <v>159</v>
      </c>
      <c r="D55" s="2" t="s">
        <v>159</v>
      </c>
      <c r="E55" s="2"/>
      <c r="J55" s="2"/>
    </row>
    <row r="56" spans="1:11" x14ac:dyDescent="0.3">
      <c r="A56" s="4">
        <v>46</v>
      </c>
      <c r="B56" s="3">
        <v>134.05199999999999</v>
      </c>
      <c r="C56" s="3">
        <v>81.873999999999995</v>
      </c>
      <c r="D56" s="3">
        <v>69.673000000000002</v>
      </c>
      <c r="E56" s="3"/>
      <c r="F56" s="3"/>
      <c r="G56" s="3"/>
      <c r="H56" s="3"/>
      <c r="I56" s="3"/>
      <c r="J56" s="5"/>
    </row>
    <row r="57" spans="1:11" x14ac:dyDescent="0.3">
      <c r="A57" s="4">
        <v>47</v>
      </c>
      <c r="B57" s="2" t="s">
        <v>158</v>
      </c>
      <c r="C57" s="2" t="s">
        <v>158</v>
      </c>
      <c r="D57" s="2" t="s">
        <v>158</v>
      </c>
      <c r="E57" s="2"/>
      <c r="F57" s="2"/>
      <c r="G57" s="2"/>
      <c r="H57" s="2"/>
      <c r="I57" s="2"/>
    </row>
    <row r="58" spans="1:11" x14ac:dyDescent="0.3">
      <c r="A58" s="4">
        <v>48</v>
      </c>
      <c r="B58" s="2" t="s">
        <v>14</v>
      </c>
      <c r="C58" s="2" t="s">
        <v>14</v>
      </c>
      <c r="D58" s="2" t="s">
        <v>14</v>
      </c>
      <c r="E58" s="2"/>
      <c r="F58" s="2"/>
      <c r="G58" s="2"/>
      <c r="H58" s="2"/>
      <c r="I58" s="2"/>
      <c r="J58" s="2"/>
      <c r="K58" s="3"/>
    </row>
    <row r="59" spans="1:11" x14ac:dyDescent="0.3">
      <c r="A59" s="4">
        <v>49</v>
      </c>
      <c r="B59" s="2">
        <v>6310605</v>
      </c>
      <c r="C59" s="2">
        <v>7852261</v>
      </c>
      <c r="D59" s="2">
        <v>7852261</v>
      </c>
      <c r="E59" s="2"/>
      <c r="F59" s="2"/>
      <c r="G59" s="2"/>
      <c r="H59" s="2"/>
      <c r="I59" s="2"/>
      <c r="J59" s="2"/>
      <c r="K59" s="2"/>
    </row>
    <row r="60" spans="1:11" x14ac:dyDescent="0.3">
      <c r="A60" s="4">
        <v>50</v>
      </c>
      <c r="B60" s="2">
        <v>2844.5</v>
      </c>
      <c r="C60" s="2">
        <v>2932.42</v>
      </c>
      <c r="D60" s="2">
        <v>2942.86</v>
      </c>
      <c r="E60" s="2"/>
      <c r="F60" s="5"/>
      <c r="G60" s="5"/>
      <c r="H60" s="5"/>
      <c r="I60" s="5"/>
      <c r="K60" s="2"/>
    </row>
    <row r="61" spans="1:11" x14ac:dyDescent="0.3">
      <c r="A61" s="4">
        <v>51</v>
      </c>
      <c r="B61" s="2">
        <v>17950518</v>
      </c>
      <c r="C61" s="2">
        <v>23026130</v>
      </c>
      <c r="D61" s="2">
        <v>23108108</v>
      </c>
      <c r="K61" s="2"/>
    </row>
    <row r="62" spans="1:11" x14ac:dyDescent="0.3">
      <c r="A62" s="4">
        <v>52</v>
      </c>
      <c r="B62" s="5">
        <v>15337523</v>
      </c>
      <c r="C62" s="5">
        <v>18090735</v>
      </c>
      <c r="D62" s="2">
        <v>18090735</v>
      </c>
      <c r="K62" s="5"/>
    </row>
    <row r="63" spans="1:11" x14ac:dyDescent="0.3">
      <c r="A63" s="4">
        <v>53</v>
      </c>
      <c r="B63" s="2">
        <v>36715755</v>
      </c>
      <c r="C63" s="2">
        <v>36715755</v>
      </c>
      <c r="D63" s="2">
        <v>36715755</v>
      </c>
    </row>
    <row r="64" spans="1:11" x14ac:dyDescent="0.3">
      <c r="A64" s="4">
        <v>54</v>
      </c>
      <c r="B64" s="2">
        <v>24659463</v>
      </c>
      <c r="C64" s="2">
        <v>20189462</v>
      </c>
      <c r="D64" s="2">
        <v>20189462</v>
      </c>
    </row>
    <row r="65" spans="1:11" x14ac:dyDescent="0.3">
      <c r="A65" s="4">
        <v>55</v>
      </c>
      <c r="B65" s="2">
        <v>0</v>
      </c>
      <c r="C65" s="2">
        <v>0</v>
      </c>
      <c r="D65" s="2">
        <v>0</v>
      </c>
      <c r="E65" s="2"/>
      <c r="F65" s="2"/>
      <c r="G65" s="2"/>
      <c r="H65" s="2"/>
      <c r="I65" s="2"/>
    </row>
    <row r="66" spans="1:11" x14ac:dyDescent="0.3">
      <c r="A66" s="4">
        <v>56</v>
      </c>
      <c r="B66" s="3" t="s">
        <v>159</v>
      </c>
      <c r="C66" s="3" t="s">
        <v>159</v>
      </c>
      <c r="D66" s="3" t="s">
        <v>159</v>
      </c>
      <c r="E66" s="3"/>
      <c r="F66" s="2"/>
      <c r="G66" s="2"/>
      <c r="H66" s="2"/>
      <c r="I66" s="2"/>
    </row>
    <row r="67" spans="1:11" x14ac:dyDescent="0.3">
      <c r="A67" s="4">
        <v>57</v>
      </c>
      <c r="B67" s="2" t="s">
        <v>159</v>
      </c>
      <c r="C67" s="2" t="s">
        <v>159</v>
      </c>
      <c r="D67" s="2" t="s">
        <v>159</v>
      </c>
      <c r="E67" s="2"/>
      <c r="F67" s="2"/>
      <c r="G67" s="2"/>
      <c r="H67" s="2"/>
      <c r="I67" s="2"/>
    </row>
    <row r="68" spans="1:11" x14ac:dyDescent="0.3">
      <c r="A68" s="4">
        <v>58</v>
      </c>
      <c r="B68" s="2">
        <v>17.036999999999999</v>
      </c>
      <c r="C68" s="2">
        <v>27.280999999999999</v>
      </c>
      <c r="D68" s="2">
        <v>27.734000000000002</v>
      </c>
      <c r="E68" s="2"/>
      <c r="F68" s="2"/>
      <c r="G68" s="2"/>
      <c r="H68" s="2"/>
      <c r="I68" s="2"/>
      <c r="K68" s="2"/>
    </row>
    <row r="69" spans="1:11" x14ac:dyDescent="0.3">
      <c r="A69" s="4">
        <v>59</v>
      </c>
      <c r="B69" s="2" t="s">
        <v>158</v>
      </c>
      <c r="C69" s="2" t="s">
        <v>158</v>
      </c>
      <c r="D69" s="2" t="s">
        <v>158</v>
      </c>
      <c r="E69" s="2"/>
      <c r="F69" s="5"/>
      <c r="G69" s="5"/>
      <c r="H69" s="5"/>
      <c r="I69" s="5"/>
      <c r="K69" s="2"/>
    </row>
    <row r="70" spans="1:11" x14ac:dyDescent="0.3">
      <c r="A70" s="4">
        <v>60</v>
      </c>
      <c r="B70" s="2" t="s">
        <v>15</v>
      </c>
      <c r="C70" s="2" t="s">
        <v>15</v>
      </c>
      <c r="D70" t="s">
        <v>15</v>
      </c>
      <c r="K70" s="2"/>
    </row>
    <row r="71" spans="1:11" x14ac:dyDescent="0.3">
      <c r="A71" s="4">
        <v>61</v>
      </c>
      <c r="B71" s="2">
        <v>10546825</v>
      </c>
      <c r="C71" s="2">
        <v>10546825</v>
      </c>
      <c r="D71" s="2">
        <v>8790361</v>
      </c>
      <c r="K71" s="2"/>
    </row>
    <row r="72" spans="1:11" x14ac:dyDescent="0.3">
      <c r="A72" s="4">
        <v>62</v>
      </c>
      <c r="B72" s="5">
        <v>1040.32</v>
      </c>
      <c r="C72" s="5">
        <v>1016.58</v>
      </c>
      <c r="D72" s="3">
        <v>1179.3499999999999</v>
      </c>
      <c r="K72" s="5"/>
    </row>
    <row r="73" spans="1:11" x14ac:dyDescent="0.3">
      <c r="A73" s="4">
        <v>63</v>
      </c>
      <c r="B73" s="2">
        <v>10972074</v>
      </c>
      <c r="C73" s="2">
        <v>10721693</v>
      </c>
      <c r="D73" s="2">
        <v>10366913</v>
      </c>
    </row>
    <row r="74" spans="1:11" x14ac:dyDescent="0.3">
      <c r="A74" s="4">
        <v>64</v>
      </c>
      <c r="B74" s="2">
        <v>10250000</v>
      </c>
      <c r="C74" s="2">
        <v>10250000</v>
      </c>
      <c r="D74" s="2">
        <v>10250000</v>
      </c>
      <c r="F74" s="3"/>
      <c r="G74" s="3"/>
      <c r="H74" s="3"/>
      <c r="I74" s="3"/>
    </row>
    <row r="75" spans="1:11" x14ac:dyDescent="0.3">
      <c r="A75" s="4">
        <v>65</v>
      </c>
      <c r="B75" s="2">
        <v>10250000</v>
      </c>
      <c r="C75" s="2">
        <v>10250000</v>
      </c>
      <c r="D75" s="2">
        <v>10250000</v>
      </c>
      <c r="E75" s="2"/>
      <c r="F75" s="2"/>
      <c r="G75" s="2"/>
      <c r="H75" s="2"/>
      <c r="I75" s="2"/>
    </row>
    <row r="76" spans="1:11" x14ac:dyDescent="0.3">
      <c r="A76" s="4">
        <v>66</v>
      </c>
      <c r="B76" s="3">
        <v>0</v>
      </c>
      <c r="C76" s="3">
        <v>0</v>
      </c>
      <c r="D76" s="3">
        <v>0</v>
      </c>
      <c r="E76" s="3"/>
      <c r="F76" s="2"/>
      <c r="G76" s="2"/>
      <c r="H76" s="2"/>
      <c r="I76" s="2"/>
    </row>
    <row r="77" spans="1:11" x14ac:dyDescent="0.3">
      <c r="A77" s="4">
        <v>67</v>
      </c>
      <c r="B77" s="2">
        <v>0</v>
      </c>
      <c r="C77" s="2">
        <v>0</v>
      </c>
      <c r="D77" s="2">
        <v>0</v>
      </c>
      <c r="E77" s="2"/>
      <c r="F77" s="2"/>
      <c r="G77" s="2"/>
      <c r="H77" s="2"/>
      <c r="I77" s="2"/>
    </row>
    <row r="78" spans="1:11" x14ac:dyDescent="0.3">
      <c r="A78" s="4">
        <v>68</v>
      </c>
      <c r="B78" s="2" t="s">
        <v>159</v>
      </c>
      <c r="C78" s="2" t="s">
        <v>159</v>
      </c>
      <c r="D78" s="2" t="s">
        <v>159</v>
      </c>
      <c r="E78" s="2"/>
      <c r="F78" s="5"/>
      <c r="G78" s="5"/>
      <c r="H78" s="5"/>
      <c r="I78" s="5"/>
      <c r="K78" s="2"/>
    </row>
    <row r="79" spans="1:11" x14ac:dyDescent="0.3">
      <c r="A79" s="4">
        <v>69</v>
      </c>
      <c r="B79" s="2" t="s">
        <v>159</v>
      </c>
      <c r="C79" s="2" t="s">
        <v>159</v>
      </c>
      <c r="D79" s="2" t="s">
        <v>159</v>
      </c>
      <c r="E79" s="2"/>
      <c r="K79" s="2"/>
    </row>
    <row r="80" spans="1:11" x14ac:dyDescent="0.3">
      <c r="A80" s="4">
        <v>70</v>
      </c>
      <c r="B80" s="2">
        <v>7.0449999999999999</v>
      </c>
      <c r="C80" s="2">
        <v>4.6020000000000003</v>
      </c>
      <c r="D80" s="2">
        <v>1.141</v>
      </c>
      <c r="E80" s="2"/>
      <c r="K80" s="2"/>
    </row>
    <row r="81" spans="1:11" x14ac:dyDescent="0.3">
      <c r="A81" s="4">
        <v>71</v>
      </c>
      <c r="B81" s="2" t="s">
        <v>158</v>
      </c>
      <c r="C81" s="2" t="s">
        <v>158</v>
      </c>
      <c r="D81" t="s">
        <v>158</v>
      </c>
      <c r="K81" s="2"/>
    </row>
    <row r="82" spans="1:11" x14ac:dyDescent="0.3">
      <c r="A82" s="4">
        <v>72</v>
      </c>
      <c r="B82" s="5" t="s">
        <v>16</v>
      </c>
      <c r="C82" s="5" t="s">
        <v>16</v>
      </c>
      <c r="D82" t="s">
        <v>16</v>
      </c>
      <c r="K82" s="5"/>
    </row>
    <row r="83" spans="1:11" x14ac:dyDescent="0.3">
      <c r="A83" s="4">
        <v>73</v>
      </c>
      <c r="B83" s="2">
        <v>25866799</v>
      </c>
      <c r="C83" s="2">
        <v>14191487</v>
      </c>
      <c r="D83" s="2">
        <v>14191487</v>
      </c>
      <c r="F83" s="3"/>
      <c r="G83" s="3"/>
      <c r="H83" s="3"/>
      <c r="I83" s="3"/>
    </row>
    <row r="84" spans="1:11" x14ac:dyDescent="0.3">
      <c r="A84" s="4">
        <v>74</v>
      </c>
      <c r="B84" s="3">
        <v>1044.0899999999999</v>
      </c>
      <c r="C84" s="3">
        <v>1043.73</v>
      </c>
      <c r="D84" s="3">
        <v>1040.3</v>
      </c>
      <c r="F84" s="2"/>
      <c r="G84" s="2"/>
      <c r="H84" s="2"/>
      <c r="I84" s="2"/>
    </row>
    <row r="85" spans="1:11" x14ac:dyDescent="0.3">
      <c r="A85" s="4">
        <v>75</v>
      </c>
      <c r="B85" s="2">
        <v>27007269</v>
      </c>
      <c r="C85" s="2">
        <v>14812084</v>
      </c>
      <c r="D85" s="2">
        <v>14763406</v>
      </c>
      <c r="E85" s="2"/>
      <c r="F85" s="2"/>
      <c r="G85" s="2"/>
      <c r="H85" s="2"/>
      <c r="I85" s="2"/>
    </row>
    <row r="86" spans="1:11" x14ac:dyDescent="0.3">
      <c r="A86" s="4">
        <v>76</v>
      </c>
      <c r="B86" s="3">
        <v>25060000</v>
      </c>
      <c r="C86" s="3">
        <v>12860000</v>
      </c>
      <c r="D86" s="3">
        <v>12860000</v>
      </c>
      <c r="E86" s="3"/>
      <c r="F86" s="2"/>
      <c r="G86" s="2"/>
      <c r="H86" s="2"/>
      <c r="I86" s="2"/>
    </row>
    <row r="87" spans="1:11" x14ac:dyDescent="0.3">
      <c r="A87" s="4">
        <v>77</v>
      </c>
      <c r="B87" s="2">
        <v>25585000</v>
      </c>
      <c r="C87" s="2">
        <v>13385000</v>
      </c>
      <c r="D87" s="2">
        <v>13385000</v>
      </c>
      <c r="E87" s="2"/>
      <c r="F87" s="5"/>
      <c r="G87" s="5"/>
      <c r="H87" s="5"/>
      <c r="I87" s="5"/>
    </row>
    <row r="88" spans="1:11" x14ac:dyDescent="0.3">
      <c r="A88" s="4">
        <v>78</v>
      </c>
      <c r="B88" s="2">
        <v>525814</v>
      </c>
      <c r="C88" s="2">
        <v>525814</v>
      </c>
      <c r="D88" s="2">
        <v>525814</v>
      </c>
      <c r="E88" s="2"/>
      <c r="K88" s="2"/>
    </row>
    <row r="89" spans="1:11" x14ac:dyDescent="0.3">
      <c r="A89" s="4">
        <v>79</v>
      </c>
      <c r="B89" s="2">
        <v>0</v>
      </c>
      <c r="C89" s="2">
        <v>0</v>
      </c>
      <c r="D89" s="2">
        <v>0</v>
      </c>
      <c r="E89" s="2"/>
      <c r="K89" s="2"/>
    </row>
    <row r="90" spans="1:11" x14ac:dyDescent="0.3">
      <c r="A90" s="4">
        <v>80</v>
      </c>
      <c r="B90" s="2" t="s">
        <v>159</v>
      </c>
      <c r="C90" t="s">
        <v>159</v>
      </c>
      <c r="D90" t="s">
        <v>159</v>
      </c>
      <c r="K90" s="2"/>
    </row>
    <row r="91" spans="1:11" x14ac:dyDescent="0.3">
      <c r="A91" s="4">
        <v>81</v>
      </c>
      <c r="B91" s="2" t="s">
        <v>159</v>
      </c>
      <c r="C91" s="2" t="s">
        <v>159</v>
      </c>
      <c r="D91" t="s">
        <v>159</v>
      </c>
      <c r="K91" s="2"/>
    </row>
    <row r="92" spans="1:11" x14ac:dyDescent="0.3">
      <c r="A92" s="4">
        <v>82</v>
      </c>
      <c r="B92" s="5">
        <v>7.77</v>
      </c>
      <c r="C92" s="3">
        <v>15.18</v>
      </c>
      <c r="D92">
        <v>14.801</v>
      </c>
      <c r="F92" s="3"/>
      <c r="G92" s="3"/>
      <c r="H92" s="3"/>
      <c r="I92" s="3"/>
      <c r="K92" s="5"/>
    </row>
    <row r="93" spans="1:11" x14ac:dyDescent="0.3">
      <c r="A93" s="4">
        <v>83</v>
      </c>
      <c r="B93" t="s">
        <v>158</v>
      </c>
      <c r="C93" s="3" t="s">
        <v>158</v>
      </c>
      <c r="D93" t="s">
        <v>158</v>
      </c>
      <c r="F93" s="2"/>
      <c r="G93" s="2"/>
      <c r="H93" s="2"/>
      <c r="I93" s="2"/>
    </row>
    <row r="94" spans="1:11" x14ac:dyDescent="0.3">
      <c r="A94" s="4">
        <v>84</v>
      </c>
      <c r="B94" t="s">
        <v>17</v>
      </c>
      <c r="C94" s="2" t="s">
        <v>17</v>
      </c>
      <c r="D94" t="s">
        <v>17</v>
      </c>
      <c r="F94" s="2"/>
      <c r="G94" s="2"/>
      <c r="H94" s="2"/>
      <c r="I94" s="2"/>
    </row>
    <row r="95" spans="1:11" x14ac:dyDescent="0.3">
      <c r="A95" s="4">
        <v>85</v>
      </c>
      <c r="B95" s="2">
        <v>7932805</v>
      </c>
      <c r="C95" s="2">
        <v>7932805</v>
      </c>
      <c r="D95" s="2">
        <v>7932805</v>
      </c>
      <c r="E95" s="2"/>
      <c r="F95" s="2"/>
      <c r="G95" s="2"/>
      <c r="H95" s="2"/>
      <c r="I95" s="2"/>
    </row>
    <row r="96" spans="1:11" x14ac:dyDescent="0.3">
      <c r="A96" s="4">
        <v>86</v>
      </c>
      <c r="B96" s="2">
        <v>2986.92</v>
      </c>
      <c r="C96" s="2">
        <v>2817.08</v>
      </c>
      <c r="D96" s="2">
        <v>2837.16</v>
      </c>
      <c r="E96" s="2"/>
      <c r="F96" s="5"/>
      <c r="G96" s="5"/>
      <c r="H96" s="5"/>
      <c r="I96" s="5"/>
    </row>
    <row r="97" spans="1:11" x14ac:dyDescent="0.3">
      <c r="A97" s="4">
        <v>87</v>
      </c>
      <c r="B97" s="2">
        <v>23694654</v>
      </c>
      <c r="C97" s="2">
        <v>22347347</v>
      </c>
      <c r="D97" s="2">
        <v>22506638</v>
      </c>
      <c r="E97" s="2"/>
    </row>
    <row r="98" spans="1:11" x14ac:dyDescent="0.3">
      <c r="A98" s="4">
        <v>88</v>
      </c>
      <c r="B98" s="2">
        <v>22780000</v>
      </c>
      <c r="C98" s="2">
        <v>22780000</v>
      </c>
      <c r="D98" s="2">
        <v>22780000</v>
      </c>
      <c r="E98" s="2"/>
      <c r="K98" s="2"/>
    </row>
    <row r="99" spans="1:11" x14ac:dyDescent="0.3">
      <c r="A99" s="4">
        <v>89</v>
      </c>
      <c r="B99" s="2">
        <v>22780000</v>
      </c>
      <c r="C99" s="2">
        <v>22780000</v>
      </c>
      <c r="D99" s="2">
        <v>22780000</v>
      </c>
      <c r="K99" s="2"/>
    </row>
    <row r="100" spans="1:11" x14ac:dyDescent="0.3">
      <c r="A100" s="4">
        <v>90</v>
      </c>
      <c r="B100" s="2">
        <v>0</v>
      </c>
      <c r="C100">
        <v>0</v>
      </c>
      <c r="D100">
        <v>0</v>
      </c>
      <c r="K100" s="2"/>
    </row>
    <row r="101" spans="1:11" x14ac:dyDescent="0.3">
      <c r="A101" s="4">
        <v>91</v>
      </c>
      <c r="B101" s="2">
        <v>0</v>
      </c>
      <c r="C101" s="2">
        <v>0</v>
      </c>
      <c r="D101">
        <v>0</v>
      </c>
      <c r="F101" s="3"/>
      <c r="G101" s="3"/>
      <c r="H101" s="3"/>
      <c r="I101" s="3"/>
      <c r="K101" s="2"/>
    </row>
    <row r="102" spans="1:11" x14ac:dyDescent="0.3">
      <c r="A102" s="4">
        <v>92</v>
      </c>
      <c r="B102" s="5" t="s">
        <v>159</v>
      </c>
      <c r="C102" s="3" t="s">
        <v>159</v>
      </c>
      <c r="D102" t="s">
        <v>159</v>
      </c>
      <c r="F102" s="2"/>
      <c r="G102" s="2"/>
      <c r="H102" s="2"/>
      <c r="I102" s="2"/>
      <c r="K102" s="5"/>
    </row>
    <row r="103" spans="1:11" x14ac:dyDescent="0.3">
      <c r="A103" s="4">
        <v>93</v>
      </c>
      <c r="B103" t="s">
        <v>159</v>
      </c>
      <c r="C103" s="3" t="s">
        <v>159</v>
      </c>
      <c r="D103" t="s">
        <v>159</v>
      </c>
      <c r="F103" s="2"/>
      <c r="G103" s="2"/>
      <c r="H103" s="2"/>
      <c r="I103" s="2"/>
    </row>
    <row r="104" spans="1:11" x14ac:dyDescent="0.3">
      <c r="A104" s="4">
        <v>94</v>
      </c>
      <c r="B104">
        <v>4.0149999999999997</v>
      </c>
      <c r="C104" s="2">
        <v>-1.899</v>
      </c>
      <c r="D104">
        <v>-1.2</v>
      </c>
      <c r="F104" s="2"/>
      <c r="G104" s="2"/>
      <c r="H104" s="2"/>
      <c r="I104" s="2"/>
    </row>
    <row r="105" spans="1:11" x14ac:dyDescent="0.3">
      <c r="A105" s="4">
        <v>95</v>
      </c>
      <c r="B105" s="2" t="s">
        <v>160</v>
      </c>
      <c r="C105" s="2" t="s">
        <v>160</v>
      </c>
      <c r="D105" t="s">
        <v>160</v>
      </c>
      <c r="F105" s="5"/>
      <c r="G105" s="5"/>
      <c r="H105" s="5"/>
      <c r="I105" s="5"/>
      <c r="K105" s="2"/>
    </row>
    <row r="106" spans="1:11" x14ac:dyDescent="0.3">
      <c r="A106" s="4">
        <v>96</v>
      </c>
      <c r="B106" s="2" t="s">
        <v>18</v>
      </c>
      <c r="C106" s="5" t="s">
        <v>20</v>
      </c>
      <c r="D106" t="s">
        <v>20</v>
      </c>
      <c r="K106" s="2"/>
    </row>
    <row r="107" spans="1:11" x14ac:dyDescent="0.3">
      <c r="A107" s="4">
        <v>97</v>
      </c>
      <c r="B107" s="2">
        <v>228</v>
      </c>
      <c r="C107" s="2">
        <v>1410</v>
      </c>
      <c r="D107" s="2">
        <v>1410</v>
      </c>
      <c r="E107" s="2"/>
    </row>
    <row r="108" spans="1:11" x14ac:dyDescent="0.3">
      <c r="A108" s="4">
        <v>98</v>
      </c>
      <c r="B108" s="2">
        <v>27185</v>
      </c>
      <c r="C108" s="2">
        <v>7680</v>
      </c>
      <c r="D108" s="2">
        <v>7850</v>
      </c>
      <c r="E108" s="2"/>
    </row>
    <row r="109" spans="1:11" x14ac:dyDescent="0.3">
      <c r="A109" s="4">
        <v>99</v>
      </c>
      <c r="B109" s="2">
        <v>6198180</v>
      </c>
      <c r="C109" s="2">
        <v>10828800</v>
      </c>
      <c r="D109" s="2">
        <v>11068500</v>
      </c>
      <c r="F109" s="2"/>
      <c r="G109" s="2"/>
      <c r="H109" s="2"/>
    </row>
    <row r="110" spans="1:11" x14ac:dyDescent="0.3">
      <c r="A110" s="4">
        <v>100</v>
      </c>
      <c r="B110" s="2">
        <v>6144600</v>
      </c>
      <c r="C110" s="2">
        <v>11611350</v>
      </c>
      <c r="D110" s="2">
        <v>11611350</v>
      </c>
      <c r="F110" s="2"/>
      <c r="G110" s="2"/>
      <c r="H110" s="2"/>
      <c r="I110" s="3"/>
    </row>
    <row r="111" spans="1:11" x14ac:dyDescent="0.3">
      <c r="A111" s="4">
        <v>101</v>
      </c>
      <c r="B111" s="2">
        <v>0</v>
      </c>
      <c r="C111">
        <v>0</v>
      </c>
      <c r="D111">
        <v>0</v>
      </c>
      <c r="F111" s="2"/>
      <c r="G111" s="2"/>
      <c r="H111" s="2"/>
      <c r="I111" s="2"/>
    </row>
    <row r="112" spans="1:11" x14ac:dyDescent="0.3">
      <c r="A112" s="4">
        <v>102</v>
      </c>
      <c r="B112">
        <v>0</v>
      </c>
      <c r="C112">
        <v>0</v>
      </c>
      <c r="D112">
        <v>0</v>
      </c>
      <c r="F112" s="2"/>
      <c r="G112" s="2"/>
      <c r="H112" s="2"/>
      <c r="I112" s="2"/>
    </row>
    <row r="113" spans="1:9" x14ac:dyDescent="0.3">
      <c r="A113" s="4">
        <v>103</v>
      </c>
      <c r="B113">
        <v>0</v>
      </c>
      <c r="C113">
        <v>0</v>
      </c>
      <c r="D113">
        <v>0</v>
      </c>
      <c r="F113" s="2"/>
      <c r="G113" s="2"/>
      <c r="H113" s="2"/>
      <c r="I113" s="2"/>
    </row>
    <row r="114" spans="1:9" x14ac:dyDescent="0.3">
      <c r="A114" s="4">
        <v>104</v>
      </c>
      <c r="B114" s="2" t="s">
        <v>159</v>
      </c>
      <c r="C114" t="s">
        <v>159</v>
      </c>
      <c r="D114" t="s">
        <v>159</v>
      </c>
      <c r="F114" s="5"/>
      <c r="G114" s="5"/>
      <c r="H114" s="5"/>
      <c r="I114" s="5"/>
    </row>
    <row r="115" spans="1:9" x14ac:dyDescent="0.3">
      <c r="A115" s="4">
        <v>105</v>
      </c>
      <c r="B115" s="2" t="s">
        <v>159</v>
      </c>
      <c r="C115" s="2" t="s">
        <v>159</v>
      </c>
      <c r="D115" t="s">
        <v>159</v>
      </c>
    </row>
    <row r="116" spans="1:9" x14ac:dyDescent="0.3">
      <c r="A116" s="4">
        <v>106</v>
      </c>
      <c r="B116" s="2">
        <v>0.872</v>
      </c>
      <c r="C116">
        <v>-6.74</v>
      </c>
      <c r="D116">
        <v>-4.6749999999999998</v>
      </c>
      <c r="F116" s="2"/>
      <c r="G116" s="2"/>
      <c r="H116" s="2"/>
    </row>
    <row r="117" spans="1:9" x14ac:dyDescent="0.3">
      <c r="A117" s="4">
        <v>107</v>
      </c>
      <c r="B117" s="2" t="s">
        <v>160</v>
      </c>
      <c r="C117" s="3" t="s">
        <v>161</v>
      </c>
      <c r="D117" t="s">
        <v>161</v>
      </c>
      <c r="F117" s="2"/>
      <c r="G117" s="2"/>
      <c r="H117" s="2"/>
    </row>
    <row r="118" spans="1:9" x14ac:dyDescent="0.3">
      <c r="A118" s="4">
        <v>108</v>
      </c>
      <c r="B118" s="2" t="s">
        <v>19</v>
      </c>
      <c r="C118" s="2" t="s">
        <v>21</v>
      </c>
      <c r="D118" t="s">
        <v>21</v>
      </c>
      <c r="I118" s="2"/>
    </row>
    <row r="119" spans="1:9" x14ac:dyDescent="0.3">
      <c r="A119" s="4">
        <v>109</v>
      </c>
      <c r="B119" s="2">
        <v>201</v>
      </c>
      <c r="C119" s="2">
        <v>0</v>
      </c>
      <c r="D119">
        <v>0</v>
      </c>
      <c r="I119" s="2"/>
    </row>
    <row r="120" spans="1:9" x14ac:dyDescent="0.3">
      <c r="A120" s="4">
        <v>110</v>
      </c>
      <c r="B120" s="2">
        <v>34405</v>
      </c>
      <c r="C120" s="5">
        <v>0</v>
      </c>
      <c r="D120">
        <v>0</v>
      </c>
      <c r="I120" s="2"/>
    </row>
    <row r="121" spans="1:9" x14ac:dyDescent="0.3">
      <c r="A121" s="4">
        <v>111</v>
      </c>
      <c r="B121" s="2">
        <v>6915405</v>
      </c>
      <c r="C121" s="2">
        <v>10346067</v>
      </c>
      <c r="D121" s="2">
        <v>10040082</v>
      </c>
      <c r="G121" s="2"/>
      <c r="H121" s="2"/>
      <c r="I121" s="2"/>
    </row>
    <row r="122" spans="1:9" x14ac:dyDescent="0.3">
      <c r="A122" s="4">
        <v>112</v>
      </c>
      <c r="B122" s="2">
        <v>7363635</v>
      </c>
      <c r="C122" s="2">
        <v>10346067</v>
      </c>
      <c r="D122" s="2">
        <v>10040082</v>
      </c>
      <c r="I122" s="2"/>
    </row>
    <row r="123" spans="1:9" x14ac:dyDescent="0.3">
      <c r="A123" s="4">
        <v>113</v>
      </c>
      <c r="B123">
        <v>0</v>
      </c>
      <c r="C123" s="2">
        <v>0</v>
      </c>
      <c r="D123">
        <v>0</v>
      </c>
      <c r="I123" s="5"/>
    </row>
    <row r="124" spans="1:9" x14ac:dyDescent="0.3">
      <c r="A124" s="4">
        <v>114</v>
      </c>
      <c r="B124">
        <v>0</v>
      </c>
      <c r="C124" s="2">
        <v>0</v>
      </c>
      <c r="D124">
        <v>0</v>
      </c>
      <c r="G124" s="2"/>
      <c r="H124" s="2"/>
    </row>
    <row r="125" spans="1:9" x14ac:dyDescent="0.3">
      <c r="A125" s="4">
        <v>115</v>
      </c>
      <c r="B125">
        <v>0</v>
      </c>
      <c r="C125">
        <v>0</v>
      </c>
      <c r="D125">
        <v>0</v>
      </c>
      <c r="I125" s="2"/>
    </row>
    <row r="126" spans="1:9" x14ac:dyDescent="0.3">
      <c r="A126" s="4">
        <v>116</v>
      </c>
      <c r="B126" t="s">
        <v>159</v>
      </c>
      <c r="C126" t="s">
        <v>159</v>
      </c>
      <c r="D126" t="s">
        <v>159</v>
      </c>
      <c r="G126" s="6"/>
      <c r="H126" s="6"/>
      <c r="I126" s="2"/>
    </row>
    <row r="127" spans="1:9" x14ac:dyDescent="0.3">
      <c r="A127" s="4">
        <v>117</v>
      </c>
      <c r="B127" s="2" t="s">
        <v>159</v>
      </c>
      <c r="C127" t="s">
        <v>159</v>
      </c>
      <c r="D127" t="s">
        <v>159</v>
      </c>
    </row>
    <row r="128" spans="1:9" x14ac:dyDescent="0.3">
      <c r="A128" s="4">
        <v>118</v>
      </c>
      <c r="B128" s="2">
        <v>-6.0869999999999997</v>
      </c>
      <c r="C128">
        <v>0</v>
      </c>
      <c r="D128">
        <v>0</v>
      </c>
      <c r="G128" s="2"/>
      <c r="H128" s="2"/>
    </row>
    <row r="129" spans="1:9" x14ac:dyDescent="0.3">
      <c r="A129" s="4">
        <v>119</v>
      </c>
      <c r="B129" t="s">
        <v>160</v>
      </c>
      <c r="C129" s="2"/>
    </row>
    <row r="130" spans="1:9" x14ac:dyDescent="0.3">
      <c r="A130" s="4">
        <v>120</v>
      </c>
      <c r="B130" t="s">
        <v>20</v>
      </c>
      <c r="I130" s="2"/>
    </row>
    <row r="131" spans="1:9" x14ac:dyDescent="0.3">
      <c r="A131" s="4">
        <v>121</v>
      </c>
      <c r="B131" s="2">
        <v>1410</v>
      </c>
    </row>
    <row r="132" spans="1:9" x14ac:dyDescent="0.3">
      <c r="A132" s="4">
        <v>122</v>
      </c>
      <c r="B132" s="2">
        <v>7635</v>
      </c>
      <c r="C132" s="2"/>
    </row>
    <row r="133" spans="1:9" x14ac:dyDescent="0.3">
      <c r="A133" s="4">
        <v>123</v>
      </c>
      <c r="B133" s="2">
        <v>10765350</v>
      </c>
      <c r="I133" s="2"/>
    </row>
    <row r="134" spans="1:9" x14ac:dyDescent="0.3">
      <c r="A134" s="4">
        <v>124</v>
      </c>
      <c r="B134" s="2">
        <v>11611350</v>
      </c>
      <c r="C134" s="6"/>
    </row>
    <row r="135" spans="1:9" x14ac:dyDescent="0.3">
      <c r="A135" s="4">
        <v>125</v>
      </c>
      <c r="B135">
        <v>0</v>
      </c>
      <c r="I135" s="6"/>
    </row>
    <row r="136" spans="1:9" x14ac:dyDescent="0.3">
      <c r="A136" s="4">
        <v>126</v>
      </c>
      <c r="B136">
        <v>0</v>
      </c>
    </row>
    <row r="137" spans="1:9" x14ac:dyDescent="0.3">
      <c r="A137" s="4">
        <v>127</v>
      </c>
      <c r="B137">
        <v>0</v>
      </c>
      <c r="C137" s="2"/>
      <c r="I137" s="2"/>
    </row>
    <row r="138" spans="1:9" x14ac:dyDescent="0.3">
      <c r="A138" s="4">
        <v>128</v>
      </c>
      <c r="B138" t="s">
        <v>159</v>
      </c>
    </row>
    <row r="139" spans="1:9" x14ac:dyDescent="0.3">
      <c r="A139" s="4">
        <v>129</v>
      </c>
      <c r="B139" t="s">
        <v>159</v>
      </c>
    </row>
    <row r="140" spans="1:9" x14ac:dyDescent="0.3">
      <c r="A140" s="4">
        <v>130</v>
      </c>
      <c r="B140">
        <v>-7.2859999999999996</v>
      </c>
    </row>
    <row r="141" spans="1:9" x14ac:dyDescent="0.3">
      <c r="A141" s="4">
        <v>131</v>
      </c>
      <c r="B141" t="s">
        <v>161</v>
      </c>
    </row>
    <row r="142" spans="1:9" x14ac:dyDescent="0.3">
      <c r="A142" s="4">
        <v>132</v>
      </c>
      <c r="B142" t="s">
        <v>21</v>
      </c>
    </row>
    <row r="143" spans="1:9" x14ac:dyDescent="0.3">
      <c r="A143" s="4">
        <v>133</v>
      </c>
      <c r="B143">
        <v>0</v>
      </c>
    </row>
    <row r="144" spans="1:9" x14ac:dyDescent="0.3">
      <c r="A144" s="4">
        <v>134</v>
      </c>
      <c r="B144">
        <v>0</v>
      </c>
    </row>
    <row r="145" spans="1:2" x14ac:dyDescent="0.3">
      <c r="A145" s="4">
        <v>135</v>
      </c>
      <c r="B145" s="2">
        <v>513297</v>
      </c>
    </row>
    <row r="146" spans="1:2" x14ac:dyDescent="0.3">
      <c r="A146" s="4">
        <v>136</v>
      </c>
      <c r="B146" s="2">
        <v>513297</v>
      </c>
    </row>
    <row r="147" spans="1:2" x14ac:dyDescent="0.3">
      <c r="A147" s="4">
        <v>137</v>
      </c>
      <c r="B147">
        <v>0</v>
      </c>
    </row>
    <row r="148" spans="1:2" x14ac:dyDescent="0.3">
      <c r="A148" s="4">
        <v>138</v>
      </c>
      <c r="B148">
        <v>0</v>
      </c>
    </row>
    <row r="149" spans="1:2" x14ac:dyDescent="0.3">
      <c r="A149" s="4">
        <v>139</v>
      </c>
      <c r="B149">
        <v>0</v>
      </c>
    </row>
    <row r="150" spans="1:2" x14ac:dyDescent="0.3">
      <c r="A150" s="4">
        <v>140</v>
      </c>
      <c r="B150" t="s">
        <v>159</v>
      </c>
    </row>
    <row r="151" spans="1:2" x14ac:dyDescent="0.3">
      <c r="A151" s="4">
        <v>141</v>
      </c>
      <c r="B151" t="s">
        <v>159</v>
      </c>
    </row>
    <row r="152" spans="1:2" x14ac:dyDescent="0.3">
      <c r="A152" s="4">
        <v>142</v>
      </c>
      <c r="B152">
        <v>0</v>
      </c>
    </row>
    <row r="153" spans="1:2" x14ac:dyDescent="0.3">
      <c r="A153" s="4">
        <v>143</v>
      </c>
    </row>
    <row r="154" spans="1:2" x14ac:dyDescent="0.3">
      <c r="A154" s="4">
        <v>144</v>
      </c>
    </row>
    <row r="155" spans="1:2" x14ac:dyDescent="0.3">
      <c r="A155" s="4">
        <v>145</v>
      </c>
    </row>
    <row r="156" spans="1:2" x14ac:dyDescent="0.3">
      <c r="A156" s="4">
        <v>146</v>
      </c>
    </row>
    <row r="157" spans="1:2" x14ac:dyDescent="0.3">
      <c r="A157" s="4">
        <v>147</v>
      </c>
    </row>
    <row r="158" spans="1:2" x14ac:dyDescent="0.3">
      <c r="A158" s="4">
        <v>148</v>
      </c>
    </row>
    <row r="159" spans="1:2" x14ac:dyDescent="0.3">
      <c r="A159" s="4">
        <v>149</v>
      </c>
    </row>
    <row r="160" spans="1:2" x14ac:dyDescent="0.3">
      <c r="A160" s="4">
        <v>150</v>
      </c>
    </row>
    <row r="161" spans="1:1" x14ac:dyDescent="0.3">
      <c r="A161" s="4">
        <v>151</v>
      </c>
    </row>
    <row r="162" spans="1:1" x14ac:dyDescent="0.3">
      <c r="A162" s="4">
        <v>152</v>
      </c>
    </row>
    <row r="163" spans="1:1" x14ac:dyDescent="0.3">
      <c r="A163" s="4">
        <v>153</v>
      </c>
    </row>
    <row r="164" spans="1:1" x14ac:dyDescent="0.3">
      <c r="A164" s="4">
        <v>154</v>
      </c>
    </row>
    <row r="165" spans="1:1" x14ac:dyDescent="0.3">
      <c r="A165" s="4">
        <v>155</v>
      </c>
    </row>
    <row r="166" spans="1:1" x14ac:dyDescent="0.3">
      <c r="A166" s="4">
        <v>156</v>
      </c>
    </row>
    <row r="167" spans="1:1" x14ac:dyDescent="0.3">
      <c r="A167" s="4">
        <v>157</v>
      </c>
    </row>
    <row r="168" spans="1:1" x14ac:dyDescent="0.3">
      <c r="A168" s="4">
        <v>158</v>
      </c>
    </row>
    <row r="169" spans="1:1" x14ac:dyDescent="0.3">
      <c r="A169" s="4">
        <v>159</v>
      </c>
    </row>
    <row r="170" spans="1:1" x14ac:dyDescent="0.3">
      <c r="A170" s="4">
        <v>160</v>
      </c>
    </row>
    <row r="171" spans="1:1" x14ac:dyDescent="0.3">
      <c r="A171" s="4">
        <v>161</v>
      </c>
    </row>
    <row r="172" spans="1:1" x14ac:dyDescent="0.3">
      <c r="A172" s="4">
        <v>162</v>
      </c>
    </row>
    <row r="173" spans="1:1" x14ac:dyDescent="0.3">
      <c r="A173" s="4">
        <v>163</v>
      </c>
    </row>
    <row r="174" spans="1:1" x14ac:dyDescent="0.3">
      <c r="A174" s="4">
        <v>164</v>
      </c>
    </row>
    <row r="175" spans="1:1" x14ac:dyDescent="0.3">
      <c r="A175" s="4">
        <v>165</v>
      </c>
    </row>
    <row r="176" spans="1:1" x14ac:dyDescent="0.3">
      <c r="A176" s="4">
        <v>166</v>
      </c>
    </row>
    <row r="177" spans="1:1" x14ac:dyDescent="0.3">
      <c r="A177" s="4">
        <v>167</v>
      </c>
    </row>
    <row r="178" spans="1:1" x14ac:dyDescent="0.3">
      <c r="A178" s="4">
        <v>168</v>
      </c>
    </row>
    <row r="179" spans="1:1" x14ac:dyDescent="0.3">
      <c r="A179" s="4">
        <v>169</v>
      </c>
    </row>
    <row r="180" spans="1:1" x14ac:dyDescent="0.3">
      <c r="A180" s="4">
        <v>170</v>
      </c>
    </row>
    <row r="181" spans="1:1" x14ac:dyDescent="0.3">
      <c r="A181" s="4">
        <v>171</v>
      </c>
    </row>
    <row r="182" spans="1:1" x14ac:dyDescent="0.3">
      <c r="A182" s="4">
        <v>172</v>
      </c>
    </row>
    <row r="183" spans="1:1" x14ac:dyDescent="0.3">
      <c r="A183" s="4">
        <v>173</v>
      </c>
    </row>
    <row r="184" spans="1:1" x14ac:dyDescent="0.3">
      <c r="A184" s="4">
        <v>174</v>
      </c>
    </row>
    <row r="185" spans="1:1" x14ac:dyDescent="0.3">
      <c r="A185" s="4">
        <v>175</v>
      </c>
    </row>
    <row r="186" spans="1:1" x14ac:dyDescent="0.3">
      <c r="A186" s="4">
        <v>176</v>
      </c>
    </row>
    <row r="187" spans="1:1" x14ac:dyDescent="0.3">
      <c r="A187" s="4">
        <v>177</v>
      </c>
    </row>
    <row r="188" spans="1:1" x14ac:dyDescent="0.3">
      <c r="A188" s="4">
        <v>178</v>
      </c>
    </row>
    <row r="189" spans="1:1" x14ac:dyDescent="0.3">
      <c r="A189" s="4">
        <v>179</v>
      </c>
    </row>
    <row r="190" spans="1:1" x14ac:dyDescent="0.3">
      <c r="A190" s="4">
        <v>180</v>
      </c>
    </row>
    <row r="191" spans="1:1" x14ac:dyDescent="0.3">
      <c r="A191" s="4">
        <v>181</v>
      </c>
    </row>
    <row r="192" spans="1:1" x14ac:dyDescent="0.3">
      <c r="A192" s="4">
        <v>182</v>
      </c>
    </row>
    <row r="193" spans="1:1" x14ac:dyDescent="0.3">
      <c r="A193" s="4">
        <v>183</v>
      </c>
    </row>
    <row r="194" spans="1:1" x14ac:dyDescent="0.3">
      <c r="A194" s="4">
        <v>184</v>
      </c>
    </row>
    <row r="195" spans="1:1" x14ac:dyDescent="0.3">
      <c r="A195" s="4">
        <v>185</v>
      </c>
    </row>
    <row r="196" spans="1:1" x14ac:dyDescent="0.3">
      <c r="A196" s="4">
        <v>186</v>
      </c>
    </row>
    <row r="197" spans="1:1" x14ac:dyDescent="0.3">
      <c r="A197" s="4">
        <v>187</v>
      </c>
    </row>
    <row r="198" spans="1:1" x14ac:dyDescent="0.3">
      <c r="A198" s="4">
        <v>188</v>
      </c>
    </row>
    <row r="199" spans="1:1" x14ac:dyDescent="0.3">
      <c r="A199" s="4">
        <v>189</v>
      </c>
    </row>
    <row r="200" spans="1:1" x14ac:dyDescent="0.3">
      <c r="A200" s="4">
        <v>190</v>
      </c>
    </row>
    <row r="201" spans="1:1" x14ac:dyDescent="0.3">
      <c r="A201" s="4">
        <v>191</v>
      </c>
    </row>
    <row r="202" spans="1:1" x14ac:dyDescent="0.3">
      <c r="A202" s="4">
        <v>192</v>
      </c>
    </row>
    <row r="203" spans="1:1" x14ac:dyDescent="0.3">
      <c r="A203" s="4">
        <v>193</v>
      </c>
    </row>
    <row r="204" spans="1:1" x14ac:dyDescent="0.3">
      <c r="A204" s="4">
        <v>194</v>
      </c>
    </row>
    <row r="205" spans="1:1" x14ac:dyDescent="0.3">
      <c r="A205" s="4">
        <v>195</v>
      </c>
    </row>
    <row r="206" spans="1:1" x14ac:dyDescent="0.3">
      <c r="A206" s="4">
        <v>196</v>
      </c>
    </row>
    <row r="207" spans="1:1" x14ac:dyDescent="0.3">
      <c r="A207" s="4">
        <v>197</v>
      </c>
    </row>
    <row r="208" spans="1:1" x14ac:dyDescent="0.3">
      <c r="A208" s="4">
        <v>198</v>
      </c>
    </row>
    <row r="209" spans="1:1" x14ac:dyDescent="0.3">
      <c r="A209" s="4">
        <v>199</v>
      </c>
    </row>
    <row r="210" spans="1:1" x14ac:dyDescent="0.3">
      <c r="A210" s="4">
        <v>200</v>
      </c>
    </row>
  </sheetData>
  <mergeCells count="10">
    <mergeCell ref="A1:B1"/>
    <mergeCell ref="C1:D1"/>
    <mergeCell ref="A5:B5"/>
    <mergeCell ref="A2:B2"/>
    <mergeCell ref="A3:B3"/>
    <mergeCell ref="A4:B4"/>
    <mergeCell ref="C2:D2"/>
    <mergeCell ref="C3:D3"/>
    <mergeCell ref="C4:D4"/>
    <mergeCell ref="C5:E5"/>
  </mergeCells>
  <phoneticPr fontId="3" type="noConversion"/>
  <dataValidations count="2">
    <dataValidation type="list" allowBlank="1" showInputMessage="1" showErrorMessage="1" sqref="T7:AO7" xr:uid="{799F9AF3-62C4-430E-B279-7CFCFADF78CE}">
      <formula1>"연금저축, IRP, 퇴직연금"</formula1>
    </dataValidation>
    <dataValidation type="list" allowBlank="1" showInputMessage="1" showErrorMessage="1" sqref="B7:S7" xr:uid="{E89462D8-CD41-4B34-9E4C-48C476A93410}">
      <formula1>상품종류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47CC-6D7D-4886-8915-E5440F924F03}">
  <sheetPr>
    <tabColor theme="5" tint="0.79998168889431442"/>
  </sheetPr>
  <dimension ref="A3:FO399"/>
  <sheetViews>
    <sheetView zoomScale="70" zoomScaleNormal="70" workbookViewId="0">
      <selection activeCell="D24" sqref="D24"/>
    </sheetView>
  </sheetViews>
  <sheetFormatPr defaultRowHeight="16.5" x14ac:dyDescent="0.3"/>
  <cols>
    <col min="1" max="1" width="9" style="4"/>
    <col min="2" max="2" width="12" style="11" customWidth="1"/>
    <col min="3" max="3" width="14.125" customWidth="1"/>
    <col min="4" max="5" width="14.125" style="20" customWidth="1"/>
    <col min="6" max="6" width="14" style="20" customWidth="1"/>
    <col min="7" max="7" width="13.75" style="20" customWidth="1"/>
    <col min="8" max="8" width="13" style="20" customWidth="1"/>
    <col min="9" max="9" width="12.25" style="20" customWidth="1"/>
    <col min="10" max="10" width="13" style="20" bestFit="1" customWidth="1"/>
    <col min="11" max="11" width="9.75" style="14" customWidth="1"/>
    <col min="12" max="12" width="11" bestFit="1" customWidth="1"/>
    <col min="13" max="13" width="30.375" bestFit="1" customWidth="1"/>
    <col min="14" max="14" width="13" bestFit="1" customWidth="1"/>
    <col min="15" max="15" width="13" style="20" bestFit="1" customWidth="1"/>
    <col min="16" max="17" width="9.25" style="20" bestFit="1" customWidth="1"/>
    <col min="18" max="19" width="13" style="20" bestFit="1" customWidth="1"/>
    <col min="20" max="20" width="7.5" style="14" bestFit="1" customWidth="1"/>
    <col min="21" max="21" width="12.25" style="11" bestFit="1" customWidth="1"/>
    <col min="22" max="22" width="9.25" bestFit="1" customWidth="1"/>
    <col min="23" max="23" width="43.25" bestFit="1" customWidth="1"/>
    <col min="24" max="24" width="13" bestFit="1" customWidth="1"/>
    <col min="25" max="25" width="13" style="20" bestFit="1" customWidth="1"/>
    <col min="26" max="27" width="10.25" style="20" bestFit="1" customWidth="1"/>
    <col min="28" max="28" width="13" style="20" bestFit="1" customWidth="1"/>
    <col min="29" max="29" width="11.75" style="20" bestFit="1" customWidth="1"/>
    <col min="30" max="30" width="7.5" style="14" bestFit="1" customWidth="1"/>
    <col min="31" max="31" width="7.5" style="11" bestFit="1" customWidth="1"/>
    <col min="32" max="32" width="9.25" bestFit="1" customWidth="1"/>
    <col min="33" max="33" width="26.75" bestFit="1" customWidth="1"/>
    <col min="34" max="34" width="9.75" bestFit="1" customWidth="1"/>
    <col min="35" max="35" width="10.625" style="20" bestFit="1" customWidth="1"/>
    <col min="36" max="37" width="9.25" style="20" bestFit="1" customWidth="1"/>
    <col min="38" max="38" width="11.75" style="20" bestFit="1" customWidth="1"/>
    <col min="39" max="39" width="10.625" style="20" bestFit="1" customWidth="1"/>
    <col min="40" max="40" width="8.5" style="14" bestFit="1" customWidth="1"/>
    <col min="41" max="41" width="7.5" style="11" bestFit="1" customWidth="1"/>
    <col min="42" max="42" width="9.25" bestFit="1" customWidth="1"/>
    <col min="43" max="43" width="22.125" bestFit="1" customWidth="1"/>
    <col min="44" max="44" width="9.75" bestFit="1" customWidth="1"/>
    <col min="45" max="45" width="10.625" style="20" bestFit="1" customWidth="1"/>
    <col min="46" max="47" width="9.25" style="20" bestFit="1" customWidth="1"/>
    <col min="48" max="48" width="11.75" style="20" bestFit="1" customWidth="1"/>
    <col min="49" max="49" width="10.625" style="20" bestFit="1" customWidth="1"/>
    <col min="50" max="50" width="8.5" style="14" bestFit="1" customWidth="1"/>
    <col min="51" max="51" width="7.5" style="11" bestFit="1" customWidth="1"/>
    <col min="52" max="52" width="9.25" bestFit="1" customWidth="1"/>
    <col min="53" max="53" width="21.625" bestFit="1" customWidth="1"/>
    <col min="54" max="54" width="9.75" bestFit="1" customWidth="1"/>
    <col min="55" max="55" width="10.625" style="20" bestFit="1" customWidth="1"/>
    <col min="56" max="57" width="9.25" style="20" bestFit="1" customWidth="1"/>
    <col min="58" max="58" width="11.75" style="20" bestFit="1" customWidth="1"/>
    <col min="59" max="59" width="10.625" style="20" bestFit="1" customWidth="1"/>
    <col min="60" max="60" width="8.5" style="14" bestFit="1" customWidth="1"/>
    <col min="61" max="61" width="7.5" style="11" bestFit="1" customWidth="1"/>
    <col min="62" max="62" width="9.25" bestFit="1" customWidth="1"/>
    <col min="63" max="63" width="27" bestFit="1" customWidth="1"/>
    <col min="64" max="64" width="9.75" bestFit="1" customWidth="1"/>
    <col min="65" max="65" width="10.625" style="20" bestFit="1" customWidth="1"/>
    <col min="66" max="67" width="9.25" style="20" bestFit="1" customWidth="1"/>
    <col min="68" max="68" width="11.75" style="20" bestFit="1" customWidth="1"/>
    <col min="69" max="69" width="10.625" style="20" bestFit="1" customWidth="1"/>
    <col min="70" max="70" width="8.5" style="14" bestFit="1" customWidth="1"/>
    <col min="71" max="71" width="7.5" style="11" bestFit="1" customWidth="1"/>
    <col min="72" max="72" width="9.25" bestFit="1" customWidth="1"/>
    <col min="73" max="73" width="39.125" bestFit="1" customWidth="1"/>
    <col min="74" max="74" width="9.75" bestFit="1" customWidth="1"/>
    <col min="75" max="75" width="10.625" style="20" bestFit="1" customWidth="1"/>
    <col min="76" max="77" width="8.875" style="20" bestFit="1" customWidth="1"/>
    <col min="78" max="78" width="11.75" style="20" bestFit="1" customWidth="1"/>
    <col min="79" max="79" width="10.625" style="20" bestFit="1" customWidth="1"/>
    <col min="80" max="80" width="8.5" style="14" bestFit="1" customWidth="1"/>
    <col min="81" max="81" width="7.5" style="11" bestFit="1" customWidth="1"/>
    <col min="82" max="82" width="9.25" bestFit="1" customWidth="1"/>
    <col min="83" max="83" width="25" bestFit="1" customWidth="1"/>
    <col min="84" max="84" width="9.75" bestFit="1" customWidth="1"/>
    <col min="85" max="85" width="10.625" style="20" bestFit="1" customWidth="1"/>
    <col min="86" max="87" width="9.25" style="20" bestFit="1" customWidth="1"/>
    <col min="88" max="88" width="11.75" style="20" bestFit="1" customWidth="1"/>
    <col min="89" max="89" width="10.625" style="20" bestFit="1" customWidth="1"/>
    <col min="90" max="90" width="8.5" style="14" bestFit="1" customWidth="1"/>
    <col min="91" max="91" width="7.5" style="11" bestFit="1" customWidth="1"/>
    <col min="92" max="92" width="9.25" bestFit="1" customWidth="1"/>
    <col min="93" max="93" width="24" bestFit="1" customWidth="1"/>
    <col min="94" max="94" width="9.75" bestFit="1" customWidth="1"/>
    <col min="95" max="95" width="10.625" style="20" bestFit="1" customWidth="1"/>
    <col min="96" max="97" width="9.25" style="20" bestFit="1" customWidth="1"/>
    <col min="98" max="98" width="13" style="20" bestFit="1" customWidth="1"/>
    <col min="99" max="99" width="10.625" style="20" bestFit="1" customWidth="1"/>
    <col min="100" max="100" width="9.25" style="14" bestFit="1" customWidth="1"/>
    <col min="101" max="101" width="7.5" style="11" bestFit="1" customWidth="1"/>
    <col min="102" max="102" width="11" bestFit="1" customWidth="1"/>
    <col min="103" max="103" width="7.5" bestFit="1" customWidth="1"/>
    <col min="104" max="104" width="11.75" style="20" bestFit="1" customWidth="1"/>
    <col min="105" max="105" width="10.625" style="20" bestFit="1" customWidth="1"/>
    <col min="106" max="106" width="8.875" style="20" bestFit="1" customWidth="1"/>
    <col min="107" max="107" width="11.75" style="20" bestFit="1" customWidth="1"/>
    <col min="108" max="109" width="10.625" style="20" bestFit="1" customWidth="1"/>
    <col min="110" max="110" width="7.5" style="14" bestFit="1" customWidth="1"/>
    <col min="111" max="111" width="7.5" style="11" bestFit="1" customWidth="1"/>
  </cols>
  <sheetData>
    <row r="3" spans="1:171" ht="25.5" customHeight="1" x14ac:dyDescent="0.3">
      <c r="A3" s="13" t="s">
        <v>39</v>
      </c>
      <c r="B3" s="56"/>
      <c r="C3" s="12"/>
      <c r="E3" s="45" t="s">
        <v>82</v>
      </c>
      <c r="F3" s="45" t="s">
        <v>23</v>
      </c>
    </row>
    <row r="5" spans="1:171" s="4" customFormat="1" x14ac:dyDescent="0.3">
      <c r="A5" s="15" t="s">
        <v>40</v>
      </c>
      <c r="B5" s="19" t="s">
        <v>41</v>
      </c>
      <c r="C5" s="15" t="s">
        <v>1</v>
      </c>
      <c r="D5" s="30" t="s">
        <v>70</v>
      </c>
      <c r="E5" s="30" t="s">
        <v>71</v>
      </c>
      <c r="F5" s="46" t="s">
        <v>24</v>
      </c>
      <c r="G5" s="46" t="s">
        <v>25</v>
      </c>
      <c r="H5" s="46" t="s">
        <v>9</v>
      </c>
      <c r="I5" s="46" t="s">
        <v>3</v>
      </c>
      <c r="J5" s="46" t="s">
        <v>4</v>
      </c>
      <c r="K5" s="47" t="s">
        <v>26</v>
      </c>
      <c r="L5" s="8" t="s">
        <v>46</v>
      </c>
      <c r="M5" s="22" t="s">
        <v>47</v>
      </c>
      <c r="N5" s="22" t="s">
        <v>48</v>
      </c>
      <c r="O5" s="35" t="s">
        <v>49</v>
      </c>
      <c r="P5" s="35" t="s">
        <v>50</v>
      </c>
      <c r="Q5" s="35" t="s">
        <v>51</v>
      </c>
      <c r="R5" s="35" t="s">
        <v>44</v>
      </c>
      <c r="S5" s="35" t="s">
        <v>45</v>
      </c>
      <c r="T5" s="36" t="s">
        <v>52</v>
      </c>
      <c r="U5" s="18" t="s">
        <v>57</v>
      </c>
      <c r="V5" s="7" t="s">
        <v>5</v>
      </c>
      <c r="W5" s="7" t="s">
        <v>6</v>
      </c>
      <c r="X5" s="7" t="s">
        <v>27</v>
      </c>
      <c r="Y5" s="46" t="s">
        <v>28</v>
      </c>
      <c r="Z5" s="46" t="s">
        <v>29</v>
      </c>
      <c r="AA5" s="46" t="s">
        <v>30</v>
      </c>
      <c r="AB5" s="46" t="s">
        <v>3</v>
      </c>
      <c r="AC5" s="46" t="s">
        <v>4</v>
      </c>
      <c r="AD5" s="47" t="s">
        <v>11</v>
      </c>
      <c r="AE5" s="48" t="s">
        <v>57</v>
      </c>
      <c r="AF5" s="8" t="s">
        <v>46</v>
      </c>
      <c r="AG5" s="8" t="s">
        <v>47</v>
      </c>
      <c r="AH5" s="8" t="s">
        <v>48</v>
      </c>
      <c r="AI5" s="49" t="s">
        <v>49</v>
      </c>
      <c r="AJ5" s="49" t="s">
        <v>50</v>
      </c>
      <c r="AK5" s="49" t="s">
        <v>51</v>
      </c>
      <c r="AL5" s="49" t="s">
        <v>44</v>
      </c>
      <c r="AM5" s="49" t="s">
        <v>45</v>
      </c>
      <c r="AN5" s="50" t="s">
        <v>52</v>
      </c>
      <c r="AO5" s="19" t="s">
        <v>57</v>
      </c>
      <c r="AP5" s="7" t="s">
        <v>5</v>
      </c>
      <c r="AQ5" s="7" t="s">
        <v>6</v>
      </c>
      <c r="AR5" s="7" t="s">
        <v>27</v>
      </c>
      <c r="AS5" s="46" t="s">
        <v>28</v>
      </c>
      <c r="AT5" s="46" t="s">
        <v>29</v>
      </c>
      <c r="AU5" s="46" t="s">
        <v>30</v>
      </c>
      <c r="AV5" s="46" t="s">
        <v>3</v>
      </c>
      <c r="AW5" s="46" t="s">
        <v>4</v>
      </c>
      <c r="AX5" s="47" t="s">
        <v>11</v>
      </c>
      <c r="AY5" s="48" t="s">
        <v>57</v>
      </c>
      <c r="AZ5" s="8" t="s">
        <v>46</v>
      </c>
      <c r="BA5" s="8" t="s">
        <v>47</v>
      </c>
      <c r="BB5" s="8" t="s">
        <v>48</v>
      </c>
      <c r="BC5" s="49" t="s">
        <v>49</v>
      </c>
      <c r="BD5" s="49" t="s">
        <v>50</v>
      </c>
      <c r="BE5" s="49" t="s">
        <v>51</v>
      </c>
      <c r="BF5" s="49" t="s">
        <v>44</v>
      </c>
      <c r="BG5" s="49" t="s">
        <v>45</v>
      </c>
      <c r="BH5" s="50" t="s">
        <v>52</v>
      </c>
      <c r="BI5" s="19" t="s">
        <v>57</v>
      </c>
      <c r="BJ5" s="7" t="s">
        <v>5</v>
      </c>
      <c r="BK5" s="7" t="s">
        <v>6</v>
      </c>
      <c r="BL5" s="7" t="s">
        <v>27</v>
      </c>
      <c r="BM5" s="46" t="s">
        <v>28</v>
      </c>
      <c r="BN5" s="46" t="s">
        <v>29</v>
      </c>
      <c r="BO5" s="46" t="s">
        <v>30</v>
      </c>
      <c r="BP5" s="46" t="s">
        <v>3</v>
      </c>
      <c r="BQ5" s="46" t="s">
        <v>4</v>
      </c>
      <c r="BR5" s="47" t="s">
        <v>11</v>
      </c>
      <c r="BS5" s="48" t="s">
        <v>57</v>
      </c>
      <c r="BT5" s="8" t="s">
        <v>46</v>
      </c>
      <c r="BU5" s="8" t="s">
        <v>47</v>
      </c>
      <c r="BV5" s="8" t="s">
        <v>48</v>
      </c>
      <c r="BW5" s="49" t="s">
        <v>49</v>
      </c>
      <c r="BX5" s="49" t="s">
        <v>50</v>
      </c>
      <c r="BY5" s="49" t="s">
        <v>51</v>
      </c>
      <c r="BZ5" s="49" t="s">
        <v>44</v>
      </c>
      <c r="CA5" s="49" t="s">
        <v>45</v>
      </c>
      <c r="CB5" s="50" t="s">
        <v>52</v>
      </c>
      <c r="CC5" s="19" t="s">
        <v>57</v>
      </c>
      <c r="CD5" s="7" t="s">
        <v>5</v>
      </c>
      <c r="CE5" s="7" t="s">
        <v>6</v>
      </c>
      <c r="CF5" s="7" t="s">
        <v>27</v>
      </c>
      <c r="CG5" s="46" t="s">
        <v>28</v>
      </c>
      <c r="CH5" s="46" t="s">
        <v>29</v>
      </c>
      <c r="CI5" s="46" t="s">
        <v>30</v>
      </c>
      <c r="CJ5" s="46" t="s">
        <v>3</v>
      </c>
      <c r="CK5" s="46" t="s">
        <v>4</v>
      </c>
      <c r="CL5" s="47" t="s">
        <v>11</v>
      </c>
      <c r="CM5" s="48" t="s">
        <v>57</v>
      </c>
      <c r="CN5" s="8" t="s">
        <v>46</v>
      </c>
      <c r="CO5" s="8" t="s">
        <v>47</v>
      </c>
      <c r="CP5" s="8" t="s">
        <v>48</v>
      </c>
      <c r="CQ5" s="49" t="s">
        <v>49</v>
      </c>
      <c r="CR5" s="49" t="s">
        <v>50</v>
      </c>
      <c r="CS5" s="49" t="s">
        <v>51</v>
      </c>
      <c r="CT5" s="49" t="s">
        <v>44</v>
      </c>
      <c r="CU5" s="49" t="s">
        <v>45</v>
      </c>
      <c r="CV5" s="50" t="s">
        <v>52</v>
      </c>
      <c r="CW5" s="19" t="s">
        <v>57</v>
      </c>
      <c r="CX5" s="7" t="s">
        <v>5</v>
      </c>
      <c r="CY5" s="7" t="s">
        <v>6</v>
      </c>
      <c r="CZ5" s="46" t="s">
        <v>27</v>
      </c>
      <c r="DA5" s="46" t="s">
        <v>28</v>
      </c>
      <c r="DB5" s="46" t="s">
        <v>29</v>
      </c>
      <c r="DC5" s="46" t="s">
        <v>30</v>
      </c>
      <c r="DD5" s="46" t="s">
        <v>3</v>
      </c>
      <c r="DE5" s="46" t="s">
        <v>4</v>
      </c>
      <c r="DF5" s="47" t="s">
        <v>11</v>
      </c>
      <c r="DG5" s="48" t="s">
        <v>57</v>
      </c>
      <c r="DH5" s="8" t="s">
        <v>46</v>
      </c>
      <c r="DI5" s="8" t="s">
        <v>47</v>
      </c>
      <c r="DJ5" s="8" t="s">
        <v>48</v>
      </c>
      <c r="DK5" s="49" t="s">
        <v>49</v>
      </c>
      <c r="DL5" s="49" t="s">
        <v>50</v>
      </c>
      <c r="DM5" s="49" t="s">
        <v>51</v>
      </c>
      <c r="DN5" s="49" t="s">
        <v>44</v>
      </c>
      <c r="DO5" s="49" t="s">
        <v>45</v>
      </c>
      <c r="DP5" s="50" t="s">
        <v>52</v>
      </c>
      <c r="DQ5" s="19" t="s">
        <v>57</v>
      </c>
      <c r="DR5" s="7" t="s">
        <v>5</v>
      </c>
      <c r="DS5" s="7" t="s">
        <v>6</v>
      </c>
      <c r="DT5" s="46" t="s">
        <v>27</v>
      </c>
      <c r="DU5" s="46" t="s">
        <v>28</v>
      </c>
      <c r="DV5" s="46" t="s">
        <v>29</v>
      </c>
      <c r="DW5" s="46" t="s">
        <v>30</v>
      </c>
      <c r="DX5" s="46" t="s">
        <v>3</v>
      </c>
      <c r="DY5" s="46" t="s">
        <v>4</v>
      </c>
      <c r="DZ5" s="47" t="s">
        <v>11</v>
      </c>
      <c r="EA5" s="48" t="s">
        <v>57</v>
      </c>
      <c r="EB5" s="8" t="s">
        <v>46</v>
      </c>
      <c r="EC5" s="8" t="s">
        <v>47</v>
      </c>
      <c r="ED5" s="8" t="s">
        <v>48</v>
      </c>
      <c r="EE5" s="49" t="s">
        <v>49</v>
      </c>
      <c r="EF5" s="49" t="s">
        <v>50</v>
      </c>
      <c r="EG5" s="49" t="s">
        <v>51</v>
      </c>
      <c r="EH5" s="49" t="s">
        <v>44</v>
      </c>
      <c r="EI5" s="49" t="s">
        <v>45</v>
      </c>
      <c r="EJ5" s="50" t="s">
        <v>52</v>
      </c>
      <c r="EK5" s="19" t="s">
        <v>57</v>
      </c>
      <c r="EL5" s="7" t="s">
        <v>5</v>
      </c>
      <c r="EM5" s="7" t="s">
        <v>6</v>
      </c>
      <c r="EN5" s="46" t="s">
        <v>27</v>
      </c>
      <c r="EO5" s="46" t="s">
        <v>28</v>
      </c>
      <c r="EP5" s="46" t="s">
        <v>29</v>
      </c>
      <c r="EQ5" s="46" t="s">
        <v>30</v>
      </c>
      <c r="ER5" s="46" t="s">
        <v>3</v>
      </c>
      <c r="ES5" s="46" t="s">
        <v>4</v>
      </c>
      <c r="ET5" s="47" t="s">
        <v>11</v>
      </c>
      <c r="EU5" s="48" t="s">
        <v>57</v>
      </c>
      <c r="EV5" s="8" t="s">
        <v>46</v>
      </c>
      <c r="EW5" s="8" t="s">
        <v>47</v>
      </c>
      <c r="EX5" s="8" t="s">
        <v>48</v>
      </c>
      <c r="EY5" s="49" t="s">
        <v>49</v>
      </c>
      <c r="EZ5" s="49" t="s">
        <v>50</v>
      </c>
      <c r="FA5" s="49" t="s">
        <v>51</v>
      </c>
      <c r="FB5" s="49" t="s">
        <v>44</v>
      </c>
      <c r="FC5" s="49" t="s">
        <v>45</v>
      </c>
      <c r="FD5" s="50" t="s">
        <v>52</v>
      </c>
      <c r="FE5" s="19" t="s">
        <v>57</v>
      </c>
      <c r="FF5" s="7" t="s">
        <v>5</v>
      </c>
      <c r="FG5" s="7" t="s">
        <v>6</v>
      </c>
      <c r="FH5" s="46" t="s">
        <v>27</v>
      </c>
      <c r="FI5" s="46" t="s">
        <v>28</v>
      </c>
      <c r="FJ5" s="46" t="s">
        <v>29</v>
      </c>
      <c r="FK5" s="46" t="s">
        <v>30</v>
      </c>
      <c r="FL5" s="46" t="s">
        <v>3</v>
      </c>
      <c r="FM5" s="46" t="s">
        <v>4</v>
      </c>
      <c r="FN5" s="47" t="s">
        <v>11</v>
      </c>
      <c r="FO5" s="48" t="s">
        <v>57</v>
      </c>
    </row>
    <row r="6" spans="1:171" x14ac:dyDescent="0.3">
      <c r="A6" s="16">
        <v>1</v>
      </c>
      <c r="B6" s="19" t="str" cm="1">
        <f t="array" ref="B6">IFERROR(_xlfn._xlws.SORT(_xlfn.TOCOL(_xlfn.UNIQUE(_xlfn._xlws.FILTER(Data_Input!$B$8:$ZZ$8,Data_Input!$B$7:$ZZ$7=$F$3))),1,1),"")</f>
        <v/>
      </c>
      <c r="C6" s="17">
        <f>IF(B6&gt;0,IF($F$3=Data_Input!$I$2,Data_Input!$C$2, IF($F$3=Data_Input!$I$3,Data_Input!$C$3,IF($F$3=Data_Input!$I$4,Data_Input!$C$4,""))),"")</f>
        <v>0</v>
      </c>
      <c r="D6" s="29" t="str" cm="1">
        <f t="array" ref="D6">IFERROR(INDEX(Data_Input!$10:$10,MATCH(1,(Data_Input!$7:$7=$F$3)*(Data_Input!$8:$8=$B6),0)),"")</f>
        <v/>
      </c>
      <c r="E6" s="29" t="str" cm="1">
        <f t="array" ref="E6">IFERROR(INDEX(Data_Input!$1:$100, 9, MATCH(1, (Data_Input!$7:$7=$F$3) * (Data_Input!$8:$8=$B6), 0)),"")</f>
        <v/>
      </c>
      <c r="F6" s="20" t="str" cm="1">
        <f t="array" ref="F6">IFERROR(INDEX(Data_Input!$A$1:$ZZ$502, MATCH("예수금", INDEX(Data_Input!$A$1:$ZZ$502, 0, MATCH(1, (Data_Input!$7:$7=$F$3)*(Data_Input!$8:$8=$B6), 0)), 0) + 1, MATCH(1, (Data_Input!$7:$7=$F$3)*(Data_Input!$8:$8=$B6), 0)),"")</f>
        <v/>
      </c>
      <c r="G6" s="20" t="str" cm="1">
        <f t="array" ref="G6">IFERROR(INDEX(Data_Input!$A$1:$ZZ$502, MATCH("총자산", INDEX(Data_Input!$A$1:$ZZ$502, 0, MATCH(1, (Data_Input!$7:$7=$F$3)*(Data_Input!$8:$8=$B6), 0)), 0) + 1, MATCH(1, (Data_Input!$7:$7=$F$3)*(Data_Input!$8:$8=$B6), 0)),"")</f>
        <v/>
      </c>
      <c r="H6" s="20" t="str" cm="1">
        <f t="array" ref="H6">IFERROR(INDEX(Data_Input!$A$1:$ZZ$502, MATCH("매입금액", INDEX(Data_Input!$A$1:$ZZ$502, 0, MATCH(1, (Data_Input!$7:$7=$F$3)*(Data_Input!$8:$8=$B6), 0)), 0) + 1, MATCH(1, (Data_Input!$7:$7=$F$3)*(Data_Input!$8:$8=$B6), 0)),"")</f>
        <v/>
      </c>
      <c r="I6" s="20" t="str" cm="1">
        <f t="array" ref="I6">IFERROR(INDEX(Data_Input!$A$1:$ZZ$502, MATCH("평가금액", INDEX(Data_Input!$A$1:$ZZ$502, 0, MATCH(1, (Data_Input!$7:$7=$F$3)*(Data_Input!$8:$8=$B6), 0)), 0) + 1, MATCH(1, (Data_Input!$7:$7=$F$3)*(Data_Input!$8:$8=$B6), 0)),"")</f>
        <v/>
      </c>
      <c r="J6" s="20" t="str" cm="1">
        <f t="array" ref="J6">IFERROR(INDEX(Data_Input!$A$1:$ZZ$502, MATCH("평가손익", INDEX(Data_Input!$A$1:$ZZ$502, 0, MATCH(1, (Data_Input!$7:$7=$F$3)*(Data_Input!$8:$8=$B6), 0)), 0) + 1, MATCH(1, (Data_Input!$7:$7=$F$3)*(Data_Input!$8:$8=$B6), 0)),"")</f>
        <v/>
      </c>
      <c r="K6" s="14" t="str" cm="1">
        <f t="array" ref="K6">IFERROR(INDEX(Data_Input!$A$1:$ZZ$502, MATCH("총수익률", INDEX(Data_Input!$A$1:$ZZ$502, 0, MATCH(1, (Data_Input!$7:$7=$F$3)*(Data_Input!$8:$8=$B6), 0)), 0) + 1, MATCH(1, (Data_Input!$7:$7=$F$3)*(Data_Input!$8:$8=$B6), 0)),"")</f>
        <v/>
      </c>
      <c r="L6" t="str" cm="1">
        <f t="array" ref="L6">IFERROR(_xlfn.LET(
    _xlpm.targetDate, B6,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7" spans="1:171" x14ac:dyDescent="0.3">
      <c r="A7" s="16" t="str">
        <f t="shared" ref="A7:A70" si="0">IF(B7&gt;0,A6+1,"")</f>
        <v/>
      </c>
      <c r="B7" s="18"/>
      <c r="C7" s="17" t="str">
        <f>IF(B7&gt;0,C6,"")</f>
        <v/>
      </c>
      <c r="D7" s="29" t="str" cm="1">
        <f t="array" ref="D7">IFERROR(INDEX(Data_Input!$10:$10,MATCH(1,(Data_Input!$7:$7=$F$3)*(Data_Input!$8:$8=$B7),0)),"")</f>
        <v/>
      </c>
      <c r="E7" s="29" t="str" cm="1">
        <f t="array" ref="E7">IFERROR(INDEX(Data_Input!$1:$100, 9, MATCH(1, (Data_Input!$7:$7=$F$3) * (Data_Input!$8:$8=$B7), 0)),"")</f>
        <v/>
      </c>
      <c r="F7" s="20" t="str" cm="1">
        <f t="array" ref="F7">IFERROR(INDEX(Data_Input!$A$1:$ZZ$502, MATCH("예수금", INDEX(Data_Input!$A$1:$ZZ$502, 0, MATCH(1, (Data_Input!$7:$7=$F$3)*(Data_Input!$8:$8=$B7), 0)), 0) + 1, MATCH(1, (Data_Input!$7:$7=$F$3)*(Data_Input!$8:$8=$B7), 0)),"")</f>
        <v/>
      </c>
      <c r="G7" s="20" t="str" cm="1">
        <f t="array" ref="G7">IFERROR(INDEX(Data_Input!$A$1:$ZZ$502, MATCH("총자산", INDEX(Data_Input!$A$1:$ZZ$502, 0, MATCH(1, (Data_Input!$7:$7=$F$3)*(Data_Input!$8:$8=$B7), 0)), 0) + 1, MATCH(1, (Data_Input!$7:$7=$F$3)*(Data_Input!$8:$8=$B7), 0)),"")</f>
        <v/>
      </c>
      <c r="H7" s="20" t="str" cm="1">
        <f t="array" ref="H7">IFERROR(INDEX(Data_Input!$A$1:$ZZ$502, MATCH("매입금액", INDEX(Data_Input!$A$1:$ZZ$502, 0, MATCH(1, (Data_Input!$7:$7=$F$3)*(Data_Input!$8:$8=$B7), 0)), 0) + 1, MATCH(1, (Data_Input!$7:$7=$F$3)*(Data_Input!$8:$8=$B7), 0)),"")</f>
        <v/>
      </c>
      <c r="I7" s="20" t="str" cm="1">
        <f t="array" ref="I7">IFERROR(INDEX(Data_Input!$A$1:$ZZ$502, MATCH("평가금액", INDEX(Data_Input!$A$1:$ZZ$502, 0, MATCH(1, (Data_Input!$7:$7=$F$3)*(Data_Input!$8:$8=$B7), 0)), 0) + 1, MATCH(1, (Data_Input!$7:$7=$F$3)*(Data_Input!$8:$8=$B7), 0)),"")</f>
        <v/>
      </c>
      <c r="J7" s="20" t="str" cm="1">
        <f t="array" ref="J7">IFERROR(INDEX(Data_Input!$A$1:$ZZ$502, MATCH("평가손익", INDEX(Data_Input!$A$1:$ZZ$502, 0, MATCH(1, (Data_Input!$7:$7=$F$3)*(Data_Input!$8:$8=$B7), 0)), 0) + 1, MATCH(1, (Data_Input!$7:$7=$F$3)*(Data_Input!$8:$8=$B7), 0)),"")</f>
        <v/>
      </c>
      <c r="K7" s="14" t="str" cm="1">
        <f t="array" ref="K7">IFERROR(INDEX(Data_Input!$A$1:$ZZ$502, MATCH("총수익률", INDEX(Data_Input!$A$1:$ZZ$502, 0, MATCH(1, (Data_Input!$7:$7=$F$3)*(Data_Input!$8:$8=$B7), 0)), 0) + 1, MATCH(1, (Data_Input!$7:$7=$F$3)*(Data_Input!$8:$8=$B7), 0)),"")</f>
        <v/>
      </c>
      <c r="L7" t="str" cm="1">
        <f t="array" ref="L7">IFERROR(_xlfn.LET(
    _xlpm.targetDate, B7,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8" spans="1:171" x14ac:dyDescent="0.3">
      <c r="A8" s="16" t="str">
        <f t="shared" si="0"/>
        <v/>
      </c>
      <c r="B8" s="18"/>
      <c r="C8" s="17" t="str">
        <f t="shared" ref="C8:C71" si="1">IF(B8&gt;0,C7,"")</f>
        <v/>
      </c>
      <c r="D8" s="29" t="str" cm="1">
        <f t="array" ref="D8">IFERROR(INDEX(Data_Input!$10:$10,MATCH(1,(Data_Input!$7:$7=$F$3)*(Data_Input!$8:$8=$B8),0)),"")</f>
        <v/>
      </c>
      <c r="E8" s="29" t="str" cm="1">
        <f t="array" ref="E8">IFERROR(INDEX(Data_Input!$1:$100, 9, MATCH(1, (Data_Input!$7:$7=$F$3) * (Data_Input!$8:$8=$B8), 0)),"")</f>
        <v/>
      </c>
      <c r="F8" s="20" t="str" cm="1">
        <f t="array" ref="F8">IFERROR(INDEX(Data_Input!$A$1:$ZZ$502, MATCH("예수금", INDEX(Data_Input!$A$1:$ZZ$502, 0, MATCH(1, (Data_Input!$7:$7=$F$3)*(Data_Input!$8:$8=$B8), 0)), 0) + 1, MATCH(1, (Data_Input!$7:$7=$F$3)*(Data_Input!$8:$8=$B8), 0)),"")</f>
        <v/>
      </c>
      <c r="G8" s="20" t="str" cm="1">
        <f t="array" ref="G8">IFERROR(INDEX(Data_Input!$A$1:$ZZ$502, MATCH("총자산", INDEX(Data_Input!$A$1:$ZZ$502, 0, MATCH(1, (Data_Input!$7:$7=$F$3)*(Data_Input!$8:$8=$B8), 0)), 0) + 1, MATCH(1, (Data_Input!$7:$7=$F$3)*(Data_Input!$8:$8=$B8), 0)),"")</f>
        <v/>
      </c>
      <c r="H8" s="20" t="str" cm="1">
        <f t="array" ref="H8">IFERROR(INDEX(Data_Input!$A$1:$ZZ$502, MATCH("매입금액", INDEX(Data_Input!$A$1:$ZZ$502, 0, MATCH(1, (Data_Input!$7:$7=$F$3)*(Data_Input!$8:$8=$B8), 0)), 0) + 1, MATCH(1, (Data_Input!$7:$7=$F$3)*(Data_Input!$8:$8=$B8), 0)),"")</f>
        <v/>
      </c>
      <c r="I8" s="20" t="str" cm="1">
        <f t="array" ref="I8">IFERROR(INDEX(Data_Input!$A$1:$ZZ$502, MATCH("평가금액", INDEX(Data_Input!$A$1:$ZZ$502, 0, MATCH(1, (Data_Input!$7:$7=$F$3)*(Data_Input!$8:$8=$B8), 0)), 0) + 1, MATCH(1, (Data_Input!$7:$7=$F$3)*(Data_Input!$8:$8=$B8), 0)),"")</f>
        <v/>
      </c>
      <c r="J8" s="20" t="str" cm="1">
        <f t="array" ref="J8">IFERROR(INDEX(Data_Input!$A$1:$ZZ$502, MATCH("평가손익", INDEX(Data_Input!$A$1:$ZZ$502, 0, MATCH(1, (Data_Input!$7:$7=$F$3)*(Data_Input!$8:$8=$B8), 0)), 0) + 1, MATCH(1, (Data_Input!$7:$7=$F$3)*(Data_Input!$8:$8=$B8), 0)),"")</f>
        <v/>
      </c>
      <c r="K8" s="14" t="str" cm="1">
        <f t="array" ref="K8">IFERROR(INDEX(Data_Input!$A$1:$ZZ$502, MATCH("총수익률", INDEX(Data_Input!$A$1:$ZZ$502, 0, MATCH(1, (Data_Input!$7:$7=$F$3)*(Data_Input!$8:$8=$B8), 0)), 0) + 1, MATCH(1, (Data_Input!$7:$7=$F$3)*(Data_Input!$8:$8=$B8), 0)),"")</f>
        <v/>
      </c>
      <c r="L8" t="str" cm="1">
        <f t="array" ref="L8">IFERROR(_xlfn.LET(
    _xlpm.targetDate, B8,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9" spans="1:171" x14ac:dyDescent="0.3">
      <c r="A9" s="16" t="str">
        <f t="shared" si="0"/>
        <v/>
      </c>
      <c r="B9" s="18"/>
      <c r="C9" s="17" t="str">
        <f t="shared" si="1"/>
        <v/>
      </c>
      <c r="D9" s="29" t="str" cm="1">
        <f t="array" ref="D9">IFERROR(INDEX(Data_Input!$10:$10,MATCH(1,(Data_Input!$7:$7=$F$3)*(Data_Input!$8:$8=$B9),0)),"")</f>
        <v/>
      </c>
      <c r="E9" s="29" t="str" cm="1">
        <f t="array" ref="E9">IFERROR(INDEX(Data_Input!$1:$100, 9, MATCH(1, (Data_Input!$7:$7=$F$3) * (Data_Input!$8:$8=$B9), 0)),"")</f>
        <v/>
      </c>
      <c r="F9" s="20" t="str" cm="1">
        <f t="array" ref="F9">IFERROR(INDEX(Data_Input!$A$1:$ZZ$502, MATCH("예수금", INDEX(Data_Input!$A$1:$ZZ$502, 0, MATCH(1, (Data_Input!$7:$7=$F$3)*(Data_Input!$8:$8=$B9), 0)), 0) + 1, MATCH(1, (Data_Input!$7:$7=$F$3)*(Data_Input!$8:$8=$B9), 0)),"")</f>
        <v/>
      </c>
      <c r="G9" s="20" t="str" cm="1">
        <f t="array" ref="G9">IFERROR(INDEX(Data_Input!$A$1:$ZZ$502, MATCH("총자산", INDEX(Data_Input!$A$1:$ZZ$502, 0, MATCH(1, (Data_Input!$7:$7=$F$3)*(Data_Input!$8:$8=$B9), 0)), 0) + 1, MATCH(1, (Data_Input!$7:$7=$F$3)*(Data_Input!$8:$8=$B9), 0)),"")</f>
        <v/>
      </c>
      <c r="H9" s="20" t="str" cm="1">
        <f t="array" ref="H9">IFERROR(INDEX(Data_Input!$A$1:$ZZ$502, MATCH("매입금액", INDEX(Data_Input!$A$1:$ZZ$502, 0, MATCH(1, (Data_Input!$7:$7=$F$3)*(Data_Input!$8:$8=$B9), 0)), 0) + 1, MATCH(1, (Data_Input!$7:$7=$F$3)*(Data_Input!$8:$8=$B9), 0)),"")</f>
        <v/>
      </c>
      <c r="I9" s="20" t="str" cm="1">
        <f t="array" ref="I9">IFERROR(INDEX(Data_Input!$A$1:$ZZ$502, MATCH("평가금액", INDEX(Data_Input!$A$1:$ZZ$502, 0, MATCH(1, (Data_Input!$7:$7=$F$3)*(Data_Input!$8:$8=$B9), 0)), 0) + 1, MATCH(1, (Data_Input!$7:$7=$F$3)*(Data_Input!$8:$8=$B9), 0)),"")</f>
        <v/>
      </c>
      <c r="J9" s="20" t="str" cm="1">
        <f t="array" ref="J9">IFERROR(INDEX(Data_Input!$A$1:$ZZ$502, MATCH("평가손익", INDEX(Data_Input!$A$1:$ZZ$502, 0, MATCH(1, (Data_Input!$7:$7=$F$3)*(Data_Input!$8:$8=$B9), 0)), 0) + 1, MATCH(1, (Data_Input!$7:$7=$F$3)*(Data_Input!$8:$8=$B9), 0)),"")</f>
        <v/>
      </c>
      <c r="K9" s="14" t="str" cm="1">
        <f t="array" ref="K9">IFERROR(INDEX(Data_Input!$A$1:$ZZ$502, MATCH("총수익률", INDEX(Data_Input!$A$1:$ZZ$502, 0, MATCH(1, (Data_Input!$7:$7=$F$3)*(Data_Input!$8:$8=$B9), 0)), 0) + 1, MATCH(1, (Data_Input!$7:$7=$F$3)*(Data_Input!$8:$8=$B9), 0)),"")</f>
        <v/>
      </c>
      <c r="L9" t="str" cm="1">
        <f t="array" ref="L9">IFERROR(_xlfn.LET(
    _xlpm.targetDate, B9,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0" spans="1:171" x14ac:dyDescent="0.3">
      <c r="A10" s="16" t="str">
        <f t="shared" si="0"/>
        <v/>
      </c>
      <c r="B10" s="19"/>
      <c r="C10" s="17" t="str">
        <f t="shared" si="1"/>
        <v/>
      </c>
      <c r="D10" s="29" t="str" cm="1">
        <f t="array" ref="D10">IFERROR(INDEX(Data_Input!$10:$10,MATCH(1,(Data_Input!$7:$7=$F$3)*(Data_Input!$8:$8=$B10),0)),"")</f>
        <v/>
      </c>
      <c r="E10" s="29" t="str" cm="1">
        <f t="array" ref="E10">IFERROR(INDEX(Data_Input!$1:$100, 9, MATCH(1, (Data_Input!$7:$7=$F$3) * (Data_Input!$8:$8=$B10), 0)),"")</f>
        <v/>
      </c>
      <c r="F10" s="20" t="str" cm="1">
        <f t="array" ref="F10">IFERROR(INDEX(Data_Input!$A$1:$ZZ$502, MATCH("예수금", INDEX(Data_Input!$A$1:$ZZ$502, 0, MATCH(1, (Data_Input!$7:$7=$F$3)*(Data_Input!$8:$8=$B10), 0)), 0) + 1, MATCH(1, (Data_Input!$7:$7=$F$3)*(Data_Input!$8:$8=$B10), 0)),"")</f>
        <v/>
      </c>
      <c r="G10" s="20" t="str" cm="1">
        <f t="array" ref="G10">IFERROR(INDEX(Data_Input!$A$1:$ZZ$502, MATCH("총자산", INDEX(Data_Input!$A$1:$ZZ$502, 0, MATCH(1, (Data_Input!$7:$7=$F$3)*(Data_Input!$8:$8=$B10), 0)), 0) + 1, MATCH(1, (Data_Input!$7:$7=$F$3)*(Data_Input!$8:$8=$B10), 0)),"")</f>
        <v/>
      </c>
      <c r="H10" s="20" t="str" cm="1">
        <f t="array" ref="H10">IFERROR(INDEX(Data_Input!$A$1:$ZZ$502, MATCH("매입금액", INDEX(Data_Input!$A$1:$ZZ$502, 0, MATCH(1, (Data_Input!$7:$7=$F$3)*(Data_Input!$8:$8=$B10), 0)), 0) + 1, MATCH(1, (Data_Input!$7:$7=$F$3)*(Data_Input!$8:$8=$B10), 0)),"")</f>
        <v/>
      </c>
      <c r="I10" s="20" t="str" cm="1">
        <f t="array" ref="I10">IFERROR(INDEX(Data_Input!$A$1:$ZZ$502, MATCH("평가금액", INDEX(Data_Input!$A$1:$ZZ$502, 0, MATCH(1, (Data_Input!$7:$7=$F$3)*(Data_Input!$8:$8=$B10), 0)), 0) + 1, MATCH(1, (Data_Input!$7:$7=$F$3)*(Data_Input!$8:$8=$B10), 0)),"")</f>
        <v/>
      </c>
      <c r="J10" s="20" t="str" cm="1">
        <f t="array" ref="J10">IFERROR(INDEX(Data_Input!$A$1:$ZZ$502, MATCH("평가손익", INDEX(Data_Input!$A$1:$ZZ$502, 0, MATCH(1, (Data_Input!$7:$7=$F$3)*(Data_Input!$8:$8=$B10), 0)), 0) + 1, MATCH(1, (Data_Input!$7:$7=$F$3)*(Data_Input!$8:$8=$B10), 0)),"")</f>
        <v/>
      </c>
      <c r="K10" s="14" t="str" cm="1">
        <f t="array" ref="K10">IFERROR(INDEX(Data_Input!$A$1:$ZZ$502, MATCH("총수익률", INDEX(Data_Input!$A$1:$ZZ$502, 0, MATCH(1, (Data_Input!$7:$7=$F$3)*(Data_Input!$8:$8=$B10), 0)), 0) + 1, MATCH(1, (Data_Input!$7:$7=$F$3)*(Data_Input!$8:$8=$B10), 0)),"")</f>
        <v/>
      </c>
      <c r="L10" t="str" cm="1">
        <f t="array" ref="L10">IFERROR(_xlfn.LET(
    _xlpm.targetDate, B10,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1" spans="1:171" x14ac:dyDescent="0.3">
      <c r="A11" s="16" t="str">
        <f t="shared" si="0"/>
        <v/>
      </c>
      <c r="B11" s="19"/>
      <c r="C11" s="17" t="str">
        <f t="shared" si="1"/>
        <v/>
      </c>
      <c r="D11" s="29" t="str" cm="1">
        <f t="array" ref="D11">IFERROR(INDEX(Data_Input!$10:$10,MATCH(1,(Data_Input!$7:$7=$F$3)*(Data_Input!$8:$8=$B11),0)),"")</f>
        <v/>
      </c>
      <c r="E11" s="29" t="str" cm="1">
        <f t="array" ref="E11">IFERROR(INDEX(Data_Input!$1:$100, 9, MATCH(1, (Data_Input!$7:$7=$F$3) * (Data_Input!$8:$8=$B11), 0)),"")</f>
        <v/>
      </c>
      <c r="F11" s="20" t="str" cm="1">
        <f t="array" ref="F11">IFERROR(INDEX(Data_Input!$A$1:$ZZ$502, MATCH("예수금", INDEX(Data_Input!$A$1:$ZZ$502, 0, MATCH(1, (Data_Input!$7:$7=$F$3)*(Data_Input!$8:$8=$B11), 0)), 0) + 1, MATCH(1, (Data_Input!$7:$7=$F$3)*(Data_Input!$8:$8=$B11), 0)),"")</f>
        <v/>
      </c>
      <c r="G11" s="20" t="str" cm="1">
        <f t="array" ref="G11">IFERROR(INDEX(Data_Input!$A$1:$ZZ$502, MATCH("총자산", INDEX(Data_Input!$A$1:$ZZ$502, 0, MATCH(1, (Data_Input!$7:$7=$F$3)*(Data_Input!$8:$8=$B11), 0)), 0) + 1, MATCH(1, (Data_Input!$7:$7=$F$3)*(Data_Input!$8:$8=$B11), 0)),"")</f>
        <v/>
      </c>
      <c r="H11" s="20" t="str" cm="1">
        <f t="array" ref="H11">IFERROR(INDEX(Data_Input!$A$1:$ZZ$502, MATCH("매입금액", INDEX(Data_Input!$A$1:$ZZ$502, 0, MATCH(1, (Data_Input!$7:$7=$F$3)*(Data_Input!$8:$8=$B11), 0)), 0) + 1, MATCH(1, (Data_Input!$7:$7=$F$3)*(Data_Input!$8:$8=$B11), 0)),"")</f>
        <v/>
      </c>
      <c r="I11" s="20" t="str" cm="1">
        <f t="array" ref="I11">IFERROR(INDEX(Data_Input!$A$1:$ZZ$502, MATCH("평가금액", INDEX(Data_Input!$A$1:$ZZ$502, 0, MATCH(1, (Data_Input!$7:$7=$F$3)*(Data_Input!$8:$8=$B11), 0)), 0) + 1, MATCH(1, (Data_Input!$7:$7=$F$3)*(Data_Input!$8:$8=$B11), 0)),"")</f>
        <v/>
      </c>
      <c r="J11" s="20" t="str" cm="1">
        <f t="array" ref="J11">IFERROR(INDEX(Data_Input!$A$1:$ZZ$502, MATCH("평가손익", INDEX(Data_Input!$A$1:$ZZ$502, 0, MATCH(1, (Data_Input!$7:$7=$F$3)*(Data_Input!$8:$8=$B11), 0)), 0) + 1, MATCH(1, (Data_Input!$7:$7=$F$3)*(Data_Input!$8:$8=$B11), 0)),"")</f>
        <v/>
      </c>
      <c r="K11" s="14" t="str" cm="1">
        <f t="array" ref="K11">IFERROR(INDEX(Data_Input!$A$1:$ZZ$502, MATCH("총수익률", INDEX(Data_Input!$A$1:$ZZ$502, 0, MATCH(1, (Data_Input!$7:$7=$F$3)*(Data_Input!$8:$8=$B11), 0)), 0) + 1, MATCH(1, (Data_Input!$7:$7=$F$3)*(Data_Input!$8:$8=$B11), 0)),"")</f>
        <v/>
      </c>
      <c r="L11" t="str" cm="1">
        <f t="array" ref="L11">IFERROR(_xlfn.LET(
    _xlpm.targetDate, B11,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2" spans="1:171" x14ac:dyDescent="0.3">
      <c r="A12" s="16" t="str">
        <f t="shared" si="0"/>
        <v/>
      </c>
      <c r="B12" s="19"/>
      <c r="C12" s="17" t="str">
        <f t="shared" si="1"/>
        <v/>
      </c>
      <c r="D12" s="29" t="str" cm="1">
        <f t="array" ref="D12">IFERROR(INDEX(Data_Input!$10:$10,MATCH(1,(Data_Input!$7:$7=$F$3)*(Data_Input!$8:$8=$B12),0)),"")</f>
        <v/>
      </c>
      <c r="E12" s="29" t="str" cm="1">
        <f t="array" ref="E12">IFERROR(INDEX(Data_Input!$1:$100, 9, MATCH(1, (Data_Input!$7:$7=$F$3) * (Data_Input!$8:$8=$B12), 0)),"")</f>
        <v/>
      </c>
      <c r="F12" s="20" t="str" cm="1">
        <f t="array" ref="F12">IFERROR(INDEX(Data_Input!$A$1:$ZZ$502, MATCH("예수금", INDEX(Data_Input!$A$1:$ZZ$502, 0, MATCH(1, (Data_Input!$7:$7=$F$3)*(Data_Input!$8:$8=$B12), 0)), 0) + 1, MATCH(1, (Data_Input!$7:$7=$F$3)*(Data_Input!$8:$8=$B12), 0)),"")</f>
        <v/>
      </c>
      <c r="G12" s="20" t="str" cm="1">
        <f t="array" ref="G12">IFERROR(INDEX(Data_Input!$A$1:$ZZ$502, MATCH("총자산", INDEX(Data_Input!$A$1:$ZZ$502, 0, MATCH(1, (Data_Input!$7:$7=$F$3)*(Data_Input!$8:$8=$B12), 0)), 0) + 1, MATCH(1, (Data_Input!$7:$7=$F$3)*(Data_Input!$8:$8=$B12), 0)),"")</f>
        <v/>
      </c>
      <c r="H12" s="20" t="str" cm="1">
        <f t="array" ref="H12">IFERROR(INDEX(Data_Input!$A$1:$ZZ$502, MATCH("매입금액", INDEX(Data_Input!$A$1:$ZZ$502, 0, MATCH(1, (Data_Input!$7:$7=$F$3)*(Data_Input!$8:$8=$B12), 0)), 0) + 1, MATCH(1, (Data_Input!$7:$7=$F$3)*(Data_Input!$8:$8=$B12), 0)),"")</f>
        <v/>
      </c>
      <c r="I12" s="20" t="str" cm="1">
        <f t="array" ref="I12">IFERROR(INDEX(Data_Input!$A$1:$ZZ$502, MATCH("평가금액", INDEX(Data_Input!$A$1:$ZZ$502, 0, MATCH(1, (Data_Input!$7:$7=$F$3)*(Data_Input!$8:$8=$B12), 0)), 0) + 1, MATCH(1, (Data_Input!$7:$7=$F$3)*(Data_Input!$8:$8=$B12), 0)),"")</f>
        <v/>
      </c>
      <c r="J12" s="20" t="str" cm="1">
        <f t="array" ref="J12">IFERROR(INDEX(Data_Input!$A$1:$ZZ$502, MATCH("평가손익", INDEX(Data_Input!$A$1:$ZZ$502, 0, MATCH(1, (Data_Input!$7:$7=$F$3)*(Data_Input!$8:$8=$B12), 0)), 0) + 1, MATCH(1, (Data_Input!$7:$7=$F$3)*(Data_Input!$8:$8=$B12), 0)),"")</f>
        <v/>
      </c>
      <c r="K12" s="14" t="str" cm="1">
        <f t="array" ref="K12">IFERROR(INDEX(Data_Input!$A$1:$ZZ$502, MATCH("총수익률", INDEX(Data_Input!$A$1:$ZZ$502, 0, MATCH(1, (Data_Input!$7:$7=$F$3)*(Data_Input!$8:$8=$B12), 0)), 0) + 1, MATCH(1, (Data_Input!$7:$7=$F$3)*(Data_Input!$8:$8=$B12), 0)),"")</f>
        <v/>
      </c>
      <c r="L12" t="str" cm="1">
        <f t="array" ref="L12">IFERROR(_xlfn.LET(
    _xlpm.targetDate, B12,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3" spans="1:171" x14ac:dyDescent="0.3">
      <c r="A13" s="16" t="str">
        <f t="shared" si="0"/>
        <v/>
      </c>
      <c r="B13" s="19"/>
      <c r="C13" s="17" t="str">
        <f t="shared" si="1"/>
        <v/>
      </c>
      <c r="D13" s="29" t="str" cm="1">
        <f t="array" ref="D13">IFERROR(INDEX(Data_Input!$10:$10,MATCH(1,(Data_Input!$7:$7=$F$3)*(Data_Input!$8:$8=$B13),0)),"")</f>
        <v/>
      </c>
      <c r="E13" s="29" t="str" cm="1">
        <f t="array" ref="E13">IFERROR(INDEX(Data_Input!$1:$100, 9, MATCH(1, (Data_Input!$7:$7=$F$3) * (Data_Input!$8:$8=$B13), 0)),"")</f>
        <v/>
      </c>
      <c r="F13" s="20" t="str" cm="1">
        <f t="array" ref="F13">IFERROR(INDEX(Data_Input!$A$1:$ZZ$502, MATCH("예수금", INDEX(Data_Input!$A$1:$ZZ$502, 0, MATCH(1, (Data_Input!$7:$7=$F$3)*(Data_Input!$8:$8=$B13), 0)), 0) + 1, MATCH(1, (Data_Input!$7:$7=$F$3)*(Data_Input!$8:$8=$B13), 0)),"")</f>
        <v/>
      </c>
      <c r="G13" s="20" t="str" cm="1">
        <f t="array" ref="G13">IFERROR(INDEX(Data_Input!$A$1:$ZZ$502, MATCH("총자산", INDEX(Data_Input!$A$1:$ZZ$502, 0, MATCH(1, (Data_Input!$7:$7=$F$3)*(Data_Input!$8:$8=$B13), 0)), 0) + 1, MATCH(1, (Data_Input!$7:$7=$F$3)*(Data_Input!$8:$8=$B13), 0)),"")</f>
        <v/>
      </c>
      <c r="H13" s="20" t="str" cm="1">
        <f t="array" ref="H13">IFERROR(INDEX(Data_Input!$A$1:$ZZ$502, MATCH("매입금액", INDEX(Data_Input!$A$1:$ZZ$502, 0, MATCH(1, (Data_Input!$7:$7=$F$3)*(Data_Input!$8:$8=$B13), 0)), 0) + 1, MATCH(1, (Data_Input!$7:$7=$F$3)*(Data_Input!$8:$8=$B13), 0)),"")</f>
        <v/>
      </c>
      <c r="I13" s="20" t="str" cm="1">
        <f t="array" ref="I13">IFERROR(INDEX(Data_Input!$A$1:$ZZ$502, MATCH("평가금액", INDEX(Data_Input!$A$1:$ZZ$502, 0, MATCH(1, (Data_Input!$7:$7=$F$3)*(Data_Input!$8:$8=$B13), 0)), 0) + 1, MATCH(1, (Data_Input!$7:$7=$F$3)*(Data_Input!$8:$8=$B13), 0)),"")</f>
        <v/>
      </c>
      <c r="J13" s="20" t="str" cm="1">
        <f t="array" ref="J13">IFERROR(INDEX(Data_Input!$A$1:$ZZ$502, MATCH("평가손익", INDEX(Data_Input!$A$1:$ZZ$502, 0, MATCH(1, (Data_Input!$7:$7=$F$3)*(Data_Input!$8:$8=$B13), 0)), 0) + 1, MATCH(1, (Data_Input!$7:$7=$F$3)*(Data_Input!$8:$8=$B13), 0)),"")</f>
        <v/>
      </c>
      <c r="K13" s="14" t="str" cm="1">
        <f t="array" ref="K13">IFERROR(INDEX(Data_Input!$A$1:$ZZ$502, MATCH("총수익률", INDEX(Data_Input!$A$1:$ZZ$502, 0, MATCH(1, (Data_Input!$7:$7=$F$3)*(Data_Input!$8:$8=$B13), 0)), 0) + 1, MATCH(1, (Data_Input!$7:$7=$F$3)*(Data_Input!$8:$8=$B13), 0)),"")</f>
        <v/>
      </c>
      <c r="L13" t="str" cm="1">
        <f t="array" ref="L13">IFERROR(_xlfn.LET(
    _xlpm.targetDate, B13,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4" spans="1:171" x14ac:dyDescent="0.3">
      <c r="A14" s="16" t="str">
        <f t="shared" si="0"/>
        <v/>
      </c>
      <c r="B14" s="19"/>
      <c r="C14" s="17" t="str">
        <f t="shared" si="1"/>
        <v/>
      </c>
      <c r="D14" s="29" t="str" cm="1">
        <f t="array" ref="D14">IFERROR(INDEX(Data_Input!$10:$10,MATCH(1,(Data_Input!$7:$7=$F$3)*(Data_Input!$8:$8=$B14),0)),"")</f>
        <v/>
      </c>
      <c r="E14" s="29" t="str" cm="1">
        <f t="array" ref="E14">IFERROR(INDEX(Data_Input!$1:$100, 9, MATCH(1, (Data_Input!$7:$7=$F$3) * (Data_Input!$8:$8=$B14), 0)),"")</f>
        <v/>
      </c>
      <c r="F14" s="20" t="str" cm="1">
        <f t="array" ref="F14">IFERROR(INDEX(Data_Input!$A$1:$ZZ$502, MATCH("예수금", INDEX(Data_Input!$A$1:$ZZ$502, 0, MATCH(1, (Data_Input!$7:$7=$F$3)*(Data_Input!$8:$8=$B14), 0)), 0) + 1, MATCH(1, (Data_Input!$7:$7=$F$3)*(Data_Input!$8:$8=$B14), 0)),"")</f>
        <v/>
      </c>
      <c r="G14" s="20" t="str" cm="1">
        <f t="array" ref="G14">IFERROR(INDEX(Data_Input!$A$1:$ZZ$502, MATCH("총자산", INDEX(Data_Input!$A$1:$ZZ$502, 0, MATCH(1, (Data_Input!$7:$7=$F$3)*(Data_Input!$8:$8=$B14), 0)), 0) + 1, MATCH(1, (Data_Input!$7:$7=$F$3)*(Data_Input!$8:$8=$B14), 0)),"")</f>
        <v/>
      </c>
      <c r="H14" s="20" t="str" cm="1">
        <f t="array" ref="H14">IFERROR(INDEX(Data_Input!$A$1:$ZZ$502, MATCH("매입금액", INDEX(Data_Input!$A$1:$ZZ$502, 0, MATCH(1, (Data_Input!$7:$7=$F$3)*(Data_Input!$8:$8=$B14), 0)), 0) + 1, MATCH(1, (Data_Input!$7:$7=$F$3)*(Data_Input!$8:$8=$B14), 0)),"")</f>
        <v/>
      </c>
      <c r="I14" s="20" t="str" cm="1">
        <f t="array" ref="I14">IFERROR(INDEX(Data_Input!$A$1:$ZZ$502, MATCH("평가금액", INDEX(Data_Input!$A$1:$ZZ$502, 0, MATCH(1, (Data_Input!$7:$7=$F$3)*(Data_Input!$8:$8=$B14), 0)), 0) + 1, MATCH(1, (Data_Input!$7:$7=$F$3)*(Data_Input!$8:$8=$B14), 0)),"")</f>
        <v/>
      </c>
      <c r="J14" s="20" t="str" cm="1">
        <f t="array" ref="J14">IFERROR(INDEX(Data_Input!$A$1:$ZZ$502, MATCH("평가손익", INDEX(Data_Input!$A$1:$ZZ$502, 0, MATCH(1, (Data_Input!$7:$7=$F$3)*(Data_Input!$8:$8=$B14), 0)), 0) + 1, MATCH(1, (Data_Input!$7:$7=$F$3)*(Data_Input!$8:$8=$B14), 0)),"")</f>
        <v/>
      </c>
      <c r="K14" s="14" t="str" cm="1">
        <f t="array" ref="K14">IFERROR(INDEX(Data_Input!$A$1:$ZZ$502, MATCH("총수익률", INDEX(Data_Input!$A$1:$ZZ$502, 0, MATCH(1, (Data_Input!$7:$7=$F$3)*(Data_Input!$8:$8=$B14), 0)), 0) + 1, MATCH(1, (Data_Input!$7:$7=$F$3)*(Data_Input!$8:$8=$B14), 0)),"")</f>
        <v/>
      </c>
      <c r="L14" t="str" cm="1">
        <f t="array" ref="L14">IFERROR(_xlfn.LET(
    _xlpm.targetDate, B14,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5" spans="1:171" x14ac:dyDescent="0.3">
      <c r="A15" s="16" t="str">
        <f t="shared" si="0"/>
        <v/>
      </c>
      <c r="B15" s="19"/>
      <c r="C15" s="17" t="str">
        <f t="shared" si="1"/>
        <v/>
      </c>
      <c r="D15" s="29" t="str" cm="1">
        <f t="array" ref="D15">IFERROR(INDEX(Data_Input!$10:$10,MATCH(1,(Data_Input!$7:$7=$F$3)*(Data_Input!$8:$8=$B15),0)),"")</f>
        <v/>
      </c>
      <c r="E15" s="29" t="str" cm="1">
        <f t="array" ref="E15">IFERROR(INDEX(Data_Input!$1:$100, 9, MATCH(1, (Data_Input!$7:$7=$F$3) * (Data_Input!$8:$8=$B15), 0)),"")</f>
        <v/>
      </c>
      <c r="F15" s="20" t="str" cm="1">
        <f t="array" ref="F15">IFERROR(INDEX(Data_Input!$A$1:$ZZ$502, MATCH("예수금", INDEX(Data_Input!$A$1:$ZZ$502, 0, MATCH(1, (Data_Input!$7:$7=$F$3)*(Data_Input!$8:$8=$B15), 0)), 0) + 1, MATCH(1, (Data_Input!$7:$7=$F$3)*(Data_Input!$8:$8=$B15), 0)),"")</f>
        <v/>
      </c>
      <c r="G15" s="20" t="str" cm="1">
        <f t="array" ref="G15">IFERROR(INDEX(Data_Input!$A$1:$ZZ$502, MATCH("총자산", INDEX(Data_Input!$A$1:$ZZ$502, 0, MATCH(1, (Data_Input!$7:$7=$F$3)*(Data_Input!$8:$8=$B15), 0)), 0) + 1, MATCH(1, (Data_Input!$7:$7=$F$3)*(Data_Input!$8:$8=$B15), 0)),"")</f>
        <v/>
      </c>
      <c r="H15" s="20" t="str" cm="1">
        <f t="array" ref="H15">IFERROR(INDEX(Data_Input!$A$1:$ZZ$502, MATCH("매입금액", INDEX(Data_Input!$A$1:$ZZ$502, 0, MATCH(1, (Data_Input!$7:$7=$F$3)*(Data_Input!$8:$8=$B15), 0)), 0) + 1, MATCH(1, (Data_Input!$7:$7=$F$3)*(Data_Input!$8:$8=$B15), 0)),"")</f>
        <v/>
      </c>
      <c r="I15" s="20" t="str" cm="1">
        <f t="array" ref="I15">IFERROR(INDEX(Data_Input!$A$1:$ZZ$502, MATCH("평가금액", INDEX(Data_Input!$A$1:$ZZ$502, 0, MATCH(1, (Data_Input!$7:$7=$F$3)*(Data_Input!$8:$8=$B15), 0)), 0) + 1, MATCH(1, (Data_Input!$7:$7=$F$3)*(Data_Input!$8:$8=$B15), 0)),"")</f>
        <v/>
      </c>
      <c r="J15" s="20" t="str" cm="1">
        <f t="array" ref="J15">IFERROR(INDEX(Data_Input!$A$1:$ZZ$502, MATCH("평가손익", INDEX(Data_Input!$A$1:$ZZ$502, 0, MATCH(1, (Data_Input!$7:$7=$F$3)*(Data_Input!$8:$8=$B15), 0)), 0) + 1, MATCH(1, (Data_Input!$7:$7=$F$3)*(Data_Input!$8:$8=$B15), 0)),"")</f>
        <v/>
      </c>
      <c r="K15" s="14" t="str" cm="1">
        <f t="array" ref="K15">IFERROR(INDEX(Data_Input!$A$1:$ZZ$502, MATCH("총수익률", INDEX(Data_Input!$A$1:$ZZ$502, 0, MATCH(1, (Data_Input!$7:$7=$F$3)*(Data_Input!$8:$8=$B15), 0)), 0) + 1, MATCH(1, (Data_Input!$7:$7=$F$3)*(Data_Input!$8:$8=$B15), 0)),"")</f>
        <v/>
      </c>
      <c r="L15" t="str" cm="1">
        <f t="array" ref="L15">IFERROR(_xlfn.LET(
    _xlpm.targetDate, B15,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6" spans="1:171" x14ac:dyDescent="0.3">
      <c r="A16" s="16" t="str">
        <f t="shared" si="0"/>
        <v/>
      </c>
      <c r="B16" s="19"/>
      <c r="C16" s="17" t="str">
        <f t="shared" si="1"/>
        <v/>
      </c>
      <c r="D16" s="29" t="str" cm="1">
        <f t="array" ref="D16">IFERROR(INDEX(Data_Input!$10:$10,MATCH(1,(Data_Input!$7:$7=$F$3)*(Data_Input!$8:$8=$B16),0)),"")</f>
        <v/>
      </c>
      <c r="E16" s="29" t="str" cm="1">
        <f t="array" ref="E16">IFERROR(INDEX(Data_Input!$1:$100, 9, MATCH(1, (Data_Input!$7:$7=$F$3) * (Data_Input!$8:$8=$B16), 0)),"")</f>
        <v/>
      </c>
      <c r="F16" s="20" t="str" cm="1">
        <f t="array" ref="F16">IFERROR(INDEX(Data_Input!$A$1:$ZZ$502, MATCH("예수금", INDEX(Data_Input!$A$1:$ZZ$502, 0, MATCH(1, (Data_Input!$7:$7=$F$3)*(Data_Input!$8:$8=$B16), 0)), 0) + 1, MATCH(1, (Data_Input!$7:$7=$F$3)*(Data_Input!$8:$8=$B16), 0)),"")</f>
        <v/>
      </c>
      <c r="G16" s="20" t="str" cm="1">
        <f t="array" ref="G16">IFERROR(INDEX(Data_Input!$A$1:$ZZ$502, MATCH("총자산", INDEX(Data_Input!$A$1:$ZZ$502, 0, MATCH(1, (Data_Input!$7:$7=$F$3)*(Data_Input!$8:$8=$B16), 0)), 0) + 1, MATCH(1, (Data_Input!$7:$7=$F$3)*(Data_Input!$8:$8=$B16), 0)),"")</f>
        <v/>
      </c>
      <c r="H16" s="20" t="str" cm="1">
        <f t="array" ref="H16">IFERROR(INDEX(Data_Input!$A$1:$ZZ$502, MATCH("매입금액", INDEX(Data_Input!$A$1:$ZZ$502, 0, MATCH(1, (Data_Input!$7:$7=$F$3)*(Data_Input!$8:$8=$B16), 0)), 0) + 1, MATCH(1, (Data_Input!$7:$7=$F$3)*(Data_Input!$8:$8=$B16), 0)),"")</f>
        <v/>
      </c>
      <c r="I16" s="20" t="str" cm="1">
        <f t="array" ref="I16">IFERROR(INDEX(Data_Input!$A$1:$ZZ$502, MATCH("평가금액", INDEX(Data_Input!$A$1:$ZZ$502, 0, MATCH(1, (Data_Input!$7:$7=$F$3)*(Data_Input!$8:$8=$B16), 0)), 0) + 1, MATCH(1, (Data_Input!$7:$7=$F$3)*(Data_Input!$8:$8=$B16), 0)),"")</f>
        <v/>
      </c>
      <c r="J16" s="20" t="str" cm="1">
        <f t="array" ref="J16">IFERROR(INDEX(Data_Input!$A$1:$ZZ$502, MATCH("평가손익", INDEX(Data_Input!$A$1:$ZZ$502, 0, MATCH(1, (Data_Input!$7:$7=$F$3)*(Data_Input!$8:$8=$B16), 0)), 0) + 1, MATCH(1, (Data_Input!$7:$7=$F$3)*(Data_Input!$8:$8=$B16), 0)),"")</f>
        <v/>
      </c>
      <c r="K16" s="14" t="str" cm="1">
        <f t="array" ref="K16">IFERROR(INDEX(Data_Input!$A$1:$ZZ$502, MATCH("총수익률", INDEX(Data_Input!$A$1:$ZZ$502, 0, MATCH(1, (Data_Input!$7:$7=$F$3)*(Data_Input!$8:$8=$B16), 0)), 0) + 1, MATCH(1, (Data_Input!$7:$7=$F$3)*(Data_Input!$8:$8=$B16), 0)),"")</f>
        <v/>
      </c>
      <c r="L16" t="str" cm="1">
        <f t="array" ref="L16">IFERROR(_xlfn.LET(
    _xlpm.targetDate, B16,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7" spans="1:12" x14ac:dyDescent="0.3">
      <c r="A17" s="16" t="str">
        <f t="shared" si="0"/>
        <v/>
      </c>
      <c r="B17" s="19"/>
      <c r="C17" s="17" t="str">
        <f t="shared" si="1"/>
        <v/>
      </c>
      <c r="D17" s="29" t="str" cm="1">
        <f t="array" ref="D17">IFERROR(INDEX(Data_Input!$10:$10,MATCH(1,(Data_Input!$7:$7=$F$3)*(Data_Input!$8:$8=$B17),0)),"")</f>
        <v/>
      </c>
      <c r="E17" s="29" t="str" cm="1">
        <f t="array" ref="E17">IFERROR(INDEX(Data_Input!$1:$100, 9, MATCH(1, (Data_Input!$7:$7=$F$3) * (Data_Input!$8:$8=$B17), 0)),"")</f>
        <v/>
      </c>
      <c r="F17" s="20" t="str" cm="1">
        <f t="array" ref="F17">IFERROR(INDEX(Data_Input!$A$1:$ZZ$502, MATCH("예수금", INDEX(Data_Input!$A$1:$ZZ$502, 0, MATCH(1, (Data_Input!$7:$7=$F$3)*(Data_Input!$8:$8=$B17), 0)), 0) + 1, MATCH(1, (Data_Input!$7:$7=$F$3)*(Data_Input!$8:$8=$B17), 0)),"")</f>
        <v/>
      </c>
      <c r="G17" s="20" t="str" cm="1">
        <f t="array" ref="G17">IFERROR(INDEX(Data_Input!$A$1:$ZZ$502, MATCH("총자산", INDEX(Data_Input!$A$1:$ZZ$502, 0, MATCH(1, (Data_Input!$7:$7=$F$3)*(Data_Input!$8:$8=$B17), 0)), 0) + 1, MATCH(1, (Data_Input!$7:$7=$F$3)*(Data_Input!$8:$8=$B17), 0)),"")</f>
        <v/>
      </c>
      <c r="H17" s="20" t="str" cm="1">
        <f t="array" ref="H17">IFERROR(INDEX(Data_Input!$A$1:$ZZ$502, MATCH("매입금액", INDEX(Data_Input!$A$1:$ZZ$502, 0, MATCH(1, (Data_Input!$7:$7=$F$3)*(Data_Input!$8:$8=$B17), 0)), 0) + 1, MATCH(1, (Data_Input!$7:$7=$F$3)*(Data_Input!$8:$8=$B17), 0)),"")</f>
        <v/>
      </c>
      <c r="I17" s="20" t="str" cm="1">
        <f t="array" ref="I17">IFERROR(INDEX(Data_Input!$A$1:$ZZ$502, MATCH("평가금액", INDEX(Data_Input!$A$1:$ZZ$502, 0, MATCH(1, (Data_Input!$7:$7=$F$3)*(Data_Input!$8:$8=$B17), 0)), 0) + 1, MATCH(1, (Data_Input!$7:$7=$F$3)*(Data_Input!$8:$8=$B17), 0)),"")</f>
        <v/>
      </c>
      <c r="J17" s="20" t="str" cm="1">
        <f t="array" ref="J17">IFERROR(INDEX(Data_Input!$A$1:$ZZ$502, MATCH("평가손익", INDEX(Data_Input!$A$1:$ZZ$502, 0, MATCH(1, (Data_Input!$7:$7=$F$3)*(Data_Input!$8:$8=$B17), 0)), 0) + 1, MATCH(1, (Data_Input!$7:$7=$F$3)*(Data_Input!$8:$8=$B17), 0)),"")</f>
        <v/>
      </c>
      <c r="K17" s="14" t="str" cm="1">
        <f t="array" ref="K17">IFERROR(INDEX(Data_Input!$A$1:$ZZ$502, MATCH("총수익률", INDEX(Data_Input!$A$1:$ZZ$502, 0, MATCH(1, (Data_Input!$7:$7=$F$3)*(Data_Input!$8:$8=$B17), 0)), 0) + 1, MATCH(1, (Data_Input!$7:$7=$F$3)*(Data_Input!$8:$8=$B17), 0)),"")</f>
        <v/>
      </c>
      <c r="L17" t="str" cm="1">
        <f t="array" ref="L17">IFERROR(_xlfn.LET(
    _xlpm.targetDate, B17,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8" spans="1:12" x14ac:dyDescent="0.3">
      <c r="A18" s="16" t="str">
        <f t="shared" si="0"/>
        <v/>
      </c>
      <c r="B18" s="19"/>
      <c r="C18" s="17" t="str">
        <f t="shared" si="1"/>
        <v/>
      </c>
      <c r="D18" s="29" t="str" cm="1">
        <f t="array" ref="D18">IFERROR(INDEX(Data_Input!$10:$10,MATCH(1,(Data_Input!$7:$7=$F$3)*(Data_Input!$8:$8=$B18),0)),"")</f>
        <v/>
      </c>
      <c r="E18" s="29" t="str" cm="1">
        <f t="array" ref="E18">IFERROR(INDEX(Data_Input!$1:$100, 9, MATCH(1, (Data_Input!$7:$7=$F$3) * (Data_Input!$8:$8=$B18), 0)),"")</f>
        <v/>
      </c>
      <c r="F18" s="20" t="str" cm="1">
        <f t="array" ref="F18">IFERROR(INDEX(Data_Input!$A$1:$ZZ$502, MATCH("예수금", INDEX(Data_Input!$A$1:$ZZ$502, 0, MATCH(1, (Data_Input!$7:$7=$F$3)*(Data_Input!$8:$8=$B18), 0)), 0) + 1, MATCH(1, (Data_Input!$7:$7=$F$3)*(Data_Input!$8:$8=$B18), 0)),"")</f>
        <v/>
      </c>
      <c r="G18" s="20" t="str" cm="1">
        <f t="array" ref="G18">IFERROR(INDEX(Data_Input!$A$1:$ZZ$502, MATCH("총자산", INDEX(Data_Input!$A$1:$ZZ$502, 0, MATCH(1, (Data_Input!$7:$7=$F$3)*(Data_Input!$8:$8=$B18), 0)), 0) + 1, MATCH(1, (Data_Input!$7:$7=$F$3)*(Data_Input!$8:$8=$B18), 0)),"")</f>
        <v/>
      </c>
      <c r="H18" s="20" t="str" cm="1">
        <f t="array" ref="H18">IFERROR(INDEX(Data_Input!$A$1:$ZZ$502, MATCH("매입금액", INDEX(Data_Input!$A$1:$ZZ$502, 0, MATCH(1, (Data_Input!$7:$7=$F$3)*(Data_Input!$8:$8=$B18), 0)), 0) + 1, MATCH(1, (Data_Input!$7:$7=$F$3)*(Data_Input!$8:$8=$B18), 0)),"")</f>
        <v/>
      </c>
      <c r="I18" s="20" t="str" cm="1">
        <f t="array" ref="I18">IFERROR(INDEX(Data_Input!$A$1:$ZZ$502, MATCH("평가금액", INDEX(Data_Input!$A$1:$ZZ$502, 0, MATCH(1, (Data_Input!$7:$7=$F$3)*(Data_Input!$8:$8=$B18), 0)), 0) + 1, MATCH(1, (Data_Input!$7:$7=$F$3)*(Data_Input!$8:$8=$B18), 0)),"")</f>
        <v/>
      </c>
      <c r="J18" s="20" t="str" cm="1">
        <f t="array" ref="J18">IFERROR(INDEX(Data_Input!$A$1:$ZZ$502, MATCH("평가손익", INDEX(Data_Input!$A$1:$ZZ$502, 0, MATCH(1, (Data_Input!$7:$7=$F$3)*(Data_Input!$8:$8=$B18), 0)), 0) + 1, MATCH(1, (Data_Input!$7:$7=$F$3)*(Data_Input!$8:$8=$B18), 0)),"")</f>
        <v/>
      </c>
      <c r="K18" s="14" t="str" cm="1">
        <f t="array" ref="K18">IFERROR(INDEX(Data_Input!$A$1:$ZZ$502, MATCH("총수익률", INDEX(Data_Input!$A$1:$ZZ$502, 0, MATCH(1, (Data_Input!$7:$7=$F$3)*(Data_Input!$8:$8=$B18), 0)), 0) + 1, MATCH(1, (Data_Input!$7:$7=$F$3)*(Data_Input!$8:$8=$B18), 0)),"")</f>
        <v/>
      </c>
      <c r="L18" t="str" cm="1">
        <f t="array" ref="L18">IFERROR(_xlfn.LET(
    _xlpm.targetDate, B18,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9" spans="1:12" x14ac:dyDescent="0.3">
      <c r="A19" s="16" t="str">
        <f t="shared" si="0"/>
        <v/>
      </c>
      <c r="B19" s="19"/>
      <c r="C19" s="17" t="str">
        <f t="shared" si="1"/>
        <v/>
      </c>
      <c r="D19" s="29" t="str" cm="1">
        <f t="array" ref="D19">IFERROR(INDEX(Data_Input!$10:$10,MATCH(1,(Data_Input!$7:$7=$F$3)*(Data_Input!$8:$8=$B19),0)),"")</f>
        <v/>
      </c>
      <c r="E19" s="29" t="str" cm="1">
        <f t="array" ref="E19">IFERROR(INDEX(Data_Input!$1:$100, 9, MATCH(1, (Data_Input!$7:$7=$F$3) * (Data_Input!$8:$8=$B19), 0)),"")</f>
        <v/>
      </c>
      <c r="F19" s="20" t="str" cm="1">
        <f t="array" ref="F19">IFERROR(INDEX(Data_Input!$A$1:$ZZ$502, MATCH("예수금", INDEX(Data_Input!$A$1:$ZZ$502, 0, MATCH(1, (Data_Input!$7:$7=$F$3)*(Data_Input!$8:$8=$B19), 0)), 0) + 1, MATCH(1, (Data_Input!$7:$7=$F$3)*(Data_Input!$8:$8=$B19), 0)),"")</f>
        <v/>
      </c>
      <c r="G19" s="20" t="str" cm="1">
        <f t="array" ref="G19">IFERROR(INDEX(Data_Input!$A$1:$ZZ$502, MATCH("총자산", INDEX(Data_Input!$A$1:$ZZ$502, 0, MATCH(1, (Data_Input!$7:$7=$F$3)*(Data_Input!$8:$8=$B19), 0)), 0) + 1, MATCH(1, (Data_Input!$7:$7=$F$3)*(Data_Input!$8:$8=$B19), 0)),"")</f>
        <v/>
      </c>
      <c r="H19" s="20" t="str" cm="1">
        <f t="array" ref="H19">IFERROR(INDEX(Data_Input!$A$1:$ZZ$502, MATCH("매입금액", INDEX(Data_Input!$A$1:$ZZ$502, 0, MATCH(1, (Data_Input!$7:$7=$F$3)*(Data_Input!$8:$8=$B19), 0)), 0) + 1, MATCH(1, (Data_Input!$7:$7=$F$3)*(Data_Input!$8:$8=$B19), 0)),"")</f>
        <v/>
      </c>
      <c r="I19" s="20" t="str" cm="1">
        <f t="array" ref="I19">IFERROR(INDEX(Data_Input!$A$1:$ZZ$502, MATCH("평가금액", INDEX(Data_Input!$A$1:$ZZ$502, 0, MATCH(1, (Data_Input!$7:$7=$F$3)*(Data_Input!$8:$8=$B19), 0)), 0) + 1, MATCH(1, (Data_Input!$7:$7=$F$3)*(Data_Input!$8:$8=$B19), 0)),"")</f>
        <v/>
      </c>
      <c r="J19" s="20" t="str" cm="1">
        <f t="array" ref="J19">IFERROR(INDEX(Data_Input!$A$1:$ZZ$502, MATCH("평가손익", INDEX(Data_Input!$A$1:$ZZ$502, 0, MATCH(1, (Data_Input!$7:$7=$F$3)*(Data_Input!$8:$8=$B19), 0)), 0) + 1, MATCH(1, (Data_Input!$7:$7=$F$3)*(Data_Input!$8:$8=$B19), 0)),"")</f>
        <v/>
      </c>
      <c r="K19" s="14" t="str" cm="1">
        <f t="array" ref="K19">IFERROR(INDEX(Data_Input!$A$1:$ZZ$502, MATCH("총수익률", INDEX(Data_Input!$A$1:$ZZ$502, 0, MATCH(1, (Data_Input!$7:$7=$F$3)*(Data_Input!$8:$8=$B19), 0)), 0) + 1, MATCH(1, (Data_Input!$7:$7=$F$3)*(Data_Input!$8:$8=$B19), 0)),"")</f>
        <v/>
      </c>
      <c r="L19" t="str" cm="1">
        <f t="array" ref="L19">IFERROR(_xlfn.LET(
    _xlpm.targetDate, B19,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0" spans="1:12" x14ac:dyDescent="0.3">
      <c r="A20" s="16" t="str">
        <f t="shared" si="0"/>
        <v/>
      </c>
      <c r="B20" s="19"/>
      <c r="C20" s="17" t="str">
        <f t="shared" si="1"/>
        <v/>
      </c>
      <c r="D20" s="29" t="str" cm="1">
        <f t="array" ref="D20">IFERROR(INDEX(Data_Input!$10:$10,MATCH(1,(Data_Input!$7:$7=$F$3)*(Data_Input!$8:$8=$B20),0)),"")</f>
        <v/>
      </c>
      <c r="E20" s="29" t="str" cm="1">
        <f t="array" ref="E20">IFERROR(INDEX(Data_Input!$1:$100, 9, MATCH(1, (Data_Input!$7:$7=$F$3) * (Data_Input!$8:$8=$B20), 0)),"")</f>
        <v/>
      </c>
      <c r="F20" s="20" t="str" cm="1">
        <f t="array" ref="F20">IFERROR(INDEX(Data_Input!$A$1:$ZZ$502, MATCH("예수금", INDEX(Data_Input!$A$1:$ZZ$502, 0, MATCH(1, (Data_Input!$7:$7=$F$3)*(Data_Input!$8:$8=$B20), 0)), 0) + 1, MATCH(1, (Data_Input!$7:$7=$F$3)*(Data_Input!$8:$8=$B20), 0)),"")</f>
        <v/>
      </c>
      <c r="G20" s="20" t="str" cm="1">
        <f t="array" ref="G20">IFERROR(INDEX(Data_Input!$A$1:$ZZ$502, MATCH("총자산", INDEX(Data_Input!$A$1:$ZZ$502, 0, MATCH(1, (Data_Input!$7:$7=$F$3)*(Data_Input!$8:$8=$B20), 0)), 0) + 1, MATCH(1, (Data_Input!$7:$7=$F$3)*(Data_Input!$8:$8=$B20), 0)),"")</f>
        <v/>
      </c>
      <c r="H20" s="20" t="str" cm="1">
        <f t="array" ref="H20">IFERROR(INDEX(Data_Input!$A$1:$ZZ$502, MATCH("매입금액", INDEX(Data_Input!$A$1:$ZZ$502, 0, MATCH(1, (Data_Input!$7:$7=$F$3)*(Data_Input!$8:$8=$B20), 0)), 0) + 1, MATCH(1, (Data_Input!$7:$7=$F$3)*(Data_Input!$8:$8=$B20), 0)),"")</f>
        <v/>
      </c>
      <c r="I20" s="20" t="str" cm="1">
        <f t="array" ref="I20">IFERROR(INDEX(Data_Input!$A$1:$ZZ$502, MATCH("평가금액", INDEX(Data_Input!$A$1:$ZZ$502, 0, MATCH(1, (Data_Input!$7:$7=$F$3)*(Data_Input!$8:$8=$B20), 0)), 0) + 1, MATCH(1, (Data_Input!$7:$7=$F$3)*(Data_Input!$8:$8=$B20), 0)),"")</f>
        <v/>
      </c>
      <c r="J20" s="20" t="str" cm="1">
        <f t="array" ref="J20">IFERROR(INDEX(Data_Input!$A$1:$ZZ$502, MATCH("평가손익", INDEX(Data_Input!$A$1:$ZZ$502, 0, MATCH(1, (Data_Input!$7:$7=$F$3)*(Data_Input!$8:$8=$B20), 0)), 0) + 1, MATCH(1, (Data_Input!$7:$7=$F$3)*(Data_Input!$8:$8=$B20), 0)),"")</f>
        <v/>
      </c>
      <c r="K20" s="14" t="str" cm="1">
        <f t="array" ref="K20">IFERROR(INDEX(Data_Input!$A$1:$ZZ$502, MATCH("총수익률", INDEX(Data_Input!$A$1:$ZZ$502, 0, MATCH(1, (Data_Input!$7:$7=$F$3)*(Data_Input!$8:$8=$B20), 0)), 0) + 1, MATCH(1, (Data_Input!$7:$7=$F$3)*(Data_Input!$8:$8=$B20), 0)),"")</f>
        <v/>
      </c>
      <c r="L20" t="str" cm="1">
        <f t="array" ref="L20">IFERROR(_xlfn.LET(
    _xlpm.targetDate, B20,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1" spans="1:12" x14ac:dyDescent="0.3">
      <c r="A21" s="16" t="str">
        <f t="shared" si="0"/>
        <v/>
      </c>
      <c r="B21" s="19"/>
      <c r="C21" s="17" t="str">
        <f t="shared" si="1"/>
        <v/>
      </c>
      <c r="D21" s="29" t="str" cm="1">
        <f t="array" ref="D21">IFERROR(INDEX(Data_Input!$10:$10,MATCH(1,(Data_Input!$7:$7=$F$3)*(Data_Input!$8:$8=$B21),0)),"")</f>
        <v/>
      </c>
      <c r="E21" s="29" t="str" cm="1">
        <f t="array" ref="E21">IFERROR(INDEX(Data_Input!$1:$100, 9, MATCH(1, (Data_Input!$7:$7=$F$3) * (Data_Input!$8:$8=$B21), 0)),"")</f>
        <v/>
      </c>
      <c r="F21" s="20" t="str" cm="1">
        <f t="array" ref="F21">IFERROR(INDEX(Data_Input!$A$1:$ZZ$502, MATCH("예수금", INDEX(Data_Input!$A$1:$ZZ$502, 0, MATCH(1, (Data_Input!$7:$7=$F$3)*(Data_Input!$8:$8=$B21), 0)), 0) + 1, MATCH(1, (Data_Input!$7:$7=$F$3)*(Data_Input!$8:$8=$B21), 0)),"")</f>
        <v/>
      </c>
      <c r="G21" s="20" t="str" cm="1">
        <f t="array" ref="G21">IFERROR(INDEX(Data_Input!$A$1:$ZZ$502, MATCH("총자산", INDEX(Data_Input!$A$1:$ZZ$502, 0, MATCH(1, (Data_Input!$7:$7=$F$3)*(Data_Input!$8:$8=$B21), 0)), 0) + 1, MATCH(1, (Data_Input!$7:$7=$F$3)*(Data_Input!$8:$8=$B21), 0)),"")</f>
        <v/>
      </c>
      <c r="H21" s="20" t="str" cm="1">
        <f t="array" ref="H21">IFERROR(INDEX(Data_Input!$A$1:$ZZ$502, MATCH("매입금액", INDEX(Data_Input!$A$1:$ZZ$502, 0, MATCH(1, (Data_Input!$7:$7=$F$3)*(Data_Input!$8:$8=$B21), 0)), 0) + 1, MATCH(1, (Data_Input!$7:$7=$F$3)*(Data_Input!$8:$8=$B21), 0)),"")</f>
        <v/>
      </c>
      <c r="I21" s="20" t="str" cm="1">
        <f t="array" ref="I21">IFERROR(INDEX(Data_Input!$A$1:$ZZ$502, MATCH("평가금액", INDEX(Data_Input!$A$1:$ZZ$502, 0, MATCH(1, (Data_Input!$7:$7=$F$3)*(Data_Input!$8:$8=$B21), 0)), 0) + 1, MATCH(1, (Data_Input!$7:$7=$F$3)*(Data_Input!$8:$8=$B21), 0)),"")</f>
        <v/>
      </c>
      <c r="J21" s="20" t="str" cm="1">
        <f t="array" ref="J21">IFERROR(INDEX(Data_Input!$A$1:$ZZ$502, MATCH("평가손익", INDEX(Data_Input!$A$1:$ZZ$502, 0, MATCH(1, (Data_Input!$7:$7=$F$3)*(Data_Input!$8:$8=$B21), 0)), 0) + 1, MATCH(1, (Data_Input!$7:$7=$F$3)*(Data_Input!$8:$8=$B21), 0)),"")</f>
        <v/>
      </c>
      <c r="K21" s="14" t="str" cm="1">
        <f t="array" ref="K21">IFERROR(INDEX(Data_Input!$A$1:$ZZ$502, MATCH("총수익률", INDEX(Data_Input!$A$1:$ZZ$502, 0, MATCH(1, (Data_Input!$7:$7=$F$3)*(Data_Input!$8:$8=$B21), 0)), 0) + 1, MATCH(1, (Data_Input!$7:$7=$F$3)*(Data_Input!$8:$8=$B21), 0)),"")</f>
        <v/>
      </c>
      <c r="L21" t="str" cm="1">
        <f t="array" ref="L21">IFERROR(_xlfn.LET(
    _xlpm.targetDate, B21,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2" spans="1:12" x14ac:dyDescent="0.3">
      <c r="A22" s="16" t="str">
        <f t="shared" si="0"/>
        <v/>
      </c>
      <c r="B22" s="19"/>
      <c r="C22" s="17" t="str">
        <f t="shared" si="1"/>
        <v/>
      </c>
      <c r="D22" s="29" t="str" cm="1">
        <f t="array" ref="D22">IFERROR(INDEX(Data_Input!$10:$10,MATCH(1,(Data_Input!$7:$7=$F$3)*(Data_Input!$8:$8=$B22),0)),"")</f>
        <v/>
      </c>
      <c r="E22" s="29" t="str" cm="1">
        <f t="array" ref="E22">IFERROR(INDEX(Data_Input!$1:$100, 9, MATCH(1, (Data_Input!$7:$7=$F$3) * (Data_Input!$8:$8=$B22), 0)),"")</f>
        <v/>
      </c>
      <c r="F22" s="20" t="str" cm="1">
        <f t="array" ref="F22">IFERROR(INDEX(Data_Input!$A$1:$ZZ$502, MATCH("예수금", INDEX(Data_Input!$A$1:$ZZ$502, 0, MATCH(1, (Data_Input!$7:$7=$F$3)*(Data_Input!$8:$8=$B22), 0)), 0) + 1, MATCH(1, (Data_Input!$7:$7=$F$3)*(Data_Input!$8:$8=$B22), 0)),"")</f>
        <v/>
      </c>
      <c r="G22" s="20" t="str" cm="1">
        <f t="array" ref="G22">IFERROR(INDEX(Data_Input!$A$1:$ZZ$502, MATCH("총자산", INDEX(Data_Input!$A$1:$ZZ$502, 0, MATCH(1, (Data_Input!$7:$7=$F$3)*(Data_Input!$8:$8=$B22), 0)), 0) + 1, MATCH(1, (Data_Input!$7:$7=$F$3)*(Data_Input!$8:$8=$B22), 0)),"")</f>
        <v/>
      </c>
      <c r="H22" s="20" t="str" cm="1">
        <f t="array" ref="H22">IFERROR(INDEX(Data_Input!$A$1:$ZZ$502, MATCH("매입금액", INDEX(Data_Input!$A$1:$ZZ$502, 0, MATCH(1, (Data_Input!$7:$7=$F$3)*(Data_Input!$8:$8=$B22), 0)), 0) + 1, MATCH(1, (Data_Input!$7:$7=$F$3)*(Data_Input!$8:$8=$B22), 0)),"")</f>
        <v/>
      </c>
      <c r="I22" s="20" t="str" cm="1">
        <f t="array" ref="I22">IFERROR(INDEX(Data_Input!$A$1:$ZZ$502, MATCH("평가금액", INDEX(Data_Input!$A$1:$ZZ$502, 0, MATCH(1, (Data_Input!$7:$7=$F$3)*(Data_Input!$8:$8=$B22), 0)), 0) + 1, MATCH(1, (Data_Input!$7:$7=$F$3)*(Data_Input!$8:$8=$B22), 0)),"")</f>
        <v/>
      </c>
      <c r="J22" s="20" t="str" cm="1">
        <f t="array" ref="J22">IFERROR(INDEX(Data_Input!$A$1:$ZZ$502, MATCH("평가손익", INDEX(Data_Input!$A$1:$ZZ$502, 0, MATCH(1, (Data_Input!$7:$7=$F$3)*(Data_Input!$8:$8=$B22), 0)), 0) + 1, MATCH(1, (Data_Input!$7:$7=$F$3)*(Data_Input!$8:$8=$B22), 0)),"")</f>
        <v/>
      </c>
      <c r="K22" s="14" t="str" cm="1">
        <f t="array" ref="K22">IFERROR(INDEX(Data_Input!$A$1:$ZZ$502, MATCH("총수익률", INDEX(Data_Input!$A$1:$ZZ$502, 0, MATCH(1, (Data_Input!$7:$7=$F$3)*(Data_Input!$8:$8=$B22), 0)), 0) + 1, MATCH(1, (Data_Input!$7:$7=$F$3)*(Data_Input!$8:$8=$B22), 0)),"")</f>
        <v/>
      </c>
      <c r="L22" t="str" cm="1">
        <f t="array" ref="L22">IFERROR(_xlfn.LET(
    _xlpm.targetDate, B22,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3" spans="1:12" x14ac:dyDescent="0.3">
      <c r="A23" s="16" t="str">
        <f t="shared" si="0"/>
        <v/>
      </c>
      <c r="B23" s="19"/>
      <c r="C23" s="17" t="str">
        <f t="shared" si="1"/>
        <v/>
      </c>
      <c r="D23" s="29" t="str" cm="1">
        <f t="array" ref="D23">IFERROR(INDEX(Data_Input!$10:$10,MATCH(1,(Data_Input!$7:$7=$F$3)*(Data_Input!$8:$8=$B23),0)),"")</f>
        <v/>
      </c>
      <c r="E23" s="29" t="str" cm="1">
        <f t="array" ref="E23">IFERROR(INDEX(Data_Input!$1:$100, 9, MATCH(1, (Data_Input!$7:$7=$F$3) * (Data_Input!$8:$8=$B23), 0)),"")</f>
        <v/>
      </c>
      <c r="F23" s="20" t="str" cm="1">
        <f t="array" ref="F23">IFERROR(INDEX(Data_Input!$A$1:$ZZ$502, MATCH("예수금", INDEX(Data_Input!$A$1:$ZZ$502, 0, MATCH(1, (Data_Input!$7:$7=$F$3)*(Data_Input!$8:$8=$B23), 0)), 0) + 1, MATCH(1, (Data_Input!$7:$7=$F$3)*(Data_Input!$8:$8=$B23), 0)),"")</f>
        <v/>
      </c>
      <c r="G23" s="20" t="str" cm="1">
        <f t="array" ref="G23">IFERROR(INDEX(Data_Input!$A$1:$ZZ$502, MATCH("총자산", INDEX(Data_Input!$A$1:$ZZ$502, 0, MATCH(1, (Data_Input!$7:$7=$F$3)*(Data_Input!$8:$8=$B23), 0)), 0) + 1, MATCH(1, (Data_Input!$7:$7=$F$3)*(Data_Input!$8:$8=$B23), 0)),"")</f>
        <v/>
      </c>
      <c r="H23" s="20" t="str" cm="1">
        <f t="array" ref="H23">IFERROR(INDEX(Data_Input!$A$1:$ZZ$502, MATCH("매입금액", INDEX(Data_Input!$A$1:$ZZ$502, 0, MATCH(1, (Data_Input!$7:$7=$F$3)*(Data_Input!$8:$8=$B23), 0)), 0) + 1, MATCH(1, (Data_Input!$7:$7=$F$3)*(Data_Input!$8:$8=$B23), 0)),"")</f>
        <v/>
      </c>
      <c r="I23" s="20" t="str" cm="1">
        <f t="array" ref="I23">IFERROR(INDEX(Data_Input!$A$1:$ZZ$502, MATCH("평가금액", INDEX(Data_Input!$A$1:$ZZ$502, 0, MATCH(1, (Data_Input!$7:$7=$F$3)*(Data_Input!$8:$8=$B23), 0)), 0) + 1, MATCH(1, (Data_Input!$7:$7=$F$3)*(Data_Input!$8:$8=$B23), 0)),"")</f>
        <v/>
      </c>
      <c r="J23" s="20" t="str" cm="1">
        <f t="array" ref="J23">IFERROR(INDEX(Data_Input!$A$1:$ZZ$502, MATCH("평가손익", INDEX(Data_Input!$A$1:$ZZ$502, 0, MATCH(1, (Data_Input!$7:$7=$F$3)*(Data_Input!$8:$8=$B23), 0)), 0) + 1, MATCH(1, (Data_Input!$7:$7=$F$3)*(Data_Input!$8:$8=$B23), 0)),"")</f>
        <v/>
      </c>
      <c r="K23" s="14" t="str" cm="1">
        <f t="array" ref="K23">IFERROR(INDEX(Data_Input!$A$1:$ZZ$502, MATCH("총수익률", INDEX(Data_Input!$A$1:$ZZ$502, 0, MATCH(1, (Data_Input!$7:$7=$F$3)*(Data_Input!$8:$8=$B23), 0)), 0) + 1, MATCH(1, (Data_Input!$7:$7=$F$3)*(Data_Input!$8:$8=$B23), 0)),"")</f>
        <v/>
      </c>
      <c r="L23" t="str" cm="1">
        <f t="array" ref="L23">IFERROR(_xlfn.LET(
    _xlpm.targetDate, B23,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4" spans="1:12" x14ac:dyDescent="0.3">
      <c r="A24" s="16" t="str">
        <f t="shared" si="0"/>
        <v/>
      </c>
      <c r="B24" s="19"/>
      <c r="C24" s="17" t="str">
        <f t="shared" si="1"/>
        <v/>
      </c>
      <c r="D24" s="29" t="str" cm="1">
        <f t="array" ref="D24">IFERROR(INDEX(Data_Input!$10:$10,MATCH(1,(Data_Input!$7:$7=$F$3)*(Data_Input!$8:$8=$B24),0)),"")</f>
        <v/>
      </c>
      <c r="E24" s="29" t="str" cm="1">
        <f t="array" ref="E24">IFERROR(INDEX(Data_Input!$1:$100, 9, MATCH(1, (Data_Input!$7:$7=$F$3) * (Data_Input!$8:$8=$B24), 0)),"")</f>
        <v/>
      </c>
      <c r="F24" s="20" t="str" cm="1">
        <f t="array" ref="F24">IFERROR(INDEX(Data_Input!$A$1:$ZZ$502, MATCH("예수금", INDEX(Data_Input!$A$1:$ZZ$502, 0, MATCH(1, (Data_Input!$7:$7=$F$3)*(Data_Input!$8:$8=$B24), 0)), 0) + 1, MATCH(1, (Data_Input!$7:$7=$F$3)*(Data_Input!$8:$8=$B24), 0)),"")</f>
        <v/>
      </c>
      <c r="G24" s="20" t="str" cm="1">
        <f t="array" ref="G24">IFERROR(INDEX(Data_Input!$A$1:$ZZ$502, MATCH("총자산", INDEX(Data_Input!$A$1:$ZZ$502, 0, MATCH(1, (Data_Input!$7:$7=$F$3)*(Data_Input!$8:$8=$B24), 0)), 0) + 1, MATCH(1, (Data_Input!$7:$7=$F$3)*(Data_Input!$8:$8=$B24), 0)),"")</f>
        <v/>
      </c>
      <c r="H24" s="20" t="str" cm="1">
        <f t="array" ref="H24">IFERROR(INDEX(Data_Input!$A$1:$ZZ$502, MATCH("매입금액", INDEX(Data_Input!$A$1:$ZZ$502, 0, MATCH(1, (Data_Input!$7:$7=$F$3)*(Data_Input!$8:$8=$B24), 0)), 0) + 1, MATCH(1, (Data_Input!$7:$7=$F$3)*(Data_Input!$8:$8=$B24), 0)),"")</f>
        <v/>
      </c>
      <c r="I24" s="20" t="str" cm="1">
        <f t="array" ref="I24">IFERROR(INDEX(Data_Input!$A$1:$ZZ$502, MATCH("평가금액", INDEX(Data_Input!$A$1:$ZZ$502, 0, MATCH(1, (Data_Input!$7:$7=$F$3)*(Data_Input!$8:$8=$B24), 0)), 0) + 1, MATCH(1, (Data_Input!$7:$7=$F$3)*(Data_Input!$8:$8=$B24), 0)),"")</f>
        <v/>
      </c>
      <c r="J24" s="20" t="str" cm="1">
        <f t="array" ref="J24">IFERROR(INDEX(Data_Input!$A$1:$ZZ$502, MATCH("평가손익", INDEX(Data_Input!$A$1:$ZZ$502, 0, MATCH(1, (Data_Input!$7:$7=$F$3)*(Data_Input!$8:$8=$B24), 0)), 0) + 1, MATCH(1, (Data_Input!$7:$7=$F$3)*(Data_Input!$8:$8=$B24), 0)),"")</f>
        <v/>
      </c>
      <c r="K24" s="14" t="str" cm="1">
        <f t="array" ref="K24">IFERROR(INDEX(Data_Input!$A$1:$ZZ$502, MATCH("총수익률", INDEX(Data_Input!$A$1:$ZZ$502, 0, MATCH(1, (Data_Input!$7:$7=$F$3)*(Data_Input!$8:$8=$B24), 0)), 0) + 1, MATCH(1, (Data_Input!$7:$7=$F$3)*(Data_Input!$8:$8=$B24), 0)),"")</f>
        <v/>
      </c>
      <c r="L24" t="str" cm="1">
        <f t="array" ref="L24">IFERROR(_xlfn.LET(
    _xlpm.targetDate, B24,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5" spans="1:12" x14ac:dyDescent="0.3">
      <c r="A25" s="16" t="str">
        <f t="shared" si="0"/>
        <v/>
      </c>
      <c r="B25" s="19"/>
      <c r="C25" s="17" t="str">
        <f t="shared" si="1"/>
        <v/>
      </c>
      <c r="D25" s="29" t="str" cm="1">
        <f t="array" ref="D25">IFERROR(INDEX(Data_Input!$10:$10,MATCH(1,(Data_Input!$7:$7=$F$3)*(Data_Input!$8:$8=$B25),0)),"")</f>
        <v/>
      </c>
      <c r="E25" s="29" t="str" cm="1">
        <f t="array" ref="E25">IFERROR(INDEX(Data_Input!$1:$100, 9, MATCH(1, (Data_Input!$7:$7=$F$3) * (Data_Input!$8:$8=$B25), 0)),"")</f>
        <v/>
      </c>
      <c r="F25" s="20" t="str" cm="1">
        <f t="array" ref="F25">IFERROR(INDEX(Data_Input!$A$1:$ZZ$502, MATCH("예수금", INDEX(Data_Input!$A$1:$ZZ$502, 0, MATCH(1, (Data_Input!$7:$7=$F$3)*(Data_Input!$8:$8=$B25), 0)), 0) + 1, MATCH(1, (Data_Input!$7:$7=$F$3)*(Data_Input!$8:$8=$B25), 0)),"")</f>
        <v/>
      </c>
      <c r="G25" s="20" t="str" cm="1">
        <f t="array" ref="G25">IFERROR(INDEX(Data_Input!$A$1:$ZZ$502, MATCH("총자산", INDEX(Data_Input!$A$1:$ZZ$502, 0, MATCH(1, (Data_Input!$7:$7=$F$3)*(Data_Input!$8:$8=$B25), 0)), 0) + 1, MATCH(1, (Data_Input!$7:$7=$F$3)*(Data_Input!$8:$8=$B25), 0)),"")</f>
        <v/>
      </c>
      <c r="H25" s="20" t="str" cm="1">
        <f t="array" ref="H25">IFERROR(INDEX(Data_Input!$A$1:$ZZ$502, MATCH("매입금액", INDEX(Data_Input!$A$1:$ZZ$502, 0, MATCH(1, (Data_Input!$7:$7=$F$3)*(Data_Input!$8:$8=$B25), 0)), 0) + 1, MATCH(1, (Data_Input!$7:$7=$F$3)*(Data_Input!$8:$8=$B25), 0)),"")</f>
        <v/>
      </c>
      <c r="I25" s="20" t="str" cm="1">
        <f t="array" ref="I25">IFERROR(INDEX(Data_Input!$A$1:$ZZ$502, MATCH("평가금액", INDEX(Data_Input!$A$1:$ZZ$502, 0, MATCH(1, (Data_Input!$7:$7=$F$3)*(Data_Input!$8:$8=$B25), 0)), 0) + 1, MATCH(1, (Data_Input!$7:$7=$F$3)*(Data_Input!$8:$8=$B25), 0)),"")</f>
        <v/>
      </c>
      <c r="J25" s="20" t="str" cm="1">
        <f t="array" ref="J25">IFERROR(INDEX(Data_Input!$A$1:$ZZ$502, MATCH("평가손익", INDEX(Data_Input!$A$1:$ZZ$502, 0, MATCH(1, (Data_Input!$7:$7=$F$3)*(Data_Input!$8:$8=$B25), 0)), 0) + 1, MATCH(1, (Data_Input!$7:$7=$F$3)*(Data_Input!$8:$8=$B25), 0)),"")</f>
        <v/>
      </c>
      <c r="K25" s="14" t="str" cm="1">
        <f t="array" ref="K25">IFERROR(INDEX(Data_Input!$A$1:$ZZ$502, MATCH("총수익률", INDEX(Data_Input!$A$1:$ZZ$502, 0, MATCH(1, (Data_Input!$7:$7=$F$3)*(Data_Input!$8:$8=$B25), 0)), 0) + 1, MATCH(1, (Data_Input!$7:$7=$F$3)*(Data_Input!$8:$8=$B25), 0)),"")</f>
        <v/>
      </c>
      <c r="L25" t="str" cm="1">
        <f t="array" ref="L25">IFERROR(_xlfn.LET(
    _xlpm.targetDate, B25,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6" spans="1:12" x14ac:dyDescent="0.3">
      <c r="A26" s="16" t="str">
        <f t="shared" si="0"/>
        <v/>
      </c>
      <c r="B26" s="19"/>
      <c r="C26" s="17" t="str">
        <f t="shared" si="1"/>
        <v/>
      </c>
      <c r="D26" s="29" t="str" cm="1">
        <f t="array" ref="D26">IFERROR(INDEX(Data_Input!$10:$10,MATCH(1,(Data_Input!$7:$7=$F$3)*(Data_Input!$8:$8=$B26),0)),"")</f>
        <v/>
      </c>
      <c r="E26" s="29" t="str" cm="1">
        <f t="array" ref="E26">IFERROR(INDEX(Data_Input!$1:$100, 9, MATCH(1, (Data_Input!$7:$7=$F$3) * (Data_Input!$8:$8=$B26), 0)),"")</f>
        <v/>
      </c>
      <c r="F26" s="20" t="str" cm="1">
        <f t="array" ref="F26">IFERROR(INDEX(Data_Input!$A$1:$ZZ$502, MATCH("예수금", INDEX(Data_Input!$A$1:$ZZ$502, 0, MATCH(1, (Data_Input!$7:$7=$F$3)*(Data_Input!$8:$8=$B26), 0)), 0) + 1, MATCH(1, (Data_Input!$7:$7=$F$3)*(Data_Input!$8:$8=$B26), 0)),"")</f>
        <v/>
      </c>
      <c r="G26" s="20" t="str" cm="1">
        <f t="array" ref="G26">IFERROR(INDEX(Data_Input!$A$1:$ZZ$502, MATCH("총자산", INDEX(Data_Input!$A$1:$ZZ$502, 0, MATCH(1, (Data_Input!$7:$7=$F$3)*(Data_Input!$8:$8=$B26), 0)), 0) + 1, MATCH(1, (Data_Input!$7:$7=$F$3)*(Data_Input!$8:$8=$B26), 0)),"")</f>
        <v/>
      </c>
      <c r="H26" s="20" t="str" cm="1">
        <f t="array" ref="H26">IFERROR(INDEX(Data_Input!$A$1:$ZZ$502, MATCH("매입금액", INDEX(Data_Input!$A$1:$ZZ$502, 0, MATCH(1, (Data_Input!$7:$7=$F$3)*(Data_Input!$8:$8=$B26), 0)), 0) + 1, MATCH(1, (Data_Input!$7:$7=$F$3)*(Data_Input!$8:$8=$B26), 0)),"")</f>
        <v/>
      </c>
      <c r="I26" s="20" t="str" cm="1">
        <f t="array" ref="I26">IFERROR(INDEX(Data_Input!$A$1:$ZZ$502, MATCH("평가금액", INDEX(Data_Input!$A$1:$ZZ$502, 0, MATCH(1, (Data_Input!$7:$7=$F$3)*(Data_Input!$8:$8=$B26), 0)), 0) + 1, MATCH(1, (Data_Input!$7:$7=$F$3)*(Data_Input!$8:$8=$B26), 0)),"")</f>
        <v/>
      </c>
      <c r="J26" s="20" t="str" cm="1">
        <f t="array" ref="J26">IFERROR(INDEX(Data_Input!$A$1:$ZZ$502, MATCH("평가손익", INDEX(Data_Input!$A$1:$ZZ$502, 0, MATCH(1, (Data_Input!$7:$7=$F$3)*(Data_Input!$8:$8=$B26), 0)), 0) + 1, MATCH(1, (Data_Input!$7:$7=$F$3)*(Data_Input!$8:$8=$B26), 0)),"")</f>
        <v/>
      </c>
      <c r="K26" s="14" t="str" cm="1">
        <f t="array" ref="K26">IFERROR(INDEX(Data_Input!$A$1:$ZZ$502, MATCH("총수익률", INDEX(Data_Input!$A$1:$ZZ$502, 0, MATCH(1, (Data_Input!$7:$7=$F$3)*(Data_Input!$8:$8=$B26), 0)), 0) + 1, MATCH(1, (Data_Input!$7:$7=$F$3)*(Data_Input!$8:$8=$B26), 0)),"")</f>
        <v/>
      </c>
      <c r="L26" t="str" cm="1">
        <f t="array" ref="L26">IFERROR(_xlfn.LET(
    _xlpm.targetDate, B26,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7" spans="1:12" x14ac:dyDescent="0.3">
      <c r="A27" s="16" t="str">
        <f t="shared" si="0"/>
        <v/>
      </c>
      <c r="B27" s="19"/>
      <c r="C27" s="17" t="str">
        <f t="shared" si="1"/>
        <v/>
      </c>
      <c r="D27" s="29" t="str" cm="1">
        <f t="array" ref="D27">IFERROR(INDEX(Data_Input!$10:$10,MATCH(1,(Data_Input!$7:$7=$F$3)*(Data_Input!$8:$8=$B27),0)),"")</f>
        <v/>
      </c>
      <c r="E27" s="29" t="str" cm="1">
        <f t="array" ref="E27">IFERROR(INDEX(Data_Input!$1:$100, 9, MATCH(1, (Data_Input!$7:$7=$F$3) * (Data_Input!$8:$8=$B27), 0)),"")</f>
        <v/>
      </c>
      <c r="F27" s="20" t="str" cm="1">
        <f t="array" ref="F27">IFERROR(INDEX(Data_Input!$A$1:$ZZ$502, MATCH("예수금", INDEX(Data_Input!$A$1:$ZZ$502, 0, MATCH(1, (Data_Input!$7:$7=$F$3)*(Data_Input!$8:$8=$B27), 0)), 0) + 1, MATCH(1, (Data_Input!$7:$7=$F$3)*(Data_Input!$8:$8=$B27), 0)),"")</f>
        <v/>
      </c>
      <c r="G27" s="20" t="str" cm="1">
        <f t="array" ref="G27">IFERROR(INDEX(Data_Input!$A$1:$ZZ$502, MATCH("총자산", INDEX(Data_Input!$A$1:$ZZ$502, 0, MATCH(1, (Data_Input!$7:$7=$F$3)*(Data_Input!$8:$8=$B27), 0)), 0) + 1, MATCH(1, (Data_Input!$7:$7=$F$3)*(Data_Input!$8:$8=$B27), 0)),"")</f>
        <v/>
      </c>
      <c r="H27" s="20" t="str" cm="1">
        <f t="array" ref="H27">IFERROR(INDEX(Data_Input!$A$1:$ZZ$502, MATCH("매입금액", INDEX(Data_Input!$A$1:$ZZ$502, 0, MATCH(1, (Data_Input!$7:$7=$F$3)*(Data_Input!$8:$8=$B27), 0)), 0) + 1, MATCH(1, (Data_Input!$7:$7=$F$3)*(Data_Input!$8:$8=$B27), 0)),"")</f>
        <v/>
      </c>
      <c r="I27" s="20" t="str" cm="1">
        <f t="array" ref="I27">IFERROR(INDEX(Data_Input!$A$1:$ZZ$502, MATCH("평가금액", INDEX(Data_Input!$A$1:$ZZ$502, 0, MATCH(1, (Data_Input!$7:$7=$F$3)*(Data_Input!$8:$8=$B27), 0)), 0) + 1, MATCH(1, (Data_Input!$7:$7=$F$3)*(Data_Input!$8:$8=$B27), 0)),"")</f>
        <v/>
      </c>
      <c r="J27" s="20" t="str" cm="1">
        <f t="array" ref="J27">IFERROR(INDEX(Data_Input!$A$1:$ZZ$502, MATCH("평가손익", INDEX(Data_Input!$A$1:$ZZ$502, 0, MATCH(1, (Data_Input!$7:$7=$F$3)*(Data_Input!$8:$8=$B27), 0)), 0) + 1, MATCH(1, (Data_Input!$7:$7=$F$3)*(Data_Input!$8:$8=$B27), 0)),"")</f>
        <v/>
      </c>
      <c r="K27" s="14" t="str" cm="1">
        <f t="array" ref="K27">IFERROR(INDEX(Data_Input!$A$1:$ZZ$502, MATCH("총수익률", INDEX(Data_Input!$A$1:$ZZ$502, 0, MATCH(1, (Data_Input!$7:$7=$F$3)*(Data_Input!$8:$8=$B27), 0)), 0) + 1, MATCH(1, (Data_Input!$7:$7=$F$3)*(Data_Input!$8:$8=$B27), 0)),"")</f>
        <v/>
      </c>
      <c r="L27" t="str" cm="1">
        <f t="array" ref="L27">IFERROR(_xlfn.LET(
    _xlpm.targetDate, B27,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8" spans="1:12" x14ac:dyDescent="0.3">
      <c r="A28" s="16" t="str">
        <f t="shared" si="0"/>
        <v/>
      </c>
      <c r="B28" s="19"/>
      <c r="C28" s="17" t="str">
        <f t="shared" si="1"/>
        <v/>
      </c>
      <c r="D28" s="29" t="str" cm="1">
        <f t="array" ref="D28">IFERROR(INDEX(Data_Input!$10:$10,MATCH(1,(Data_Input!$7:$7=$F$3)*(Data_Input!$8:$8=$B28),0)),"")</f>
        <v/>
      </c>
      <c r="E28" s="29" t="str" cm="1">
        <f t="array" ref="E28">IFERROR(INDEX(Data_Input!$1:$100, 9, MATCH(1, (Data_Input!$7:$7=$F$3) * (Data_Input!$8:$8=$B28), 0)),"")</f>
        <v/>
      </c>
      <c r="F28" s="20" t="str" cm="1">
        <f t="array" ref="F28">IFERROR(INDEX(Data_Input!$A$1:$ZZ$502, MATCH("예수금", INDEX(Data_Input!$A$1:$ZZ$502, 0, MATCH(1, (Data_Input!$7:$7=$F$3)*(Data_Input!$8:$8=$B28), 0)), 0) + 1, MATCH(1, (Data_Input!$7:$7=$F$3)*(Data_Input!$8:$8=$B28), 0)),"")</f>
        <v/>
      </c>
      <c r="G28" s="20" t="str" cm="1">
        <f t="array" ref="G28">IFERROR(INDEX(Data_Input!$A$1:$ZZ$502, MATCH("총자산", INDEX(Data_Input!$A$1:$ZZ$502, 0, MATCH(1, (Data_Input!$7:$7=$F$3)*(Data_Input!$8:$8=$B28), 0)), 0) + 1, MATCH(1, (Data_Input!$7:$7=$F$3)*(Data_Input!$8:$8=$B28), 0)),"")</f>
        <v/>
      </c>
      <c r="H28" s="20" t="str" cm="1">
        <f t="array" ref="H28">IFERROR(INDEX(Data_Input!$A$1:$ZZ$502, MATCH("매입금액", INDEX(Data_Input!$A$1:$ZZ$502, 0, MATCH(1, (Data_Input!$7:$7=$F$3)*(Data_Input!$8:$8=$B28), 0)), 0) + 1, MATCH(1, (Data_Input!$7:$7=$F$3)*(Data_Input!$8:$8=$B28), 0)),"")</f>
        <v/>
      </c>
      <c r="I28" s="20" t="str" cm="1">
        <f t="array" ref="I28">IFERROR(INDEX(Data_Input!$A$1:$ZZ$502, MATCH("평가금액", INDEX(Data_Input!$A$1:$ZZ$502, 0, MATCH(1, (Data_Input!$7:$7=$F$3)*(Data_Input!$8:$8=$B28), 0)), 0) + 1, MATCH(1, (Data_Input!$7:$7=$F$3)*(Data_Input!$8:$8=$B28), 0)),"")</f>
        <v/>
      </c>
      <c r="J28" s="20" t="str" cm="1">
        <f t="array" ref="J28">IFERROR(INDEX(Data_Input!$A$1:$ZZ$502, MATCH("평가손익", INDEX(Data_Input!$A$1:$ZZ$502, 0, MATCH(1, (Data_Input!$7:$7=$F$3)*(Data_Input!$8:$8=$B28), 0)), 0) + 1, MATCH(1, (Data_Input!$7:$7=$F$3)*(Data_Input!$8:$8=$B28), 0)),"")</f>
        <v/>
      </c>
      <c r="K28" s="14" t="str" cm="1">
        <f t="array" ref="K28">IFERROR(INDEX(Data_Input!$A$1:$ZZ$502, MATCH("총수익률", INDEX(Data_Input!$A$1:$ZZ$502, 0, MATCH(1, (Data_Input!$7:$7=$F$3)*(Data_Input!$8:$8=$B28), 0)), 0) + 1, MATCH(1, (Data_Input!$7:$7=$F$3)*(Data_Input!$8:$8=$B28), 0)),"")</f>
        <v/>
      </c>
      <c r="L28" t="str" cm="1">
        <f t="array" ref="L28">IFERROR(_xlfn.LET(
    _xlpm.targetDate, B28,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9" spans="1:12" x14ac:dyDescent="0.3">
      <c r="A29" s="16" t="str">
        <f t="shared" si="0"/>
        <v/>
      </c>
      <c r="B29" s="19"/>
      <c r="C29" s="17" t="str">
        <f t="shared" si="1"/>
        <v/>
      </c>
      <c r="D29" s="29" t="str" cm="1">
        <f t="array" ref="D29">IFERROR(INDEX(Data_Input!$10:$10,MATCH(1,(Data_Input!$7:$7=$F$3)*(Data_Input!$8:$8=$B29),0)),"")</f>
        <v/>
      </c>
      <c r="E29" s="29" t="str" cm="1">
        <f t="array" ref="E29">IFERROR(INDEX(Data_Input!$1:$100, 9, MATCH(1, (Data_Input!$7:$7=$F$3) * (Data_Input!$8:$8=$B29), 0)),"")</f>
        <v/>
      </c>
      <c r="F29" s="20" t="str" cm="1">
        <f t="array" ref="F29">IFERROR(INDEX(Data_Input!$A$1:$ZZ$502, MATCH("예수금", INDEX(Data_Input!$A$1:$ZZ$502, 0, MATCH(1, (Data_Input!$7:$7=$F$3)*(Data_Input!$8:$8=$B29), 0)), 0) + 1, MATCH(1, (Data_Input!$7:$7=$F$3)*(Data_Input!$8:$8=$B29), 0)),"")</f>
        <v/>
      </c>
      <c r="G29" s="20" t="str" cm="1">
        <f t="array" ref="G29">IFERROR(INDEX(Data_Input!$A$1:$ZZ$502, MATCH("총자산", INDEX(Data_Input!$A$1:$ZZ$502, 0, MATCH(1, (Data_Input!$7:$7=$F$3)*(Data_Input!$8:$8=$B29), 0)), 0) + 1, MATCH(1, (Data_Input!$7:$7=$F$3)*(Data_Input!$8:$8=$B29), 0)),"")</f>
        <v/>
      </c>
      <c r="H29" s="20" t="str" cm="1">
        <f t="array" ref="H29">IFERROR(INDEX(Data_Input!$A$1:$ZZ$502, MATCH("매입금액", INDEX(Data_Input!$A$1:$ZZ$502, 0, MATCH(1, (Data_Input!$7:$7=$F$3)*(Data_Input!$8:$8=$B29), 0)), 0) + 1, MATCH(1, (Data_Input!$7:$7=$F$3)*(Data_Input!$8:$8=$B29), 0)),"")</f>
        <v/>
      </c>
      <c r="I29" s="20" t="str" cm="1">
        <f t="array" ref="I29">IFERROR(INDEX(Data_Input!$A$1:$ZZ$502, MATCH("평가금액", INDEX(Data_Input!$A$1:$ZZ$502, 0, MATCH(1, (Data_Input!$7:$7=$F$3)*(Data_Input!$8:$8=$B29), 0)), 0) + 1, MATCH(1, (Data_Input!$7:$7=$F$3)*(Data_Input!$8:$8=$B29), 0)),"")</f>
        <v/>
      </c>
      <c r="J29" s="20" t="str" cm="1">
        <f t="array" ref="J29">IFERROR(INDEX(Data_Input!$A$1:$ZZ$502, MATCH("평가손익", INDEX(Data_Input!$A$1:$ZZ$502, 0, MATCH(1, (Data_Input!$7:$7=$F$3)*(Data_Input!$8:$8=$B29), 0)), 0) + 1, MATCH(1, (Data_Input!$7:$7=$F$3)*(Data_Input!$8:$8=$B29), 0)),"")</f>
        <v/>
      </c>
      <c r="K29" s="14" t="str" cm="1">
        <f t="array" ref="K29">IFERROR(INDEX(Data_Input!$A$1:$ZZ$502, MATCH("총수익률", INDEX(Data_Input!$A$1:$ZZ$502, 0, MATCH(1, (Data_Input!$7:$7=$F$3)*(Data_Input!$8:$8=$B29), 0)), 0) + 1, MATCH(1, (Data_Input!$7:$7=$F$3)*(Data_Input!$8:$8=$B29), 0)),"")</f>
        <v/>
      </c>
      <c r="L29" t="str" cm="1">
        <f t="array" ref="L29">IFERROR(_xlfn.LET(
    _xlpm.targetDate, B29,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0" spans="1:12" x14ac:dyDescent="0.3">
      <c r="A30" s="16" t="str">
        <f t="shared" si="0"/>
        <v/>
      </c>
      <c r="B30" s="19"/>
      <c r="C30" s="17" t="str">
        <f t="shared" si="1"/>
        <v/>
      </c>
      <c r="D30" s="29" t="str" cm="1">
        <f t="array" ref="D30">IFERROR(INDEX(Data_Input!$10:$10,MATCH(1,(Data_Input!$7:$7=$F$3)*(Data_Input!$8:$8=$B30),0)),"")</f>
        <v/>
      </c>
      <c r="E30" s="29" t="str" cm="1">
        <f t="array" ref="E30">IFERROR(INDEX(Data_Input!$1:$100, 9, MATCH(1, (Data_Input!$7:$7=$F$3) * (Data_Input!$8:$8=$B30), 0)),"")</f>
        <v/>
      </c>
      <c r="F30" s="20" t="str" cm="1">
        <f t="array" ref="F30">IFERROR(INDEX(Data_Input!$A$1:$ZZ$502, MATCH("예수금", INDEX(Data_Input!$A$1:$ZZ$502, 0, MATCH(1, (Data_Input!$7:$7=$F$3)*(Data_Input!$8:$8=$B30), 0)), 0) + 1, MATCH(1, (Data_Input!$7:$7=$F$3)*(Data_Input!$8:$8=$B30), 0)),"")</f>
        <v/>
      </c>
      <c r="G30" s="20" t="str" cm="1">
        <f t="array" ref="G30">IFERROR(INDEX(Data_Input!$A$1:$ZZ$502, MATCH("총자산", INDEX(Data_Input!$A$1:$ZZ$502, 0, MATCH(1, (Data_Input!$7:$7=$F$3)*(Data_Input!$8:$8=$B30), 0)), 0) + 1, MATCH(1, (Data_Input!$7:$7=$F$3)*(Data_Input!$8:$8=$B30), 0)),"")</f>
        <v/>
      </c>
      <c r="H30" s="20" t="str" cm="1">
        <f t="array" ref="H30">IFERROR(INDEX(Data_Input!$A$1:$ZZ$502, MATCH("매입금액", INDEX(Data_Input!$A$1:$ZZ$502, 0, MATCH(1, (Data_Input!$7:$7=$F$3)*(Data_Input!$8:$8=$B30), 0)), 0) + 1, MATCH(1, (Data_Input!$7:$7=$F$3)*(Data_Input!$8:$8=$B30), 0)),"")</f>
        <v/>
      </c>
      <c r="I30" s="20" t="str" cm="1">
        <f t="array" ref="I30">IFERROR(INDEX(Data_Input!$A$1:$ZZ$502, MATCH("평가금액", INDEX(Data_Input!$A$1:$ZZ$502, 0, MATCH(1, (Data_Input!$7:$7=$F$3)*(Data_Input!$8:$8=$B30), 0)), 0) + 1, MATCH(1, (Data_Input!$7:$7=$F$3)*(Data_Input!$8:$8=$B30), 0)),"")</f>
        <v/>
      </c>
      <c r="J30" s="20" t="str" cm="1">
        <f t="array" ref="J30">IFERROR(INDEX(Data_Input!$A$1:$ZZ$502, MATCH("평가손익", INDEX(Data_Input!$A$1:$ZZ$502, 0, MATCH(1, (Data_Input!$7:$7=$F$3)*(Data_Input!$8:$8=$B30), 0)), 0) + 1, MATCH(1, (Data_Input!$7:$7=$F$3)*(Data_Input!$8:$8=$B30), 0)),"")</f>
        <v/>
      </c>
      <c r="K30" s="14" t="str" cm="1">
        <f t="array" ref="K30">IFERROR(INDEX(Data_Input!$A$1:$ZZ$502, MATCH("총수익률", INDEX(Data_Input!$A$1:$ZZ$502, 0, MATCH(1, (Data_Input!$7:$7=$F$3)*(Data_Input!$8:$8=$B30), 0)), 0) + 1, MATCH(1, (Data_Input!$7:$7=$F$3)*(Data_Input!$8:$8=$B30), 0)),"")</f>
        <v/>
      </c>
      <c r="L30" t="str" cm="1">
        <f t="array" ref="L30">IFERROR(_xlfn.LET(
    _xlpm.targetDate, B30,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1" spans="1:12" x14ac:dyDescent="0.3">
      <c r="A31" s="16" t="str">
        <f t="shared" si="0"/>
        <v/>
      </c>
      <c r="B31" s="19"/>
      <c r="C31" s="17" t="str">
        <f t="shared" si="1"/>
        <v/>
      </c>
      <c r="D31" s="29" t="str" cm="1">
        <f t="array" ref="D31">IFERROR(INDEX(Data_Input!$10:$10,MATCH(1,(Data_Input!$7:$7=$F$3)*(Data_Input!$8:$8=$B31),0)),"")</f>
        <v/>
      </c>
      <c r="E31" s="29" t="str" cm="1">
        <f t="array" ref="E31">IFERROR(INDEX(Data_Input!$1:$100, 9, MATCH(1, (Data_Input!$7:$7=$F$3) * (Data_Input!$8:$8=$B31), 0)),"")</f>
        <v/>
      </c>
      <c r="F31" s="20" t="str" cm="1">
        <f t="array" ref="F31">IFERROR(INDEX(Data_Input!$A$1:$ZZ$502, MATCH("예수금", INDEX(Data_Input!$A$1:$ZZ$502, 0, MATCH(1, (Data_Input!$7:$7=$F$3)*(Data_Input!$8:$8=$B31), 0)), 0) + 1, MATCH(1, (Data_Input!$7:$7=$F$3)*(Data_Input!$8:$8=$B31), 0)),"")</f>
        <v/>
      </c>
      <c r="G31" s="20" t="str" cm="1">
        <f t="array" ref="G31">IFERROR(INDEX(Data_Input!$A$1:$ZZ$502, MATCH("총자산", INDEX(Data_Input!$A$1:$ZZ$502, 0, MATCH(1, (Data_Input!$7:$7=$F$3)*(Data_Input!$8:$8=$B31), 0)), 0) + 1, MATCH(1, (Data_Input!$7:$7=$F$3)*(Data_Input!$8:$8=$B31), 0)),"")</f>
        <v/>
      </c>
      <c r="H31" s="20" t="str" cm="1">
        <f t="array" ref="H31">IFERROR(INDEX(Data_Input!$A$1:$ZZ$502, MATCH("매입금액", INDEX(Data_Input!$A$1:$ZZ$502, 0, MATCH(1, (Data_Input!$7:$7=$F$3)*(Data_Input!$8:$8=$B31), 0)), 0) + 1, MATCH(1, (Data_Input!$7:$7=$F$3)*(Data_Input!$8:$8=$B31), 0)),"")</f>
        <v/>
      </c>
      <c r="I31" s="20" t="str" cm="1">
        <f t="array" ref="I31">IFERROR(INDEX(Data_Input!$A$1:$ZZ$502, MATCH("평가금액", INDEX(Data_Input!$A$1:$ZZ$502, 0, MATCH(1, (Data_Input!$7:$7=$F$3)*(Data_Input!$8:$8=$B31), 0)), 0) + 1, MATCH(1, (Data_Input!$7:$7=$F$3)*(Data_Input!$8:$8=$B31), 0)),"")</f>
        <v/>
      </c>
      <c r="J31" s="20" t="str" cm="1">
        <f t="array" ref="J31">IFERROR(INDEX(Data_Input!$A$1:$ZZ$502, MATCH("평가손익", INDEX(Data_Input!$A$1:$ZZ$502, 0, MATCH(1, (Data_Input!$7:$7=$F$3)*(Data_Input!$8:$8=$B31), 0)), 0) + 1, MATCH(1, (Data_Input!$7:$7=$F$3)*(Data_Input!$8:$8=$B31), 0)),"")</f>
        <v/>
      </c>
      <c r="K31" s="14" t="str" cm="1">
        <f t="array" ref="K31">IFERROR(INDEX(Data_Input!$A$1:$ZZ$502, MATCH("총수익률", INDEX(Data_Input!$A$1:$ZZ$502, 0, MATCH(1, (Data_Input!$7:$7=$F$3)*(Data_Input!$8:$8=$B31), 0)), 0) + 1, MATCH(1, (Data_Input!$7:$7=$F$3)*(Data_Input!$8:$8=$B31), 0)),"")</f>
        <v/>
      </c>
      <c r="L31" t="str" cm="1">
        <f t="array" ref="L31">IFERROR(_xlfn.LET(
    _xlpm.targetDate, B31,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2" spans="1:12" x14ac:dyDescent="0.3">
      <c r="A32" s="16" t="str">
        <f t="shared" si="0"/>
        <v/>
      </c>
      <c r="B32" s="19"/>
      <c r="C32" s="17" t="str">
        <f t="shared" si="1"/>
        <v/>
      </c>
      <c r="D32" s="29" t="str" cm="1">
        <f t="array" ref="D32">IFERROR(INDEX(Data_Input!$10:$10,MATCH(1,(Data_Input!$7:$7=$F$3)*(Data_Input!$8:$8=$B32),0)),"")</f>
        <v/>
      </c>
      <c r="E32" s="29" t="str" cm="1">
        <f t="array" ref="E32">IFERROR(INDEX(Data_Input!$1:$100, 9, MATCH(1, (Data_Input!$7:$7=$F$3) * (Data_Input!$8:$8=$B32), 0)),"")</f>
        <v/>
      </c>
      <c r="F32" s="20" t="str" cm="1">
        <f t="array" ref="F32">IFERROR(INDEX(Data_Input!$A$1:$ZZ$502, MATCH("예수금", INDEX(Data_Input!$A$1:$ZZ$502, 0, MATCH(1, (Data_Input!$7:$7=$F$3)*(Data_Input!$8:$8=$B32), 0)), 0) + 1, MATCH(1, (Data_Input!$7:$7=$F$3)*(Data_Input!$8:$8=$B32), 0)),"")</f>
        <v/>
      </c>
      <c r="G32" s="20" t="str" cm="1">
        <f t="array" ref="G32">IFERROR(INDEX(Data_Input!$A$1:$ZZ$502, MATCH("총자산", INDEX(Data_Input!$A$1:$ZZ$502, 0, MATCH(1, (Data_Input!$7:$7=$F$3)*(Data_Input!$8:$8=$B32), 0)), 0) + 1, MATCH(1, (Data_Input!$7:$7=$F$3)*(Data_Input!$8:$8=$B32), 0)),"")</f>
        <v/>
      </c>
      <c r="H32" s="20" t="str" cm="1">
        <f t="array" ref="H32">IFERROR(INDEX(Data_Input!$A$1:$ZZ$502, MATCH("매입금액", INDEX(Data_Input!$A$1:$ZZ$502, 0, MATCH(1, (Data_Input!$7:$7=$F$3)*(Data_Input!$8:$8=$B32), 0)), 0) + 1, MATCH(1, (Data_Input!$7:$7=$F$3)*(Data_Input!$8:$8=$B32), 0)),"")</f>
        <v/>
      </c>
      <c r="I32" s="20" t="str" cm="1">
        <f t="array" ref="I32">IFERROR(INDEX(Data_Input!$A$1:$ZZ$502, MATCH("평가금액", INDEX(Data_Input!$A$1:$ZZ$502, 0, MATCH(1, (Data_Input!$7:$7=$F$3)*(Data_Input!$8:$8=$B32), 0)), 0) + 1, MATCH(1, (Data_Input!$7:$7=$F$3)*(Data_Input!$8:$8=$B32), 0)),"")</f>
        <v/>
      </c>
      <c r="J32" s="20" t="str" cm="1">
        <f t="array" ref="J32">IFERROR(INDEX(Data_Input!$A$1:$ZZ$502, MATCH("평가손익", INDEX(Data_Input!$A$1:$ZZ$502, 0, MATCH(1, (Data_Input!$7:$7=$F$3)*(Data_Input!$8:$8=$B32), 0)), 0) + 1, MATCH(1, (Data_Input!$7:$7=$F$3)*(Data_Input!$8:$8=$B32), 0)),"")</f>
        <v/>
      </c>
      <c r="K32" s="14" t="str" cm="1">
        <f t="array" ref="K32">IFERROR(INDEX(Data_Input!$A$1:$ZZ$502, MATCH("총수익률", INDEX(Data_Input!$A$1:$ZZ$502, 0, MATCH(1, (Data_Input!$7:$7=$F$3)*(Data_Input!$8:$8=$B32), 0)), 0) + 1, MATCH(1, (Data_Input!$7:$7=$F$3)*(Data_Input!$8:$8=$B32), 0)),"")</f>
        <v/>
      </c>
      <c r="L32" t="str" cm="1">
        <f t="array" ref="L32">IFERROR(_xlfn.LET(
    _xlpm.targetDate, B32,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3" spans="1:12" x14ac:dyDescent="0.3">
      <c r="A33" s="16" t="str">
        <f t="shared" si="0"/>
        <v/>
      </c>
      <c r="B33" s="19"/>
      <c r="C33" s="17" t="str">
        <f t="shared" si="1"/>
        <v/>
      </c>
      <c r="D33" s="29" t="str" cm="1">
        <f t="array" ref="D33">IFERROR(INDEX(Data_Input!$10:$10,MATCH(1,(Data_Input!$7:$7=$F$3)*(Data_Input!$8:$8=$B33),0)),"")</f>
        <v/>
      </c>
      <c r="E33" s="29" t="str" cm="1">
        <f t="array" ref="E33">IFERROR(INDEX(Data_Input!$1:$100, 9, MATCH(1, (Data_Input!$7:$7=$F$3) * (Data_Input!$8:$8=$B33), 0)),"")</f>
        <v/>
      </c>
      <c r="F33" s="20" t="str" cm="1">
        <f t="array" ref="F33">IFERROR(INDEX(Data_Input!$A$1:$ZZ$502, MATCH("예수금", INDEX(Data_Input!$A$1:$ZZ$502, 0, MATCH(1, (Data_Input!$7:$7=$F$3)*(Data_Input!$8:$8=$B33), 0)), 0) + 1, MATCH(1, (Data_Input!$7:$7=$F$3)*(Data_Input!$8:$8=$B33), 0)),"")</f>
        <v/>
      </c>
      <c r="G33" s="20" t="str" cm="1">
        <f t="array" ref="G33">IFERROR(INDEX(Data_Input!$A$1:$ZZ$502, MATCH("총자산", INDEX(Data_Input!$A$1:$ZZ$502, 0, MATCH(1, (Data_Input!$7:$7=$F$3)*(Data_Input!$8:$8=$B33), 0)), 0) + 1, MATCH(1, (Data_Input!$7:$7=$F$3)*(Data_Input!$8:$8=$B33), 0)),"")</f>
        <v/>
      </c>
      <c r="H33" s="20" t="str" cm="1">
        <f t="array" ref="H33">IFERROR(INDEX(Data_Input!$A$1:$ZZ$502, MATCH("매입금액", INDEX(Data_Input!$A$1:$ZZ$502, 0, MATCH(1, (Data_Input!$7:$7=$F$3)*(Data_Input!$8:$8=$B33), 0)), 0) + 1, MATCH(1, (Data_Input!$7:$7=$F$3)*(Data_Input!$8:$8=$B33), 0)),"")</f>
        <v/>
      </c>
      <c r="I33" s="20" t="str" cm="1">
        <f t="array" ref="I33">IFERROR(INDEX(Data_Input!$A$1:$ZZ$502, MATCH("평가금액", INDEX(Data_Input!$A$1:$ZZ$502, 0, MATCH(1, (Data_Input!$7:$7=$F$3)*(Data_Input!$8:$8=$B33), 0)), 0) + 1, MATCH(1, (Data_Input!$7:$7=$F$3)*(Data_Input!$8:$8=$B33), 0)),"")</f>
        <v/>
      </c>
      <c r="J33" s="20" t="str" cm="1">
        <f t="array" ref="J33">IFERROR(INDEX(Data_Input!$A$1:$ZZ$502, MATCH("평가손익", INDEX(Data_Input!$A$1:$ZZ$502, 0, MATCH(1, (Data_Input!$7:$7=$F$3)*(Data_Input!$8:$8=$B33), 0)), 0) + 1, MATCH(1, (Data_Input!$7:$7=$F$3)*(Data_Input!$8:$8=$B33), 0)),"")</f>
        <v/>
      </c>
      <c r="K33" s="14" t="str" cm="1">
        <f t="array" ref="K33">IFERROR(INDEX(Data_Input!$A$1:$ZZ$502, MATCH("총수익률", INDEX(Data_Input!$A$1:$ZZ$502, 0, MATCH(1, (Data_Input!$7:$7=$F$3)*(Data_Input!$8:$8=$B33), 0)), 0) + 1, MATCH(1, (Data_Input!$7:$7=$F$3)*(Data_Input!$8:$8=$B33), 0)),"")</f>
        <v/>
      </c>
      <c r="L33" t="str" cm="1">
        <f t="array" ref="L33">IFERROR(_xlfn.LET(
    _xlpm.targetDate, B33,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4" spans="1:12" x14ac:dyDescent="0.3">
      <c r="A34" s="16" t="str">
        <f t="shared" si="0"/>
        <v/>
      </c>
      <c r="B34" s="19"/>
      <c r="C34" s="17" t="str">
        <f t="shared" si="1"/>
        <v/>
      </c>
      <c r="D34" s="29" t="str" cm="1">
        <f t="array" ref="D34">IFERROR(INDEX(Data_Input!$10:$10,MATCH(1,(Data_Input!$7:$7=$F$3)*(Data_Input!$8:$8=$B34),0)),"")</f>
        <v/>
      </c>
      <c r="E34" s="29" t="str" cm="1">
        <f t="array" ref="E34">IFERROR(INDEX(Data_Input!$1:$100, 9, MATCH(1, (Data_Input!$7:$7=$F$3) * (Data_Input!$8:$8=$B34), 0)),"")</f>
        <v/>
      </c>
      <c r="F34" s="20" t="str" cm="1">
        <f t="array" ref="F34">IFERROR(INDEX(Data_Input!$A$1:$ZZ$502, MATCH("예수금", INDEX(Data_Input!$A$1:$ZZ$502, 0, MATCH(1, (Data_Input!$7:$7=$F$3)*(Data_Input!$8:$8=$B34), 0)), 0) + 1, MATCH(1, (Data_Input!$7:$7=$F$3)*(Data_Input!$8:$8=$B34), 0)),"")</f>
        <v/>
      </c>
      <c r="G34" s="20" t="str" cm="1">
        <f t="array" ref="G34">IFERROR(INDEX(Data_Input!$A$1:$ZZ$502, MATCH("총자산", INDEX(Data_Input!$A$1:$ZZ$502, 0, MATCH(1, (Data_Input!$7:$7=$F$3)*(Data_Input!$8:$8=$B34), 0)), 0) + 1, MATCH(1, (Data_Input!$7:$7=$F$3)*(Data_Input!$8:$8=$B34), 0)),"")</f>
        <v/>
      </c>
      <c r="H34" s="20" t="str" cm="1">
        <f t="array" ref="H34">IFERROR(INDEX(Data_Input!$A$1:$ZZ$502, MATCH("매입금액", INDEX(Data_Input!$A$1:$ZZ$502, 0, MATCH(1, (Data_Input!$7:$7=$F$3)*(Data_Input!$8:$8=$B34), 0)), 0) + 1, MATCH(1, (Data_Input!$7:$7=$F$3)*(Data_Input!$8:$8=$B34), 0)),"")</f>
        <v/>
      </c>
      <c r="I34" s="20" t="str" cm="1">
        <f t="array" ref="I34">IFERROR(INDEX(Data_Input!$A$1:$ZZ$502, MATCH("평가금액", INDEX(Data_Input!$A$1:$ZZ$502, 0, MATCH(1, (Data_Input!$7:$7=$F$3)*(Data_Input!$8:$8=$B34), 0)), 0) + 1, MATCH(1, (Data_Input!$7:$7=$F$3)*(Data_Input!$8:$8=$B34), 0)),"")</f>
        <v/>
      </c>
      <c r="J34" s="20" t="str" cm="1">
        <f t="array" ref="J34">IFERROR(INDEX(Data_Input!$A$1:$ZZ$502, MATCH("평가손익", INDEX(Data_Input!$A$1:$ZZ$502, 0, MATCH(1, (Data_Input!$7:$7=$F$3)*(Data_Input!$8:$8=$B34), 0)), 0) + 1, MATCH(1, (Data_Input!$7:$7=$F$3)*(Data_Input!$8:$8=$B34), 0)),"")</f>
        <v/>
      </c>
      <c r="K34" s="14" t="str" cm="1">
        <f t="array" ref="K34">IFERROR(INDEX(Data_Input!$A$1:$ZZ$502, MATCH("총수익률", INDEX(Data_Input!$A$1:$ZZ$502, 0, MATCH(1, (Data_Input!$7:$7=$F$3)*(Data_Input!$8:$8=$B34), 0)), 0) + 1, MATCH(1, (Data_Input!$7:$7=$F$3)*(Data_Input!$8:$8=$B34), 0)),"")</f>
        <v/>
      </c>
      <c r="L34" t="str" cm="1">
        <f t="array" ref="L34">IFERROR(_xlfn.LET(
    _xlpm.targetDate, B34,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5" spans="1:12" x14ac:dyDescent="0.3">
      <c r="A35" s="16" t="str">
        <f t="shared" si="0"/>
        <v/>
      </c>
      <c r="B35" s="19"/>
      <c r="C35" s="17" t="str">
        <f t="shared" si="1"/>
        <v/>
      </c>
      <c r="D35" s="29" t="str" cm="1">
        <f t="array" ref="D35">IFERROR(INDEX(Data_Input!$10:$10,MATCH(1,(Data_Input!$7:$7=$F$3)*(Data_Input!$8:$8=$B35),0)),"")</f>
        <v/>
      </c>
      <c r="E35" s="29" t="str" cm="1">
        <f t="array" ref="E35">IFERROR(INDEX(Data_Input!$1:$100, 9, MATCH(1, (Data_Input!$7:$7=$F$3) * (Data_Input!$8:$8=$B35), 0)),"")</f>
        <v/>
      </c>
      <c r="F35" s="20" t="str" cm="1">
        <f t="array" ref="F35">IFERROR(INDEX(Data_Input!$A$1:$ZZ$502, MATCH("예수금", INDEX(Data_Input!$A$1:$ZZ$502, 0, MATCH(1, (Data_Input!$7:$7=$F$3)*(Data_Input!$8:$8=$B35), 0)), 0) + 1, MATCH(1, (Data_Input!$7:$7=$F$3)*(Data_Input!$8:$8=$B35), 0)),"")</f>
        <v/>
      </c>
      <c r="G35" s="20" t="str" cm="1">
        <f t="array" ref="G35">IFERROR(INDEX(Data_Input!$A$1:$ZZ$502, MATCH("총자산", INDEX(Data_Input!$A$1:$ZZ$502, 0, MATCH(1, (Data_Input!$7:$7=$F$3)*(Data_Input!$8:$8=$B35), 0)), 0) + 1, MATCH(1, (Data_Input!$7:$7=$F$3)*(Data_Input!$8:$8=$B35), 0)),"")</f>
        <v/>
      </c>
      <c r="H35" s="20" t="str" cm="1">
        <f t="array" ref="H35">IFERROR(INDEX(Data_Input!$A$1:$ZZ$502, MATCH("매입금액", INDEX(Data_Input!$A$1:$ZZ$502, 0, MATCH(1, (Data_Input!$7:$7=$F$3)*(Data_Input!$8:$8=$B35), 0)), 0) + 1, MATCH(1, (Data_Input!$7:$7=$F$3)*(Data_Input!$8:$8=$B35), 0)),"")</f>
        <v/>
      </c>
      <c r="I35" s="20" t="str" cm="1">
        <f t="array" ref="I35">IFERROR(INDEX(Data_Input!$A$1:$ZZ$502, MATCH("평가금액", INDEX(Data_Input!$A$1:$ZZ$502, 0, MATCH(1, (Data_Input!$7:$7=$F$3)*(Data_Input!$8:$8=$B35), 0)), 0) + 1, MATCH(1, (Data_Input!$7:$7=$F$3)*(Data_Input!$8:$8=$B35), 0)),"")</f>
        <v/>
      </c>
      <c r="J35" s="20" t="str" cm="1">
        <f t="array" ref="J35">IFERROR(INDEX(Data_Input!$A$1:$ZZ$502, MATCH("평가손익", INDEX(Data_Input!$A$1:$ZZ$502, 0, MATCH(1, (Data_Input!$7:$7=$F$3)*(Data_Input!$8:$8=$B35), 0)), 0) + 1, MATCH(1, (Data_Input!$7:$7=$F$3)*(Data_Input!$8:$8=$B35), 0)),"")</f>
        <v/>
      </c>
      <c r="K35" s="14" t="str" cm="1">
        <f t="array" ref="K35">IFERROR(INDEX(Data_Input!$A$1:$ZZ$502, MATCH("총수익률", INDEX(Data_Input!$A$1:$ZZ$502, 0, MATCH(1, (Data_Input!$7:$7=$F$3)*(Data_Input!$8:$8=$B35), 0)), 0) + 1, MATCH(1, (Data_Input!$7:$7=$F$3)*(Data_Input!$8:$8=$B35), 0)),"")</f>
        <v/>
      </c>
      <c r="L35" t="str" cm="1">
        <f t="array" ref="L35">IFERROR(_xlfn.LET(
    _xlpm.targetDate, B35,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6" spans="1:12" x14ac:dyDescent="0.3">
      <c r="A36" s="16" t="str">
        <f t="shared" si="0"/>
        <v/>
      </c>
      <c r="B36" s="19"/>
      <c r="C36" s="17" t="str">
        <f t="shared" si="1"/>
        <v/>
      </c>
      <c r="D36" s="29" t="str" cm="1">
        <f t="array" ref="D36">IFERROR(INDEX(Data_Input!$10:$10,MATCH(1,(Data_Input!$7:$7=$F$3)*(Data_Input!$8:$8=$B36),0)),"")</f>
        <v/>
      </c>
      <c r="E36" s="29" t="str" cm="1">
        <f t="array" ref="E36">IFERROR(INDEX(Data_Input!$1:$100, 9, MATCH(1, (Data_Input!$7:$7=$F$3) * (Data_Input!$8:$8=$B36), 0)),"")</f>
        <v/>
      </c>
      <c r="F36" s="20" t="str" cm="1">
        <f t="array" ref="F36">IFERROR(INDEX(Data_Input!$A$1:$ZZ$502, MATCH("예수금", INDEX(Data_Input!$A$1:$ZZ$502, 0, MATCH(1, (Data_Input!$7:$7=$F$3)*(Data_Input!$8:$8=$B36), 0)), 0) + 1, MATCH(1, (Data_Input!$7:$7=$F$3)*(Data_Input!$8:$8=$B36), 0)),"")</f>
        <v/>
      </c>
      <c r="G36" s="20" t="str" cm="1">
        <f t="array" ref="G36">IFERROR(INDEX(Data_Input!$A$1:$ZZ$502, MATCH("총자산", INDEX(Data_Input!$A$1:$ZZ$502, 0, MATCH(1, (Data_Input!$7:$7=$F$3)*(Data_Input!$8:$8=$B36), 0)), 0) + 1, MATCH(1, (Data_Input!$7:$7=$F$3)*(Data_Input!$8:$8=$B36), 0)),"")</f>
        <v/>
      </c>
      <c r="H36" s="20" t="str" cm="1">
        <f t="array" ref="H36">IFERROR(INDEX(Data_Input!$A$1:$ZZ$502, MATCH("매입금액", INDEX(Data_Input!$A$1:$ZZ$502, 0, MATCH(1, (Data_Input!$7:$7=$F$3)*(Data_Input!$8:$8=$B36), 0)), 0) + 1, MATCH(1, (Data_Input!$7:$7=$F$3)*(Data_Input!$8:$8=$B36), 0)),"")</f>
        <v/>
      </c>
      <c r="I36" s="20" t="str" cm="1">
        <f t="array" ref="I36">IFERROR(INDEX(Data_Input!$A$1:$ZZ$502, MATCH("평가금액", INDEX(Data_Input!$A$1:$ZZ$502, 0, MATCH(1, (Data_Input!$7:$7=$F$3)*(Data_Input!$8:$8=$B36), 0)), 0) + 1, MATCH(1, (Data_Input!$7:$7=$F$3)*(Data_Input!$8:$8=$B36), 0)),"")</f>
        <v/>
      </c>
      <c r="J36" s="20" t="str" cm="1">
        <f t="array" ref="J36">IFERROR(INDEX(Data_Input!$A$1:$ZZ$502, MATCH("평가손익", INDEX(Data_Input!$A$1:$ZZ$502, 0, MATCH(1, (Data_Input!$7:$7=$F$3)*(Data_Input!$8:$8=$B36), 0)), 0) + 1, MATCH(1, (Data_Input!$7:$7=$F$3)*(Data_Input!$8:$8=$B36), 0)),"")</f>
        <v/>
      </c>
      <c r="K36" s="14" t="str" cm="1">
        <f t="array" ref="K36">IFERROR(INDEX(Data_Input!$A$1:$ZZ$502, MATCH("총수익률", INDEX(Data_Input!$A$1:$ZZ$502, 0, MATCH(1, (Data_Input!$7:$7=$F$3)*(Data_Input!$8:$8=$B36), 0)), 0) + 1, MATCH(1, (Data_Input!$7:$7=$F$3)*(Data_Input!$8:$8=$B36), 0)),"")</f>
        <v/>
      </c>
      <c r="L36" t="str" cm="1">
        <f t="array" ref="L36">IFERROR(_xlfn.LET(
    _xlpm.targetDate, B36,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7" spans="1:12" x14ac:dyDescent="0.3">
      <c r="A37" s="16" t="str">
        <f t="shared" si="0"/>
        <v/>
      </c>
      <c r="B37" s="19"/>
      <c r="C37" s="17" t="str">
        <f t="shared" si="1"/>
        <v/>
      </c>
      <c r="D37" s="29" t="str" cm="1">
        <f t="array" ref="D37">IFERROR(INDEX(Data_Input!$10:$10,MATCH(1,(Data_Input!$7:$7=$F$3)*(Data_Input!$8:$8=$B37),0)),"")</f>
        <v/>
      </c>
      <c r="E37" s="29" t="str" cm="1">
        <f t="array" ref="E37">IFERROR(INDEX(Data_Input!$1:$100, 9, MATCH(1, (Data_Input!$7:$7=$F$3) * (Data_Input!$8:$8=$B37), 0)),"")</f>
        <v/>
      </c>
      <c r="F37" s="20" t="str" cm="1">
        <f t="array" ref="F37">IFERROR(INDEX(Data_Input!$A$1:$ZZ$502, MATCH("예수금", INDEX(Data_Input!$A$1:$ZZ$502, 0, MATCH(1, (Data_Input!$7:$7=$F$3)*(Data_Input!$8:$8=$B37), 0)), 0) + 1, MATCH(1, (Data_Input!$7:$7=$F$3)*(Data_Input!$8:$8=$B37), 0)),"")</f>
        <v/>
      </c>
      <c r="G37" s="20" t="str" cm="1">
        <f t="array" ref="G37">IFERROR(INDEX(Data_Input!$A$1:$ZZ$502, MATCH("총자산", INDEX(Data_Input!$A$1:$ZZ$502, 0, MATCH(1, (Data_Input!$7:$7=$F$3)*(Data_Input!$8:$8=$B37), 0)), 0) + 1, MATCH(1, (Data_Input!$7:$7=$F$3)*(Data_Input!$8:$8=$B37), 0)),"")</f>
        <v/>
      </c>
      <c r="H37" s="20" t="str" cm="1">
        <f t="array" ref="H37">IFERROR(INDEX(Data_Input!$A$1:$ZZ$502, MATCH("매입금액", INDEX(Data_Input!$A$1:$ZZ$502, 0, MATCH(1, (Data_Input!$7:$7=$F$3)*(Data_Input!$8:$8=$B37), 0)), 0) + 1, MATCH(1, (Data_Input!$7:$7=$F$3)*(Data_Input!$8:$8=$B37), 0)),"")</f>
        <v/>
      </c>
      <c r="I37" s="20" t="str" cm="1">
        <f t="array" ref="I37">IFERROR(INDEX(Data_Input!$A$1:$ZZ$502, MATCH("평가금액", INDEX(Data_Input!$A$1:$ZZ$502, 0, MATCH(1, (Data_Input!$7:$7=$F$3)*(Data_Input!$8:$8=$B37), 0)), 0) + 1, MATCH(1, (Data_Input!$7:$7=$F$3)*(Data_Input!$8:$8=$B37), 0)),"")</f>
        <v/>
      </c>
      <c r="J37" s="20" t="str" cm="1">
        <f t="array" ref="J37">IFERROR(INDEX(Data_Input!$A$1:$ZZ$502, MATCH("평가손익", INDEX(Data_Input!$A$1:$ZZ$502, 0, MATCH(1, (Data_Input!$7:$7=$F$3)*(Data_Input!$8:$8=$B37), 0)), 0) + 1, MATCH(1, (Data_Input!$7:$7=$F$3)*(Data_Input!$8:$8=$B37), 0)),"")</f>
        <v/>
      </c>
      <c r="K37" s="14" t="str" cm="1">
        <f t="array" ref="K37">IFERROR(INDEX(Data_Input!$A$1:$ZZ$502, MATCH("총수익률", INDEX(Data_Input!$A$1:$ZZ$502, 0, MATCH(1, (Data_Input!$7:$7=$F$3)*(Data_Input!$8:$8=$B37), 0)), 0) + 1, MATCH(1, (Data_Input!$7:$7=$F$3)*(Data_Input!$8:$8=$B37), 0)),"")</f>
        <v/>
      </c>
      <c r="L37" t="str" cm="1">
        <f t="array" ref="L37">IFERROR(_xlfn.LET(
    _xlpm.targetDate, B37,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8" spans="1:12" x14ac:dyDescent="0.3">
      <c r="A38" s="16" t="str">
        <f t="shared" si="0"/>
        <v/>
      </c>
      <c r="B38" s="19"/>
      <c r="C38" s="17" t="str">
        <f t="shared" si="1"/>
        <v/>
      </c>
      <c r="D38" s="29" t="str" cm="1">
        <f t="array" ref="D38">IFERROR(INDEX(Data_Input!$10:$10,MATCH(1,(Data_Input!$7:$7=$F$3)*(Data_Input!$8:$8=$B38),0)),"")</f>
        <v/>
      </c>
      <c r="E38" s="29" t="str" cm="1">
        <f t="array" ref="E38">IFERROR(INDEX(Data_Input!$1:$100, 9, MATCH(1, (Data_Input!$7:$7=$F$3) * (Data_Input!$8:$8=$B38), 0)),"")</f>
        <v/>
      </c>
      <c r="F38" s="20" t="str" cm="1">
        <f t="array" ref="F38">IFERROR(INDEX(Data_Input!$A$1:$ZZ$502, MATCH("예수금", INDEX(Data_Input!$A$1:$ZZ$502, 0, MATCH(1, (Data_Input!$7:$7=$F$3)*(Data_Input!$8:$8=$B38), 0)), 0) + 1, MATCH(1, (Data_Input!$7:$7=$F$3)*(Data_Input!$8:$8=$B38), 0)),"")</f>
        <v/>
      </c>
      <c r="G38" s="20" t="str" cm="1">
        <f t="array" ref="G38">IFERROR(INDEX(Data_Input!$A$1:$ZZ$502, MATCH("총자산", INDEX(Data_Input!$A$1:$ZZ$502, 0, MATCH(1, (Data_Input!$7:$7=$F$3)*(Data_Input!$8:$8=$B38), 0)), 0) + 1, MATCH(1, (Data_Input!$7:$7=$F$3)*(Data_Input!$8:$8=$B38), 0)),"")</f>
        <v/>
      </c>
      <c r="H38" s="20" t="str" cm="1">
        <f t="array" ref="H38">IFERROR(INDEX(Data_Input!$A$1:$ZZ$502, MATCH("매입금액", INDEX(Data_Input!$A$1:$ZZ$502, 0, MATCH(1, (Data_Input!$7:$7=$F$3)*(Data_Input!$8:$8=$B38), 0)), 0) + 1, MATCH(1, (Data_Input!$7:$7=$F$3)*(Data_Input!$8:$8=$B38), 0)),"")</f>
        <v/>
      </c>
      <c r="I38" s="20" t="str" cm="1">
        <f t="array" ref="I38">IFERROR(INDEX(Data_Input!$A$1:$ZZ$502, MATCH("평가금액", INDEX(Data_Input!$A$1:$ZZ$502, 0, MATCH(1, (Data_Input!$7:$7=$F$3)*(Data_Input!$8:$8=$B38), 0)), 0) + 1, MATCH(1, (Data_Input!$7:$7=$F$3)*(Data_Input!$8:$8=$B38), 0)),"")</f>
        <v/>
      </c>
      <c r="J38" s="20" t="str" cm="1">
        <f t="array" ref="J38">IFERROR(INDEX(Data_Input!$A$1:$ZZ$502, MATCH("평가손익", INDEX(Data_Input!$A$1:$ZZ$502, 0, MATCH(1, (Data_Input!$7:$7=$F$3)*(Data_Input!$8:$8=$B38), 0)), 0) + 1, MATCH(1, (Data_Input!$7:$7=$F$3)*(Data_Input!$8:$8=$B38), 0)),"")</f>
        <v/>
      </c>
      <c r="K38" s="14" t="str" cm="1">
        <f t="array" ref="K38">IFERROR(INDEX(Data_Input!$A$1:$ZZ$502, MATCH("총수익률", INDEX(Data_Input!$A$1:$ZZ$502, 0, MATCH(1, (Data_Input!$7:$7=$F$3)*(Data_Input!$8:$8=$B38), 0)), 0) + 1, MATCH(1, (Data_Input!$7:$7=$F$3)*(Data_Input!$8:$8=$B38), 0)),"")</f>
        <v/>
      </c>
      <c r="L38" t="str" cm="1">
        <f t="array" ref="L38">IFERROR(_xlfn.LET(
    _xlpm.targetDate, B38,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9" spans="1:12" x14ac:dyDescent="0.3">
      <c r="A39" s="16" t="str">
        <f t="shared" si="0"/>
        <v/>
      </c>
      <c r="B39" s="19"/>
      <c r="C39" s="17" t="str">
        <f t="shared" si="1"/>
        <v/>
      </c>
      <c r="D39" s="29" t="str" cm="1">
        <f t="array" ref="D39">IFERROR(INDEX(Data_Input!$10:$10,MATCH(1,(Data_Input!$7:$7=$F$3)*(Data_Input!$8:$8=$B39),0)),"")</f>
        <v/>
      </c>
      <c r="E39" s="29" t="str" cm="1">
        <f t="array" ref="E39">IFERROR(INDEX(Data_Input!$1:$100, 9, MATCH(1, (Data_Input!$7:$7=$F$3) * (Data_Input!$8:$8=$B39), 0)),"")</f>
        <v/>
      </c>
      <c r="F39" s="20" t="str" cm="1">
        <f t="array" ref="F39">IFERROR(INDEX(Data_Input!$A$1:$ZZ$502, MATCH("예수금", INDEX(Data_Input!$A$1:$ZZ$502, 0, MATCH(1, (Data_Input!$7:$7=$F$3)*(Data_Input!$8:$8=$B39), 0)), 0) + 1, MATCH(1, (Data_Input!$7:$7=$F$3)*(Data_Input!$8:$8=$B39), 0)),"")</f>
        <v/>
      </c>
      <c r="G39" s="20" t="str" cm="1">
        <f t="array" ref="G39">IFERROR(INDEX(Data_Input!$A$1:$ZZ$502, MATCH("총자산", INDEX(Data_Input!$A$1:$ZZ$502, 0, MATCH(1, (Data_Input!$7:$7=$F$3)*(Data_Input!$8:$8=$B39), 0)), 0) + 1, MATCH(1, (Data_Input!$7:$7=$F$3)*(Data_Input!$8:$8=$B39), 0)),"")</f>
        <v/>
      </c>
      <c r="H39" s="20" t="str" cm="1">
        <f t="array" ref="H39">IFERROR(INDEX(Data_Input!$A$1:$ZZ$502, MATCH("매입금액", INDEX(Data_Input!$A$1:$ZZ$502, 0, MATCH(1, (Data_Input!$7:$7=$F$3)*(Data_Input!$8:$8=$B39), 0)), 0) + 1, MATCH(1, (Data_Input!$7:$7=$F$3)*(Data_Input!$8:$8=$B39), 0)),"")</f>
        <v/>
      </c>
      <c r="I39" s="20" t="str" cm="1">
        <f t="array" ref="I39">IFERROR(INDEX(Data_Input!$A$1:$ZZ$502, MATCH("평가금액", INDEX(Data_Input!$A$1:$ZZ$502, 0, MATCH(1, (Data_Input!$7:$7=$F$3)*(Data_Input!$8:$8=$B39), 0)), 0) + 1, MATCH(1, (Data_Input!$7:$7=$F$3)*(Data_Input!$8:$8=$B39), 0)),"")</f>
        <v/>
      </c>
      <c r="J39" s="20" t="str" cm="1">
        <f t="array" ref="J39">IFERROR(INDEX(Data_Input!$A$1:$ZZ$502, MATCH("평가손익", INDEX(Data_Input!$A$1:$ZZ$502, 0, MATCH(1, (Data_Input!$7:$7=$F$3)*(Data_Input!$8:$8=$B39), 0)), 0) + 1, MATCH(1, (Data_Input!$7:$7=$F$3)*(Data_Input!$8:$8=$B39), 0)),"")</f>
        <v/>
      </c>
      <c r="K39" s="14" t="str" cm="1">
        <f t="array" ref="K39">IFERROR(INDEX(Data_Input!$A$1:$ZZ$502, MATCH("총수익률", INDEX(Data_Input!$A$1:$ZZ$502, 0, MATCH(1, (Data_Input!$7:$7=$F$3)*(Data_Input!$8:$8=$B39), 0)), 0) + 1, MATCH(1, (Data_Input!$7:$7=$F$3)*(Data_Input!$8:$8=$B39), 0)),"")</f>
        <v/>
      </c>
      <c r="L39" t="str" cm="1">
        <f t="array" ref="L39">IFERROR(_xlfn.LET(
    _xlpm.targetDate, B39,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40" spans="1:12" x14ac:dyDescent="0.3">
      <c r="A40" s="16" t="str">
        <f t="shared" si="0"/>
        <v/>
      </c>
      <c r="B40" s="19"/>
      <c r="C40" s="17" t="str">
        <f t="shared" si="1"/>
        <v/>
      </c>
      <c r="D40" s="29" t="str" cm="1">
        <f t="array" ref="D40">IFERROR(INDEX(Data_Input!$10:$10,MATCH(1,(Data_Input!$7:$7=$F$3)*(Data_Input!$8:$8=$B40),0)),"")</f>
        <v/>
      </c>
      <c r="E40" s="29" t="str" cm="1">
        <f t="array" ref="E40">IFERROR(INDEX(Data_Input!$1:$100, 9, MATCH(1, (Data_Input!$7:$7=$F$3) * (Data_Input!$8:$8=$B40), 0)),"")</f>
        <v/>
      </c>
      <c r="F40" s="20" t="str" cm="1">
        <f t="array" ref="F40">IFERROR(INDEX(Data_Input!$A$1:$ZZ$502, MATCH("예수금", INDEX(Data_Input!$A$1:$ZZ$502, 0, MATCH(1, (Data_Input!$7:$7=$F$3)*(Data_Input!$8:$8=$B40), 0)), 0) + 1, MATCH(1, (Data_Input!$7:$7=$F$3)*(Data_Input!$8:$8=$B40), 0)),"")</f>
        <v/>
      </c>
      <c r="G40" s="20" t="str" cm="1">
        <f t="array" ref="G40">IFERROR(INDEX(Data_Input!$A$1:$ZZ$502, MATCH("총자산", INDEX(Data_Input!$A$1:$ZZ$502, 0, MATCH(1, (Data_Input!$7:$7=$F$3)*(Data_Input!$8:$8=$B40), 0)), 0) + 1, MATCH(1, (Data_Input!$7:$7=$F$3)*(Data_Input!$8:$8=$B40), 0)),"")</f>
        <v/>
      </c>
      <c r="H40" s="20" t="str" cm="1">
        <f t="array" ref="H40">IFERROR(INDEX(Data_Input!$A$1:$ZZ$502, MATCH("매입금액", INDEX(Data_Input!$A$1:$ZZ$502, 0, MATCH(1, (Data_Input!$7:$7=$F$3)*(Data_Input!$8:$8=$B40), 0)), 0) + 1, MATCH(1, (Data_Input!$7:$7=$F$3)*(Data_Input!$8:$8=$B40), 0)),"")</f>
        <v/>
      </c>
      <c r="I40" s="20" t="str" cm="1">
        <f t="array" ref="I40">IFERROR(INDEX(Data_Input!$A$1:$ZZ$502, MATCH("평가금액", INDEX(Data_Input!$A$1:$ZZ$502, 0, MATCH(1, (Data_Input!$7:$7=$F$3)*(Data_Input!$8:$8=$B40), 0)), 0) + 1, MATCH(1, (Data_Input!$7:$7=$F$3)*(Data_Input!$8:$8=$B40), 0)),"")</f>
        <v/>
      </c>
      <c r="J40" s="20" t="str" cm="1">
        <f t="array" ref="J40">IFERROR(INDEX(Data_Input!$A$1:$ZZ$502, MATCH("평가손익", INDEX(Data_Input!$A$1:$ZZ$502, 0, MATCH(1, (Data_Input!$7:$7=$F$3)*(Data_Input!$8:$8=$B40), 0)), 0) + 1, MATCH(1, (Data_Input!$7:$7=$F$3)*(Data_Input!$8:$8=$B40), 0)),"")</f>
        <v/>
      </c>
      <c r="K40" s="14" t="str" cm="1">
        <f t="array" ref="K40">IFERROR(INDEX(Data_Input!$A$1:$ZZ$502, MATCH("총수익률", INDEX(Data_Input!$A$1:$ZZ$502, 0, MATCH(1, (Data_Input!$7:$7=$F$3)*(Data_Input!$8:$8=$B40), 0)), 0) + 1, MATCH(1, (Data_Input!$7:$7=$F$3)*(Data_Input!$8:$8=$B40), 0)),"")</f>
        <v/>
      </c>
      <c r="L40" t="str" cm="1">
        <f t="array" ref="L40">IFERROR(_xlfn.LET(
    _xlpm.targetDate, B40,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41" spans="1:12" x14ac:dyDescent="0.3">
      <c r="A41" s="16" t="str">
        <f t="shared" si="0"/>
        <v/>
      </c>
      <c r="B41" s="19"/>
      <c r="C41" s="17" t="str">
        <f t="shared" si="1"/>
        <v/>
      </c>
      <c r="D41" s="29" t="str" cm="1">
        <f t="array" ref="D41">IFERROR(INDEX(Data_Input!$10:$10,MATCH(1,(Data_Input!$7:$7=$F$3)*(Data_Input!$8:$8=$B41),0)),"")</f>
        <v/>
      </c>
      <c r="E41" s="29" t="str" cm="1">
        <f t="array" ref="E41">IFERROR(INDEX(Data_Input!$1:$100, 9, MATCH(1, (Data_Input!$7:$7=$F$3) * (Data_Input!$8:$8=$B41), 0)),"")</f>
        <v/>
      </c>
      <c r="F41" s="20" t="str" cm="1">
        <f t="array" ref="F41">IFERROR(INDEX(Data_Input!$A$1:$ZZ$502, MATCH("예수금", INDEX(Data_Input!$A$1:$ZZ$502, 0, MATCH(1, (Data_Input!$7:$7=$F$3)*(Data_Input!$8:$8=$B41), 0)), 0) + 1, MATCH(1, (Data_Input!$7:$7=$F$3)*(Data_Input!$8:$8=$B41), 0)),"")</f>
        <v/>
      </c>
      <c r="G41" s="20" t="str" cm="1">
        <f t="array" ref="G41">IFERROR(INDEX(Data_Input!$A$1:$ZZ$502, MATCH("총자산", INDEX(Data_Input!$A$1:$ZZ$502, 0, MATCH(1, (Data_Input!$7:$7=$F$3)*(Data_Input!$8:$8=$B41), 0)), 0) + 1, MATCH(1, (Data_Input!$7:$7=$F$3)*(Data_Input!$8:$8=$B41), 0)),"")</f>
        <v/>
      </c>
      <c r="H41" s="20" t="str" cm="1">
        <f t="array" ref="H41">IFERROR(INDEX(Data_Input!$A$1:$ZZ$502, MATCH("매입금액", INDEX(Data_Input!$A$1:$ZZ$502, 0, MATCH(1, (Data_Input!$7:$7=$F$3)*(Data_Input!$8:$8=$B41), 0)), 0) + 1, MATCH(1, (Data_Input!$7:$7=$F$3)*(Data_Input!$8:$8=$B41), 0)),"")</f>
        <v/>
      </c>
      <c r="I41" s="20" t="str" cm="1">
        <f t="array" ref="I41">IFERROR(INDEX(Data_Input!$A$1:$ZZ$502, MATCH("평가금액", INDEX(Data_Input!$A$1:$ZZ$502, 0, MATCH(1, (Data_Input!$7:$7=$F$3)*(Data_Input!$8:$8=$B41), 0)), 0) + 1, MATCH(1, (Data_Input!$7:$7=$F$3)*(Data_Input!$8:$8=$B41), 0)),"")</f>
        <v/>
      </c>
      <c r="J41" s="20" t="str" cm="1">
        <f t="array" ref="J41">IFERROR(INDEX(Data_Input!$A$1:$ZZ$502, MATCH("평가손익", INDEX(Data_Input!$A$1:$ZZ$502, 0, MATCH(1, (Data_Input!$7:$7=$F$3)*(Data_Input!$8:$8=$B41), 0)), 0) + 1, MATCH(1, (Data_Input!$7:$7=$F$3)*(Data_Input!$8:$8=$B41), 0)),"")</f>
        <v/>
      </c>
      <c r="K41" s="14" t="str" cm="1">
        <f t="array" ref="K41">IFERROR(INDEX(Data_Input!$A$1:$ZZ$502, MATCH("총수익률", INDEX(Data_Input!$A$1:$ZZ$502, 0, MATCH(1, (Data_Input!$7:$7=$F$3)*(Data_Input!$8:$8=$B41), 0)), 0) + 1, MATCH(1, (Data_Input!$7:$7=$F$3)*(Data_Input!$8:$8=$B41), 0)),"")</f>
        <v/>
      </c>
      <c r="L41" t="str" cm="1">
        <f t="array" ref="L41">IFERROR(_xlfn.LET(
    _xlpm.targetDate, B41,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42" spans="1:12" x14ac:dyDescent="0.3">
      <c r="A42" s="16" t="str">
        <f t="shared" si="0"/>
        <v/>
      </c>
      <c r="B42" s="19"/>
      <c r="C42" s="17" t="str">
        <f t="shared" si="1"/>
        <v/>
      </c>
      <c r="D42" s="29" t="str" cm="1">
        <f t="array" ref="D42">IFERROR(INDEX(Data_Input!$10:$10,MATCH(1,(Data_Input!$7:$7=$F$3)*(Data_Input!$8:$8=$B42),0)),"")</f>
        <v/>
      </c>
      <c r="E42" s="29" t="str" cm="1">
        <f t="array" ref="E42">IFERROR(INDEX(Data_Input!$1:$100, 9, MATCH(1, (Data_Input!$7:$7=$F$3) * (Data_Input!$8:$8=$B42), 0)),"")</f>
        <v/>
      </c>
      <c r="F42" s="20" t="str" cm="1">
        <f t="array" ref="F42">IFERROR(INDEX(Data_Input!$A$1:$ZZ$502, MATCH("예수금", INDEX(Data_Input!$A$1:$ZZ$502, 0, MATCH(1, (Data_Input!$7:$7=$F$3)*(Data_Input!$8:$8=$B42), 0)), 0) + 1, MATCH(1, (Data_Input!$7:$7=$F$3)*(Data_Input!$8:$8=$B42), 0)),"")</f>
        <v/>
      </c>
      <c r="G42" s="20" t="str" cm="1">
        <f t="array" ref="G42">IFERROR(INDEX(Data_Input!$A$1:$ZZ$502, MATCH("총자산", INDEX(Data_Input!$A$1:$ZZ$502, 0, MATCH(1, (Data_Input!$7:$7=$F$3)*(Data_Input!$8:$8=$B42), 0)), 0) + 1, MATCH(1, (Data_Input!$7:$7=$F$3)*(Data_Input!$8:$8=$B42), 0)),"")</f>
        <v/>
      </c>
      <c r="H42" s="20" t="str" cm="1">
        <f t="array" ref="H42">IFERROR(INDEX(Data_Input!$A$1:$ZZ$502, MATCH("매입금액", INDEX(Data_Input!$A$1:$ZZ$502, 0, MATCH(1, (Data_Input!$7:$7=$F$3)*(Data_Input!$8:$8=$B42), 0)), 0) + 1, MATCH(1, (Data_Input!$7:$7=$F$3)*(Data_Input!$8:$8=$B42), 0)),"")</f>
        <v/>
      </c>
      <c r="I42" s="20" t="str" cm="1">
        <f t="array" ref="I42">IFERROR(INDEX(Data_Input!$A$1:$ZZ$502, MATCH("평가금액", INDEX(Data_Input!$A$1:$ZZ$502, 0, MATCH(1, (Data_Input!$7:$7=$F$3)*(Data_Input!$8:$8=$B42), 0)), 0) + 1, MATCH(1, (Data_Input!$7:$7=$F$3)*(Data_Input!$8:$8=$B42), 0)),"")</f>
        <v/>
      </c>
      <c r="J42" s="20" t="str" cm="1">
        <f t="array" ref="J42">IFERROR(INDEX(Data_Input!$A$1:$ZZ$502, MATCH("평가손익", INDEX(Data_Input!$A$1:$ZZ$502, 0, MATCH(1, (Data_Input!$7:$7=$F$3)*(Data_Input!$8:$8=$B42), 0)), 0) + 1, MATCH(1, (Data_Input!$7:$7=$F$3)*(Data_Input!$8:$8=$B42), 0)),"")</f>
        <v/>
      </c>
      <c r="K42" s="14" t="str" cm="1">
        <f t="array" ref="K42">IFERROR(INDEX(Data_Input!$A$1:$ZZ$502, MATCH("총수익률", INDEX(Data_Input!$A$1:$ZZ$502, 0, MATCH(1, (Data_Input!$7:$7=$F$3)*(Data_Input!$8:$8=$B42), 0)), 0) + 1, MATCH(1, (Data_Input!$7:$7=$F$3)*(Data_Input!$8:$8=$B42), 0)),"")</f>
        <v/>
      </c>
      <c r="L42" t="str" cm="1">
        <f t="array" ref="L42">IFERROR(_xlfn.LET(
    _xlpm.targetDate, B42,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43" spans="1:12" x14ac:dyDescent="0.3">
      <c r="A43" s="16" t="str">
        <f t="shared" si="0"/>
        <v/>
      </c>
      <c r="B43" s="19"/>
      <c r="C43" s="17" t="str">
        <f t="shared" si="1"/>
        <v/>
      </c>
      <c r="D43" s="29" t="str" cm="1">
        <f t="array" ref="D43">IFERROR(INDEX(Data_Input!$10:$10,MATCH(1,(Data_Input!$7:$7=$F$3)*(Data_Input!$8:$8=$B43),0)),"")</f>
        <v/>
      </c>
      <c r="E43" s="29" t="str" cm="1">
        <f t="array" ref="E43">IFERROR(INDEX(Data_Input!$1:$100, 9, MATCH(1, (Data_Input!$7:$7=$F$3) * (Data_Input!$8:$8=$B43), 0)),"")</f>
        <v/>
      </c>
      <c r="F43" s="20" t="str" cm="1">
        <f t="array" ref="F43">IFERROR(INDEX(Data_Input!$A$1:$ZZ$502, MATCH("예수금", INDEX(Data_Input!$A$1:$ZZ$502, 0, MATCH(1, (Data_Input!$7:$7=$F$3)*(Data_Input!$8:$8=$B43), 0)), 0) + 1, MATCH(1, (Data_Input!$7:$7=$F$3)*(Data_Input!$8:$8=$B43), 0)),"")</f>
        <v/>
      </c>
      <c r="G43" s="20" t="str" cm="1">
        <f t="array" ref="G43">IFERROR(INDEX(Data_Input!$A$1:$ZZ$502, MATCH("총자산", INDEX(Data_Input!$A$1:$ZZ$502, 0, MATCH(1, (Data_Input!$7:$7=$F$3)*(Data_Input!$8:$8=$B43), 0)), 0) + 1, MATCH(1, (Data_Input!$7:$7=$F$3)*(Data_Input!$8:$8=$B43), 0)),"")</f>
        <v/>
      </c>
      <c r="H43" s="20" t="str" cm="1">
        <f t="array" ref="H43">IFERROR(INDEX(Data_Input!$A$1:$ZZ$502, MATCH("매입금액", INDEX(Data_Input!$A$1:$ZZ$502, 0, MATCH(1, (Data_Input!$7:$7=$F$3)*(Data_Input!$8:$8=$B43), 0)), 0) + 1, MATCH(1, (Data_Input!$7:$7=$F$3)*(Data_Input!$8:$8=$B43), 0)),"")</f>
        <v/>
      </c>
      <c r="I43" s="20" t="str" cm="1">
        <f t="array" ref="I43">IFERROR(INDEX(Data_Input!$A$1:$ZZ$502, MATCH("평가금액", INDEX(Data_Input!$A$1:$ZZ$502, 0, MATCH(1, (Data_Input!$7:$7=$F$3)*(Data_Input!$8:$8=$B43), 0)), 0) + 1, MATCH(1, (Data_Input!$7:$7=$F$3)*(Data_Input!$8:$8=$B43), 0)),"")</f>
        <v/>
      </c>
      <c r="J43" s="20" t="str" cm="1">
        <f t="array" ref="J43">IFERROR(INDEX(Data_Input!$A$1:$ZZ$502, MATCH("평가손익", INDEX(Data_Input!$A$1:$ZZ$502, 0, MATCH(1, (Data_Input!$7:$7=$F$3)*(Data_Input!$8:$8=$B43), 0)), 0) + 1, MATCH(1, (Data_Input!$7:$7=$F$3)*(Data_Input!$8:$8=$B43), 0)),"")</f>
        <v/>
      </c>
      <c r="K43" s="14" t="str" cm="1">
        <f t="array" ref="K43">IFERROR(INDEX(Data_Input!$A$1:$ZZ$502, MATCH("총수익률", INDEX(Data_Input!$A$1:$ZZ$502, 0, MATCH(1, (Data_Input!$7:$7=$F$3)*(Data_Input!$8:$8=$B43), 0)), 0) + 1, MATCH(1, (Data_Input!$7:$7=$F$3)*(Data_Input!$8:$8=$B43), 0)),"")</f>
        <v/>
      </c>
      <c r="L43" t="str" cm="1">
        <f t="array" ref="L43">IFERROR(_xlfn.LET(
    _xlpm.targetDate, B43,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44" spans="1:12" x14ac:dyDescent="0.3">
      <c r="A44" s="16" t="str">
        <f t="shared" si="0"/>
        <v/>
      </c>
      <c r="B44" s="19"/>
      <c r="C44" s="17" t="str">
        <f t="shared" si="1"/>
        <v/>
      </c>
      <c r="D44" s="29" t="str" cm="1">
        <f t="array" ref="D44">IFERROR(INDEX(Data_Input!$10:$10,MATCH(1,(Data_Input!$7:$7=$F$3)*(Data_Input!$8:$8=$B44),0)),"")</f>
        <v/>
      </c>
      <c r="E44" s="29" t="str" cm="1">
        <f t="array" ref="E44">IFERROR(INDEX(Data_Input!$1:$100, 9, MATCH(1, (Data_Input!$7:$7=$F$3) * (Data_Input!$8:$8=$B44), 0)),"")</f>
        <v/>
      </c>
      <c r="F44" s="20" t="str" cm="1">
        <f t="array" ref="F44">IFERROR(INDEX(Data_Input!$A$1:$ZZ$502, MATCH("예수금", INDEX(Data_Input!$A$1:$ZZ$502, 0, MATCH(1, (Data_Input!$7:$7=$F$3)*(Data_Input!$8:$8=$B44), 0)), 0) + 1, MATCH(1, (Data_Input!$7:$7=$F$3)*(Data_Input!$8:$8=$B44), 0)),"")</f>
        <v/>
      </c>
      <c r="G44" s="20" t="str" cm="1">
        <f t="array" ref="G44">IFERROR(INDEX(Data_Input!$A$1:$ZZ$502, MATCH("총자산", INDEX(Data_Input!$A$1:$ZZ$502, 0, MATCH(1, (Data_Input!$7:$7=$F$3)*(Data_Input!$8:$8=$B44), 0)), 0) + 1, MATCH(1, (Data_Input!$7:$7=$F$3)*(Data_Input!$8:$8=$B44), 0)),"")</f>
        <v/>
      </c>
      <c r="H44" s="20" t="str" cm="1">
        <f t="array" ref="H44">IFERROR(INDEX(Data_Input!$A$1:$ZZ$502, MATCH("매입금액", INDEX(Data_Input!$A$1:$ZZ$502, 0, MATCH(1, (Data_Input!$7:$7=$F$3)*(Data_Input!$8:$8=$B44), 0)), 0) + 1, MATCH(1, (Data_Input!$7:$7=$F$3)*(Data_Input!$8:$8=$B44), 0)),"")</f>
        <v/>
      </c>
      <c r="I44" s="20" t="str" cm="1">
        <f t="array" ref="I44">IFERROR(INDEX(Data_Input!$A$1:$ZZ$502, MATCH("평가금액", INDEX(Data_Input!$A$1:$ZZ$502, 0, MATCH(1, (Data_Input!$7:$7=$F$3)*(Data_Input!$8:$8=$B44), 0)), 0) + 1, MATCH(1, (Data_Input!$7:$7=$F$3)*(Data_Input!$8:$8=$B44), 0)),"")</f>
        <v/>
      </c>
      <c r="J44" s="20" t="str" cm="1">
        <f t="array" ref="J44">IFERROR(INDEX(Data_Input!$A$1:$ZZ$502, MATCH("평가손익", INDEX(Data_Input!$A$1:$ZZ$502, 0, MATCH(1, (Data_Input!$7:$7=$F$3)*(Data_Input!$8:$8=$B44), 0)), 0) + 1, MATCH(1, (Data_Input!$7:$7=$F$3)*(Data_Input!$8:$8=$B44), 0)),"")</f>
        <v/>
      </c>
      <c r="K44" s="14" t="str" cm="1">
        <f t="array" ref="K44">IFERROR(INDEX(Data_Input!$A$1:$ZZ$502, MATCH("총수익률", INDEX(Data_Input!$A$1:$ZZ$502, 0, MATCH(1, (Data_Input!$7:$7=$F$3)*(Data_Input!$8:$8=$B44), 0)), 0) + 1, MATCH(1, (Data_Input!$7:$7=$F$3)*(Data_Input!$8:$8=$B44), 0)),"")</f>
        <v/>
      </c>
      <c r="L44" t="str" cm="1">
        <f t="array" ref="L44">IFERROR(_xlfn.LET(
    _xlpm.targetDate, B44,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45" spans="1:12" x14ac:dyDescent="0.3">
      <c r="A45" s="16" t="str">
        <f t="shared" si="0"/>
        <v/>
      </c>
      <c r="B45" s="19"/>
      <c r="C45" s="17" t="str">
        <f t="shared" si="1"/>
        <v/>
      </c>
      <c r="D45" s="29" t="str" cm="1">
        <f t="array" ref="D45">IFERROR(INDEX(Data_Input!$10:$10,MATCH(1,(Data_Input!$7:$7=$F$3)*(Data_Input!$8:$8=$B45),0)),"")</f>
        <v/>
      </c>
      <c r="E45" s="29" t="str" cm="1">
        <f t="array" ref="E45">IFERROR(INDEX(Data_Input!$1:$100, 9, MATCH(1, (Data_Input!$7:$7=$F$3) * (Data_Input!$8:$8=$B45), 0)),"")</f>
        <v/>
      </c>
      <c r="F45" s="20" t="str" cm="1">
        <f t="array" ref="F45">IFERROR(INDEX(Data_Input!$A$1:$ZZ$502, MATCH("예수금", INDEX(Data_Input!$A$1:$ZZ$502, 0, MATCH(1, (Data_Input!$7:$7=$F$3)*(Data_Input!$8:$8=$B45), 0)), 0) + 1, MATCH(1, (Data_Input!$7:$7=$F$3)*(Data_Input!$8:$8=$B45), 0)),"")</f>
        <v/>
      </c>
      <c r="G45" s="20" t="str" cm="1">
        <f t="array" ref="G45">IFERROR(INDEX(Data_Input!$A$1:$ZZ$502, MATCH("총자산", INDEX(Data_Input!$A$1:$ZZ$502, 0, MATCH(1, (Data_Input!$7:$7=$F$3)*(Data_Input!$8:$8=$B45), 0)), 0) + 1, MATCH(1, (Data_Input!$7:$7=$F$3)*(Data_Input!$8:$8=$B45), 0)),"")</f>
        <v/>
      </c>
      <c r="H45" s="20" t="str" cm="1">
        <f t="array" ref="H45">IFERROR(INDEX(Data_Input!$A$1:$ZZ$502, MATCH("매입금액", INDEX(Data_Input!$A$1:$ZZ$502, 0, MATCH(1, (Data_Input!$7:$7=$F$3)*(Data_Input!$8:$8=$B45), 0)), 0) + 1, MATCH(1, (Data_Input!$7:$7=$F$3)*(Data_Input!$8:$8=$B45), 0)),"")</f>
        <v/>
      </c>
      <c r="I45" s="20" t="str" cm="1">
        <f t="array" ref="I45">IFERROR(INDEX(Data_Input!$A$1:$ZZ$502, MATCH("평가금액", INDEX(Data_Input!$A$1:$ZZ$502, 0, MATCH(1, (Data_Input!$7:$7=$F$3)*(Data_Input!$8:$8=$B45), 0)), 0) + 1, MATCH(1, (Data_Input!$7:$7=$F$3)*(Data_Input!$8:$8=$B45), 0)),"")</f>
        <v/>
      </c>
      <c r="J45" s="20" t="str" cm="1">
        <f t="array" ref="J45">IFERROR(INDEX(Data_Input!$A$1:$ZZ$502, MATCH("평가손익", INDEX(Data_Input!$A$1:$ZZ$502, 0, MATCH(1, (Data_Input!$7:$7=$F$3)*(Data_Input!$8:$8=$B45), 0)), 0) + 1, MATCH(1, (Data_Input!$7:$7=$F$3)*(Data_Input!$8:$8=$B45), 0)),"")</f>
        <v/>
      </c>
      <c r="K45" s="14" t="str" cm="1">
        <f t="array" ref="K45">IFERROR(INDEX(Data_Input!$A$1:$ZZ$502, MATCH("총수익률", INDEX(Data_Input!$A$1:$ZZ$502, 0, MATCH(1, (Data_Input!$7:$7=$F$3)*(Data_Input!$8:$8=$B45), 0)), 0) + 1, MATCH(1, (Data_Input!$7:$7=$F$3)*(Data_Input!$8:$8=$B45), 0)),"")</f>
        <v/>
      </c>
      <c r="L45" t="str" cm="1">
        <f t="array" ref="L45">IFERROR(_xlfn.LET(
    _xlpm.targetDate, B45,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46" spans="1:12" x14ac:dyDescent="0.3">
      <c r="A46" s="16" t="str">
        <f t="shared" si="0"/>
        <v/>
      </c>
      <c r="B46" s="19"/>
      <c r="C46" s="17" t="str">
        <f t="shared" si="1"/>
        <v/>
      </c>
      <c r="D46" s="29" t="str" cm="1">
        <f t="array" ref="D46">IFERROR(INDEX(Data_Input!$10:$10,MATCH(1,(Data_Input!$7:$7=$F$3)*(Data_Input!$8:$8=$B46),0)),"")</f>
        <v/>
      </c>
      <c r="E46" s="29" t="str" cm="1">
        <f t="array" ref="E46">IFERROR(INDEX(Data_Input!$1:$100, 9, MATCH(1, (Data_Input!$7:$7=$F$3) * (Data_Input!$8:$8=$B46), 0)),"")</f>
        <v/>
      </c>
      <c r="F46" s="20" t="str" cm="1">
        <f t="array" ref="F46">IFERROR(INDEX(Data_Input!$A$1:$ZZ$502, MATCH("예수금", INDEX(Data_Input!$A$1:$ZZ$502, 0, MATCH(1, (Data_Input!$7:$7=$F$3)*(Data_Input!$8:$8=$B46), 0)), 0) + 1, MATCH(1, (Data_Input!$7:$7=$F$3)*(Data_Input!$8:$8=$B46), 0)),"")</f>
        <v/>
      </c>
      <c r="G46" s="20" t="str" cm="1">
        <f t="array" ref="G46">IFERROR(INDEX(Data_Input!$A$1:$ZZ$502, MATCH("총자산", INDEX(Data_Input!$A$1:$ZZ$502, 0, MATCH(1, (Data_Input!$7:$7=$F$3)*(Data_Input!$8:$8=$B46), 0)), 0) + 1, MATCH(1, (Data_Input!$7:$7=$F$3)*(Data_Input!$8:$8=$B46), 0)),"")</f>
        <v/>
      </c>
      <c r="H46" s="20" t="str" cm="1">
        <f t="array" ref="H46">IFERROR(INDEX(Data_Input!$A$1:$ZZ$502, MATCH("매입금액", INDEX(Data_Input!$A$1:$ZZ$502, 0, MATCH(1, (Data_Input!$7:$7=$F$3)*(Data_Input!$8:$8=$B46), 0)), 0) + 1, MATCH(1, (Data_Input!$7:$7=$F$3)*(Data_Input!$8:$8=$B46), 0)),"")</f>
        <v/>
      </c>
      <c r="I46" s="20" t="str" cm="1">
        <f t="array" ref="I46">IFERROR(INDEX(Data_Input!$A$1:$ZZ$502, MATCH("평가금액", INDEX(Data_Input!$A$1:$ZZ$502, 0, MATCH(1, (Data_Input!$7:$7=$F$3)*(Data_Input!$8:$8=$B46), 0)), 0) + 1, MATCH(1, (Data_Input!$7:$7=$F$3)*(Data_Input!$8:$8=$B46), 0)),"")</f>
        <v/>
      </c>
      <c r="J46" s="20" t="str" cm="1">
        <f t="array" ref="J46">IFERROR(INDEX(Data_Input!$A$1:$ZZ$502, MATCH("평가손익", INDEX(Data_Input!$A$1:$ZZ$502, 0, MATCH(1, (Data_Input!$7:$7=$F$3)*(Data_Input!$8:$8=$B46), 0)), 0) + 1, MATCH(1, (Data_Input!$7:$7=$F$3)*(Data_Input!$8:$8=$B46), 0)),"")</f>
        <v/>
      </c>
      <c r="K46" s="14" t="str" cm="1">
        <f t="array" ref="K46">IFERROR(INDEX(Data_Input!$A$1:$ZZ$502, MATCH("총수익률", INDEX(Data_Input!$A$1:$ZZ$502, 0, MATCH(1, (Data_Input!$7:$7=$F$3)*(Data_Input!$8:$8=$B46), 0)), 0) + 1, MATCH(1, (Data_Input!$7:$7=$F$3)*(Data_Input!$8:$8=$B46), 0)),"")</f>
        <v/>
      </c>
      <c r="L46" t="str" cm="1">
        <f t="array" ref="L46">IFERROR(_xlfn.LET(
    _xlpm.targetDate, B46,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47" spans="1:12" x14ac:dyDescent="0.3">
      <c r="A47" s="16" t="str">
        <f t="shared" si="0"/>
        <v/>
      </c>
      <c r="B47" s="19"/>
      <c r="C47" s="17" t="str">
        <f t="shared" si="1"/>
        <v/>
      </c>
      <c r="D47" s="29" t="str" cm="1">
        <f t="array" ref="D47">IFERROR(INDEX(Data_Input!$10:$10,MATCH(1,(Data_Input!$7:$7=$F$3)*(Data_Input!$8:$8=$B47),0)),"")</f>
        <v/>
      </c>
      <c r="E47" s="29" t="str" cm="1">
        <f t="array" ref="E47">IFERROR(INDEX(Data_Input!$1:$100, 9, MATCH(1, (Data_Input!$7:$7=$F$3) * (Data_Input!$8:$8=$B47), 0)),"")</f>
        <v/>
      </c>
      <c r="F47" s="20" t="str" cm="1">
        <f t="array" ref="F47">IFERROR(INDEX(Data_Input!$A$1:$ZZ$502, MATCH("예수금", INDEX(Data_Input!$A$1:$ZZ$502, 0, MATCH(1, (Data_Input!$7:$7=$F$3)*(Data_Input!$8:$8=$B47), 0)), 0) + 1, MATCH(1, (Data_Input!$7:$7=$F$3)*(Data_Input!$8:$8=$B47), 0)),"")</f>
        <v/>
      </c>
      <c r="G47" s="20" t="str" cm="1">
        <f t="array" ref="G47">IFERROR(INDEX(Data_Input!$A$1:$ZZ$502, MATCH("총자산", INDEX(Data_Input!$A$1:$ZZ$502, 0, MATCH(1, (Data_Input!$7:$7=$F$3)*(Data_Input!$8:$8=$B47), 0)), 0) + 1, MATCH(1, (Data_Input!$7:$7=$F$3)*(Data_Input!$8:$8=$B47), 0)),"")</f>
        <v/>
      </c>
      <c r="H47" s="20" t="str" cm="1">
        <f t="array" ref="H47">IFERROR(INDEX(Data_Input!$A$1:$ZZ$502, MATCH("매입금액", INDEX(Data_Input!$A$1:$ZZ$502, 0, MATCH(1, (Data_Input!$7:$7=$F$3)*(Data_Input!$8:$8=$B47), 0)), 0) + 1, MATCH(1, (Data_Input!$7:$7=$F$3)*(Data_Input!$8:$8=$B47), 0)),"")</f>
        <v/>
      </c>
      <c r="I47" s="20" t="str" cm="1">
        <f t="array" ref="I47">IFERROR(INDEX(Data_Input!$A$1:$ZZ$502, MATCH("평가금액", INDEX(Data_Input!$A$1:$ZZ$502, 0, MATCH(1, (Data_Input!$7:$7=$F$3)*(Data_Input!$8:$8=$B47), 0)), 0) + 1, MATCH(1, (Data_Input!$7:$7=$F$3)*(Data_Input!$8:$8=$B47), 0)),"")</f>
        <v/>
      </c>
      <c r="J47" s="20" t="str" cm="1">
        <f t="array" ref="J47">IFERROR(INDEX(Data_Input!$A$1:$ZZ$502, MATCH("평가손익", INDEX(Data_Input!$A$1:$ZZ$502, 0, MATCH(1, (Data_Input!$7:$7=$F$3)*(Data_Input!$8:$8=$B47), 0)), 0) + 1, MATCH(1, (Data_Input!$7:$7=$F$3)*(Data_Input!$8:$8=$B47), 0)),"")</f>
        <v/>
      </c>
      <c r="K47" s="14" t="str" cm="1">
        <f t="array" ref="K47">IFERROR(INDEX(Data_Input!$A$1:$ZZ$502, MATCH("총수익률", INDEX(Data_Input!$A$1:$ZZ$502, 0, MATCH(1, (Data_Input!$7:$7=$F$3)*(Data_Input!$8:$8=$B47), 0)), 0) + 1, MATCH(1, (Data_Input!$7:$7=$F$3)*(Data_Input!$8:$8=$B47), 0)),"")</f>
        <v/>
      </c>
      <c r="L47" t="str" cm="1">
        <f t="array" ref="L47">IFERROR(_xlfn.LET(
    _xlpm.targetDate, B47,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48" spans="1:12" x14ac:dyDescent="0.3">
      <c r="A48" s="16" t="str">
        <f t="shared" si="0"/>
        <v/>
      </c>
      <c r="B48" s="19"/>
      <c r="C48" s="17" t="str">
        <f t="shared" si="1"/>
        <v/>
      </c>
      <c r="D48" s="29" t="str" cm="1">
        <f t="array" ref="D48">IFERROR(INDEX(Data_Input!$10:$10,MATCH(1,(Data_Input!$7:$7=$F$3)*(Data_Input!$8:$8=$B48),0)),"")</f>
        <v/>
      </c>
      <c r="E48" s="29" t="str" cm="1">
        <f t="array" ref="E48">IFERROR(INDEX(Data_Input!$1:$100, 9, MATCH(1, (Data_Input!$7:$7=$F$3) * (Data_Input!$8:$8=$B48), 0)),"")</f>
        <v/>
      </c>
      <c r="F48" s="20" t="str" cm="1">
        <f t="array" ref="F48">IFERROR(INDEX(Data_Input!$A$1:$ZZ$502, MATCH("예수금", INDEX(Data_Input!$A$1:$ZZ$502, 0, MATCH(1, (Data_Input!$7:$7=$F$3)*(Data_Input!$8:$8=$B48), 0)), 0) + 1, MATCH(1, (Data_Input!$7:$7=$F$3)*(Data_Input!$8:$8=$B48), 0)),"")</f>
        <v/>
      </c>
      <c r="G48" s="20" t="str" cm="1">
        <f t="array" ref="G48">IFERROR(INDEX(Data_Input!$A$1:$ZZ$502, MATCH("총자산", INDEX(Data_Input!$A$1:$ZZ$502, 0, MATCH(1, (Data_Input!$7:$7=$F$3)*(Data_Input!$8:$8=$B48), 0)), 0) + 1, MATCH(1, (Data_Input!$7:$7=$F$3)*(Data_Input!$8:$8=$B48), 0)),"")</f>
        <v/>
      </c>
      <c r="H48" s="20" t="str" cm="1">
        <f t="array" ref="H48">IFERROR(INDEX(Data_Input!$A$1:$ZZ$502, MATCH("매입금액", INDEX(Data_Input!$A$1:$ZZ$502, 0, MATCH(1, (Data_Input!$7:$7=$F$3)*(Data_Input!$8:$8=$B48), 0)), 0) + 1, MATCH(1, (Data_Input!$7:$7=$F$3)*(Data_Input!$8:$8=$B48), 0)),"")</f>
        <v/>
      </c>
      <c r="I48" s="20" t="str" cm="1">
        <f t="array" ref="I48">IFERROR(INDEX(Data_Input!$A$1:$ZZ$502, MATCH("평가금액", INDEX(Data_Input!$A$1:$ZZ$502, 0, MATCH(1, (Data_Input!$7:$7=$F$3)*(Data_Input!$8:$8=$B48), 0)), 0) + 1, MATCH(1, (Data_Input!$7:$7=$F$3)*(Data_Input!$8:$8=$B48), 0)),"")</f>
        <v/>
      </c>
      <c r="J48" s="20" t="str" cm="1">
        <f t="array" ref="J48">IFERROR(INDEX(Data_Input!$A$1:$ZZ$502, MATCH("평가손익", INDEX(Data_Input!$A$1:$ZZ$502, 0, MATCH(1, (Data_Input!$7:$7=$F$3)*(Data_Input!$8:$8=$B48), 0)), 0) + 1, MATCH(1, (Data_Input!$7:$7=$F$3)*(Data_Input!$8:$8=$B48), 0)),"")</f>
        <v/>
      </c>
      <c r="K48" s="14" t="str" cm="1">
        <f t="array" ref="K48">IFERROR(INDEX(Data_Input!$A$1:$ZZ$502, MATCH("총수익률", INDEX(Data_Input!$A$1:$ZZ$502, 0, MATCH(1, (Data_Input!$7:$7=$F$3)*(Data_Input!$8:$8=$B48), 0)), 0) + 1, MATCH(1, (Data_Input!$7:$7=$F$3)*(Data_Input!$8:$8=$B48), 0)),"")</f>
        <v/>
      </c>
      <c r="L48" t="str" cm="1">
        <f t="array" ref="L48">IFERROR(_xlfn.LET(
    _xlpm.targetDate, B48,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49" spans="1:12" x14ac:dyDescent="0.3">
      <c r="A49" s="16" t="str">
        <f t="shared" si="0"/>
        <v/>
      </c>
      <c r="B49" s="19"/>
      <c r="C49" s="17" t="str">
        <f t="shared" si="1"/>
        <v/>
      </c>
      <c r="D49" s="29" t="str" cm="1">
        <f t="array" ref="D49">IFERROR(INDEX(Data_Input!$10:$10,MATCH(1,(Data_Input!$7:$7=$F$3)*(Data_Input!$8:$8=$B49),0)),"")</f>
        <v/>
      </c>
      <c r="E49" s="29" t="str" cm="1">
        <f t="array" ref="E49">IFERROR(INDEX(Data_Input!$1:$100, 9, MATCH(1, (Data_Input!$7:$7=$F$3) * (Data_Input!$8:$8=$B49), 0)),"")</f>
        <v/>
      </c>
      <c r="F49" s="20" t="str" cm="1">
        <f t="array" ref="F49">IFERROR(INDEX(Data_Input!$A$1:$ZZ$502, MATCH("예수금", INDEX(Data_Input!$A$1:$ZZ$502, 0, MATCH(1, (Data_Input!$7:$7=$F$3)*(Data_Input!$8:$8=$B49), 0)), 0) + 1, MATCH(1, (Data_Input!$7:$7=$F$3)*(Data_Input!$8:$8=$B49), 0)),"")</f>
        <v/>
      </c>
      <c r="G49" s="20" t="str" cm="1">
        <f t="array" ref="G49">IFERROR(INDEX(Data_Input!$A$1:$ZZ$502, MATCH("총자산", INDEX(Data_Input!$A$1:$ZZ$502, 0, MATCH(1, (Data_Input!$7:$7=$F$3)*(Data_Input!$8:$8=$B49), 0)), 0) + 1, MATCH(1, (Data_Input!$7:$7=$F$3)*(Data_Input!$8:$8=$B49), 0)),"")</f>
        <v/>
      </c>
      <c r="H49" s="20" t="str" cm="1">
        <f t="array" ref="H49">IFERROR(INDEX(Data_Input!$A$1:$ZZ$502, MATCH("매입금액", INDEX(Data_Input!$A$1:$ZZ$502, 0, MATCH(1, (Data_Input!$7:$7=$F$3)*(Data_Input!$8:$8=$B49), 0)), 0) + 1, MATCH(1, (Data_Input!$7:$7=$F$3)*(Data_Input!$8:$8=$B49), 0)),"")</f>
        <v/>
      </c>
      <c r="I49" s="20" t="str" cm="1">
        <f t="array" ref="I49">IFERROR(INDEX(Data_Input!$A$1:$ZZ$502, MATCH("평가금액", INDEX(Data_Input!$A$1:$ZZ$502, 0, MATCH(1, (Data_Input!$7:$7=$F$3)*(Data_Input!$8:$8=$B49), 0)), 0) + 1, MATCH(1, (Data_Input!$7:$7=$F$3)*(Data_Input!$8:$8=$B49), 0)),"")</f>
        <v/>
      </c>
      <c r="J49" s="20" t="str" cm="1">
        <f t="array" ref="J49">IFERROR(INDEX(Data_Input!$A$1:$ZZ$502, MATCH("평가손익", INDEX(Data_Input!$A$1:$ZZ$502, 0, MATCH(1, (Data_Input!$7:$7=$F$3)*(Data_Input!$8:$8=$B49), 0)), 0) + 1, MATCH(1, (Data_Input!$7:$7=$F$3)*(Data_Input!$8:$8=$B49), 0)),"")</f>
        <v/>
      </c>
      <c r="K49" s="14" t="str" cm="1">
        <f t="array" ref="K49">IFERROR(INDEX(Data_Input!$A$1:$ZZ$502, MATCH("총수익률", INDEX(Data_Input!$A$1:$ZZ$502, 0, MATCH(1, (Data_Input!$7:$7=$F$3)*(Data_Input!$8:$8=$B49), 0)), 0) + 1, MATCH(1, (Data_Input!$7:$7=$F$3)*(Data_Input!$8:$8=$B49), 0)),"")</f>
        <v/>
      </c>
      <c r="L49" t="str" cm="1">
        <f t="array" ref="L49">IFERROR(_xlfn.LET(
    _xlpm.targetDate, B49,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50" spans="1:12" x14ac:dyDescent="0.3">
      <c r="A50" s="16" t="str">
        <f t="shared" si="0"/>
        <v/>
      </c>
      <c r="B50" s="19"/>
      <c r="C50" s="17" t="str">
        <f t="shared" si="1"/>
        <v/>
      </c>
      <c r="D50" s="29" t="str" cm="1">
        <f t="array" ref="D50">IFERROR(INDEX(Data_Input!$10:$10,MATCH(1,(Data_Input!$7:$7=$F$3)*(Data_Input!$8:$8=$B50),0)),"")</f>
        <v/>
      </c>
      <c r="E50" s="29" t="str" cm="1">
        <f t="array" ref="E50">IFERROR(INDEX(Data_Input!$1:$100, 9, MATCH(1, (Data_Input!$7:$7=$F$3) * (Data_Input!$8:$8=$B50), 0)),"")</f>
        <v/>
      </c>
      <c r="F50" s="20" t="str" cm="1">
        <f t="array" ref="F50">IFERROR(INDEX(Data_Input!$A$1:$ZZ$502, MATCH("예수금", INDEX(Data_Input!$A$1:$ZZ$502, 0, MATCH(1, (Data_Input!$7:$7=$F$3)*(Data_Input!$8:$8=$B50), 0)), 0) + 1, MATCH(1, (Data_Input!$7:$7=$F$3)*(Data_Input!$8:$8=$B50), 0)),"")</f>
        <v/>
      </c>
      <c r="G50" s="20" t="str" cm="1">
        <f t="array" ref="G50">IFERROR(INDEX(Data_Input!$A$1:$ZZ$502, MATCH("총자산", INDEX(Data_Input!$A$1:$ZZ$502, 0, MATCH(1, (Data_Input!$7:$7=$F$3)*(Data_Input!$8:$8=$B50), 0)), 0) + 1, MATCH(1, (Data_Input!$7:$7=$F$3)*(Data_Input!$8:$8=$B50), 0)),"")</f>
        <v/>
      </c>
      <c r="H50" s="20" t="str" cm="1">
        <f t="array" ref="H50">IFERROR(INDEX(Data_Input!$A$1:$ZZ$502, MATCH("매입금액", INDEX(Data_Input!$A$1:$ZZ$502, 0, MATCH(1, (Data_Input!$7:$7=$F$3)*(Data_Input!$8:$8=$B50), 0)), 0) + 1, MATCH(1, (Data_Input!$7:$7=$F$3)*(Data_Input!$8:$8=$B50), 0)),"")</f>
        <v/>
      </c>
      <c r="I50" s="20" t="str" cm="1">
        <f t="array" ref="I50">IFERROR(INDEX(Data_Input!$A$1:$ZZ$502, MATCH("평가금액", INDEX(Data_Input!$A$1:$ZZ$502, 0, MATCH(1, (Data_Input!$7:$7=$F$3)*(Data_Input!$8:$8=$B50), 0)), 0) + 1, MATCH(1, (Data_Input!$7:$7=$F$3)*(Data_Input!$8:$8=$B50), 0)),"")</f>
        <v/>
      </c>
      <c r="J50" s="20" t="str" cm="1">
        <f t="array" ref="J50">IFERROR(INDEX(Data_Input!$A$1:$ZZ$502, MATCH("평가손익", INDEX(Data_Input!$A$1:$ZZ$502, 0, MATCH(1, (Data_Input!$7:$7=$F$3)*(Data_Input!$8:$8=$B50), 0)), 0) + 1, MATCH(1, (Data_Input!$7:$7=$F$3)*(Data_Input!$8:$8=$B50), 0)),"")</f>
        <v/>
      </c>
      <c r="K50" s="14" t="str" cm="1">
        <f t="array" ref="K50">IFERROR(INDEX(Data_Input!$A$1:$ZZ$502, MATCH("총수익률", INDEX(Data_Input!$A$1:$ZZ$502, 0, MATCH(1, (Data_Input!$7:$7=$F$3)*(Data_Input!$8:$8=$B50), 0)), 0) + 1, MATCH(1, (Data_Input!$7:$7=$F$3)*(Data_Input!$8:$8=$B50), 0)),"")</f>
        <v/>
      </c>
      <c r="L50" t="str" cm="1">
        <f t="array" ref="L50">IFERROR(_xlfn.LET(
    _xlpm.targetDate, B50,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51" spans="1:12" x14ac:dyDescent="0.3">
      <c r="A51" s="16" t="str">
        <f t="shared" si="0"/>
        <v/>
      </c>
      <c r="B51" s="19"/>
      <c r="C51" s="17" t="str">
        <f t="shared" si="1"/>
        <v/>
      </c>
      <c r="D51" s="29" t="str" cm="1">
        <f t="array" ref="D51">IFERROR(INDEX(Data_Input!$10:$10,MATCH(1,(Data_Input!$7:$7=$F$3)*(Data_Input!$8:$8=$B51),0)),"")</f>
        <v/>
      </c>
      <c r="E51" s="29" t="str" cm="1">
        <f t="array" ref="E51">IFERROR(INDEX(Data_Input!$1:$100, 9, MATCH(1, (Data_Input!$7:$7=$F$3) * (Data_Input!$8:$8=$B51), 0)),"")</f>
        <v/>
      </c>
      <c r="F51" s="20" t="str" cm="1">
        <f t="array" ref="F51">IFERROR(INDEX(Data_Input!$A$1:$ZZ$502, MATCH("예수금", INDEX(Data_Input!$A$1:$ZZ$502, 0, MATCH(1, (Data_Input!$7:$7=$F$3)*(Data_Input!$8:$8=$B51), 0)), 0) + 1, MATCH(1, (Data_Input!$7:$7=$F$3)*(Data_Input!$8:$8=$B51), 0)),"")</f>
        <v/>
      </c>
      <c r="G51" s="20" t="str" cm="1">
        <f t="array" ref="G51">IFERROR(INDEX(Data_Input!$A$1:$ZZ$502, MATCH("총자산", INDEX(Data_Input!$A$1:$ZZ$502, 0, MATCH(1, (Data_Input!$7:$7=$F$3)*(Data_Input!$8:$8=$B51), 0)), 0) + 1, MATCH(1, (Data_Input!$7:$7=$F$3)*(Data_Input!$8:$8=$B51), 0)),"")</f>
        <v/>
      </c>
      <c r="H51" s="20" t="str" cm="1">
        <f t="array" ref="H51">IFERROR(INDEX(Data_Input!$A$1:$ZZ$502, MATCH("매입금액", INDEX(Data_Input!$A$1:$ZZ$502, 0, MATCH(1, (Data_Input!$7:$7=$F$3)*(Data_Input!$8:$8=$B51), 0)), 0) + 1, MATCH(1, (Data_Input!$7:$7=$F$3)*(Data_Input!$8:$8=$B51), 0)),"")</f>
        <v/>
      </c>
      <c r="I51" s="20" t="str" cm="1">
        <f t="array" ref="I51">IFERROR(INDEX(Data_Input!$A$1:$ZZ$502, MATCH("평가금액", INDEX(Data_Input!$A$1:$ZZ$502, 0, MATCH(1, (Data_Input!$7:$7=$F$3)*(Data_Input!$8:$8=$B51), 0)), 0) + 1, MATCH(1, (Data_Input!$7:$7=$F$3)*(Data_Input!$8:$8=$B51), 0)),"")</f>
        <v/>
      </c>
      <c r="J51" s="20" t="str" cm="1">
        <f t="array" ref="J51">IFERROR(INDEX(Data_Input!$A$1:$ZZ$502, MATCH("평가손익", INDEX(Data_Input!$A$1:$ZZ$502, 0, MATCH(1, (Data_Input!$7:$7=$F$3)*(Data_Input!$8:$8=$B51), 0)), 0) + 1, MATCH(1, (Data_Input!$7:$7=$F$3)*(Data_Input!$8:$8=$B51), 0)),"")</f>
        <v/>
      </c>
      <c r="K51" s="14" t="str" cm="1">
        <f t="array" ref="K51">IFERROR(INDEX(Data_Input!$A$1:$ZZ$502, MATCH("총수익률", INDEX(Data_Input!$A$1:$ZZ$502, 0, MATCH(1, (Data_Input!$7:$7=$F$3)*(Data_Input!$8:$8=$B51), 0)), 0) + 1, MATCH(1, (Data_Input!$7:$7=$F$3)*(Data_Input!$8:$8=$B51), 0)),"")</f>
        <v/>
      </c>
      <c r="L51" t="str" cm="1">
        <f t="array" ref="L51">IFERROR(_xlfn.LET(
    _xlpm.targetDate, B51,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52" spans="1:12" x14ac:dyDescent="0.3">
      <c r="A52" s="16" t="str">
        <f t="shared" si="0"/>
        <v/>
      </c>
      <c r="B52" s="19"/>
      <c r="C52" s="17" t="str">
        <f t="shared" si="1"/>
        <v/>
      </c>
      <c r="D52" s="29" t="str" cm="1">
        <f t="array" ref="D52">IFERROR(INDEX(Data_Input!$10:$10,MATCH(1,(Data_Input!$7:$7=$F$3)*(Data_Input!$8:$8=$B52),0)),"")</f>
        <v/>
      </c>
      <c r="E52" s="29" t="str" cm="1">
        <f t="array" ref="E52">IFERROR(INDEX(Data_Input!$1:$100, 9, MATCH(1, (Data_Input!$7:$7=$F$3) * (Data_Input!$8:$8=$B52), 0)),"")</f>
        <v/>
      </c>
      <c r="F52" s="20" t="str" cm="1">
        <f t="array" ref="F52">IFERROR(INDEX(Data_Input!$A$1:$ZZ$502, MATCH("예수금", INDEX(Data_Input!$A$1:$ZZ$502, 0, MATCH(1, (Data_Input!$7:$7=$F$3)*(Data_Input!$8:$8=$B52), 0)), 0) + 1, MATCH(1, (Data_Input!$7:$7=$F$3)*(Data_Input!$8:$8=$B52), 0)),"")</f>
        <v/>
      </c>
      <c r="G52" s="20" t="str" cm="1">
        <f t="array" ref="G52">IFERROR(INDEX(Data_Input!$A$1:$ZZ$502, MATCH("총자산", INDEX(Data_Input!$A$1:$ZZ$502, 0, MATCH(1, (Data_Input!$7:$7=$F$3)*(Data_Input!$8:$8=$B52), 0)), 0) + 1, MATCH(1, (Data_Input!$7:$7=$F$3)*(Data_Input!$8:$8=$B52), 0)),"")</f>
        <v/>
      </c>
      <c r="H52" s="20" t="str" cm="1">
        <f t="array" ref="H52">IFERROR(INDEX(Data_Input!$A$1:$ZZ$502, MATCH("매입금액", INDEX(Data_Input!$A$1:$ZZ$502, 0, MATCH(1, (Data_Input!$7:$7=$F$3)*(Data_Input!$8:$8=$B52), 0)), 0) + 1, MATCH(1, (Data_Input!$7:$7=$F$3)*(Data_Input!$8:$8=$B52), 0)),"")</f>
        <v/>
      </c>
      <c r="I52" s="20" t="str" cm="1">
        <f t="array" ref="I52">IFERROR(INDEX(Data_Input!$A$1:$ZZ$502, MATCH("평가금액", INDEX(Data_Input!$A$1:$ZZ$502, 0, MATCH(1, (Data_Input!$7:$7=$F$3)*(Data_Input!$8:$8=$B52), 0)), 0) + 1, MATCH(1, (Data_Input!$7:$7=$F$3)*(Data_Input!$8:$8=$B52), 0)),"")</f>
        <v/>
      </c>
      <c r="J52" s="20" t="str" cm="1">
        <f t="array" ref="J52">IFERROR(INDEX(Data_Input!$A$1:$ZZ$502, MATCH("평가손익", INDEX(Data_Input!$A$1:$ZZ$502, 0, MATCH(1, (Data_Input!$7:$7=$F$3)*(Data_Input!$8:$8=$B52), 0)), 0) + 1, MATCH(1, (Data_Input!$7:$7=$F$3)*(Data_Input!$8:$8=$B52), 0)),"")</f>
        <v/>
      </c>
      <c r="K52" s="14" t="str" cm="1">
        <f t="array" ref="K52">IFERROR(INDEX(Data_Input!$A$1:$ZZ$502, MATCH("총수익률", INDEX(Data_Input!$A$1:$ZZ$502, 0, MATCH(1, (Data_Input!$7:$7=$F$3)*(Data_Input!$8:$8=$B52), 0)), 0) + 1, MATCH(1, (Data_Input!$7:$7=$F$3)*(Data_Input!$8:$8=$B52), 0)),"")</f>
        <v/>
      </c>
      <c r="L52" t="str" cm="1">
        <f t="array" ref="L52">IFERROR(_xlfn.LET(
    _xlpm.targetDate, B52,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53" spans="1:12" x14ac:dyDescent="0.3">
      <c r="A53" s="16" t="str">
        <f t="shared" si="0"/>
        <v/>
      </c>
      <c r="B53" s="19"/>
      <c r="C53" s="17" t="str">
        <f t="shared" si="1"/>
        <v/>
      </c>
      <c r="D53" s="29" t="str" cm="1">
        <f t="array" ref="D53">IFERROR(INDEX(Data_Input!$10:$10,MATCH(1,(Data_Input!$7:$7=$F$3)*(Data_Input!$8:$8=$B53),0)),"")</f>
        <v/>
      </c>
      <c r="E53" s="29" t="str" cm="1">
        <f t="array" ref="E53">IFERROR(INDEX(Data_Input!$1:$100, 9, MATCH(1, (Data_Input!$7:$7=$F$3) * (Data_Input!$8:$8=$B53), 0)),"")</f>
        <v/>
      </c>
      <c r="F53" s="20" t="str" cm="1">
        <f t="array" ref="F53">IFERROR(INDEX(Data_Input!$A$1:$ZZ$502, MATCH("예수금", INDEX(Data_Input!$A$1:$ZZ$502, 0, MATCH(1, (Data_Input!$7:$7=$F$3)*(Data_Input!$8:$8=$B53), 0)), 0) + 1, MATCH(1, (Data_Input!$7:$7=$F$3)*(Data_Input!$8:$8=$B53), 0)),"")</f>
        <v/>
      </c>
      <c r="G53" s="20" t="str" cm="1">
        <f t="array" ref="G53">IFERROR(INDEX(Data_Input!$A$1:$ZZ$502, MATCH("총자산", INDEX(Data_Input!$A$1:$ZZ$502, 0, MATCH(1, (Data_Input!$7:$7=$F$3)*(Data_Input!$8:$8=$B53), 0)), 0) + 1, MATCH(1, (Data_Input!$7:$7=$F$3)*(Data_Input!$8:$8=$B53), 0)),"")</f>
        <v/>
      </c>
      <c r="H53" s="20" t="str" cm="1">
        <f t="array" ref="H53">IFERROR(INDEX(Data_Input!$A$1:$ZZ$502, MATCH("매입금액", INDEX(Data_Input!$A$1:$ZZ$502, 0, MATCH(1, (Data_Input!$7:$7=$F$3)*(Data_Input!$8:$8=$B53), 0)), 0) + 1, MATCH(1, (Data_Input!$7:$7=$F$3)*(Data_Input!$8:$8=$B53), 0)),"")</f>
        <v/>
      </c>
      <c r="I53" s="20" t="str" cm="1">
        <f t="array" ref="I53">IFERROR(INDEX(Data_Input!$A$1:$ZZ$502, MATCH("평가금액", INDEX(Data_Input!$A$1:$ZZ$502, 0, MATCH(1, (Data_Input!$7:$7=$F$3)*(Data_Input!$8:$8=$B53), 0)), 0) + 1, MATCH(1, (Data_Input!$7:$7=$F$3)*(Data_Input!$8:$8=$B53), 0)),"")</f>
        <v/>
      </c>
      <c r="J53" s="20" t="str" cm="1">
        <f t="array" ref="J53">IFERROR(INDEX(Data_Input!$A$1:$ZZ$502, MATCH("평가손익", INDEX(Data_Input!$A$1:$ZZ$502, 0, MATCH(1, (Data_Input!$7:$7=$F$3)*(Data_Input!$8:$8=$B53), 0)), 0) + 1, MATCH(1, (Data_Input!$7:$7=$F$3)*(Data_Input!$8:$8=$B53), 0)),"")</f>
        <v/>
      </c>
      <c r="K53" s="14" t="str" cm="1">
        <f t="array" ref="K53">IFERROR(INDEX(Data_Input!$A$1:$ZZ$502, MATCH("총수익률", INDEX(Data_Input!$A$1:$ZZ$502, 0, MATCH(1, (Data_Input!$7:$7=$F$3)*(Data_Input!$8:$8=$B53), 0)), 0) + 1, MATCH(1, (Data_Input!$7:$7=$F$3)*(Data_Input!$8:$8=$B53), 0)),"")</f>
        <v/>
      </c>
      <c r="L53" t="str" cm="1">
        <f t="array" ref="L53">IFERROR(_xlfn.LET(
    _xlpm.targetDate, B53,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54" spans="1:12" x14ac:dyDescent="0.3">
      <c r="A54" s="16" t="str">
        <f t="shared" si="0"/>
        <v/>
      </c>
      <c r="B54" s="19"/>
      <c r="C54" s="17" t="str">
        <f t="shared" si="1"/>
        <v/>
      </c>
      <c r="D54" s="29" t="str" cm="1">
        <f t="array" ref="D54">IFERROR(INDEX(Data_Input!$10:$10,MATCH(1,(Data_Input!$7:$7=$F$3)*(Data_Input!$8:$8=$B54),0)),"")</f>
        <v/>
      </c>
      <c r="E54" s="29" t="str" cm="1">
        <f t="array" ref="E54">IFERROR(INDEX(Data_Input!$1:$100, 9, MATCH(1, (Data_Input!$7:$7=$F$3) * (Data_Input!$8:$8=$B54), 0)),"")</f>
        <v/>
      </c>
      <c r="F54" s="20" t="str" cm="1">
        <f t="array" ref="F54">IFERROR(INDEX(Data_Input!$A$1:$ZZ$502, MATCH("예수금", INDEX(Data_Input!$A$1:$ZZ$502, 0, MATCH(1, (Data_Input!$7:$7=$F$3)*(Data_Input!$8:$8=$B54), 0)), 0) + 1, MATCH(1, (Data_Input!$7:$7=$F$3)*(Data_Input!$8:$8=$B54), 0)),"")</f>
        <v/>
      </c>
      <c r="G54" s="20" t="str" cm="1">
        <f t="array" ref="G54">IFERROR(INDEX(Data_Input!$A$1:$ZZ$502, MATCH("총자산", INDEX(Data_Input!$A$1:$ZZ$502, 0, MATCH(1, (Data_Input!$7:$7=$F$3)*(Data_Input!$8:$8=$B54), 0)), 0) + 1, MATCH(1, (Data_Input!$7:$7=$F$3)*(Data_Input!$8:$8=$B54), 0)),"")</f>
        <v/>
      </c>
      <c r="H54" s="20" t="str" cm="1">
        <f t="array" ref="H54">IFERROR(INDEX(Data_Input!$A$1:$ZZ$502, MATCH("매입금액", INDEX(Data_Input!$A$1:$ZZ$502, 0, MATCH(1, (Data_Input!$7:$7=$F$3)*(Data_Input!$8:$8=$B54), 0)), 0) + 1, MATCH(1, (Data_Input!$7:$7=$F$3)*(Data_Input!$8:$8=$B54), 0)),"")</f>
        <v/>
      </c>
      <c r="I54" s="20" t="str" cm="1">
        <f t="array" ref="I54">IFERROR(INDEX(Data_Input!$A$1:$ZZ$502, MATCH("평가금액", INDEX(Data_Input!$A$1:$ZZ$502, 0, MATCH(1, (Data_Input!$7:$7=$F$3)*(Data_Input!$8:$8=$B54), 0)), 0) + 1, MATCH(1, (Data_Input!$7:$7=$F$3)*(Data_Input!$8:$8=$B54), 0)),"")</f>
        <v/>
      </c>
      <c r="J54" s="20" t="str" cm="1">
        <f t="array" ref="J54">IFERROR(INDEX(Data_Input!$A$1:$ZZ$502, MATCH("평가손익", INDEX(Data_Input!$A$1:$ZZ$502, 0, MATCH(1, (Data_Input!$7:$7=$F$3)*(Data_Input!$8:$8=$B54), 0)), 0) + 1, MATCH(1, (Data_Input!$7:$7=$F$3)*(Data_Input!$8:$8=$B54), 0)),"")</f>
        <v/>
      </c>
      <c r="K54" s="14" t="str" cm="1">
        <f t="array" ref="K54">IFERROR(INDEX(Data_Input!$A$1:$ZZ$502, MATCH("총수익률", INDEX(Data_Input!$A$1:$ZZ$502, 0, MATCH(1, (Data_Input!$7:$7=$F$3)*(Data_Input!$8:$8=$B54), 0)), 0) + 1, MATCH(1, (Data_Input!$7:$7=$F$3)*(Data_Input!$8:$8=$B54), 0)),"")</f>
        <v/>
      </c>
      <c r="L54" t="str" cm="1">
        <f t="array" ref="L54">IFERROR(_xlfn.LET(
    _xlpm.targetDate, B54,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55" spans="1:12" x14ac:dyDescent="0.3">
      <c r="A55" s="16" t="str">
        <f t="shared" si="0"/>
        <v/>
      </c>
      <c r="B55" s="19"/>
      <c r="C55" s="17" t="str">
        <f t="shared" si="1"/>
        <v/>
      </c>
      <c r="D55" s="29" t="str" cm="1">
        <f t="array" ref="D55">IFERROR(INDEX(Data_Input!$10:$10,MATCH(1,(Data_Input!$7:$7=$F$3)*(Data_Input!$8:$8=$B55),0)),"")</f>
        <v/>
      </c>
      <c r="E55" s="29" t="str" cm="1">
        <f t="array" ref="E55">IFERROR(INDEX(Data_Input!$1:$100, 9, MATCH(1, (Data_Input!$7:$7=$F$3) * (Data_Input!$8:$8=$B55), 0)),"")</f>
        <v/>
      </c>
      <c r="F55" s="20" t="str" cm="1">
        <f t="array" ref="F55">IFERROR(INDEX(Data_Input!$A$1:$ZZ$502, MATCH("예수금", INDEX(Data_Input!$A$1:$ZZ$502, 0, MATCH(1, (Data_Input!$7:$7=$F$3)*(Data_Input!$8:$8=$B55), 0)), 0) + 1, MATCH(1, (Data_Input!$7:$7=$F$3)*(Data_Input!$8:$8=$B55), 0)),"")</f>
        <v/>
      </c>
      <c r="G55" s="20" t="str" cm="1">
        <f t="array" ref="G55">IFERROR(INDEX(Data_Input!$A$1:$ZZ$502, MATCH("총자산", INDEX(Data_Input!$A$1:$ZZ$502, 0, MATCH(1, (Data_Input!$7:$7=$F$3)*(Data_Input!$8:$8=$B55), 0)), 0) + 1, MATCH(1, (Data_Input!$7:$7=$F$3)*(Data_Input!$8:$8=$B55), 0)),"")</f>
        <v/>
      </c>
      <c r="H55" s="20" t="str" cm="1">
        <f t="array" ref="H55">IFERROR(INDEX(Data_Input!$A$1:$ZZ$502, MATCH("매입금액", INDEX(Data_Input!$A$1:$ZZ$502, 0, MATCH(1, (Data_Input!$7:$7=$F$3)*(Data_Input!$8:$8=$B55), 0)), 0) + 1, MATCH(1, (Data_Input!$7:$7=$F$3)*(Data_Input!$8:$8=$B55), 0)),"")</f>
        <v/>
      </c>
      <c r="I55" s="20" t="str" cm="1">
        <f t="array" ref="I55">IFERROR(INDEX(Data_Input!$A$1:$ZZ$502, MATCH("평가금액", INDEX(Data_Input!$A$1:$ZZ$502, 0, MATCH(1, (Data_Input!$7:$7=$F$3)*(Data_Input!$8:$8=$B55), 0)), 0) + 1, MATCH(1, (Data_Input!$7:$7=$F$3)*(Data_Input!$8:$8=$B55), 0)),"")</f>
        <v/>
      </c>
      <c r="J55" s="20" t="str" cm="1">
        <f t="array" ref="J55">IFERROR(INDEX(Data_Input!$A$1:$ZZ$502, MATCH("평가손익", INDEX(Data_Input!$A$1:$ZZ$502, 0, MATCH(1, (Data_Input!$7:$7=$F$3)*(Data_Input!$8:$8=$B55), 0)), 0) + 1, MATCH(1, (Data_Input!$7:$7=$F$3)*(Data_Input!$8:$8=$B55), 0)),"")</f>
        <v/>
      </c>
      <c r="K55" s="14" t="str" cm="1">
        <f t="array" ref="K55">IFERROR(INDEX(Data_Input!$A$1:$ZZ$502, MATCH("총수익률", INDEX(Data_Input!$A$1:$ZZ$502, 0, MATCH(1, (Data_Input!$7:$7=$F$3)*(Data_Input!$8:$8=$B55), 0)), 0) + 1, MATCH(1, (Data_Input!$7:$7=$F$3)*(Data_Input!$8:$8=$B55), 0)),"")</f>
        <v/>
      </c>
      <c r="L55" t="str" cm="1">
        <f t="array" ref="L55">IFERROR(_xlfn.LET(
    _xlpm.targetDate, B55,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56" spans="1:12" x14ac:dyDescent="0.3">
      <c r="A56" s="16" t="str">
        <f t="shared" si="0"/>
        <v/>
      </c>
      <c r="B56" s="19"/>
      <c r="C56" s="17" t="str">
        <f t="shared" si="1"/>
        <v/>
      </c>
      <c r="D56" s="29" t="str" cm="1">
        <f t="array" ref="D56">IFERROR(INDEX(Data_Input!$10:$10,MATCH(1,(Data_Input!$7:$7=$F$3)*(Data_Input!$8:$8=$B56),0)),"")</f>
        <v/>
      </c>
      <c r="E56" s="29" t="str" cm="1">
        <f t="array" ref="E56">IFERROR(INDEX(Data_Input!$1:$100, 9, MATCH(1, (Data_Input!$7:$7=$F$3) * (Data_Input!$8:$8=$B56), 0)),"")</f>
        <v/>
      </c>
      <c r="F56" s="20" t="str" cm="1">
        <f t="array" ref="F56">IFERROR(INDEX(Data_Input!$A$1:$ZZ$502, MATCH("예수금", INDEX(Data_Input!$A$1:$ZZ$502, 0, MATCH(1, (Data_Input!$7:$7=$F$3)*(Data_Input!$8:$8=$B56), 0)), 0) + 1, MATCH(1, (Data_Input!$7:$7=$F$3)*(Data_Input!$8:$8=$B56), 0)),"")</f>
        <v/>
      </c>
      <c r="G56" s="20" t="str" cm="1">
        <f t="array" ref="G56">IFERROR(INDEX(Data_Input!$A$1:$ZZ$502, MATCH("총자산", INDEX(Data_Input!$A$1:$ZZ$502, 0, MATCH(1, (Data_Input!$7:$7=$F$3)*(Data_Input!$8:$8=$B56), 0)), 0) + 1, MATCH(1, (Data_Input!$7:$7=$F$3)*(Data_Input!$8:$8=$B56), 0)),"")</f>
        <v/>
      </c>
      <c r="H56" s="20" t="str" cm="1">
        <f t="array" ref="H56">IFERROR(INDEX(Data_Input!$A$1:$ZZ$502, MATCH("매입금액", INDEX(Data_Input!$A$1:$ZZ$502, 0, MATCH(1, (Data_Input!$7:$7=$F$3)*(Data_Input!$8:$8=$B56), 0)), 0) + 1, MATCH(1, (Data_Input!$7:$7=$F$3)*(Data_Input!$8:$8=$B56), 0)),"")</f>
        <v/>
      </c>
      <c r="I56" s="20" t="str" cm="1">
        <f t="array" ref="I56">IFERROR(INDEX(Data_Input!$A$1:$ZZ$502, MATCH("평가금액", INDEX(Data_Input!$A$1:$ZZ$502, 0, MATCH(1, (Data_Input!$7:$7=$F$3)*(Data_Input!$8:$8=$B56), 0)), 0) + 1, MATCH(1, (Data_Input!$7:$7=$F$3)*(Data_Input!$8:$8=$B56), 0)),"")</f>
        <v/>
      </c>
      <c r="J56" s="20" t="str" cm="1">
        <f t="array" ref="J56">IFERROR(INDEX(Data_Input!$A$1:$ZZ$502, MATCH("평가손익", INDEX(Data_Input!$A$1:$ZZ$502, 0, MATCH(1, (Data_Input!$7:$7=$F$3)*(Data_Input!$8:$8=$B56), 0)), 0) + 1, MATCH(1, (Data_Input!$7:$7=$F$3)*(Data_Input!$8:$8=$B56), 0)),"")</f>
        <v/>
      </c>
      <c r="K56" s="14" t="str" cm="1">
        <f t="array" ref="K56">IFERROR(INDEX(Data_Input!$A$1:$ZZ$502, MATCH("총수익률", INDEX(Data_Input!$A$1:$ZZ$502, 0, MATCH(1, (Data_Input!$7:$7=$F$3)*(Data_Input!$8:$8=$B56), 0)), 0) + 1, MATCH(1, (Data_Input!$7:$7=$F$3)*(Data_Input!$8:$8=$B56), 0)),"")</f>
        <v/>
      </c>
      <c r="L56" t="str" cm="1">
        <f t="array" ref="L56">IFERROR(_xlfn.LET(
    _xlpm.targetDate, B56,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57" spans="1:12" x14ac:dyDescent="0.3">
      <c r="A57" s="16" t="str">
        <f t="shared" si="0"/>
        <v/>
      </c>
      <c r="B57" s="19"/>
      <c r="C57" s="17" t="str">
        <f t="shared" si="1"/>
        <v/>
      </c>
      <c r="D57" s="29" t="str" cm="1">
        <f t="array" ref="D57">IFERROR(INDEX(Data_Input!$10:$10,MATCH(1,(Data_Input!$7:$7=$F$3)*(Data_Input!$8:$8=$B57),0)),"")</f>
        <v/>
      </c>
      <c r="E57" s="29" t="str" cm="1">
        <f t="array" ref="E57">IFERROR(INDEX(Data_Input!$1:$100, 9, MATCH(1, (Data_Input!$7:$7=$F$3) * (Data_Input!$8:$8=$B57), 0)),"")</f>
        <v/>
      </c>
      <c r="F57" s="20" t="str" cm="1">
        <f t="array" ref="F57">IFERROR(INDEX(Data_Input!$A$1:$ZZ$502, MATCH("예수금", INDEX(Data_Input!$A$1:$ZZ$502, 0, MATCH(1, (Data_Input!$7:$7=$F$3)*(Data_Input!$8:$8=$B57), 0)), 0) + 1, MATCH(1, (Data_Input!$7:$7=$F$3)*(Data_Input!$8:$8=$B57), 0)),"")</f>
        <v/>
      </c>
      <c r="G57" s="20" t="str" cm="1">
        <f t="array" ref="G57">IFERROR(INDEX(Data_Input!$A$1:$ZZ$502, MATCH("총자산", INDEX(Data_Input!$A$1:$ZZ$502, 0, MATCH(1, (Data_Input!$7:$7=$F$3)*(Data_Input!$8:$8=$B57), 0)), 0) + 1, MATCH(1, (Data_Input!$7:$7=$F$3)*(Data_Input!$8:$8=$B57), 0)),"")</f>
        <v/>
      </c>
      <c r="H57" s="20" t="str" cm="1">
        <f t="array" ref="H57">IFERROR(INDEX(Data_Input!$A$1:$ZZ$502, MATCH("매입금액", INDEX(Data_Input!$A$1:$ZZ$502, 0, MATCH(1, (Data_Input!$7:$7=$F$3)*(Data_Input!$8:$8=$B57), 0)), 0) + 1, MATCH(1, (Data_Input!$7:$7=$F$3)*(Data_Input!$8:$8=$B57), 0)),"")</f>
        <v/>
      </c>
      <c r="I57" s="20" t="str" cm="1">
        <f t="array" ref="I57">IFERROR(INDEX(Data_Input!$A$1:$ZZ$502, MATCH("평가금액", INDEX(Data_Input!$A$1:$ZZ$502, 0, MATCH(1, (Data_Input!$7:$7=$F$3)*(Data_Input!$8:$8=$B57), 0)), 0) + 1, MATCH(1, (Data_Input!$7:$7=$F$3)*(Data_Input!$8:$8=$B57), 0)),"")</f>
        <v/>
      </c>
      <c r="J57" s="20" t="str" cm="1">
        <f t="array" ref="J57">IFERROR(INDEX(Data_Input!$A$1:$ZZ$502, MATCH("평가손익", INDEX(Data_Input!$A$1:$ZZ$502, 0, MATCH(1, (Data_Input!$7:$7=$F$3)*(Data_Input!$8:$8=$B57), 0)), 0) + 1, MATCH(1, (Data_Input!$7:$7=$F$3)*(Data_Input!$8:$8=$B57), 0)),"")</f>
        <v/>
      </c>
      <c r="K57" s="14" t="str" cm="1">
        <f t="array" ref="K57">IFERROR(INDEX(Data_Input!$A$1:$ZZ$502, MATCH("총수익률", INDEX(Data_Input!$A$1:$ZZ$502, 0, MATCH(1, (Data_Input!$7:$7=$F$3)*(Data_Input!$8:$8=$B57), 0)), 0) + 1, MATCH(1, (Data_Input!$7:$7=$F$3)*(Data_Input!$8:$8=$B57), 0)),"")</f>
        <v/>
      </c>
      <c r="L57" t="str" cm="1">
        <f t="array" ref="L57">IFERROR(_xlfn.LET(
    _xlpm.targetDate, B57,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58" spans="1:12" x14ac:dyDescent="0.3">
      <c r="A58" s="16" t="str">
        <f t="shared" si="0"/>
        <v/>
      </c>
      <c r="B58" s="19"/>
      <c r="C58" s="17" t="str">
        <f t="shared" si="1"/>
        <v/>
      </c>
      <c r="D58" s="29" t="str" cm="1">
        <f t="array" ref="D58">IFERROR(INDEX(Data_Input!$10:$10,MATCH(1,(Data_Input!$7:$7=$F$3)*(Data_Input!$8:$8=$B58),0)),"")</f>
        <v/>
      </c>
      <c r="E58" s="29" t="str" cm="1">
        <f t="array" ref="E58">IFERROR(INDEX(Data_Input!$1:$100, 9, MATCH(1, (Data_Input!$7:$7=$F$3) * (Data_Input!$8:$8=$B58), 0)),"")</f>
        <v/>
      </c>
      <c r="F58" s="20" t="str" cm="1">
        <f t="array" ref="F58">IFERROR(INDEX(Data_Input!$A$1:$ZZ$502, MATCH("예수금", INDEX(Data_Input!$A$1:$ZZ$502, 0, MATCH(1, (Data_Input!$7:$7=$F$3)*(Data_Input!$8:$8=$B58), 0)), 0) + 1, MATCH(1, (Data_Input!$7:$7=$F$3)*(Data_Input!$8:$8=$B58), 0)),"")</f>
        <v/>
      </c>
      <c r="G58" s="20" t="str" cm="1">
        <f t="array" ref="G58">IFERROR(INDEX(Data_Input!$A$1:$ZZ$502, MATCH("총자산", INDEX(Data_Input!$A$1:$ZZ$502, 0, MATCH(1, (Data_Input!$7:$7=$F$3)*(Data_Input!$8:$8=$B58), 0)), 0) + 1, MATCH(1, (Data_Input!$7:$7=$F$3)*(Data_Input!$8:$8=$B58), 0)),"")</f>
        <v/>
      </c>
      <c r="H58" s="20" t="str" cm="1">
        <f t="array" ref="H58">IFERROR(INDEX(Data_Input!$A$1:$ZZ$502, MATCH("매입금액", INDEX(Data_Input!$A$1:$ZZ$502, 0, MATCH(1, (Data_Input!$7:$7=$F$3)*(Data_Input!$8:$8=$B58), 0)), 0) + 1, MATCH(1, (Data_Input!$7:$7=$F$3)*(Data_Input!$8:$8=$B58), 0)),"")</f>
        <v/>
      </c>
      <c r="I58" s="20" t="str" cm="1">
        <f t="array" ref="I58">IFERROR(INDEX(Data_Input!$A$1:$ZZ$502, MATCH("평가금액", INDEX(Data_Input!$A$1:$ZZ$502, 0, MATCH(1, (Data_Input!$7:$7=$F$3)*(Data_Input!$8:$8=$B58), 0)), 0) + 1, MATCH(1, (Data_Input!$7:$7=$F$3)*(Data_Input!$8:$8=$B58), 0)),"")</f>
        <v/>
      </c>
      <c r="J58" s="20" t="str" cm="1">
        <f t="array" ref="J58">IFERROR(INDEX(Data_Input!$A$1:$ZZ$502, MATCH("평가손익", INDEX(Data_Input!$A$1:$ZZ$502, 0, MATCH(1, (Data_Input!$7:$7=$F$3)*(Data_Input!$8:$8=$B58), 0)), 0) + 1, MATCH(1, (Data_Input!$7:$7=$F$3)*(Data_Input!$8:$8=$B58), 0)),"")</f>
        <v/>
      </c>
      <c r="K58" s="14" t="str" cm="1">
        <f t="array" ref="K58">IFERROR(INDEX(Data_Input!$A$1:$ZZ$502, MATCH("총수익률", INDEX(Data_Input!$A$1:$ZZ$502, 0, MATCH(1, (Data_Input!$7:$7=$F$3)*(Data_Input!$8:$8=$B58), 0)), 0) + 1, MATCH(1, (Data_Input!$7:$7=$F$3)*(Data_Input!$8:$8=$B58), 0)),"")</f>
        <v/>
      </c>
      <c r="L58" t="str" cm="1">
        <f t="array" ref="L58">IFERROR(_xlfn.LET(
    _xlpm.targetDate, B58,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59" spans="1:12" x14ac:dyDescent="0.3">
      <c r="A59" s="16" t="str">
        <f t="shared" si="0"/>
        <v/>
      </c>
      <c r="B59" s="19"/>
      <c r="C59" s="17" t="str">
        <f t="shared" si="1"/>
        <v/>
      </c>
      <c r="D59" s="29" t="str" cm="1">
        <f t="array" ref="D59">IFERROR(INDEX(Data_Input!$10:$10,MATCH(1,(Data_Input!$7:$7=$F$3)*(Data_Input!$8:$8=$B59),0)),"")</f>
        <v/>
      </c>
      <c r="E59" s="29" t="str" cm="1">
        <f t="array" ref="E59">IFERROR(INDEX(Data_Input!$1:$100, 9, MATCH(1, (Data_Input!$7:$7=$F$3) * (Data_Input!$8:$8=$B59), 0)),"")</f>
        <v/>
      </c>
      <c r="F59" s="20" t="str" cm="1">
        <f t="array" ref="F59">IFERROR(INDEX(Data_Input!$A$1:$ZZ$502, MATCH("예수금", INDEX(Data_Input!$A$1:$ZZ$502, 0, MATCH(1, (Data_Input!$7:$7=$F$3)*(Data_Input!$8:$8=$B59), 0)), 0) + 1, MATCH(1, (Data_Input!$7:$7=$F$3)*(Data_Input!$8:$8=$B59), 0)),"")</f>
        <v/>
      </c>
      <c r="G59" s="20" t="str" cm="1">
        <f t="array" ref="G59">IFERROR(INDEX(Data_Input!$A$1:$ZZ$502, MATCH("총자산", INDEX(Data_Input!$A$1:$ZZ$502, 0, MATCH(1, (Data_Input!$7:$7=$F$3)*(Data_Input!$8:$8=$B59), 0)), 0) + 1, MATCH(1, (Data_Input!$7:$7=$F$3)*(Data_Input!$8:$8=$B59), 0)),"")</f>
        <v/>
      </c>
      <c r="H59" s="20" t="str" cm="1">
        <f t="array" ref="H59">IFERROR(INDEX(Data_Input!$A$1:$ZZ$502, MATCH("매입금액", INDEX(Data_Input!$A$1:$ZZ$502, 0, MATCH(1, (Data_Input!$7:$7=$F$3)*(Data_Input!$8:$8=$B59), 0)), 0) + 1, MATCH(1, (Data_Input!$7:$7=$F$3)*(Data_Input!$8:$8=$B59), 0)),"")</f>
        <v/>
      </c>
      <c r="I59" s="20" t="str" cm="1">
        <f t="array" ref="I59">IFERROR(INDEX(Data_Input!$A$1:$ZZ$502, MATCH("평가금액", INDEX(Data_Input!$A$1:$ZZ$502, 0, MATCH(1, (Data_Input!$7:$7=$F$3)*(Data_Input!$8:$8=$B59), 0)), 0) + 1, MATCH(1, (Data_Input!$7:$7=$F$3)*(Data_Input!$8:$8=$B59), 0)),"")</f>
        <v/>
      </c>
      <c r="J59" s="20" t="str" cm="1">
        <f t="array" ref="J59">IFERROR(INDEX(Data_Input!$A$1:$ZZ$502, MATCH("평가손익", INDEX(Data_Input!$A$1:$ZZ$502, 0, MATCH(1, (Data_Input!$7:$7=$F$3)*(Data_Input!$8:$8=$B59), 0)), 0) + 1, MATCH(1, (Data_Input!$7:$7=$F$3)*(Data_Input!$8:$8=$B59), 0)),"")</f>
        <v/>
      </c>
      <c r="K59" s="14" t="str" cm="1">
        <f t="array" ref="K59">IFERROR(INDEX(Data_Input!$A$1:$ZZ$502, MATCH("총수익률", INDEX(Data_Input!$A$1:$ZZ$502, 0, MATCH(1, (Data_Input!$7:$7=$F$3)*(Data_Input!$8:$8=$B59), 0)), 0) + 1, MATCH(1, (Data_Input!$7:$7=$F$3)*(Data_Input!$8:$8=$B59), 0)),"")</f>
        <v/>
      </c>
      <c r="L59" t="str" cm="1">
        <f t="array" ref="L59">IFERROR(_xlfn.LET(
    _xlpm.targetDate, B59,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60" spans="1:12" x14ac:dyDescent="0.3">
      <c r="A60" s="16" t="str">
        <f t="shared" si="0"/>
        <v/>
      </c>
      <c r="B60" s="19"/>
      <c r="C60" s="17" t="str">
        <f t="shared" si="1"/>
        <v/>
      </c>
      <c r="D60" s="29" t="str" cm="1">
        <f t="array" ref="D60">IFERROR(INDEX(Data_Input!$10:$10,MATCH(1,(Data_Input!$7:$7=$F$3)*(Data_Input!$8:$8=$B60),0)),"")</f>
        <v/>
      </c>
      <c r="E60" s="29" t="str" cm="1">
        <f t="array" ref="E60">IFERROR(INDEX(Data_Input!$1:$100, 9, MATCH(1, (Data_Input!$7:$7=$F$3) * (Data_Input!$8:$8=$B60), 0)),"")</f>
        <v/>
      </c>
      <c r="F60" s="20" t="str" cm="1">
        <f t="array" ref="F60">IFERROR(INDEX(Data_Input!$A$1:$ZZ$502, MATCH("예수금", INDEX(Data_Input!$A$1:$ZZ$502, 0, MATCH(1, (Data_Input!$7:$7=$F$3)*(Data_Input!$8:$8=$B60), 0)), 0) + 1, MATCH(1, (Data_Input!$7:$7=$F$3)*(Data_Input!$8:$8=$B60), 0)),"")</f>
        <v/>
      </c>
      <c r="G60" s="20" t="str" cm="1">
        <f t="array" ref="G60">IFERROR(INDEX(Data_Input!$A$1:$ZZ$502, MATCH("총자산", INDEX(Data_Input!$A$1:$ZZ$502, 0, MATCH(1, (Data_Input!$7:$7=$F$3)*(Data_Input!$8:$8=$B60), 0)), 0) + 1, MATCH(1, (Data_Input!$7:$7=$F$3)*(Data_Input!$8:$8=$B60), 0)),"")</f>
        <v/>
      </c>
      <c r="H60" s="20" t="str" cm="1">
        <f t="array" ref="H60">IFERROR(INDEX(Data_Input!$A$1:$ZZ$502, MATCH("매입금액", INDEX(Data_Input!$A$1:$ZZ$502, 0, MATCH(1, (Data_Input!$7:$7=$F$3)*(Data_Input!$8:$8=$B60), 0)), 0) + 1, MATCH(1, (Data_Input!$7:$7=$F$3)*(Data_Input!$8:$8=$B60), 0)),"")</f>
        <v/>
      </c>
      <c r="I60" s="20" t="str" cm="1">
        <f t="array" ref="I60">IFERROR(INDEX(Data_Input!$A$1:$ZZ$502, MATCH("평가금액", INDEX(Data_Input!$A$1:$ZZ$502, 0, MATCH(1, (Data_Input!$7:$7=$F$3)*(Data_Input!$8:$8=$B60), 0)), 0) + 1, MATCH(1, (Data_Input!$7:$7=$F$3)*(Data_Input!$8:$8=$B60), 0)),"")</f>
        <v/>
      </c>
      <c r="J60" s="20" t="str" cm="1">
        <f t="array" ref="J60">IFERROR(INDEX(Data_Input!$A$1:$ZZ$502, MATCH("평가손익", INDEX(Data_Input!$A$1:$ZZ$502, 0, MATCH(1, (Data_Input!$7:$7=$F$3)*(Data_Input!$8:$8=$B60), 0)), 0) + 1, MATCH(1, (Data_Input!$7:$7=$F$3)*(Data_Input!$8:$8=$B60), 0)),"")</f>
        <v/>
      </c>
      <c r="K60" s="14" t="str" cm="1">
        <f t="array" ref="K60">IFERROR(INDEX(Data_Input!$A$1:$ZZ$502, MATCH("총수익률", INDEX(Data_Input!$A$1:$ZZ$502, 0, MATCH(1, (Data_Input!$7:$7=$F$3)*(Data_Input!$8:$8=$B60), 0)), 0) + 1, MATCH(1, (Data_Input!$7:$7=$F$3)*(Data_Input!$8:$8=$B60), 0)),"")</f>
        <v/>
      </c>
      <c r="L60" t="str" cm="1">
        <f t="array" ref="L60">IFERROR(_xlfn.LET(
    _xlpm.targetDate, B60,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61" spans="1:12" x14ac:dyDescent="0.3">
      <c r="A61" s="16" t="str">
        <f t="shared" si="0"/>
        <v/>
      </c>
      <c r="B61" s="19"/>
      <c r="C61" s="17" t="str">
        <f t="shared" si="1"/>
        <v/>
      </c>
      <c r="D61" s="29" t="str" cm="1">
        <f t="array" ref="D61">IFERROR(INDEX(Data_Input!$10:$10,MATCH(1,(Data_Input!$7:$7=$F$3)*(Data_Input!$8:$8=$B61),0)),"")</f>
        <v/>
      </c>
      <c r="E61" s="29" t="str" cm="1">
        <f t="array" ref="E61">IFERROR(INDEX(Data_Input!$1:$100, 9, MATCH(1, (Data_Input!$7:$7=$F$3) * (Data_Input!$8:$8=$B61), 0)),"")</f>
        <v/>
      </c>
      <c r="F61" s="20" t="str" cm="1">
        <f t="array" ref="F61">IFERROR(INDEX(Data_Input!$A$1:$ZZ$502, MATCH("예수금", INDEX(Data_Input!$A$1:$ZZ$502, 0, MATCH(1, (Data_Input!$7:$7=$F$3)*(Data_Input!$8:$8=$B61), 0)), 0) + 1, MATCH(1, (Data_Input!$7:$7=$F$3)*(Data_Input!$8:$8=$B61), 0)),"")</f>
        <v/>
      </c>
      <c r="G61" s="20" t="str" cm="1">
        <f t="array" ref="G61">IFERROR(INDEX(Data_Input!$A$1:$ZZ$502, MATCH("총자산", INDEX(Data_Input!$A$1:$ZZ$502, 0, MATCH(1, (Data_Input!$7:$7=$F$3)*(Data_Input!$8:$8=$B61), 0)), 0) + 1, MATCH(1, (Data_Input!$7:$7=$F$3)*(Data_Input!$8:$8=$B61), 0)),"")</f>
        <v/>
      </c>
      <c r="H61" s="20" t="str" cm="1">
        <f t="array" ref="H61">IFERROR(INDEX(Data_Input!$A$1:$ZZ$502, MATCH("매입금액", INDEX(Data_Input!$A$1:$ZZ$502, 0, MATCH(1, (Data_Input!$7:$7=$F$3)*(Data_Input!$8:$8=$B61), 0)), 0) + 1, MATCH(1, (Data_Input!$7:$7=$F$3)*(Data_Input!$8:$8=$B61), 0)),"")</f>
        <v/>
      </c>
      <c r="I61" s="20" t="str" cm="1">
        <f t="array" ref="I61">IFERROR(INDEX(Data_Input!$A$1:$ZZ$502, MATCH("평가금액", INDEX(Data_Input!$A$1:$ZZ$502, 0, MATCH(1, (Data_Input!$7:$7=$F$3)*(Data_Input!$8:$8=$B61), 0)), 0) + 1, MATCH(1, (Data_Input!$7:$7=$F$3)*(Data_Input!$8:$8=$B61), 0)),"")</f>
        <v/>
      </c>
      <c r="J61" s="20" t="str" cm="1">
        <f t="array" ref="J61">IFERROR(INDEX(Data_Input!$A$1:$ZZ$502, MATCH("평가손익", INDEX(Data_Input!$A$1:$ZZ$502, 0, MATCH(1, (Data_Input!$7:$7=$F$3)*(Data_Input!$8:$8=$B61), 0)), 0) + 1, MATCH(1, (Data_Input!$7:$7=$F$3)*(Data_Input!$8:$8=$B61), 0)),"")</f>
        <v/>
      </c>
      <c r="K61" s="14" t="str" cm="1">
        <f t="array" ref="K61">IFERROR(INDEX(Data_Input!$A$1:$ZZ$502, MATCH("총수익률", INDEX(Data_Input!$A$1:$ZZ$502, 0, MATCH(1, (Data_Input!$7:$7=$F$3)*(Data_Input!$8:$8=$B61), 0)), 0) + 1, MATCH(1, (Data_Input!$7:$7=$F$3)*(Data_Input!$8:$8=$B61), 0)),"")</f>
        <v/>
      </c>
      <c r="L61" t="str" cm="1">
        <f t="array" ref="L61">IFERROR(_xlfn.LET(
    _xlpm.targetDate, B61,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62" spans="1:12" x14ac:dyDescent="0.3">
      <c r="A62" s="16" t="str">
        <f t="shared" si="0"/>
        <v/>
      </c>
      <c r="B62" s="19"/>
      <c r="C62" s="17" t="str">
        <f t="shared" si="1"/>
        <v/>
      </c>
      <c r="D62" s="29" t="str" cm="1">
        <f t="array" ref="D62">IFERROR(INDEX(Data_Input!$10:$10,MATCH(1,(Data_Input!$7:$7=$F$3)*(Data_Input!$8:$8=$B62),0)),"")</f>
        <v/>
      </c>
      <c r="E62" s="29" t="str" cm="1">
        <f t="array" ref="E62">IFERROR(INDEX(Data_Input!$1:$100, 9, MATCH(1, (Data_Input!$7:$7=$F$3) * (Data_Input!$8:$8=$B62), 0)),"")</f>
        <v/>
      </c>
      <c r="F62" s="20" t="str" cm="1">
        <f t="array" ref="F62">IFERROR(INDEX(Data_Input!$A$1:$ZZ$502, MATCH("예수금", INDEX(Data_Input!$A$1:$ZZ$502, 0, MATCH(1, (Data_Input!$7:$7=$F$3)*(Data_Input!$8:$8=$B62), 0)), 0) + 1, MATCH(1, (Data_Input!$7:$7=$F$3)*(Data_Input!$8:$8=$B62), 0)),"")</f>
        <v/>
      </c>
      <c r="G62" s="20" t="str" cm="1">
        <f t="array" ref="G62">IFERROR(INDEX(Data_Input!$A$1:$ZZ$502, MATCH("총자산", INDEX(Data_Input!$A$1:$ZZ$502, 0, MATCH(1, (Data_Input!$7:$7=$F$3)*(Data_Input!$8:$8=$B62), 0)), 0) + 1, MATCH(1, (Data_Input!$7:$7=$F$3)*(Data_Input!$8:$8=$B62), 0)),"")</f>
        <v/>
      </c>
      <c r="H62" s="20" t="str" cm="1">
        <f t="array" ref="H62">IFERROR(INDEX(Data_Input!$A$1:$ZZ$502, MATCH("매입금액", INDEX(Data_Input!$A$1:$ZZ$502, 0, MATCH(1, (Data_Input!$7:$7=$F$3)*(Data_Input!$8:$8=$B62), 0)), 0) + 1, MATCH(1, (Data_Input!$7:$7=$F$3)*(Data_Input!$8:$8=$B62), 0)),"")</f>
        <v/>
      </c>
      <c r="I62" s="20" t="str" cm="1">
        <f t="array" ref="I62">IFERROR(INDEX(Data_Input!$A$1:$ZZ$502, MATCH("평가금액", INDEX(Data_Input!$A$1:$ZZ$502, 0, MATCH(1, (Data_Input!$7:$7=$F$3)*(Data_Input!$8:$8=$B62), 0)), 0) + 1, MATCH(1, (Data_Input!$7:$7=$F$3)*(Data_Input!$8:$8=$B62), 0)),"")</f>
        <v/>
      </c>
      <c r="J62" s="20" t="str" cm="1">
        <f t="array" ref="J62">IFERROR(INDEX(Data_Input!$A$1:$ZZ$502, MATCH("평가손익", INDEX(Data_Input!$A$1:$ZZ$502, 0, MATCH(1, (Data_Input!$7:$7=$F$3)*(Data_Input!$8:$8=$B62), 0)), 0) + 1, MATCH(1, (Data_Input!$7:$7=$F$3)*(Data_Input!$8:$8=$B62), 0)),"")</f>
        <v/>
      </c>
      <c r="K62" s="14" t="str" cm="1">
        <f t="array" ref="K62">IFERROR(INDEX(Data_Input!$A$1:$ZZ$502, MATCH("총수익률", INDEX(Data_Input!$A$1:$ZZ$502, 0, MATCH(1, (Data_Input!$7:$7=$F$3)*(Data_Input!$8:$8=$B62), 0)), 0) + 1, MATCH(1, (Data_Input!$7:$7=$F$3)*(Data_Input!$8:$8=$B62), 0)),"")</f>
        <v/>
      </c>
      <c r="L62" t="str" cm="1">
        <f t="array" ref="L62">IFERROR(_xlfn.LET(
    _xlpm.targetDate, B62,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63" spans="1:12" x14ac:dyDescent="0.3">
      <c r="A63" s="16" t="str">
        <f t="shared" si="0"/>
        <v/>
      </c>
      <c r="B63" s="19"/>
      <c r="C63" s="17" t="str">
        <f t="shared" si="1"/>
        <v/>
      </c>
      <c r="D63" s="29" t="str" cm="1">
        <f t="array" ref="D63">IFERROR(INDEX(Data_Input!$10:$10,MATCH(1,(Data_Input!$7:$7=$F$3)*(Data_Input!$8:$8=$B63),0)),"")</f>
        <v/>
      </c>
      <c r="E63" s="29" t="str" cm="1">
        <f t="array" ref="E63">IFERROR(INDEX(Data_Input!$1:$100, 9, MATCH(1, (Data_Input!$7:$7=$F$3) * (Data_Input!$8:$8=$B63), 0)),"")</f>
        <v/>
      </c>
      <c r="F63" s="20" t="str" cm="1">
        <f t="array" ref="F63">IFERROR(INDEX(Data_Input!$A$1:$ZZ$502, MATCH("예수금", INDEX(Data_Input!$A$1:$ZZ$502, 0, MATCH(1, (Data_Input!$7:$7=$F$3)*(Data_Input!$8:$8=$B63), 0)), 0) + 1, MATCH(1, (Data_Input!$7:$7=$F$3)*(Data_Input!$8:$8=$B63), 0)),"")</f>
        <v/>
      </c>
      <c r="G63" s="20" t="str" cm="1">
        <f t="array" ref="G63">IFERROR(INDEX(Data_Input!$A$1:$ZZ$502, MATCH("총자산", INDEX(Data_Input!$A$1:$ZZ$502, 0, MATCH(1, (Data_Input!$7:$7=$F$3)*(Data_Input!$8:$8=$B63), 0)), 0) + 1, MATCH(1, (Data_Input!$7:$7=$F$3)*(Data_Input!$8:$8=$B63), 0)),"")</f>
        <v/>
      </c>
      <c r="H63" s="20" t="str" cm="1">
        <f t="array" ref="H63">IFERROR(INDEX(Data_Input!$A$1:$ZZ$502, MATCH("매입금액", INDEX(Data_Input!$A$1:$ZZ$502, 0, MATCH(1, (Data_Input!$7:$7=$F$3)*(Data_Input!$8:$8=$B63), 0)), 0) + 1, MATCH(1, (Data_Input!$7:$7=$F$3)*(Data_Input!$8:$8=$B63), 0)),"")</f>
        <v/>
      </c>
      <c r="I63" s="20" t="str" cm="1">
        <f t="array" ref="I63">IFERROR(INDEX(Data_Input!$A$1:$ZZ$502, MATCH("평가금액", INDEX(Data_Input!$A$1:$ZZ$502, 0, MATCH(1, (Data_Input!$7:$7=$F$3)*(Data_Input!$8:$8=$B63), 0)), 0) + 1, MATCH(1, (Data_Input!$7:$7=$F$3)*(Data_Input!$8:$8=$B63), 0)),"")</f>
        <v/>
      </c>
      <c r="J63" s="20" t="str" cm="1">
        <f t="array" ref="J63">IFERROR(INDEX(Data_Input!$A$1:$ZZ$502, MATCH("평가손익", INDEX(Data_Input!$A$1:$ZZ$502, 0, MATCH(1, (Data_Input!$7:$7=$F$3)*(Data_Input!$8:$8=$B63), 0)), 0) + 1, MATCH(1, (Data_Input!$7:$7=$F$3)*(Data_Input!$8:$8=$B63), 0)),"")</f>
        <v/>
      </c>
      <c r="K63" s="14" t="str" cm="1">
        <f t="array" ref="K63">IFERROR(INDEX(Data_Input!$A$1:$ZZ$502, MATCH("총수익률", INDEX(Data_Input!$A$1:$ZZ$502, 0, MATCH(1, (Data_Input!$7:$7=$F$3)*(Data_Input!$8:$8=$B63), 0)), 0) + 1, MATCH(1, (Data_Input!$7:$7=$F$3)*(Data_Input!$8:$8=$B63), 0)),"")</f>
        <v/>
      </c>
      <c r="L63" t="str" cm="1">
        <f t="array" ref="L63">IFERROR(_xlfn.LET(
    _xlpm.targetDate, B63,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64" spans="1:12" x14ac:dyDescent="0.3">
      <c r="A64" s="16" t="str">
        <f t="shared" si="0"/>
        <v/>
      </c>
      <c r="B64" s="19"/>
      <c r="C64" s="17" t="str">
        <f t="shared" si="1"/>
        <v/>
      </c>
      <c r="D64" s="29" t="str" cm="1">
        <f t="array" ref="D64">IFERROR(INDEX(Data_Input!$10:$10,MATCH(1,(Data_Input!$7:$7=$F$3)*(Data_Input!$8:$8=$B64),0)),"")</f>
        <v/>
      </c>
      <c r="E64" s="29" t="str" cm="1">
        <f t="array" ref="E64">IFERROR(INDEX(Data_Input!$1:$100, 9, MATCH(1, (Data_Input!$7:$7=$F$3) * (Data_Input!$8:$8=$B64), 0)),"")</f>
        <v/>
      </c>
      <c r="F64" s="20" t="str" cm="1">
        <f t="array" ref="F64">IFERROR(INDEX(Data_Input!$A$1:$ZZ$502, MATCH("예수금", INDEX(Data_Input!$A$1:$ZZ$502, 0, MATCH(1, (Data_Input!$7:$7=$F$3)*(Data_Input!$8:$8=$B64), 0)), 0) + 1, MATCH(1, (Data_Input!$7:$7=$F$3)*(Data_Input!$8:$8=$B64), 0)),"")</f>
        <v/>
      </c>
      <c r="G64" s="20" t="str" cm="1">
        <f t="array" ref="G64">IFERROR(INDEX(Data_Input!$A$1:$ZZ$502, MATCH("총자산", INDEX(Data_Input!$A$1:$ZZ$502, 0, MATCH(1, (Data_Input!$7:$7=$F$3)*(Data_Input!$8:$8=$B64), 0)), 0) + 1, MATCH(1, (Data_Input!$7:$7=$F$3)*(Data_Input!$8:$8=$B64), 0)),"")</f>
        <v/>
      </c>
      <c r="H64" s="20" t="str" cm="1">
        <f t="array" ref="H64">IFERROR(INDEX(Data_Input!$A$1:$ZZ$502, MATCH("매입금액", INDEX(Data_Input!$A$1:$ZZ$502, 0, MATCH(1, (Data_Input!$7:$7=$F$3)*(Data_Input!$8:$8=$B64), 0)), 0) + 1, MATCH(1, (Data_Input!$7:$7=$F$3)*(Data_Input!$8:$8=$B64), 0)),"")</f>
        <v/>
      </c>
      <c r="I64" s="20" t="str" cm="1">
        <f t="array" ref="I64">IFERROR(INDEX(Data_Input!$A$1:$ZZ$502, MATCH("평가금액", INDEX(Data_Input!$A$1:$ZZ$502, 0, MATCH(1, (Data_Input!$7:$7=$F$3)*(Data_Input!$8:$8=$B64), 0)), 0) + 1, MATCH(1, (Data_Input!$7:$7=$F$3)*(Data_Input!$8:$8=$B64), 0)),"")</f>
        <v/>
      </c>
      <c r="J64" s="20" t="str" cm="1">
        <f t="array" ref="J64">IFERROR(INDEX(Data_Input!$A$1:$ZZ$502, MATCH("평가손익", INDEX(Data_Input!$A$1:$ZZ$502, 0, MATCH(1, (Data_Input!$7:$7=$F$3)*(Data_Input!$8:$8=$B64), 0)), 0) + 1, MATCH(1, (Data_Input!$7:$7=$F$3)*(Data_Input!$8:$8=$B64), 0)),"")</f>
        <v/>
      </c>
      <c r="K64" s="14" t="str" cm="1">
        <f t="array" ref="K64">IFERROR(INDEX(Data_Input!$A$1:$ZZ$502, MATCH("총수익률", INDEX(Data_Input!$A$1:$ZZ$502, 0, MATCH(1, (Data_Input!$7:$7=$F$3)*(Data_Input!$8:$8=$B64), 0)), 0) + 1, MATCH(1, (Data_Input!$7:$7=$F$3)*(Data_Input!$8:$8=$B64), 0)),"")</f>
        <v/>
      </c>
      <c r="L64" t="str" cm="1">
        <f t="array" ref="L64">IFERROR(_xlfn.LET(
    _xlpm.targetDate, B64,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65" spans="1:12" x14ac:dyDescent="0.3">
      <c r="A65" s="16" t="str">
        <f t="shared" si="0"/>
        <v/>
      </c>
      <c r="B65" s="19"/>
      <c r="C65" s="17" t="str">
        <f t="shared" si="1"/>
        <v/>
      </c>
      <c r="D65" s="29" t="str" cm="1">
        <f t="array" ref="D65">IFERROR(INDEX(Data_Input!$10:$10,MATCH(1,(Data_Input!$7:$7=$F$3)*(Data_Input!$8:$8=$B65),0)),"")</f>
        <v/>
      </c>
      <c r="E65" s="29" t="str" cm="1">
        <f t="array" ref="E65">IFERROR(INDEX(Data_Input!$1:$100, 9, MATCH(1, (Data_Input!$7:$7=$F$3) * (Data_Input!$8:$8=$B65), 0)),"")</f>
        <v/>
      </c>
      <c r="F65" s="20" t="str" cm="1">
        <f t="array" ref="F65">IFERROR(INDEX(Data_Input!$A$1:$ZZ$502, MATCH("예수금", INDEX(Data_Input!$A$1:$ZZ$502, 0, MATCH(1, (Data_Input!$7:$7=$F$3)*(Data_Input!$8:$8=$B65), 0)), 0) + 1, MATCH(1, (Data_Input!$7:$7=$F$3)*(Data_Input!$8:$8=$B65), 0)),"")</f>
        <v/>
      </c>
      <c r="G65" s="20" t="str" cm="1">
        <f t="array" ref="G65">IFERROR(INDEX(Data_Input!$A$1:$ZZ$502, MATCH("총자산", INDEX(Data_Input!$A$1:$ZZ$502, 0, MATCH(1, (Data_Input!$7:$7=$F$3)*(Data_Input!$8:$8=$B65), 0)), 0) + 1, MATCH(1, (Data_Input!$7:$7=$F$3)*(Data_Input!$8:$8=$B65), 0)),"")</f>
        <v/>
      </c>
      <c r="H65" s="20" t="str" cm="1">
        <f t="array" ref="H65">IFERROR(INDEX(Data_Input!$A$1:$ZZ$502, MATCH("매입금액", INDEX(Data_Input!$A$1:$ZZ$502, 0, MATCH(1, (Data_Input!$7:$7=$F$3)*(Data_Input!$8:$8=$B65), 0)), 0) + 1, MATCH(1, (Data_Input!$7:$7=$F$3)*(Data_Input!$8:$8=$B65), 0)),"")</f>
        <v/>
      </c>
      <c r="I65" s="20" t="str" cm="1">
        <f t="array" ref="I65">IFERROR(INDEX(Data_Input!$A$1:$ZZ$502, MATCH("평가금액", INDEX(Data_Input!$A$1:$ZZ$502, 0, MATCH(1, (Data_Input!$7:$7=$F$3)*(Data_Input!$8:$8=$B65), 0)), 0) + 1, MATCH(1, (Data_Input!$7:$7=$F$3)*(Data_Input!$8:$8=$B65), 0)),"")</f>
        <v/>
      </c>
      <c r="J65" s="20" t="str" cm="1">
        <f t="array" ref="J65">IFERROR(INDEX(Data_Input!$A$1:$ZZ$502, MATCH("평가손익", INDEX(Data_Input!$A$1:$ZZ$502, 0, MATCH(1, (Data_Input!$7:$7=$F$3)*(Data_Input!$8:$8=$B65), 0)), 0) + 1, MATCH(1, (Data_Input!$7:$7=$F$3)*(Data_Input!$8:$8=$B65), 0)),"")</f>
        <v/>
      </c>
      <c r="K65" s="14" t="str" cm="1">
        <f t="array" ref="K65">IFERROR(INDEX(Data_Input!$A$1:$ZZ$502, MATCH("총수익률", INDEX(Data_Input!$A$1:$ZZ$502, 0, MATCH(1, (Data_Input!$7:$7=$F$3)*(Data_Input!$8:$8=$B65), 0)), 0) + 1, MATCH(1, (Data_Input!$7:$7=$F$3)*(Data_Input!$8:$8=$B65), 0)),"")</f>
        <v/>
      </c>
      <c r="L65" t="str" cm="1">
        <f t="array" ref="L65">IFERROR(_xlfn.LET(
    _xlpm.targetDate, B65,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66" spans="1:12" x14ac:dyDescent="0.3">
      <c r="A66" s="16" t="str">
        <f t="shared" si="0"/>
        <v/>
      </c>
      <c r="B66" s="19"/>
      <c r="C66" s="17" t="str">
        <f t="shared" si="1"/>
        <v/>
      </c>
      <c r="D66" s="29" t="str" cm="1">
        <f t="array" ref="D66">IFERROR(INDEX(Data_Input!$10:$10,MATCH(1,(Data_Input!$7:$7=$F$3)*(Data_Input!$8:$8=$B66),0)),"")</f>
        <v/>
      </c>
      <c r="E66" s="29" t="str" cm="1">
        <f t="array" ref="E66">IFERROR(INDEX(Data_Input!$1:$100, 9, MATCH(1, (Data_Input!$7:$7=$F$3) * (Data_Input!$8:$8=$B66), 0)),"")</f>
        <v/>
      </c>
      <c r="F66" s="20" t="str" cm="1">
        <f t="array" ref="F66">IFERROR(INDEX(Data_Input!$A$1:$ZZ$502, MATCH("예수금", INDEX(Data_Input!$A$1:$ZZ$502, 0, MATCH(1, (Data_Input!$7:$7=$F$3)*(Data_Input!$8:$8=$B66), 0)), 0) + 1, MATCH(1, (Data_Input!$7:$7=$F$3)*(Data_Input!$8:$8=$B66), 0)),"")</f>
        <v/>
      </c>
      <c r="G66" s="20" t="str" cm="1">
        <f t="array" ref="G66">IFERROR(INDEX(Data_Input!$A$1:$ZZ$502, MATCH("총자산", INDEX(Data_Input!$A$1:$ZZ$502, 0, MATCH(1, (Data_Input!$7:$7=$F$3)*(Data_Input!$8:$8=$B66), 0)), 0) + 1, MATCH(1, (Data_Input!$7:$7=$F$3)*(Data_Input!$8:$8=$B66), 0)),"")</f>
        <v/>
      </c>
      <c r="H66" s="20" t="str" cm="1">
        <f t="array" ref="H66">IFERROR(INDEX(Data_Input!$A$1:$ZZ$502, MATCH("매입금액", INDEX(Data_Input!$A$1:$ZZ$502, 0, MATCH(1, (Data_Input!$7:$7=$F$3)*(Data_Input!$8:$8=$B66), 0)), 0) + 1, MATCH(1, (Data_Input!$7:$7=$F$3)*(Data_Input!$8:$8=$B66), 0)),"")</f>
        <v/>
      </c>
      <c r="I66" s="20" t="str" cm="1">
        <f t="array" ref="I66">IFERROR(INDEX(Data_Input!$A$1:$ZZ$502, MATCH("평가금액", INDEX(Data_Input!$A$1:$ZZ$502, 0, MATCH(1, (Data_Input!$7:$7=$F$3)*(Data_Input!$8:$8=$B66), 0)), 0) + 1, MATCH(1, (Data_Input!$7:$7=$F$3)*(Data_Input!$8:$8=$B66), 0)),"")</f>
        <v/>
      </c>
      <c r="J66" s="20" t="str" cm="1">
        <f t="array" ref="J66">IFERROR(INDEX(Data_Input!$A$1:$ZZ$502, MATCH("평가손익", INDEX(Data_Input!$A$1:$ZZ$502, 0, MATCH(1, (Data_Input!$7:$7=$F$3)*(Data_Input!$8:$8=$B66), 0)), 0) + 1, MATCH(1, (Data_Input!$7:$7=$F$3)*(Data_Input!$8:$8=$B66), 0)),"")</f>
        <v/>
      </c>
      <c r="K66" s="14" t="str" cm="1">
        <f t="array" ref="K66">IFERROR(INDEX(Data_Input!$A$1:$ZZ$502, MATCH("총수익률", INDEX(Data_Input!$A$1:$ZZ$502, 0, MATCH(1, (Data_Input!$7:$7=$F$3)*(Data_Input!$8:$8=$B66), 0)), 0) + 1, MATCH(1, (Data_Input!$7:$7=$F$3)*(Data_Input!$8:$8=$B66), 0)),"")</f>
        <v/>
      </c>
      <c r="L66" t="str" cm="1">
        <f t="array" ref="L66">IFERROR(_xlfn.LET(
    _xlpm.targetDate, B66,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67" spans="1:12" x14ac:dyDescent="0.3">
      <c r="A67" s="16" t="str">
        <f t="shared" si="0"/>
        <v/>
      </c>
      <c r="B67" s="19"/>
      <c r="C67" s="17" t="str">
        <f t="shared" si="1"/>
        <v/>
      </c>
      <c r="D67" s="29" t="str" cm="1">
        <f t="array" ref="D67">IFERROR(INDEX(Data_Input!$10:$10,MATCH(1,(Data_Input!$7:$7=$F$3)*(Data_Input!$8:$8=$B67),0)),"")</f>
        <v/>
      </c>
      <c r="E67" s="29" t="str" cm="1">
        <f t="array" ref="E67">IFERROR(INDEX(Data_Input!$1:$100, 9, MATCH(1, (Data_Input!$7:$7=$F$3) * (Data_Input!$8:$8=$B67), 0)),"")</f>
        <v/>
      </c>
      <c r="F67" s="20" t="str" cm="1">
        <f t="array" ref="F67">IFERROR(INDEX(Data_Input!$A$1:$ZZ$502, MATCH("예수금", INDEX(Data_Input!$A$1:$ZZ$502, 0, MATCH(1, (Data_Input!$7:$7=$F$3)*(Data_Input!$8:$8=$B67), 0)), 0) + 1, MATCH(1, (Data_Input!$7:$7=$F$3)*(Data_Input!$8:$8=$B67), 0)),"")</f>
        <v/>
      </c>
      <c r="G67" s="20" t="str" cm="1">
        <f t="array" ref="G67">IFERROR(INDEX(Data_Input!$A$1:$ZZ$502, MATCH("총자산", INDEX(Data_Input!$A$1:$ZZ$502, 0, MATCH(1, (Data_Input!$7:$7=$F$3)*(Data_Input!$8:$8=$B67), 0)), 0) + 1, MATCH(1, (Data_Input!$7:$7=$F$3)*(Data_Input!$8:$8=$B67), 0)),"")</f>
        <v/>
      </c>
      <c r="H67" s="20" t="str" cm="1">
        <f t="array" ref="H67">IFERROR(INDEX(Data_Input!$A$1:$ZZ$502, MATCH("매입금액", INDEX(Data_Input!$A$1:$ZZ$502, 0, MATCH(1, (Data_Input!$7:$7=$F$3)*(Data_Input!$8:$8=$B67), 0)), 0) + 1, MATCH(1, (Data_Input!$7:$7=$F$3)*(Data_Input!$8:$8=$B67), 0)),"")</f>
        <v/>
      </c>
      <c r="I67" s="20" t="str" cm="1">
        <f t="array" ref="I67">IFERROR(INDEX(Data_Input!$A$1:$ZZ$502, MATCH("평가금액", INDEX(Data_Input!$A$1:$ZZ$502, 0, MATCH(1, (Data_Input!$7:$7=$F$3)*(Data_Input!$8:$8=$B67), 0)), 0) + 1, MATCH(1, (Data_Input!$7:$7=$F$3)*(Data_Input!$8:$8=$B67), 0)),"")</f>
        <v/>
      </c>
      <c r="J67" s="20" t="str" cm="1">
        <f t="array" ref="J67">IFERROR(INDEX(Data_Input!$A$1:$ZZ$502, MATCH("평가손익", INDEX(Data_Input!$A$1:$ZZ$502, 0, MATCH(1, (Data_Input!$7:$7=$F$3)*(Data_Input!$8:$8=$B67), 0)), 0) + 1, MATCH(1, (Data_Input!$7:$7=$F$3)*(Data_Input!$8:$8=$B67), 0)),"")</f>
        <v/>
      </c>
      <c r="K67" s="14" t="str" cm="1">
        <f t="array" ref="K67">IFERROR(INDEX(Data_Input!$A$1:$ZZ$502, MATCH("총수익률", INDEX(Data_Input!$A$1:$ZZ$502, 0, MATCH(1, (Data_Input!$7:$7=$F$3)*(Data_Input!$8:$8=$B67), 0)), 0) + 1, MATCH(1, (Data_Input!$7:$7=$F$3)*(Data_Input!$8:$8=$B67), 0)),"")</f>
        <v/>
      </c>
      <c r="L67" t="str" cm="1">
        <f t="array" ref="L67">IFERROR(_xlfn.LET(
    _xlpm.targetDate, B67,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68" spans="1:12" x14ac:dyDescent="0.3">
      <c r="A68" s="16" t="str">
        <f t="shared" si="0"/>
        <v/>
      </c>
      <c r="B68" s="19"/>
      <c r="C68" s="17" t="str">
        <f t="shared" si="1"/>
        <v/>
      </c>
      <c r="D68" s="29" t="str" cm="1">
        <f t="array" ref="D68">IFERROR(INDEX(Data_Input!$10:$10,MATCH(1,(Data_Input!$7:$7=$F$3)*(Data_Input!$8:$8=$B68),0)),"")</f>
        <v/>
      </c>
      <c r="E68" s="29" t="str" cm="1">
        <f t="array" ref="E68">IFERROR(INDEX(Data_Input!$1:$100, 9, MATCH(1, (Data_Input!$7:$7=$F$3) * (Data_Input!$8:$8=$B68), 0)),"")</f>
        <v/>
      </c>
      <c r="F68" s="20" t="str" cm="1">
        <f t="array" ref="F68">IFERROR(INDEX(Data_Input!$A$1:$ZZ$502, MATCH("예수금", INDEX(Data_Input!$A$1:$ZZ$502, 0, MATCH(1, (Data_Input!$7:$7=$F$3)*(Data_Input!$8:$8=$B68), 0)), 0) + 1, MATCH(1, (Data_Input!$7:$7=$F$3)*(Data_Input!$8:$8=$B68), 0)),"")</f>
        <v/>
      </c>
      <c r="G68" s="20" t="str" cm="1">
        <f t="array" ref="G68">IFERROR(INDEX(Data_Input!$A$1:$ZZ$502, MATCH("총자산", INDEX(Data_Input!$A$1:$ZZ$502, 0, MATCH(1, (Data_Input!$7:$7=$F$3)*(Data_Input!$8:$8=$B68), 0)), 0) + 1, MATCH(1, (Data_Input!$7:$7=$F$3)*(Data_Input!$8:$8=$B68), 0)),"")</f>
        <v/>
      </c>
      <c r="H68" s="20" t="str" cm="1">
        <f t="array" ref="H68">IFERROR(INDEX(Data_Input!$A$1:$ZZ$502, MATCH("매입금액", INDEX(Data_Input!$A$1:$ZZ$502, 0, MATCH(1, (Data_Input!$7:$7=$F$3)*(Data_Input!$8:$8=$B68), 0)), 0) + 1, MATCH(1, (Data_Input!$7:$7=$F$3)*(Data_Input!$8:$8=$B68), 0)),"")</f>
        <v/>
      </c>
      <c r="I68" s="20" t="str" cm="1">
        <f t="array" ref="I68">IFERROR(INDEX(Data_Input!$A$1:$ZZ$502, MATCH("평가금액", INDEX(Data_Input!$A$1:$ZZ$502, 0, MATCH(1, (Data_Input!$7:$7=$F$3)*(Data_Input!$8:$8=$B68), 0)), 0) + 1, MATCH(1, (Data_Input!$7:$7=$F$3)*(Data_Input!$8:$8=$B68), 0)),"")</f>
        <v/>
      </c>
      <c r="J68" s="20" t="str" cm="1">
        <f t="array" ref="J68">IFERROR(INDEX(Data_Input!$A$1:$ZZ$502, MATCH("평가손익", INDEX(Data_Input!$A$1:$ZZ$502, 0, MATCH(1, (Data_Input!$7:$7=$F$3)*(Data_Input!$8:$8=$B68), 0)), 0) + 1, MATCH(1, (Data_Input!$7:$7=$F$3)*(Data_Input!$8:$8=$B68), 0)),"")</f>
        <v/>
      </c>
      <c r="K68" s="14" t="str" cm="1">
        <f t="array" ref="K68">IFERROR(INDEX(Data_Input!$A$1:$ZZ$502, MATCH("총수익률", INDEX(Data_Input!$A$1:$ZZ$502, 0, MATCH(1, (Data_Input!$7:$7=$F$3)*(Data_Input!$8:$8=$B68), 0)), 0) + 1, MATCH(1, (Data_Input!$7:$7=$F$3)*(Data_Input!$8:$8=$B68), 0)),"")</f>
        <v/>
      </c>
      <c r="L68" t="str" cm="1">
        <f t="array" ref="L68">IFERROR(_xlfn.LET(
    _xlpm.targetDate, B68,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69" spans="1:12" x14ac:dyDescent="0.3">
      <c r="A69" s="16" t="str">
        <f t="shared" si="0"/>
        <v/>
      </c>
      <c r="B69" s="19"/>
      <c r="C69" s="17" t="str">
        <f t="shared" si="1"/>
        <v/>
      </c>
      <c r="D69" s="29" t="str" cm="1">
        <f t="array" ref="D69">IFERROR(INDEX(Data_Input!$10:$10,MATCH(1,(Data_Input!$7:$7=$F$3)*(Data_Input!$8:$8=$B69),0)),"")</f>
        <v/>
      </c>
      <c r="E69" s="29" t="str" cm="1">
        <f t="array" ref="E69">IFERROR(INDEX(Data_Input!$1:$100, 9, MATCH(1, (Data_Input!$7:$7=$F$3) * (Data_Input!$8:$8=$B69), 0)),"")</f>
        <v/>
      </c>
      <c r="F69" s="20" t="str" cm="1">
        <f t="array" ref="F69">IFERROR(INDEX(Data_Input!$A$1:$ZZ$502, MATCH("예수금", INDEX(Data_Input!$A$1:$ZZ$502, 0, MATCH(1, (Data_Input!$7:$7=$F$3)*(Data_Input!$8:$8=$B69), 0)), 0) + 1, MATCH(1, (Data_Input!$7:$7=$F$3)*(Data_Input!$8:$8=$B69), 0)),"")</f>
        <v/>
      </c>
      <c r="G69" s="20" t="str" cm="1">
        <f t="array" ref="G69">IFERROR(INDEX(Data_Input!$A$1:$ZZ$502, MATCH("총자산", INDEX(Data_Input!$A$1:$ZZ$502, 0, MATCH(1, (Data_Input!$7:$7=$F$3)*(Data_Input!$8:$8=$B69), 0)), 0) + 1, MATCH(1, (Data_Input!$7:$7=$F$3)*(Data_Input!$8:$8=$B69), 0)),"")</f>
        <v/>
      </c>
      <c r="H69" s="20" t="str" cm="1">
        <f t="array" ref="H69">IFERROR(INDEX(Data_Input!$A$1:$ZZ$502, MATCH("매입금액", INDEX(Data_Input!$A$1:$ZZ$502, 0, MATCH(1, (Data_Input!$7:$7=$F$3)*(Data_Input!$8:$8=$B69), 0)), 0) + 1, MATCH(1, (Data_Input!$7:$7=$F$3)*(Data_Input!$8:$8=$B69), 0)),"")</f>
        <v/>
      </c>
      <c r="I69" s="20" t="str" cm="1">
        <f t="array" ref="I69">IFERROR(INDEX(Data_Input!$A$1:$ZZ$502, MATCH("평가금액", INDEX(Data_Input!$A$1:$ZZ$502, 0, MATCH(1, (Data_Input!$7:$7=$F$3)*(Data_Input!$8:$8=$B69), 0)), 0) + 1, MATCH(1, (Data_Input!$7:$7=$F$3)*(Data_Input!$8:$8=$B69), 0)),"")</f>
        <v/>
      </c>
      <c r="J69" s="20" t="str" cm="1">
        <f t="array" ref="J69">IFERROR(INDEX(Data_Input!$A$1:$ZZ$502, MATCH("평가손익", INDEX(Data_Input!$A$1:$ZZ$502, 0, MATCH(1, (Data_Input!$7:$7=$F$3)*(Data_Input!$8:$8=$B69), 0)), 0) + 1, MATCH(1, (Data_Input!$7:$7=$F$3)*(Data_Input!$8:$8=$B69), 0)),"")</f>
        <v/>
      </c>
      <c r="K69" s="14" t="str" cm="1">
        <f t="array" ref="K69">IFERROR(INDEX(Data_Input!$A$1:$ZZ$502, MATCH("총수익률", INDEX(Data_Input!$A$1:$ZZ$502, 0, MATCH(1, (Data_Input!$7:$7=$F$3)*(Data_Input!$8:$8=$B69), 0)), 0) + 1, MATCH(1, (Data_Input!$7:$7=$F$3)*(Data_Input!$8:$8=$B69), 0)),"")</f>
        <v/>
      </c>
      <c r="L69" t="str" cm="1">
        <f t="array" ref="L69">IFERROR(_xlfn.LET(
    _xlpm.targetDate, B69,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70" spans="1:12" x14ac:dyDescent="0.3">
      <c r="A70" s="16" t="str">
        <f t="shared" si="0"/>
        <v/>
      </c>
      <c r="B70" s="19"/>
      <c r="C70" s="17" t="str">
        <f t="shared" si="1"/>
        <v/>
      </c>
      <c r="D70" s="29" t="str" cm="1">
        <f t="array" ref="D70">IFERROR(INDEX(Data_Input!$10:$10,MATCH(1,(Data_Input!$7:$7=$F$3)*(Data_Input!$8:$8=$B70),0)),"")</f>
        <v/>
      </c>
      <c r="E70" s="29" t="str" cm="1">
        <f t="array" ref="E70">IFERROR(INDEX(Data_Input!$1:$100, 9, MATCH(1, (Data_Input!$7:$7=$F$3) * (Data_Input!$8:$8=$B70), 0)),"")</f>
        <v/>
      </c>
      <c r="F70" s="20" t="str" cm="1">
        <f t="array" ref="F70">IFERROR(INDEX(Data_Input!$A$1:$ZZ$502, MATCH("예수금", INDEX(Data_Input!$A$1:$ZZ$502, 0, MATCH(1, (Data_Input!$7:$7=$F$3)*(Data_Input!$8:$8=$B70), 0)), 0) + 1, MATCH(1, (Data_Input!$7:$7=$F$3)*(Data_Input!$8:$8=$B70), 0)),"")</f>
        <v/>
      </c>
      <c r="G70" s="20" t="str" cm="1">
        <f t="array" ref="G70">IFERROR(INDEX(Data_Input!$A$1:$ZZ$502, MATCH("총자산", INDEX(Data_Input!$A$1:$ZZ$502, 0, MATCH(1, (Data_Input!$7:$7=$F$3)*(Data_Input!$8:$8=$B70), 0)), 0) + 1, MATCH(1, (Data_Input!$7:$7=$F$3)*(Data_Input!$8:$8=$B70), 0)),"")</f>
        <v/>
      </c>
      <c r="H70" s="20" t="str" cm="1">
        <f t="array" ref="H70">IFERROR(INDEX(Data_Input!$A$1:$ZZ$502, MATCH("매입금액", INDEX(Data_Input!$A$1:$ZZ$502, 0, MATCH(1, (Data_Input!$7:$7=$F$3)*(Data_Input!$8:$8=$B70), 0)), 0) + 1, MATCH(1, (Data_Input!$7:$7=$F$3)*(Data_Input!$8:$8=$B70), 0)),"")</f>
        <v/>
      </c>
      <c r="I70" s="20" t="str" cm="1">
        <f t="array" ref="I70">IFERROR(INDEX(Data_Input!$A$1:$ZZ$502, MATCH("평가금액", INDEX(Data_Input!$A$1:$ZZ$502, 0, MATCH(1, (Data_Input!$7:$7=$F$3)*(Data_Input!$8:$8=$B70), 0)), 0) + 1, MATCH(1, (Data_Input!$7:$7=$F$3)*(Data_Input!$8:$8=$B70), 0)),"")</f>
        <v/>
      </c>
      <c r="J70" s="20" t="str" cm="1">
        <f t="array" ref="J70">IFERROR(INDEX(Data_Input!$A$1:$ZZ$502, MATCH("평가손익", INDEX(Data_Input!$A$1:$ZZ$502, 0, MATCH(1, (Data_Input!$7:$7=$F$3)*(Data_Input!$8:$8=$B70), 0)), 0) + 1, MATCH(1, (Data_Input!$7:$7=$F$3)*(Data_Input!$8:$8=$B70), 0)),"")</f>
        <v/>
      </c>
      <c r="K70" s="14" t="str" cm="1">
        <f t="array" ref="K70">IFERROR(INDEX(Data_Input!$A$1:$ZZ$502, MATCH("총수익률", INDEX(Data_Input!$A$1:$ZZ$502, 0, MATCH(1, (Data_Input!$7:$7=$F$3)*(Data_Input!$8:$8=$B70), 0)), 0) + 1, MATCH(1, (Data_Input!$7:$7=$F$3)*(Data_Input!$8:$8=$B70), 0)),"")</f>
        <v/>
      </c>
      <c r="L70" t="str" cm="1">
        <f t="array" ref="L70">IFERROR(_xlfn.LET(
    _xlpm.targetDate, B70,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71" spans="1:12" x14ac:dyDescent="0.3">
      <c r="A71" s="16" t="str">
        <f t="shared" ref="A71:A134" si="2">IF(B71&gt;0,A70+1,"")</f>
        <v/>
      </c>
      <c r="B71" s="19"/>
      <c r="C71" s="17" t="str">
        <f t="shared" si="1"/>
        <v/>
      </c>
      <c r="D71" s="29" t="str" cm="1">
        <f t="array" ref="D71">IFERROR(INDEX(Data_Input!$10:$10,MATCH(1,(Data_Input!$7:$7=$F$3)*(Data_Input!$8:$8=$B71),0)),"")</f>
        <v/>
      </c>
      <c r="E71" s="29" t="str" cm="1">
        <f t="array" ref="E71">IFERROR(INDEX(Data_Input!$1:$100, 9, MATCH(1, (Data_Input!$7:$7=$F$3) * (Data_Input!$8:$8=$B71), 0)),"")</f>
        <v/>
      </c>
      <c r="F71" s="20" t="str" cm="1">
        <f t="array" ref="F71">IFERROR(INDEX(Data_Input!$A$1:$ZZ$502, MATCH("예수금", INDEX(Data_Input!$A$1:$ZZ$502, 0, MATCH(1, (Data_Input!$7:$7=$F$3)*(Data_Input!$8:$8=$B71), 0)), 0) + 1, MATCH(1, (Data_Input!$7:$7=$F$3)*(Data_Input!$8:$8=$B71), 0)),"")</f>
        <v/>
      </c>
      <c r="G71" s="20" t="str" cm="1">
        <f t="array" ref="G71">IFERROR(INDEX(Data_Input!$A$1:$ZZ$502, MATCH("총자산", INDEX(Data_Input!$A$1:$ZZ$502, 0, MATCH(1, (Data_Input!$7:$7=$F$3)*(Data_Input!$8:$8=$B71), 0)), 0) + 1, MATCH(1, (Data_Input!$7:$7=$F$3)*(Data_Input!$8:$8=$B71), 0)),"")</f>
        <v/>
      </c>
      <c r="H71" s="20" t="str" cm="1">
        <f t="array" ref="H71">IFERROR(INDEX(Data_Input!$A$1:$ZZ$502, MATCH("매입금액", INDEX(Data_Input!$A$1:$ZZ$502, 0, MATCH(1, (Data_Input!$7:$7=$F$3)*(Data_Input!$8:$8=$B71), 0)), 0) + 1, MATCH(1, (Data_Input!$7:$7=$F$3)*(Data_Input!$8:$8=$B71), 0)),"")</f>
        <v/>
      </c>
      <c r="I71" s="20" t="str" cm="1">
        <f t="array" ref="I71">IFERROR(INDEX(Data_Input!$A$1:$ZZ$502, MATCH("평가금액", INDEX(Data_Input!$A$1:$ZZ$502, 0, MATCH(1, (Data_Input!$7:$7=$F$3)*(Data_Input!$8:$8=$B71), 0)), 0) + 1, MATCH(1, (Data_Input!$7:$7=$F$3)*(Data_Input!$8:$8=$B71), 0)),"")</f>
        <v/>
      </c>
      <c r="J71" s="20" t="str" cm="1">
        <f t="array" ref="J71">IFERROR(INDEX(Data_Input!$A$1:$ZZ$502, MATCH("평가손익", INDEX(Data_Input!$A$1:$ZZ$502, 0, MATCH(1, (Data_Input!$7:$7=$F$3)*(Data_Input!$8:$8=$B71), 0)), 0) + 1, MATCH(1, (Data_Input!$7:$7=$F$3)*(Data_Input!$8:$8=$B71), 0)),"")</f>
        <v/>
      </c>
      <c r="K71" s="14" t="str" cm="1">
        <f t="array" ref="K71">IFERROR(INDEX(Data_Input!$A$1:$ZZ$502, MATCH("총수익률", INDEX(Data_Input!$A$1:$ZZ$502, 0, MATCH(1, (Data_Input!$7:$7=$F$3)*(Data_Input!$8:$8=$B71), 0)), 0) + 1, MATCH(1, (Data_Input!$7:$7=$F$3)*(Data_Input!$8:$8=$B71), 0)),"")</f>
        <v/>
      </c>
      <c r="L71" t="str" cm="1">
        <f t="array" ref="L71">IFERROR(_xlfn.LET(
    _xlpm.targetDate, B71,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72" spans="1:12" x14ac:dyDescent="0.3">
      <c r="A72" s="16" t="str">
        <f t="shared" si="2"/>
        <v/>
      </c>
      <c r="B72" s="19"/>
      <c r="C72" s="17" t="str">
        <f t="shared" ref="C72:C135" si="3">IF(B72&gt;0,C71,"")</f>
        <v/>
      </c>
      <c r="D72" s="29" t="str" cm="1">
        <f t="array" ref="D72">IFERROR(INDEX(Data_Input!$10:$10,MATCH(1,(Data_Input!$7:$7=$F$3)*(Data_Input!$8:$8=$B72),0)),"")</f>
        <v/>
      </c>
      <c r="E72" s="29" t="str" cm="1">
        <f t="array" ref="E72">IFERROR(INDEX(Data_Input!$1:$100, 9, MATCH(1, (Data_Input!$7:$7=$F$3) * (Data_Input!$8:$8=$B72), 0)),"")</f>
        <v/>
      </c>
      <c r="F72" s="20" t="str" cm="1">
        <f t="array" ref="F72">IFERROR(INDEX(Data_Input!$A$1:$ZZ$502, MATCH("예수금", INDEX(Data_Input!$A$1:$ZZ$502, 0, MATCH(1, (Data_Input!$7:$7=$F$3)*(Data_Input!$8:$8=$B72), 0)), 0) + 1, MATCH(1, (Data_Input!$7:$7=$F$3)*(Data_Input!$8:$8=$B72), 0)),"")</f>
        <v/>
      </c>
      <c r="G72" s="20" t="str" cm="1">
        <f t="array" ref="G72">IFERROR(INDEX(Data_Input!$A$1:$ZZ$502, MATCH("총자산", INDEX(Data_Input!$A$1:$ZZ$502, 0, MATCH(1, (Data_Input!$7:$7=$F$3)*(Data_Input!$8:$8=$B72), 0)), 0) + 1, MATCH(1, (Data_Input!$7:$7=$F$3)*(Data_Input!$8:$8=$B72), 0)),"")</f>
        <v/>
      </c>
      <c r="H72" s="20" t="str" cm="1">
        <f t="array" ref="H72">IFERROR(INDEX(Data_Input!$A$1:$ZZ$502, MATCH("매입금액", INDEX(Data_Input!$A$1:$ZZ$502, 0, MATCH(1, (Data_Input!$7:$7=$F$3)*(Data_Input!$8:$8=$B72), 0)), 0) + 1, MATCH(1, (Data_Input!$7:$7=$F$3)*(Data_Input!$8:$8=$B72), 0)),"")</f>
        <v/>
      </c>
      <c r="I72" s="20" t="str" cm="1">
        <f t="array" ref="I72">IFERROR(INDEX(Data_Input!$A$1:$ZZ$502, MATCH("평가금액", INDEX(Data_Input!$A$1:$ZZ$502, 0, MATCH(1, (Data_Input!$7:$7=$F$3)*(Data_Input!$8:$8=$B72), 0)), 0) + 1, MATCH(1, (Data_Input!$7:$7=$F$3)*(Data_Input!$8:$8=$B72), 0)),"")</f>
        <v/>
      </c>
      <c r="J72" s="20" t="str" cm="1">
        <f t="array" ref="J72">IFERROR(INDEX(Data_Input!$A$1:$ZZ$502, MATCH("평가손익", INDEX(Data_Input!$A$1:$ZZ$502, 0, MATCH(1, (Data_Input!$7:$7=$F$3)*(Data_Input!$8:$8=$B72), 0)), 0) + 1, MATCH(1, (Data_Input!$7:$7=$F$3)*(Data_Input!$8:$8=$B72), 0)),"")</f>
        <v/>
      </c>
      <c r="K72" s="14" t="str" cm="1">
        <f t="array" ref="K72">IFERROR(INDEX(Data_Input!$A$1:$ZZ$502, MATCH("총수익률", INDEX(Data_Input!$A$1:$ZZ$502, 0, MATCH(1, (Data_Input!$7:$7=$F$3)*(Data_Input!$8:$8=$B72), 0)), 0) + 1, MATCH(1, (Data_Input!$7:$7=$F$3)*(Data_Input!$8:$8=$B72), 0)),"")</f>
        <v/>
      </c>
      <c r="L72" t="str" cm="1">
        <f t="array" ref="L72">IFERROR(_xlfn.LET(
    _xlpm.targetDate, B72,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73" spans="1:12" x14ac:dyDescent="0.3">
      <c r="A73" s="16" t="str">
        <f t="shared" si="2"/>
        <v/>
      </c>
      <c r="B73" s="19"/>
      <c r="C73" s="17" t="str">
        <f t="shared" si="3"/>
        <v/>
      </c>
      <c r="D73" s="29" t="str" cm="1">
        <f t="array" ref="D73">IFERROR(INDEX(Data_Input!$10:$10,MATCH(1,(Data_Input!$7:$7=$F$3)*(Data_Input!$8:$8=$B73),0)),"")</f>
        <v/>
      </c>
      <c r="E73" s="29" t="str" cm="1">
        <f t="array" ref="E73">IFERROR(INDEX(Data_Input!$1:$100, 9, MATCH(1, (Data_Input!$7:$7=$F$3) * (Data_Input!$8:$8=$B73), 0)),"")</f>
        <v/>
      </c>
      <c r="F73" s="20" t="str" cm="1">
        <f t="array" ref="F73">IFERROR(INDEX(Data_Input!$A$1:$ZZ$502, MATCH("예수금", INDEX(Data_Input!$A$1:$ZZ$502, 0, MATCH(1, (Data_Input!$7:$7=$F$3)*(Data_Input!$8:$8=$B73), 0)), 0) + 1, MATCH(1, (Data_Input!$7:$7=$F$3)*(Data_Input!$8:$8=$B73), 0)),"")</f>
        <v/>
      </c>
      <c r="G73" s="20" t="str" cm="1">
        <f t="array" ref="G73">IFERROR(INDEX(Data_Input!$A$1:$ZZ$502, MATCH("총자산", INDEX(Data_Input!$A$1:$ZZ$502, 0, MATCH(1, (Data_Input!$7:$7=$F$3)*(Data_Input!$8:$8=$B73), 0)), 0) + 1, MATCH(1, (Data_Input!$7:$7=$F$3)*(Data_Input!$8:$8=$B73), 0)),"")</f>
        <v/>
      </c>
      <c r="H73" s="20" t="str" cm="1">
        <f t="array" ref="H73">IFERROR(INDEX(Data_Input!$A$1:$ZZ$502, MATCH("매입금액", INDEX(Data_Input!$A$1:$ZZ$502, 0, MATCH(1, (Data_Input!$7:$7=$F$3)*(Data_Input!$8:$8=$B73), 0)), 0) + 1, MATCH(1, (Data_Input!$7:$7=$F$3)*(Data_Input!$8:$8=$B73), 0)),"")</f>
        <v/>
      </c>
      <c r="I73" s="20" t="str" cm="1">
        <f t="array" ref="I73">IFERROR(INDEX(Data_Input!$A$1:$ZZ$502, MATCH("평가금액", INDEX(Data_Input!$A$1:$ZZ$502, 0, MATCH(1, (Data_Input!$7:$7=$F$3)*(Data_Input!$8:$8=$B73), 0)), 0) + 1, MATCH(1, (Data_Input!$7:$7=$F$3)*(Data_Input!$8:$8=$B73), 0)),"")</f>
        <v/>
      </c>
      <c r="J73" s="20" t="str" cm="1">
        <f t="array" ref="J73">IFERROR(INDEX(Data_Input!$A$1:$ZZ$502, MATCH("평가손익", INDEX(Data_Input!$A$1:$ZZ$502, 0, MATCH(1, (Data_Input!$7:$7=$F$3)*(Data_Input!$8:$8=$B73), 0)), 0) + 1, MATCH(1, (Data_Input!$7:$7=$F$3)*(Data_Input!$8:$8=$B73), 0)),"")</f>
        <v/>
      </c>
      <c r="K73" s="14" t="str" cm="1">
        <f t="array" ref="K73">IFERROR(INDEX(Data_Input!$A$1:$ZZ$502, MATCH("총수익률", INDEX(Data_Input!$A$1:$ZZ$502, 0, MATCH(1, (Data_Input!$7:$7=$F$3)*(Data_Input!$8:$8=$B73), 0)), 0) + 1, MATCH(1, (Data_Input!$7:$7=$F$3)*(Data_Input!$8:$8=$B73), 0)),"")</f>
        <v/>
      </c>
      <c r="L73" t="str" cm="1">
        <f t="array" ref="L73">IFERROR(_xlfn.LET(
    _xlpm.targetDate, B73,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74" spans="1:12" x14ac:dyDescent="0.3">
      <c r="A74" s="16" t="str">
        <f t="shared" si="2"/>
        <v/>
      </c>
      <c r="B74" s="19"/>
      <c r="C74" s="17" t="str">
        <f t="shared" si="3"/>
        <v/>
      </c>
      <c r="D74" s="29" t="str" cm="1">
        <f t="array" ref="D74">IFERROR(INDEX(Data_Input!$10:$10,MATCH(1,(Data_Input!$7:$7=$F$3)*(Data_Input!$8:$8=$B74),0)),"")</f>
        <v/>
      </c>
      <c r="E74" s="29" t="str" cm="1">
        <f t="array" ref="E74">IFERROR(INDEX(Data_Input!$1:$100, 9, MATCH(1, (Data_Input!$7:$7=$F$3) * (Data_Input!$8:$8=$B74), 0)),"")</f>
        <v/>
      </c>
      <c r="F74" s="20" t="str" cm="1">
        <f t="array" ref="F74">IFERROR(INDEX(Data_Input!$A$1:$ZZ$502, MATCH("예수금", INDEX(Data_Input!$A$1:$ZZ$502, 0, MATCH(1, (Data_Input!$7:$7=$F$3)*(Data_Input!$8:$8=$B74), 0)), 0) + 1, MATCH(1, (Data_Input!$7:$7=$F$3)*(Data_Input!$8:$8=$B74), 0)),"")</f>
        <v/>
      </c>
      <c r="G74" s="20" t="str" cm="1">
        <f t="array" ref="G74">IFERROR(INDEX(Data_Input!$A$1:$ZZ$502, MATCH("총자산", INDEX(Data_Input!$A$1:$ZZ$502, 0, MATCH(1, (Data_Input!$7:$7=$F$3)*(Data_Input!$8:$8=$B74), 0)), 0) + 1, MATCH(1, (Data_Input!$7:$7=$F$3)*(Data_Input!$8:$8=$B74), 0)),"")</f>
        <v/>
      </c>
      <c r="H74" s="20" t="str" cm="1">
        <f t="array" ref="H74">IFERROR(INDEX(Data_Input!$A$1:$ZZ$502, MATCH("매입금액", INDEX(Data_Input!$A$1:$ZZ$502, 0, MATCH(1, (Data_Input!$7:$7=$F$3)*(Data_Input!$8:$8=$B74), 0)), 0) + 1, MATCH(1, (Data_Input!$7:$7=$F$3)*(Data_Input!$8:$8=$B74), 0)),"")</f>
        <v/>
      </c>
      <c r="I74" s="20" t="str" cm="1">
        <f t="array" ref="I74">IFERROR(INDEX(Data_Input!$A$1:$ZZ$502, MATCH("평가금액", INDEX(Data_Input!$A$1:$ZZ$502, 0, MATCH(1, (Data_Input!$7:$7=$F$3)*(Data_Input!$8:$8=$B74), 0)), 0) + 1, MATCH(1, (Data_Input!$7:$7=$F$3)*(Data_Input!$8:$8=$B74), 0)),"")</f>
        <v/>
      </c>
      <c r="J74" s="20" t="str" cm="1">
        <f t="array" ref="J74">IFERROR(INDEX(Data_Input!$A$1:$ZZ$502, MATCH("평가손익", INDEX(Data_Input!$A$1:$ZZ$502, 0, MATCH(1, (Data_Input!$7:$7=$F$3)*(Data_Input!$8:$8=$B74), 0)), 0) + 1, MATCH(1, (Data_Input!$7:$7=$F$3)*(Data_Input!$8:$8=$B74), 0)),"")</f>
        <v/>
      </c>
      <c r="K74" s="14" t="str" cm="1">
        <f t="array" ref="K74">IFERROR(INDEX(Data_Input!$A$1:$ZZ$502, MATCH("총수익률", INDEX(Data_Input!$A$1:$ZZ$502, 0, MATCH(1, (Data_Input!$7:$7=$F$3)*(Data_Input!$8:$8=$B74), 0)), 0) + 1, MATCH(1, (Data_Input!$7:$7=$F$3)*(Data_Input!$8:$8=$B74), 0)),"")</f>
        <v/>
      </c>
      <c r="L74" t="str" cm="1">
        <f t="array" ref="L74">IFERROR(_xlfn.LET(
    _xlpm.targetDate, B74,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75" spans="1:12" x14ac:dyDescent="0.3">
      <c r="A75" s="16" t="str">
        <f t="shared" si="2"/>
        <v/>
      </c>
      <c r="B75" s="19"/>
      <c r="C75" s="17" t="str">
        <f t="shared" si="3"/>
        <v/>
      </c>
      <c r="D75" s="29" t="str" cm="1">
        <f t="array" ref="D75">IFERROR(INDEX(Data_Input!$10:$10,MATCH(1,(Data_Input!$7:$7=$F$3)*(Data_Input!$8:$8=$B75),0)),"")</f>
        <v/>
      </c>
      <c r="E75" s="29" t="str" cm="1">
        <f t="array" ref="E75">IFERROR(INDEX(Data_Input!$1:$100, 9, MATCH(1, (Data_Input!$7:$7=$F$3) * (Data_Input!$8:$8=$B75), 0)),"")</f>
        <v/>
      </c>
      <c r="F75" s="20" t="str" cm="1">
        <f t="array" ref="F75">IFERROR(INDEX(Data_Input!$A$1:$ZZ$502, MATCH("예수금", INDEX(Data_Input!$A$1:$ZZ$502, 0, MATCH(1, (Data_Input!$7:$7=$F$3)*(Data_Input!$8:$8=$B75), 0)), 0) + 1, MATCH(1, (Data_Input!$7:$7=$F$3)*(Data_Input!$8:$8=$B75), 0)),"")</f>
        <v/>
      </c>
      <c r="G75" s="20" t="str" cm="1">
        <f t="array" ref="G75">IFERROR(INDEX(Data_Input!$A$1:$ZZ$502, MATCH("총자산", INDEX(Data_Input!$A$1:$ZZ$502, 0, MATCH(1, (Data_Input!$7:$7=$F$3)*(Data_Input!$8:$8=$B75), 0)), 0) + 1, MATCH(1, (Data_Input!$7:$7=$F$3)*(Data_Input!$8:$8=$B75), 0)),"")</f>
        <v/>
      </c>
      <c r="H75" s="20" t="str" cm="1">
        <f t="array" ref="H75">IFERROR(INDEX(Data_Input!$A$1:$ZZ$502, MATCH("매입금액", INDEX(Data_Input!$A$1:$ZZ$502, 0, MATCH(1, (Data_Input!$7:$7=$F$3)*(Data_Input!$8:$8=$B75), 0)), 0) + 1, MATCH(1, (Data_Input!$7:$7=$F$3)*(Data_Input!$8:$8=$B75), 0)),"")</f>
        <v/>
      </c>
      <c r="I75" s="20" t="str" cm="1">
        <f t="array" ref="I75">IFERROR(INDEX(Data_Input!$A$1:$ZZ$502, MATCH("평가금액", INDEX(Data_Input!$A$1:$ZZ$502, 0, MATCH(1, (Data_Input!$7:$7=$F$3)*(Data_Input!$8:$8=$B75), 0)), 0) + 1, MATCH(1, (Data_Input!$7:$7=$F$3)*(Data_Input!$8:$8=$B75), 0)),"")</f>
        <v/>
      </c>
      <c r="J75" s="20" t="str" cm="1">
        <f t="array" ref="J75">IFERROR(INDEX(Data_Input!$A$1:$ZZ$502, MATCH("평가손익", INDEX(Data_Input!$A$1:$ZZ$502, 0, MATCH(1, (Data_Input!$7:$7=$F$3)*(Data_Input!$8:$8=$B75), 0)), 0) + 1, MATCH(1, (Data_Input!$7:$7=$F$3)*(Data_Input!$8:$8=$B75), 0)),"")</f>
        <v/>
      </c>
      <c r="K75" s="14" t="str" cm="1">
        <f t="array" ref="K75">IFERROR(INDEX(Data_Input!$A$1:$ZZ$502, MATCH("총수익률", INDEX(Data_Input!$A$1:$ZZ$502, 0, MATCH(1, (Data_Input!$7:$7=$F$3)*(Data_Input!$8:$8=$B75), 0)), 0) + 1, MATCH(1, (Data_Input!$7:$7=$F$3)*(Data_Input!$8:$8=$B75), 0)),"")</f>
        <v/>
      </c>
      <c r="L75" t="str" cm="1">
        <f t="array" ref="L75">IFERROR(_xlfn.LET(
    _xlpm.targetDate, B75,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76" spans="1:12" x14ac:dyDescent="0.3">
      <c r="A76" s="16" t="str">
        <f t="shared" si="2"/>
        <v/>
      </c>
      <c r="B76" s="19"/>
      <c r="C76" s="17" t="str">
        <f t="shared" si="3"/>
        <v/>
      </c>
      <c r="D76" s="29" t="str" cm="1">
        <f t="array" ref="D76">IFERROR(INDEX(Data_Input!$10:$10,MATCH(1,(Data_Input!$7:$7=$F$3)*(Data_Input!$8:$8=$B76),0)),"")</f>
        <v/>
      </c>
      <c r="E76" s="29" t="str" cm="1">
        <f t="array" ref="E76">IFERROR(INDEX(Data_Input!$1:$100, 9, MATCH(1, (Data_Input!$7:$7=$F$3) * (Data_Input!$8:$8=$B76), 0)),"")</f>
        <v/>
      </c>
      <c r="F76" s="20" t="str" cm="1">
        <f t="array" ref="F76">IFERROR(INDEX(Data_Input!$A$1:$ZZ$502, MATCH("예수금", INDEX(Data_Input!$A$1:$ZZ$502, 0, MATCH(1, (Data_Input!$7:$7=$F$3)*(Data_Input!$8:$8=$B76), 0)), 0) + 1, MATCH(1, (Data_Input!$7:$7=$F$3)*(Data_Input!$8:$8=$B76), 0)),"")</f>
        <v/>
      </c>
      <c r="G76" s="20" t="str" cm="1">
        <f t="array" ref="G76">IFERROR(INDEX(Data_Input!$A$1:$ZZ$502, MATCH("총자산", INDEX(Data_Input!$A$1:$ZZ$502, 0, MATCH(1, (Data_Input!$7:$7=$F$3)*(Data_Input!$8:$8=$B76), 0)), 0) + 1, MATCH(1, (Data_Input!$7:$7=$F$3)*(Data_Input!$8:$8=$B76), 0)),"")</f>
        <v/>
      </c>
      <c r="H76" s="20" t="str" cm="1">
        <f t="array" ref="H76">IFERROR(INDEX(Data_Input!$A$1:$ZZ$502, MATCH("매입금액", INDEX(Data_Input!$A$1:$ZZ$502, 0, MATCH(1, (Data_Input!$7:$7=$F$3)*(Data_Input!$8:$8=$B76), 0)), 0) + 1, MATCH(1, (Data_Input!$7:$7=$F$3)*(Data_Input!$8:$8=$B76), 0)),"")</f>
        <v/>
      </c>
      <c r="I76" s="20" t="str" cm="1">
        <f t="array" ref="I76">IFERROR(INDEX(Data_Input!$A$1:$ZZ$502, MATCH("평가금액", INDEX(Data_Input!$A$1:$ZZ$502, 0, MATCH(1, (Data_Input!$7:$7=$F$3)*(Data_Input!$8:$8=$B76), 0)), 0) + 1, MATCH(1, (Data_Input!$7:$7=$F$3)*(Data_Input!$8:$8=$B76), 0)),"")</f>
        <v/>
      </c>
      <c r="J76" s="20" t="str" cm="1">
        <f t="array" ref="J76">IFERROR(INDEX(Data_Input!$A$1:$ZZ$502, MATCH("평가손익", INDEX(Data_Input!$A$1:$ZZ$502, 0, MATCH(1, (Data_Input!$7:$7=$F$3)*(Data_Input!$8:$8=$B76), 0)), 0) + 1, MATCH(1, (Data_Input!$7:$7=$F$3)*(Data_Input!$8:$8=$B76), 0)),"")</f>
        <v/>
      </c>
      <c r="K76" s="14" t="str" cm="1">
        <f t="array" ref="K76">IFERROR(INDEX(Data_Input!$A$1:$ZZ$502, MATCH("총수익률", INDEX(Data_Input!$A$1:$ZZ$502, 0, MATCH(1, (Data_Input!$7:$7=$F$3)*(Data_Input!$8:$8=$B76), 0)), 0) + 1, MATCH(1, (Data_Input!$7:$7=$F$3)*(Data_Input!$8:$8=$B76), 0)),"")</f>
        <v/>
      </c>
      <c r="L76" t="str" cm="1">
        <f t="array" ref="L76">IFERROR(_xlfn.LET(
    _xlpm.targetDate, B76,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77" spans="1:12" x14ac:dyDescent="0.3">
      <c r="A77" s="16" t="str">
        <f t="shared" si="2"/>
        <v/>
      </c>
      <c r="B77" s="19"/>
      <c r="C77" s="17" t="str">
        <f t="shared" si="3"/>
        <v/>
      </c>
      <c r="D77" s="29" t="str" cm="1">
        <f t="array" ref="D77">IFERROR(INDEX(Data_Input!$10:$10,MATCH(1,(Data_Input!$7:$7=$F$3)*(Data_Input!$8:$8=$B77),0)),"")</f>
        <v/>
      </c>
      <c r="E77" s="29" t="str" cm="1">
        <f t="array" ref="E77">IFERROR(INDEX(Data_Input!$1:$100, 9, MATCH(1, (Data_Input!$7:$7=$F$3) * (Data_Input!$8:$8=$B77), 0)),"")</f>
        <v/>
      </c>
      <c r="F77" s="20" t="str" cm="1">
        <f t="array" ref="F77">IFERROR(INDEX(Data_Input!$A$1:$ZZ$502, MATCH("예수금", INDEX(Data_Input!$A$1:$ZZ$502, 0, MATCH(1, (Data_Input!$7:$7=$F$3)*(Data_Input!$8:$8=$B77), 0)), 0) + 1, MATCH(1, (Data_Input!$7:$7=$F$3)*(Data_Input!$8:$8=$B77), 0)),"")</f>
        <v/>
      </c>
      <c r="G77" s="20" t="str" cm="1">
        <f t="array" ref="G77">IFERROR(INDEX(Data_Input!$A$1:$ZZ$502, MATCH("총자산", INDEX(Data_Input!$A$1:$ZZ$502, 0, MATCH(1, (Data_Input!$7:$7=$F$3)*(Data_Input!$8:$8=$B77), 0)), 0) + 1, MATCH(1, (Data_Input!$7:$7=$F$3)*(Data_Input!$8:$8=$B77), 0)),"")</f>
        <v/>
      </c>
      <c r="H77" s="20" t="str" cm="1">
        <f t="array" ref="H77">IFERROR(INDEX(Data_Input!$A$1:$ZZ$502, MATCH("매입금액", INDEX(Data_Input!$A$1:$ZZ$502, 0, MATCH(1, (Data_Input!$7:$7=$F$3)*(Data_Input!$8:$8=$B77), 0)), 0) + 1, MATCH(1, (Data_Input!$7:$7=$F$3)*(Data_Input!$8:$8=$B77), 0)),"")</f>
        <v/>
      </c>
      <c r="I77" s="20" t="str" cm="1">
        <f t="array" ref="I77">IFERROR(INDEX(Data_Input!$A$1:$ZZ$502, MATCH("평가금액", INDEX(Data_Input!$A$1:$ZZ$502, 0, MATCH(1, (Data_Input!$7:$7=$F$3)*(Data_Input!$8:$8=$B77), 0)), 0) + 1, MATCH(1, (Data_Input!$7:$7=$F$3)*(Data_Input!$8:$8=$B77), 0)),"")</f>
        <v/>
      </c>
      <c r="J77" s="20" t="str" cm="1">
        <f t="array" ref="J77">IFERROR(INDEX(Data_Input!$A$1:$ZZ$502, MATCH("평가손익", INDEX(Data_Input!$A$1:$ZZ$502, 0, MATCH(1, (Data_Input!$7:$7=$F$3)*(Data_Input!$8:$8=$B77), 0)), 0) + 1, MATCH(1, (Data_Input!$7:$7=$F$3)*(Data_Input!$8:$8=$B77), 0)),"")</f>
        <v/>
      </c>
      <c r="K77" s="14" t="str" cm="1">
        <f t="array" ref="K77">IFERROR(INDEX(Data_Input!$A$1:$ZZ$502, MATCH("총수익률", INDEX(Data_Input!$A$1:$ZZ$502, 0, MATCH(1, (Data_Input!$7:$7=$F$3)*(Data_Input!$8:$8=$B77), 0)), 0) + 1, MATCH(1, (Data_Input!$7:$7=$F$3)*(Data_Input!$8:$8=$B77), 0)),"")</f>
        <v/>
      </c>
      <c r="L77" t="str" cm="1">
        <f t="array" ref="L77">IFERROR(_xlfn.LET(
    _xlpm.targetDate, B77,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78" spans="1:12" x14ac:dyDescent="0.3">
      <c r="A78" s="16" t="str">
        <f t="shared" si="2"/>
        <v/>
      </c>
      <c r="B78" s="19"/>
      <c r="C78" s="17" t="str">
        <f t="shared" si="3"/>
        <v/>
      </c>
      <c r="D78" s="29" t="str" cm="1">
        <f t="array" ref="D78">IFERROR(INDEX(Data_Input!$10:$10,MATCH(1,(Data_Input!$7:$7=$F$3)*(Data_Input!$8:$8=$B78),0)),"")</f>
        <v/>
      </c>
      <c r="E78" s="29" t="str" cm="1">
        <f t="array" ref="E78">IFERROR(INDEX(Data_Input!$1:$100, 9, MATCH(1, (Data_Input!$7:$7=$F$3) * (Data_Input!$8:$8=$B78), 0)),"")</f>
        <v/>
      </c>
      <c r="F78" s="20" t="str" cm="1">
        <f t="array" ref="F78">IFERROR(INDEX(Data_Input!$A$1:$ZZ$502, MATCH("예수금", INDEX(Data_Input!$A$1:$ZZ$502, 0, MATCH(1, (Data_Input!$7:$7=$F$3)*(Data_Input!$8:$8=$B78), 0)), 0) + 1, MATCH(1, (Data_Input!$7:$7=$F$3)*(Data_Input!$8:$8=$B78), 0)),"")</f>
        <v/>
      </c>
      <c r="G78" s="20" t="str" cm="1">
        <f t="array" ref="G78">IFERROR(INDEX(Data_Input!$A$1:$ZZ$502, MATCH("총자산", INDEX(Data_Input!$A$1:$ZZ$502, 0, MATCH(1, (Data_Input!$7:$7=$F$3)*(Data_Input!$8:$8=$B78), 0)), 0) + 1, MATCH(1, (Data_Input!$7:$7=$F$3)*(Data_Input!$8:$8=$B78), 0)),"")</f>
        <v/>
      </c>
      <c r="H78" s="20" t="str" cm="1">
        <f t="array" ref="H78">IFERROR(INDEX(Data_Input!$A$1:$ZZ$502, MATCH("매입금액", INDEX(Data_Input!$A$1:$ZZ$502, 0, MATCH(1, (Data_Input!$7:$7=$F$3)*(Data_Input!$8:$8=$B78), 0)), 0) + 1, MATCH(1, (Data_Input!$7:$7=$F$3)*(Data_Input!$8:$8=$B78), 0)),"")</f>
        <v/>
      </c>
      <c r="I78" s="20" t="str" cm="1">
        <f t="array" ref="I78">IFERROR(INDEX(Data_Input!$A$1:$ZZ$502, MATCH("평가금액", INDEX(Data_Input!$A$1:$ZZ$502, 0, MATCH(1, (Data_Input!$7:$7=$F$3)*(Data_Input!$8:$8=$B78), 0)), 0) + 1, MATCH(1, (Data_Input!$7:$7=$F$3)*(Data_Input!$8:$8=$B78), 0)),"")</f>
        <v/>
      </c>
      <c r="J78" s="20" t="str" cm="1">
        <f t="array" ref="J78">IFERROR(INDEX(Data_Input!$A$1:$ZZ$502, MATCH("평가손익", INDEX(Data_Input!$A$1:$ZZ$502, 0, MATCH(1, (Data_Input!$7:$7=$F$3)*(Data_Input!$8:$8=$B78), 0)), 0) + 1, MATCH(1, (Data_Input!$7:$7=$F$3)*(Data_Input!$8:$8=$B78), 0)),"")</f>
        <v/>
      </c>
      <c r="K78" s="14" t="str" cm="1">
        <f t="array" ref="K78">IFERROR(INDEX(Data_Input!$A$1:$ZZ$502, MATCH("총수익률", INDEX(Data_Input!$A$1:$ZZ$502, 0, MATCH(1, (Data_Input!$7:$7=$F$3)*(Data_Input!$8:$8=$B78), 0)), 0) + 1, MATCH(1, (Data_Input!$7:$7=$F$3)*(Data_Input!$8:$8=$B78), 0)),"")</f>
        <v/>
      </c>
      <c r="L78" t="str" cm="1">
        <f t="array" ref="L78">IFERROR(_xlfn.LET(
    _xlpm.targetDate, B78,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79" spans="1:12" x14ac:dyDescent="0.3">
      <c r="A79" s="16" t="str">
        <f t="shared" si="2"/>
        <v/>
      </c>
      <c r="B79" s="19"/>
      <c r="C79" s="17" t="str">
        <f t="shared" si="3"/>
        <v/>
      </c>
      <c r="D79" s="29" t="str" cm="1">
        <f t="array" ref="D79">IFERROR(INDEX(Data_Input!$10:$10,MATCH(1,(Data_Input!$7:$7=$F$3)*(Data_Input!$8:$8=$B79),0)),"")</f>
        <v/>
      </c>
      <c r="E79" s="29" t="str" cm="1">
        <f t="array" ref="E79">IFERROR(INDEX(Data_Input!$1:$100, 9, MATCH(1, (Data_Input!$7:$7=$F$3) * (Data_Input!$8:$8=$B79), 0)),"")</f>
        <v/>
      </c>
      <c r="F79" s="20" t="str" cm="1">
        <f t="array" ref="F79">IFERROR(INDEX(Data_Input!$A$1:$ZZ$502, MATCH("예수금", INDEX(Data_Input!$A$1:$ZZ$502, 0, MATCH(1, (Data_Input!$7:$7=$F$3)*(Data_Input!$8:$8=$B79), 0)), 0) + 1, MATCH(1, (Data_Input!$7:$7=$F$3)*(Data_Input!$8:$8=$B79), 0)),"")</f>
        <v/>
      </c>
      <c r="G79" s="20" t="str" cm="1">
        <f t="array" ref="G79">IFERROR(INDEX(Data_Input!$A$1:$ZZ$502, MATCH("총자산", INDEX(Data_Input!$A$1:$ZZ$502, 0, MATCH(1, (Data_Input!$7:$7=$F$3)*(Data_Input!$8:$8=$B79), 0)), 0) + 1, MATCH(1, (Data_Input!$7:$7=$F$3)*(Data_Input!$8:$8=$B79), 0)),"")</f>
        <v/>
      </c>
      <c r="H79" s="20" t="str" cm="1">
        <f t="array" ref="H79">IFERROR(INDEX(Data_Input!$A$1:$ZZ$502, MATCH("매입금액", INDEX(Data_Input!$A$1:$ZZ$502, 0, MATCH(1, (Data_Input!$7:$7=$F$3)*(Data_Input!$8:$8=$B79), 0)), 0) + 1, MATCH(1, (Data_Input!$7:$7=$F$3)*(Data_Input!$8:$8=$B79), 0)),"")</f>
        <v/>
      </c>
      <c r="I79" s="20" t="str" cm="1">
        <f t="array" ref="I79">IFERROR(INDEX(Data_Input!$A$1:$ZZ$502, MATCH("평가금액", INDEX(Data_Input!$A$1:$ZZ$502, 0, MATCH(1, (Data_Input!$7:$7=$F$3)*(Data_Input!$8:$8=$B79), 0)), 0) + 1, MATCH(1, (Data_Input!$7:$7=$F$3)*(Data_Input!$8:$8=$B79), 0)),"")</f>
        <v/>
      </c>
      <c r="J79" s="20" t="str" cm="1">
        <f t="array" ref="J79">IFERROR(INDEX(Data_Input!$A$1:$ZZ$502, MATCH("평가손익", INDEX(Data_Input!$A$1:$ZZ$502, 0, MATCH(1, (Data_Input!$7:$7=$F$3)*(Data_Input!$8:$8=$B79), 0)), 0) + 1, MATCH(1, (Data_Input!$7:$7=$F$3)*(Data_Input!$8:$8=$B79), 0)),"")</f>
        <v/>
      </c>
      <c r="K79" s="14" t="str" cm="1">
        <f t="array" ref="K79">IFERROR(INDEX(Data_Input!$A$1:$ZZ$502, MATCH("총수익률", INDEX(Data_Input!$A$1:$ZZ$502, 0, MATCH(1, (Data_Input!$7:$7=$F$3)*(Data_Input!$8:$8=$B79), 0)), 0) + 1, MATCH(1, (Data_Input!$7:$7=$F$3)*(Data_Input!$8:$8=$B79), 0)),"")</f>
        <v/>
      </c>
      <c r="L79" t="str" cm="1">
        <f t="array" ref="L79">IFERROR(_xlfn.LET(
    _xlpm.targetDate, B79,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80" spans="1:12" x14ac:dyDescent="0.3">
      <c r="A80" s="16" t="str">
        <f t="shared" si="2"/>
        <v/>
      </c>
      <c r="B80" s="19"/>
      <c r="C80" s="17" t="str">
        <f t="shared" si="3"/>
        <v/>
      </c>
      <c r="D80" s="29" t="str" cm="1">
        <f t="array" ref="D80">IFERROR(INDEX(Data_Input!$10:$10,MATCH(1,(Data_Input!$7:$7=$F$3)*(Data_Input!$8:$8=$B80),0)),"")</f>
        <v/>
      </c>
      <c r="E80" s="29" t="str" cm="1">
        <f t="array" ref="E80">IFERROR(INDEX(Data_Input!$1:$100, 9, MATCH(1, (Data_Input!$7:$7=$F$3) * (Data_Input!$8:$8=$B80), 0)),"")</f>
        <v/>
      </c>
      <c r="F80" s="20" t="str" cm="1">
        <f t="array" ref="F80">IFERROR(INDEX(Data_Input!$A$1:$ZZ$502, MATCH("예수금", INDEX(Data_Input!$A$1:$ZZ$502, 0, MATCH(1, (Data_Input!$7:$7=$F$3)*(Data_Input!$8:$8=$B80), 0)), 0) + 1, MATCH(1, (Data_Input!$7:$7=$F$3)*(Data_Input!$8:$8=$B80), 0)),"")</f>
        <v/>
      </c>
      <c r="G80" s="20" t="str" cm="1">
        <f t="array" ref="G80">IFERROR(INDEX(Data_Input!$A$1:$ZZ$502, MATCH("총자산", INDEX(Data_Input!$A$1:$ZZ$502, 0, MATCH(1, (Data_Input!$7:$7=$F$3)*(Data_Input!$8:$8=$B80), 0)), 0) + 1, MATCH(1, (Data_Input!$7:$7=$F$3)*(Data_Input!$8:$8=$B80), 0)),"")</f>
        <v/>
      </c>
      <c r="H80" s="20" t="str" cm="1">
        <f t="array" ref="H80">IFERROR(INDEX(Data_Input!$A$1:$ZZ$502, MATCH("매입금액", INDEX(Data_Input!$A$1:$ZZ$502, 0, MATCH(1, (Data_Input!$7:$7=$F$3)*(Data_Input!$8:$8=$B80), 0)), 0) + 1, MATCH(1, (Data_Input!$7:$7=$F$3)*(Data_Input!$8:$8=$B80), 0)),"")</f>
        <v/>
      </c>
      <c r="I80" s="20" t="str" cm="1">
        <f t="array" ref="I80">IFERROR(INDEX(Data_Input!$A$1:$ZZ$502, MATCH("평가금액", INDEX(Data_Input!$A$1:$ZZ$502, 0, MATCH(1, (Data_Input!$7:$7=$F$3)*(Data_Input!$8:$8=$B80), 0)), 0) + 1, MATCH(1, (Data_Input!$7:$7=$F$3)*(Data_Input!$8:$8=$B80), 0)),"")</f>
        <v/>
      </c>
      <c r="J80" s="20" t="str" cm="1">
        <f t="array" ref="J80">IFERROR(INDEX(Data_Input!$A$1:$ZZ$502, MATCH("평가손익", INDEX(Data_Input!$A$1:$ZZ$502, 0, MATCH(1, (Data_Input!$7:$7=$F$3)*(Data_Input!$8:$8=$B80), 0)), 0) + 1, MATCH(1, (Data_Input!$7:$7=$F$3)*(Data_Input!$8:$8=$B80), 0)),"")</f>
        <v/>
      </c>
      <c r="K80" s="14" t="str" cm="1">
        <f t="array" ref="K80">IFERROR(INDEX(Data_Input!$A$1:$ZZ$502, MATCH("총수익률", INDEX(Data_Input!$A$1:$ZZ$502, 0, MATCH(1, (Data_Input!$7:$7=$F$3)*(Data_Input!$8:$8=$B80), 0)), 0) + 1, MATCH(1, (Data_Input!$7:$7=$F$3)*(Data_Input!$8:$8=$B80), 0)),"")</f>
        <v/>
      </c>
      <c r="L80" t="str" cm="1">
        <f t="array" ref="L80">IFERROR(_xlfn.LET(
    _xlpm.targetDate, B80,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81" spans="1:12" x14ac:dyDescent="0.3">
      <c r="A81" s="16" t="str">
        <f t="shared" si="2"/>
        <v/>
      </c>
      <c r="B81" s="19"/>
      <c r="C81" s="17" t="str">
        <f t="shared" si="3"/>
        <v/>
      </c>
      <c r="D81" s="29" t="str" cm="1">
        <f t="array" ref="D81">IFERROR(INDEX(Data_Input!$10:$10,MATCH(1,(Data_Input!$7:$7=$F$3)*(Data_Input!$8:$8=$B81),0)),"")</f>
        <v/>
      </c>
      <c r="E81" s="29" t="str" cm="1">
        <f t="array" ref="E81">IFERROR(INDEX(Data_Input!$1:$100, 9, MATCH(1, (Data_Input!$7:$7=$F$3) * (Data_Input!$8:$8=$B81), 0)),"")</f>
        <v/>
      </c>
      <c r="F81" s="20" t="str" cm="1">
        <f t="array" ref="F81">IFERROR(INDEX(Data_Input!$A$1:$ZZ$502, MATCH("예수금", INDEX(Data_Input!$A$1:$ZZ$502, 0, MATCH(1, (Data_Input!$7:$7=$F$3)*(Data_Input!$8:$8=$B81), 0)), 0) + 1, MATCH(1, (Data_Input!$7:$7=$F$3)*(Data_Input!$8:$8=$B81), 0)),"")</f>
        <v/>
      </c>
      <c r="G81" s="20" t="str" cm="1">
        <f t="array" ref="G81">IFERROR(INDEX(Data_Input!$A$1:$ZZ$502, MATCH("총자산", INDEX(Data_Input!$A$1:$ZZ$502, 0, MATCH(1, (Data_Input!$7:$7=$F$3)*(Data_Input!$8:$8=$B81), 0)), 0) + 1, MATCH(1, (Data_Input!$7:$7=$F$3)*(Data_Input!$8:$8=$B81), 0)),"")</f>
        <v/>
      </c>
      <c r="H81" s="20" t="str" cm="1">
        <f t="array" ref="H81">IFERROR(INDEX(Data_Input!$A$1:$ZZ$502, MATCH("매입금액", INDEX(Data_Input!$A$1:$ZZ$502, 0, MATCH(1, (Data_Input!$7:$7=$F$3)*(Data_Input!$8:$8=$B81), 0)), 0) + 1, MATCH(1, (Data_Input!$7:$7=$F$3)*(Data_Input!$8:$8=$B81), 0)),"")</f>
        <v/>
      </c>
      <c r="I81" s="20" t="str" cm="1">
        <f t="array" ref="I81">IFERROR(INDEX(Data_Input!$A$1:$ZZ$502, MATCH("평가금액", INDEX(Data_Input!$A$1:$ZZ$502, 0, MATCH(1, (Data_Input!$7:$7=$F$3)*(Data_Input!$8:$8=$B81), 0)), 0) + 1, MATCH(1, (Data_Input!$7:$7=$F$3)*(Data_Input!$8:$8=$B81), 0)),"")</f>
        <v/>
      </c>
      <c r="J81" s="20" t="str" cm="1">
        <f t="array" ref="J81">IFERROR(INDEX(Data_Input!$A$1:$ZZ$502, MATCH("평가손익", INDEX(Data_Input!$A$1:$ZZ$502, 0, MATCH(1, (Data_Input!$7:$7=$F$3)*(Data_Input!$8:$8=$B81), 0)), 0) + 1, MATCH(1, (Data_Input!$7:$7=$F$3)*(Data_Input!$8:$8=$B81), 0)),"")</f>
        <v/>
      </c>
      <c r="K81" s="14" t="str" cm="1">
        <f t="array" ref="K81">IFERROR(INDEX(Data_Input!$A$1:$ZZ$502, MATCH("총수익률", INDEX(Data_Input!$A$1:$ZZ$502, 0, MATCH(1, (Data_Input!$7:$7=$F$3)*(Data_Input!$8:$8=$B81), 0)), 0) + 1, MATCH(1, (Data_Input!$7:$7=$F$3)*(Data_Input!$8:$8=$B81), 0)),"")</f>
        <v/>
      </c>
      <c r="L81" t="str" cm="1">
        <f t="array" ref="L81">IFERROR(_xlfn.LET(
    _xlpm.targetDate, B81,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82" spans="1:12" x14ac:dyDescent="0.3">
      <c r="A82" s="16" t="str">
        <f t="shared" si="2"/>
        <v/>
      </c>
      <c r="B82" s="19"/>
      <c r="C82" s="17" t="str">
        <f t="shared" si="3"/>
        <v/>
      </c>
      <c r="D82" s="29" t="str" cm="1">
        <f t="array" ref="D82">IFERROR(INDEX(Data_Input!$10:$10,MATCH(1,(Data_Input!$7:$7=$F$3)*(Data_Input!$8:$8=$B82),0)),"")</f>
        <v/>
      </c>
      <c r="E82" s="29" t="str" cm="1">
        <f t="array" ref="E82">IFERROR(INDEX(Data_Input!$1:$100, 9, MATCH(1, (Data_Input!$7:$7=$F$3) * (Data_Input!$8:$8=$B82), 0)),"")</f>
        <v/>
      </c>
      <c r="F82" s="20" t="str" cm="1">
        <f t="array" ref="F82">IFERROR(INDEX(Data_Input!$A$1:$ZZ$502, MATCH("예수금", INDEX(Data_Input!$A$1:$ZZ$502, 0, MATCH(1, (Data_Input!$7:$7=$F$3)*(Data_Input!$8:$8=$B82), 0)), 0) + 1, MATCH(1, (Data_Input!$7:$7=$F$3)*(Data_Input!$8:$8=$B82), 0)),"")</f>
        <v/>
      </c>
      <c r="G82" s="20" t="str" cm="1">
        <f t="array" ref="G82">IFERROR(INDEX(Data_Input!$A$1:$ZZ$502, MATCH("총자산", INDEX(Data_Input!$A$1:$ZZ$502, 0, MATCH(1, (Data_Input!$7:$7=$F$3)*(Data_Input!$8:$8=$B82), 0)), 0) + 1, MATCH(1, (Data_Input!$7:$7=$F$3)*(Data_Input!$8:$8=$B82), 0)),"")</f>
        <v/>
      </c>
      <c r="H82" s="20" t="str" cm="1">
        <f t="array" ref="H82">IFERROR(INDEX(Data_Input!$A$1:$ZZ$502, MATCH("매입금액", INDEX(Data_Input!$A$1:$ZZ$502, 0, MATCH(1, (Data_Input!$7:$7=$F$3)*(Data_Input!$8:$8=$B82), 0)), 0) + 1, MATCH(1, (Data_Input!$7:$7=$F$3)*(Data_Input!$8:$8=$B82), 0)),"")</f>
        <v/>
      </c>
      <c r="I82" s="20" t="str" cm="1">
        <f t="array" ref="I82">IFERROR(INDEX(Data_Input!$A$1:$ZZ$502, MATCH("평가금액", INDEX(Data_Input!$A$1:$ZZ$502, 0, MATCH(1, (Data_Input!$7:$7=$F$3)*(Data_Input!$8:$8=$B82), 0)), 0) + 1, MATCH(1, (Data_Input!$7:$7=$F$3)*(Data_Input!$8:$8=$B82), 0)),"")</f>
        <v/>
      </c>
      <c r="J82" s="20" t="str" cm="1">
        <f t="array" ref="J82">IFERROR(INDEX(Data_Input!$A$1:$ZZ$502, MATCH("평가손익", INDEX(Data_Input!$A$1:$ZZ$502, 0, MATCH(1, (Data_Input!$7:$7=$F$3)*(Data_Input!$8:$8=$B82), 0)), 0) + 1, MATCH(1, (Data_Input!$7:$7=$F$3)*(Data_Input!$8:$8=$B82), 0)),"")</f>
        <v/>
      </c>
      <c r="K82" s="14" t="str" cm="1">
        <f t="array" ref="K82">IFERROR(INDEX(Data_Input!$A$1:$ZZ$502, MATCH("총수익률", INDEX(Data_Input!$A$1:$ZZ$502, 0, MATCH(1, (Data_Input!$7:$7=$F$3)*(Data_Input!$8:$8=$B82), 0)), 0) + 1, MATCH(1, (Data_Input!$7:$7=$F$3)*(Data_Input!$8:$8=$B82), 0)),"")</f>
        <v/>
      </c>
      <c r="L82" t="str" cm="1">
        <f t="array" ref="L82">IFERROR(_xlfn.LET(
    _xlpm.targetDate, B82,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83" spans="1:12" x14ac:dyDescent="0.3">
      <c r="A83" s="16" t="str">
        <f t="shared" si="2"/>
        <v/>
      </c>
      <c r="B83" s="19"/>
      <c r="C83" s="17" t="str">
        <f t="shared" si="3"/>
        <v/>
      </c>
      <c r="D83" s="29" t="str" cm="1">
        <f t="array" ref="D83">IFERROR(INDEX(Data_Input!$10:$10,MATCH(1,(Data_Input!$7:$7=$F$3)*(Data_Input!$8:$8=$B83),0)),"")</f>
        <v/>
      </c>
      <c r="E83" s="29" t="str" cm="1">
        <f t="array" ref="E83">IFERROR(INDEX(Data_Input!$1:$100, 9, MATCH(1, (Data_Input!$7:$7=$F$3) * (Data_Input!$8:$8=$B83), 0)),"")</f>
        <v/>
      </c>
      <c r="F83" s="20" t="str" cm="1">
        <f t="array" ref="F83">IFERROR(INDEX(Data_Input!$A$1:$ZZ$502, MATCH("예수금", INDEX(Data_Input!$A$1:$ZZ$502, 0, MATCH(1, (Data_Input!$7:$7=$F$3)*(Data_Input!$8:$8=$B83), 0)), 0) + 1, MATCH(1, (Data_Input!$7:$7=$F$3)*(Data_Input!$8:$8=$B83), 0)),"")</f>
        <v/>
      </c>
      <c r="G83" s="20" t="str" cm="1">
        <f t="array" ref="G83">IFERROR(INDEX(Data_Input!$A$1:$ZZ$502, MATCH("총자산", INDEX(Data_Input!$A$1:$ZZ$502, 0, MATCH(1, (Data_Input!$7:$7=$F$3)*(Data_Input!$8:$8=$B83), 0)), 0) + 1, MATCH(1, (Data_Input!$7:$7=$F$3)*(Data_Input!$8:$8=$B83), 0)),"")</f>
        <v/>
      </c>
      <c r="H83" s="20" t="str" cm="1">
        <f t="array" ref="H83">IFERROR(INDEX(Data_Input!$A$1:$ZZ$502, MATCH("매입금액", INDEX(Data_Input!$A$1:$ZZ$502, 0, MATCH(1, (Data_Input!$7:$7=$F$3)*(Data_Input!$8:$8=$B83), 0)), 0) + 1, MATCH(1, (Data_Input!$7:$7=$F$3)*(Data_Input!$8:$8=$B83), 0)),"")</f>
        <v/>
      </c>
      <c r="I83" s="20" t="str" cm="1">
        <f t="array" ref="I83">IFERROR(INDEX(Data_Input!$A$1:$ZZ$502, MATCH("평가금액", INDEX(Data_Input!$A$1:$ZZ$502, 0, MATCH(1, (Data_Input!$7:$7=$F$3)*(Data_Input!$8:$8=$B83), 0)), 0) + 1, MATCH(1, (Data_Input!$7:$7=$F$3)*(Data_Input!$8:$8=$B83), 0)),"")</f>
        <v/>
      </c>
      <c r="J83" s="20" t="str" cm="1">
        <f t="array" ref="J83">IFERROR(INDEX(Data_Input!$A$1:$ZZ$502, MATCH("평가손익", INDEX(Data_Input!$A$1:$ZZ$502, 0, MATCH(1, (Data_Input!$7:$7=$F$3)*(Data_Input!$8:$8=$B83), 0)), 0) + 1, MATCH(1, (Data_Input!$7:$7=$F$3)*(Data_Input!$8:$8=$B83), 0)),"")</f>
        <v/>
      </c>
      <c r="K83" s="14" t="str" cm="1">
        <f t="array" ref="K83">IFERROR(INDEX(Data_Input!$A$1:$ZZ$502, MATCH("총수익률", INDEX(Data_Input!$A$1:$ZZ$502, 0, MATCH(1, (Data_Input!$7:$7=$F$3)*(Data_Input!$8:$8=$B83), 0)), 0) + 1, MATCH(1, (Data_Input!$7:$7=$F$3)*(Data_Input!$8:$8=$B83), 0)),"")</f>
        <v/>
      </c>
      <c r="L83" t="str" cm="1">
        <f t="array" ref="L83">IFERROR(_xlfn.LET(
    _xlpm.targetDate, B83,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84" spans="1:12" x14ac:dyDescent="0.3">
      <c r="A84" s="16" t="str">
        <f t="shared" si="2"/>
        <v/>
      </c>
      <c r="B84" s="19"/>
      <c r="C84" s="17" t="str">
        <f t="shared" si="3"/>
        <v/>
      </c>
      <c r="D84" s="29" t="str" cm="1">
        <f t="array" ref="D84">IFERROR(INDEX(Data_Input!$10:$10,MATCH(1,(Data_Input!$7:$7=$F$3)*(Data_Input!$8:$8=$B84),0)),"")</f>
        <v/>
      </c>
      <c r="E84" s="29" t="str" cm="1">
        <f t="array" ref="E84">IFERROR(INDEX(Data_Input!$1:$100, 9, MATCH(1, (Data_Input!$7:$7=$F$3) * (Data_Input!$8:$8=$B84), 0)),"")</f>
        <v/>
      </c>
      <c r="F84" s="20" t="str" cm="1">
        <f t="array" ref="F84">IFERROR(INDEX(Data_Input!$A$1:$ZZ$502, MATCH("예수금", INDEX(Data_Input!$A$1:$ZZ$502, 0, MATCH(1, (Data_Input!$7:$7=$F$3)*(Data_Input!$8:$8=$B84), 0)), 0) + 1, MATCH(1, (Data_Input!$7:$7=$F$3)*(Data_Input!$8:$8=$B84), 0)),"")</f>
        <v/>
      </c>
      <c r="G84" s="20" t="str" cm="1">
        <f t="array" ref="G84">IFERROR(INDEX(Data_Input!$A$1:$ZZ$502, MATCH("총자산", INDEX(Data_Input!$A$1:$ZZ$502, 0, MATCH(1, (Data_Input!$7:$7=$F$3)*(Data_Input!$8:$8=$B84), 0)), 0) + 1, MATCH(1, (Data_Input!$7:$7=$F$3)*(Data_Input!$8:$8=$B84), 0)),"")</f>
        <v/>
      </c>
      <c r="H84" s="20" t="str" cm="1">
        <f t="array" ref="H84">IFERROR(INDEX(Data_Input!$A$1:$ZZ$502, MATCH("매입금액", INDEX(Data_Input!$A$1:$ZZ$502, 0, MATCH(1, (Data_Input!$7:$7=$F$3)*(Data_Input!$8:$8=$B84), 0)), 0) + 1, MATCH(1, (Data_Input!$7:$7=$F$3)*(Data_Input!$8:$8=$B84), 0)),"")</f>
        <v/>
      </c>
      <c r="I84" s="20" t="str" cm="1">
        <f t="array" ref="I84">IFERROR(INDEX(Data_Input!$A$1:$ZZ$502, MATCH("평가금액", INDEX(Data_Input!$A$1:$ZZ$502, 0, MATCH(1, (Data_Input!$7:$7=$F$3)*(Data_Input!$8:$8=$B84), 0)), 0) + 1, MATCH(1, (Data_Input!$7:$7=$F$3)*(Data_Input!$8:$8=$B84), 0)),"")</f>
        <v/>
      </c>
      <c r="J84" s="20" t="str" cm="1">
        <f t="array" ref="J84">IFERROR(INDEX(Data_Input!$A$1:$ZZ$502, MATCH("평가손익", INDEX(Data_Input!$A$1:$ZZ$502, 0, MATCH(1, (Data_Input!$7:$7=$F$3)*(Data_Input!$8:$8=$B84), 0)), 0) + 1, MATCH(1, (Data_Input!$7:$7=$F$3)*(Data_Input!$8:$8=$B84), 0)),"")</f>
        <v/>
      </c>
      <c r="K84" s="14" t="str" cm="1">
        <f t="array" ref="K84">IFERROR(INDEX(Data_Input!$A$1:$ZZ$502, MATCH("총수익률", INDEX(Data_Input!$A$1:$ZZ$502, 0, MATCH(1, (Data_Input!$7:$7=$F$3)*(Data_Input!$8:$8=$B84), 0)), 0) + 1, MATCH(1, (Data_Input!$7:$7=$F$3)*(Data_Input!$8:$8=$B84), 0)),"")</f>
        <v/>
      </c>
      <c r="L84" t="str" cm="1">
        <f t="array" ref="L84">IFERROR(_xlfn.LET(
    _xlpm.targetDate, B84,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85" spans="1:12" x14ac:dyDescent="0.3">
      <c r="A85" s="16" t="str">
        <f t="shared" si="2"/>
        <v/>
      </c>
      <c r="B85" s="19"/>
      <c r="C85" s="17" t="str">
        <f t="shared" si="3"/>
        <v/>
      </c>
      <c r="D85" s="29" t="str" cm="1">
        <f t="array" ref="D85">IFERROR(INDEX(Data_Input!$10:$10,MATCH(1,(Data_Input!$7:$7=$F$3)*(Data_Input!$8:$8=$B85),0)),"")</f>
        <v/>
      </c>
      <c r="E85" s="29" t="str" cm="1">
        <f t="array" ref="E85">IFERROR(INDEX(Data_Input!$1:$100, 9, MATCH(1, (Data_Input!$7:$7=$F$3) * (Data_Input!$8:$8=$B85), 0)),"")</f>
        <v/>
      </c>
      <c r="F85" s="20" t="str" cm="1">
        <f t="array" ref="F85">IFERROR(INDEX(Data_Input!$A$1:$ZZ$502, MATCH("예수금", INDEX(Data_Input!$A$1:$ZZ$502, 0, MATCH(1, (Data_Input!$7:$7=$F$3)*(Data_Input!$8:$8=$B85), 0)), 0) + 1, MATCH(1, (Data_Input!$7:$7=$F$3)*(Data_Input!$8:$8=$B85), 0)),"")</f>
        <v/>
      </c>
      <c r="G85" s="20" t="str" cm="1">
        <f t="array" ref="G85">IFERROR(INDEX(Data_Input!$A$1:$ZZ$502, MATCH("총자산", INDEX(Data_Input!$A$1:$ZZ$502, 0, MATCH(1, (Data_Input!$7:$7=$F$3)*(Data_Input!$8:$8=$B85), 0)), 0) + 1, MATCH(1, (Data_Input!$7:$7=$F$3)*(Data_Input!$8:$8=$B85), 0)),"")</f>
        <v/>
      </c>
      <c r="H85" s="20" t="str" cm="1">
        <f t="array" ref="H85">IFERROR(INDEX(Data_Input!$A$1:$ZZ$502, MATCH("매입금액", INDEX(Data_Input!$A$1:$ZZ$502, 0, MATCH(1, (Data_Input!$7:$7=$F$3)*(Data_Input!$8:$8=$B85), 0)), 0) + 1, MATCH(1, (Data_Input!$7:$7=$F$3)*(Data_Input!$8:$8=$B85), 0)),"")</f>
        <v/>
      </c>
      <c r="I85" s="20" t="str" cm="1">
        <f t="array" ref="I85">IFERROR(INDEX(Data_Input!$A$1:$ZZ$502, MATCH("평가금액", INDEX(Data_Input!$A$1:$ZZ$502, 0, MATCH(1, (Data_Input!$7:$7=$F$3)*(Data_Input!$8:$8=$B85), 0)), 0) + 1, MATCH(1, (Data_Input!$7:$7=$F$3)*(Data_Input!$8:$8=$B85), 0)),"")</f>
        <v/>
      </c>
      <c r="J85" s="20" t="str" cm="1">
        <f t="array" ref="J85">IFERROR(INDEX(Data_Input!$A$1:$ZZ$502, MATCH("평가손익", INDEX(Data_Input!$A$1:$ZZ$502, 0, MATCH(1, (Data_Input!$7:$7=$F$3)*(Data_Input!$8:$8=$B85), 0)), 0) + 1, MATCH(1, (Data_Input!$7:$7=$F$3)*(Data_Input!$8:$8=$B85), 0)),"")</f>
        <v/>
      </c>
      <c r="K85" s="14" t="str" cm="1">
        <f t="array" ref="K85">IFERROR(INDEX(Data_Input!$A$1:$ZZ$502, MATCH("총수익률", INDEX(Data_Input!$A$1:$ZZ$502, 0, MATCH(1, (Data_Input!$7:$7=$F$3)*(Data_Input!$8:$8=$B85), 0)), 0) + 1, MATCH(1, (Data_Input!$7:$7=$F$3)*(Data_Input!$8:$8=$B85), 0)),"")</f>
        <v/>
      </c>
      <c r="L85" t="str" cm="1">
        <f t="array" ref="L85">IFERROR(_xlfn.LET(
    _xlpm.targetDate, B85,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86" spans="1:12" x14ac:dyDescent="0.3">
      <c r="A86" s="16" t="str">
        <f t="shared" si="2"/>
        <v/>
      </c>
      <c r="B86" s="19"/>
      <c r="C86" s="17" t="str">
        <f t="shared" si="3"/>
        <v/>
      </c>
      <c r="D86" s="29" t="str" cm="1">
        <f t="array" ref="D86">IFERROR(INDEX(Data_Input!$10:$10,MATCH(1,(Data_Input!$7:$7=$F$3)*(Data_Input!$8:$8=$B86),0)),"")</f>
        <v/>
      </c>
      <c r="E86" s="29" t="str" cm="1">
        <f t="array" ref="E86">IFERROR(INDEX(Data_Input!$1:$100, 9, MATCH(1, (Data_Input!$7:$7=$F$3) * (Data_Input!$8:$8=$B86), 0)),"")</f>
        <v/>
      </c>
      <c r="F86" s="20" t="str" cm="1">
        <f t="array" ref="F86">IFERROR(INDEX(Data_Input!$A$1:$ZZ$502, MATCH("예수금", INDEX(Data_Input!$A$1:$ZZ$502, 0, MATCH(1, (Data_Input!$7:$7=$F$3)*(Data_Input!$8:$8=$B86), 0)), 0) + 1, MATCH(1, (Data_Input!$7:$7=$F$3)*(Data_Input!$8:$8=$B86), 0)),"")</f>
        <v/>
      </c>
      <c r="G86" s="20" t="str" cm="1">
        <f t="array" ref="G86">IFERROR(INDEX(Data_Input!$A$1:$ZZ$502, MATCH("총자산", INDEX(Data_Input!$A$1:$ZZ$502, 0, MATCH(1, (Data_Input!$7:$7=$F$3)*(Data_Input!$8:$8=$B86), 0)), 0) + 1, MATCH(1, (Data_Input!$7:$7=$F$3)*(Data_Input!$8:$8=$B86), 0)),"")</f>
        <v/>
      </c>
      <c r="H86" s="20" t="str" cm="1">
        <f t="array" ref="H86">IFERROR(INDEX(Data_Input!$A$1:$ZZ$502, MATCH("매입금액", INDEX(Data_Input!$A$1:$ZZ$502, 0, MATCH(1, (Data_Input!$7:$7=$F$3)*(Data_Input!$8:$8=$B86), 0)), 0) + 1, MATCH(1, (Data_Input!$7:$7=$F$3)*(Data_Input!$8:$8=$B86), 0)),"")</f>
        <v/>
      </c>
      <c r="I86" s="20" t="str" cm="1">
        <f t="array" ref="I86">IFERROR(INDEX(Data_Input!$A$1:$ZZ$502, MATCH("평가금액", INDEX(Data_Input!$A$1:$ZZ$502, 0, MATCH(1, (Data_Input!$7:$7=$F$3)*(Data_Input!$8:$8=$B86), 0)), 0) + 1, MATCH(1, (Data_Input!$7:$7=$F$3)*(Data_Input!$8:$8=$B86), 0)),"")</f>
        <v/>
      </c>
      <c r="J86" s="20" t="str" cm="1">
        <f t="array" ref="J86">IFERROR(INDEX(Data_Input!$A$1:$ZZ$502, MATCH("평가손익", INDEX(Data_Input!$A$1:$ZZ$502, 0, MATCH(1, (Data_Input!$7:$7=$F$3)*(Data_Input!$8:$8=$B86), 0)), 0) + 1, MATCH(1, (Data_Input!$7:$7=$F$3)*(Data_Input!$8:$8=$B86), 0)),"")</f>
        <v/>
      </c>
      <c r="K86" s="14" t="str" cm="1">
        <f t="array" ref="K86">IFERROR(INDEX(Data_Input!$A$1:$ZZ$502, MATCH("총수익률", INDEX(Data_Input!$A$1:$ZZ$502, 0, MATCH(1, (Data_Input!$7:$7=$F$3)*(Data_Input!$8:$8=$B86), 0)), 0) + 1, MATCH(1, (Data_Input!$7:$7=$F$3)*(Data_Input!$8:$8=$B86), 0)),"")</f>
        <v/>
      </c>
      <c r="L86" t="str" cm="1">
        <f t="array" ref="L86">IFERROR(_xlfn.LET(
    _xlpm.targetDate, B86,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87" spans="1:12" x14ac:dyDescent="0.3">
      <c r="A87" s="16" t="str">
        <f t="shared" si="2"/>
        <v/>
      </c>
      <c r="B87" s="19"/>
      <c r="C87" s="17" t="str">
        <f t="shared" si="3"/>
        <v/>
      </c>
      <c r="D87" s="29" t="str" cm="1">
        <f t="array" ref="D87">IFERROR(INDEX(Data_Input!$10:$10,MATCH(1,(Data_Input!$7:$7=$F$3)*(Data_Input!$8:$8=$B87),0)),"")</f>
        <v/>
      </c>
      <c r="E87" s="29" t="str" cm="1">
        <f t="array" ref="E87">IFERROR(INDEX(Data_Input!$1:$100, 9, MATCH(1, (Data_Input!$7:$7=$F$3) * (Data_Input!$8:$8=$B87), 0)),"")</f>
        <v/>
      </c>
      <c r="F87" s="20" t="str" cm="1">
        <f t="array" ref="F87">IFERROR(INDEX(Data_Input!$A$1:$ZZ$502, MATCH("예수금", INDEX(Data_Input!$A$1:$ZZ$502, 0, MATCH(1, (Data_Input!$7:$7=$F$3)*(Data_Input!$8:$8=$B87), 0)), 0) + 1, MATCH(1, (Data_Input!$7:$7=$F$3)*(Data_Input!$8:$8=$B87), 0)),"")</f>
        <v/>
      </c>
      <c r="G87" s="20" t="str" cm="1">
        <f t="array" ref="G87">IFERROR(INDEX(Data_Input!$A$1:$ZZ$502, MATCH("총자산", INDEX(Data_Input!$A$1:$ZZ$502, 0, MATCH(1, (Data_Input!$7:$7=$F$3)*(Data_Input!$8:$8=$B87), 0)), 0) + 1, MATCH(1, (Data_Input!$7:$7=$F$3)*(Data_Input!$8:$8=$B87), 0)),"")</f>
        <v/>
      </c>
      <c r="H87" s="20" t="str" cm="1">
        <f t="array" ref="H87">IFERROR(INDEX(Data_Input!$A$1:$ZZ$502, MATCH("매입금액", INDEX(Data_Input!$A$1:$ZZ$502, 0, MATCH(1, (Data_Input!$7:$7=$F$3)*(Data_Input!$8:$8=$B87), 0)), 0) + 1, MATCH(1, (Data_Input!$7:$7=$F$3)*(Data_Input!$8:$8=$B87), 0)),"")</f>
        <v/>
      </c>
      <c r="I87" s="20" t="str" cm="1">
        <f t="array" ref="I87">IFERROR(INDEX(Data_Input!$A$1:$ZZ$502, MATCH("평가금액", INDEX(Data_Input!$A$1:$ZZ$502, 0, MATCH(1, (Data_Input!$7:$7=$F$3)*(Data_Input!$8:$8=$B87), 0)), 0) + 1, MATCH(1, (Data_Input!$7:$7=$F$3)*(Data_Input!$8:$8=$B87), 0)),"")</f>
        <v/>
      </c>
      <c r="J87" s="20" t="str" cm="1">
        <f t="array" ref="J87">IFERROR(INDEX(Data_Input!$A$1:$ZZ$502, MATCH("평가손익", INDEX(Data_Input!$A$1:$ZZ$502, 0, MATCH(1, (Data_Input!$7:$7=$F$3)*(Data_Input!$8:$8=$B87), 0)), 0) + 1, MATCH(1, (Data_Input!$7:$7=$F$3)*(Data_Input!$8:$8=$B87), 0)),"")</f>
        <v/>
      </c>
      <c r="K87" s="14" t="str" cm="1">
        <f t="array" ref="K87">IFERROR(INDEX(Data_Input!$A$1:$ZZ$502, MATCH("총수익률", INDEX(Data_Input!$A$1:$ZZ$502, 0, MATCH(1, (Data_Input!$7:$7=$F$3)*(Data_Input!$8:$8=$B87), 0)), 0) + 1, MATCH(1, (Data_Input!$7:$7=$F$3)*(Data_Input!$8:$8=$B87), 0)),"")</f>
        <v/>
      </c>
      <c r="L87" t="str" cm="1">
        <f t="array" ref="L87">IFERROR(_xlfn.LET(
    _xlpm.targetDate, B87,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88" spans="1:12" x14ac:dyDescent="0.3">
      <c r="A88" s="16" t="str">
        <f t="shared" si="2"/>
        <v/>
      </c>
      <c r="B88" s="19"/>
      <c r="C88" s="17" t="str">
        <f t="shared" si="3"/>
        <v/>
      </c>
      <c r="D88" s="29" t="str" cm="1">
        <f t="array" ref="D88">IFERROR(INDEX(Data_Input!$10:$10,MATCH(1,(Data_Input!$7:$7=$F$3)*(Data_Input!$8:$8=$B88),0)),"")</f>
        <v/>
      </c>
      <c r="E88" s="29" t="str" cm="1">
        <f t="array" ref="E88">IFERROR(INDEX(Data_Input!$1:$100, 9, MATCH(1, (Data_Input!$7:$7=$F$3) * (Data_Input!$8:$8=$B88), 0)),"")</f>
        <v/>
      </c>
      <c r="F88" s="20" t="str" cm="1">
        <f t="array" ref="F88">IFERROR(INDEX(Data_Input!$A$1:$ZZ$502, MATCH("예수금", INDEX(Data_Input!$A$1:$ZZ$502, 0, MATCH(1, (Data_Input!$7:$7=$F$3)*(Data_Input!$8:$8=$B88), 0)), 0) + 1, MATCH(1, (Data_Input!$7:$7=$F$3)*(Data_Input!$8:$8=$B88), 0)),"")</f>
        <v/>
      </c>
      <c r="G88" s="20" t="str" cm="1">
        <f t="array" ref="G88">IFERROR(INDEX(Data_Input!$A$1:$ZZ$502, MATCH("총자산", INDEX(Data_Input!$A$1:$ZZ$502, 0, MATCH(1, (Data_Input!$7:$7=$F$3)*(Data_Input!$8:$8=$B88), 0)), 0) + 1, MATCH(1, (Data_Input!$7:$7=$F$3)*(Data_Input!$8:$8=$B88), 0)),"")</f>
        <v/>
      </c>
      <c r="H88" s="20" t="str" cm="1">
        <f t="array" ref="H88">IFERROR(INDEX(Data_Input!$A$1:$ZZ$502, MATCH("매입금액", INDEX(Data_Input!$A$1:$ZZ$502, 0, MATCH(1, (Data_Input!$7:$7=$F$3)*(Data_Input!$8:$8=$B88), 0)), 0) + 1, MATCH(1, (Data_Input!$7:$7=$F$3)*(Data_Input!$8:$8=$B88), 0)),"")</f>
        <v/>
      </c>
      <c r="I88" s="20" t="str" cm="1">
        <f t="array" ref="I88">IFERROR(INDEX(Data_Input!$A$1:$ZZ$502, MATCH("평가금액", INDEX(Data_Input!$A$1:$ZZ$502, 0, MATCH(1, (Data_Input!$7:$7=$F$3)*(Data_Input!$8:$8=$B88), 0)), 0) + 1, MATCH(1, (Data_Input!$7:$7=$F$3)*(Data_Input!$8:$8=$B88), 0)),"")</f>
        <v/>
      </c>
      <c r="J88" s="20" t="str" cm="1">
        <f t="array" ref="J88">IFERROR(INDEX(Data_Input!$A$1:$ZZ$502, MATCH("평가손익", INDEX(Data_Input!$A$1:$ZZ$502, 0, MATCH(1, (Data_Input!$7:$7=$F$3)*(Data_Input!$8:$8=$B88), 0)), 0) + 1, MATCH(1, (Data_Input!$7:$7=$F$3)*(Data_Input!$8:$8=$B88), 0)),"")</f>
        <v/>
      </c>
      <c r="K88" s="14" t="str" cm="1">
        <f t="array" ref="K88">IFERROR(INDEX(Data_Input!$A$1:$ZZ$502, MATCH("총수익률", INDEX(Data_Input!$A$1:$ZZ$502, 0, MATCH(1, (Data_Input!$7:$7=$F$3)*(Data_Input!$8:$8=$B88), 0)), 0) + 1, MATCH(1, (Data_Input!$7:$7=$F$3)*(Data_Input!$8:$8=$B88), 0)),"")</f>
        <v/>
      </c>
      <c r="L88" t="str" cm="1">
        <f t="array" ref="L88">IFERROR(_xlfn.LET(
    _xlpm.targetDate, B88,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89" spans="1:12" x14ac:dyDescent="0.3">
      <c r="A89" s="16" t="str">
        <f t="shared" si="2"/>
        <v/>
      </c>
      <c r="B89" s="19"/>
      <c r="C89" s="17" t="str">
        <f t="shared" si="3"/>
        <v/>
      </c>
      <c r="D89" s="29" t="str" cm="1">
        <f t="array" ref="D89">IFERROR(INDEX(Data_Input!$10:$10,MATCH(1,(Data_Input!$7:$7=$F$3)*(Data_Input!$8:$8=$B89),0)),"")</f>
        <v/>
      </c>
      <c r="E89" s="29" t="str" cm="1">
        <f t="array" ref="E89">IFERROR(INDEX(Data_Input!$1:$100, 9, MATCH(1, (Data_Input!$7:$7=$F$3) * (Data_Input!$8:$8=$B89), 0)),"")</f>
        <v/>
      </c>
      <c r="F89" s="20" t="str" cm="1">
        <f t="array" ref="F89">IFERROR(INDEX(Data_Input!$A$1:$ZZ$502, MATCH("예수금", INDEX(Data_Input!$A$1:$ZZ$502, 0, MATCH(1, (Data_Input!$7:$7=$F$3)*(Data_Input!$8:$8=$B89), 0)), 0) + 1, MATCH(1, (Data_Input!$7:$7=$F$3)*(Data_Input!$8:$8=$B89), 0)),"")</f>
        <v/>
      </c>
      <c r="G89" s="20" t="str" cm="1">
        <f t="array" ref="G89">IFERROR(INDEX(Data_Input!$A$1:$ZZ$502, MATCH("총자산", INDEX(Data_Input!$A$1:$ZZ$502, 0, MATCH(1, (Data_Input!$7:$7=$F$3)*(Data_Input!$8:$8=$B89), 0)), 0) + 1, MATCH(1, (Data_Input!$7:$7=$F$3)*(Data_Input!$8:$8=$B89), 0)),"")</f>
        <v/>
      </c>
      <c r="H89" s="20" t="str" cm="1">
        <f t="array" ref="H89">IFERROR(INDEX(Data_Input!$A$1:$ZZ$502, MATCH("매입금액", INDEX(Data_Input!$A$1:$ZZ$502, 0, MATCH(1, (Data_Input!$7:$7=$F$3)*(Data_Input!$8:$8=$B89), 0)), 0) + 1, MATCH(1, (Data_Input!$7:$7=$F$3)*(Data_Input!$8:$8=$B89), 0)),"")</f>
        <v/>
      </c>
      <c r="I89" s="20" t="str" cm="1">
        <f t="array" ref="I89">IFERROR(INDEX(Data_Input!$A$1:$ZZ$502, MATCH("평가금액", INDEX(Data_Input!$A$1:$ZZ$502, 0, MATCH(1, (Data_Input!$7:$7=$F$3)*(Data_Input!$8:$8=$B89), 0)), 0) + 1, MATCH(1, (Data_Input!$7:$7=$F$3)*(Data_Input!$8:$8=$B89), 0)),"")</f>
        <v/>
      </c>
      <c r="J89" s="20" t="str" cm="1">
        <f t="array" ref="J89">IFERROR(INDEX(Data_Input!$A$1:$ZZ$502, MATCH("평가손익", INDEX(Data_Input!$A$1:$ZZ$502, 0, MATCH(1, (Data_Input!$7:$7=$F$3)*(Data_Input!$8:$8=$B89), 0)), 0) + 1, MATCH(1, (Data_Input!$7:$7=$F$3)*(Data_Input!$8:$8=$B89), 0)),"")</f>
        <v/>
      </c>
      <c r="K89" s="14" t="str" cm="1">
        <f t="array" ref="K89">IFERROR(INDEX(Data_Input!$A$1:$ZZ$502, MATCH("총수익률", INDEX(Data_Input!$A$1:$ZZ$502, 0, MATCH(1, (Data_Input!$7:$7=$F$3)*(Data_Input!$8:$8=$B89), 0)), 0) + 1, MATCH(1, (Data_Input!$7:$7=$F$3)*(Data_Input!$8:$8=$B89), 0)),"")</f>
        <v/>
      </c>
      <c r="L89" t="str" cm="1">
        <f t="array" ref="L89">IFERROR(_xlfn.LET(
    _xlpm.targetDate, B89,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90" spans="1:12" x14ac:dyDescent="0.3">
      <c r="A90" s="16" t="str">
        <f t="shared" si="2"/>
        <v/>
      </c>
      <c r="B90" s="19"/>
      <c r="C90" s="17" t="str">
        <f t="shared" si="3"/>
        <v/>
      </c>
      <c r="D90" s="29" t="str" cm="1">
        <f t="array" ref="D90">IFERROR(INDEX(Data_Input!$10:$10,MATCH(1,(Data_Input!$7:$7=$F$3)*(Data_Input!$8:$8=$B90),0)),"")</f>
        <v/>
      </c>
      <c r="E90" s="29" t="str" cm="1">
        <f t="array" ref="E90">IFERROR(INDEX(Data_Input!$1:$100, 9, MATCH(1, (Data_Input!$7:$7=$F$3) * (Data_Input!$8:$8=$B90), 0)),"")</f>
        <v/>
      </c>
      <c r="F90" s="20" t="str" cm="1">
        <f t="array" ref="F90">IFERROR(INDEX(Data_Input!$A$1:$ZZ$502, MATCH("예수금", INDEX(Data_Input!$A$1:$ZZ$502, 0, MATCH(1, (Data_Input!$7:$7=$F$3)*(Data_Input!$8:$8=$B90), 0)), 0) + 1, MATCH(1, (Data_Input!$7:$7=$F$3)*(Data_Input!$8:$8=$B90), 0)),"")</f>
        <v/>
      </c>
      <c r="G90" s="20" t="str" cm="1">
        <f t="array" ref="G90">IFERROR(INDEX(Data_Input!$A$1:$ZZ$502, MATCH("총자산", INDEX(Data_Input!$A$1:$ZZ$502, 0, MATCH(1, (Data_Input!$7:$7=$F$3)*(Data_Input!$8:$8=$B90), 0)), 0) + 1, MATCH(1, (Data_Input!$7:$7=$F$3)*(Data_Input!$8:$8=$B90), 0)),"")</f>
        <v/>
      </c>
      <c r="H90" s="20" t="str" cm="1">
        <f t="array" ref="H90">IFERROR(INDEX(Data_Input!$A$1:$ZZ$502, MATCH("매입금액", INDEX(Data_Input!$A$1:$ZZ$502, 0, MATCH(1, (Data_Input!$7:$7=$F$3)*(Data_Input!$8:$8=$B90), 0)), 0) + 1, MATCH(1, (Data_Input!$7:$7=$F$3)*(Data_Input!$8:$8=$B90), 0)),"")</f>
        <v/>
      </c>
      <c r="I90" s="20" t="str" cm="1">
        <f t="array" ref="I90">IFERROR(INDEX(Data_Input!$A$1:$ZZ$502, MATCH("평가금액", INDEX(Data_Input!$A$1:$ZZ$502, 0, MATCH(1, (Data_Input!$7:$7=$F$3)*(Data_Input!$8:$8=$B90), 0)), 0) + 1, MATCH(1, (Data_Input!$7:$7=$F$3)*(Data_Input!$8:$8=$B90), 0)),"")</f>
        <v/>
      </c>
      <c r="J90" s="20" t="str" cm="1">
        <f t="array" ref="J90">IFERROR(INDEX(Data_Input!$A$1:$ZZ$502, MATCH("평가손익", INDEX(Data_Input!$A$1:$ZZ$502, 0, MATCH(1, (Data_Input!$7:$7=$F$3)*(Data_Input!$8:$8=$B90), 0)), 0) + 1, MATCH(1, (Data_Input!$7:$7=$F$3)*(Data_Input!$8:$8=$B90), 0)),"")</f>
        <v/>
      </c>
      <c r="K90" s="14" t="str" cm="1">
        <f t="array" ref="K90">IFERROR(INDEX(Data_Input!$A$1:$ZZ$502, MATCH("총수익률", INDEX(Data_Input!$A$1:$ZZ$502, 0, MATCH(1, (Data_Input!$7:$7=$F$3)*(Data_Input!$8:$8=$B90), 0)), 0) + 1, MATCH(1, (Data_Input!$7:$7=$F$3)*(Data_Input!$8:$8=$B90), 0)),"")</f>
        <v/>
      </c>
      <c r="L90" t="str" cm="1">
        <f t="array" ref="L90">IFERROR(_xlfn.LET(
    _xlpm.targetDate, B90,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91" spans="1:12" x14ac:dyDescent="0.3">
      <c r="A91" s="16" t="str">
        <f t="shared" si="2"/>
        <v/>
      </c>
      <c r="B91" s="19"/>
      <c r="C91" s="17" t="str">
        <f t="shared" si="3"/>
        <v/>
      </c>
      <c r="D91" s="29" t="str" cm="1">
        <f t="array" ref="D91">IFERROR(INDEX(Data_Input!$10:$10,MATCH(1,(Data_Input!$7:$7=$F$3)*(Data_Input!$8:$8=$B91),0)),"")</f>
        <v/>
      </c>
      <c r="E91" s="29" t="str" cm="1">
        <f t="array" ref="E91">IFERROR(INDEX(Data_Input!$1:$100, 9, MATCH(1, (Data_Input!$7:$7=$F$3) * (Data_Input!$8:$8=$B91), 0)),"")</f>
        <v/>
      </c>
      <c r="F91" s="20" t="str" cm="1">
        <f t="array" ref="F91">IFERROR(INDEX(Data_Input!$A$1:$ZZ$502, MATCH("예수금", INDEX(Data_Input!$A$1:$ZZ$502, 0, MATCH(1, (Data_Input!$7:$7=$F$3)*(Data_Input!$8:$8=$B91), 0)), 0) + 1, MATCH(1, (Data_Input!$7:$7=$F$3)*(Data_Input!$8:$8=$B91), 0)),"")</f>
        <v/>
      </c>
      <c r="G91" s="20" t="str" cm="1">
        <f t="array" ref="G91">IFERROR(INDEX(Data_Input!$A$1:$ZZ$502, MATCH("총자산", INDEX(Data_Input!$A$1:$ZZ$502, 0, MATCH(1, (Data_Input!$7:$7=$F$3)*(Data_Input!$8:$8=$B91), 0)), 0) + 1, MATCH(1, (Data_Input!$7:$7=$F$3)*(Data_Input!$8:$8=$B91), 0)),"")</f>
        <v/>
      </c>
      <c r="H91" s="20" t="str" cm="1">
        <f t="array" ref="H91">IFERROR(INDEX(Data_Input!$A$1:$ZZ$502, MATCH("매입금액", INDEX(Data_Input!$A$1:$ZZ$502, 0, MATCH(1, (Data_Input!$7:$7=$F$3)*(Data_Input!$8:$8=$B91), 0)), 0) + 1, MATCH(1, (Data_Input!$7:$7=$F$3)*(Data_Input!$8:$8=$B91), 0)),"")</f>
        <v/>
      </c>
      <c r="I91" s="20" t="str" cm="1">
        <f t="array" ref="I91">IFERROR(INDEX(Data_Input!$A$1:$ZZ$502, MATCH("평가금액", INDEX(Data_Input!$A$1:$ZZ$502, 0, MATCH(1, (Data_Input!$7:$7=$F$3)*(Data_Input!$8:$8=$B91), 0)), 0) + 1, MATCH(1, (Data_Input!$7:$7=$F$3)*(Data_Input!$8:$8=$B91), 0)),"")</f>
        <v/>
      </c>
      <c r="J91" s="20" t="str" cm="1">
        <f t="array" ref="J91">IFERROR(INDEX(Data_Input!$A$1:$ZZ$502, MATCH("평가손익", INDEX(Data_Input!$A$1:$ZZ$502, 0, MATCH(1, (Data_Input!$7:$7=$F$3)*(Data_Input!$8:$8=$B91), 0)), 0) + 1, MATCH(1, (Data_Input!$7:$7=$F$3)*(Data_Input!$8:$8=$B91), 0)),"")</f>
        <v/>
      </c>
      <c r="K91" s="14" t="str" cm="1">
        <f t="array" ref="K91">IFERROR(INDEX(Data_Input!$A$1:$ZZ$502, MATCH("총수익률", INDEX(Data_Input!$A$1:$ZZ$502, 0, MATCH(1, (Data_Input!$7:$7=$F$3)*(Data_Input!$8:$8=$B91), 0)), 0) + 1, MATCH(1, (Data_Input!$7:$7=$F$3)*(Data_Input!$8:$8=$B91), 0)),"")</f>
        <v/>
      </c>
      <c r="L91" t="str" cm="1">
        <f t="array" ref="L91">IFERROR(_xlfn.LET(
    _xlpm.targetDate, B91,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92" spans="1:12" x14ac:dyDescent="0.3">
      <c r="A92" s="16" t="str">
        <f t="shared" si="2"/>
        <v/>
      </c>
      <c r="B92" s="19"/>
      <c r="C92" s="17" t="str">
        <f t="shared" si="3"/>
        <v/>
      </c>
      <c r="D92" s="29" t="str" cm="1">
        <f t="array" ref="D92">IFERROR(INDEX(Data_Input!$10:$10,MATCH(1,(Data_Input!$7:$7=$F$3)*(Data_Input!$8:$8=$B92),0)),"")</f>
        <v/>
      </c>
      <c r="E92" s="29" t="str" cm="1">
        <f t="array" ref="E92">IFERROR(INDEX(Data_Input!$1:$100, 9, MATCH(1, (Data_Input!$7:$7=$F$3) * (Data_Input!$8:$8=$B92), 0)),"")</f>
        <v/>
      </c>
      <c r="F92" s="20" t="str" cm="1">
        <f t="array" ref="F92">IFERROR(INDEX(Data_Input!$A$1:$ZZ$502, MATCH("예수금", INDEX(Data_Input!$A$1:$ZZ$502, 0, MATCH(1, (Data_Input!$7:$7=$F$3)*(Data_Input!$8:$8=$B92), 0)), 0) + 1, MATCH(1, (Data_Input!$7:$7=$F$3)*(Data_Input!$8:$8=$B92), 0)),"")</f>
        <v/>
      </c>
      <c r="G92" s="20" t="str" cm="1">
        <f t="array" ref="G92">IFERROR(INDEX(Data_Input!$A$1:$ZZ$502, MATCH("총자산", INDEX(Data_Input!$A$1:$ZZ$502, 0, MATCH(1, (Data_Input!$7:$7=$F$3)*(Data_Input!$8:$8=$B92), 0)), 0) + 1, MATCH(1, (Data_Input!$7:$7=$F$3)*(Data_Input!$8:$8=$B92), 0)),"")</f>
        <v/>
      </c>
      <c r="H92" s="20" t="str" cm="1">
        <f t="array" ref="H92">IFERROR(INDEX(Data_Input!$A$1:$ZZ$502, MATCH("매입금액", INDEX(Data_Input!$A$1:$ZZ$502, 0, MATCH(1, (Data_Input!$7:$7=$F$3)*(Data_Input!$8:$8=$B92), 0)), 0) + 1, MATCH(1, (Data_Input!$7:$7=$F$3)*(Data_Input!$8:$8=$B92), 0)),"")</f>
        <v/>
      </c>
      <c r="I92" s="20" t="str" cm="1">
        <f t="array" ref="I92">IFERROR(INDEX(Data_Input!$A$1:$ZZ$502, MATCH("평가금액", INDEX(Data_Input!$A$1:$ZZ$502, 0, MATCH(1, (Data_Input!$7:$7=$F$3)*(Data_Input!$8:$8=$B92), 0)), 0) + 1, MATCH(1, (Data_Input!$7:$7=$F$3)*(Data_Input!$8:$8=$B92), 0)),"")</f>
        <v/>
      </c>
      <c r="J92" s="20" t="str" cm="1">
        <f t="array" ref="J92">IFERROR(INDEX(Data_Input!$A$1:$ZZ$502, MATCH("평가손익", INDEX(Data_Input!$A$1:$ZZ$502, 0, MATCH(1, (Data_Input!$7:$7=$F$3)*(Data_Input!$8:$8=$B92), 0)), 0) + 1, MATCH(1, (Data_Input!$7:$7=$F$3)*(Data_Input!$8:$8=$B92), 0)),"")</f>
        <v/>
      </c>
      <c r="K92" s="14" t="str" cm="1">
        <f t="array" ref="K92">IFERROR(INDEX(Data_Input!$A$1:$ZZ$502, MATCH("총수익률", INDEX(Data_Input!$A$1:$ZZ$502, 0, MATCH(1, (Data_Input!$7:$7=$F$3)*(Data_Input!$8:$8=$B92), 0)), 0) + 1, MATCH(1, (Data_Input!$7:$7=$F$3)*(Data_Input!$8:$8=$B92), 0)),"")</f>
        <v/>
      </c>
      <c r="L92" t="str" cm="1">
        <f t="array" ref="L92">IFERROR(_xlfn.LET(
    _xlpm.targetDate, B92,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93" spans="1:12" x14ac:dyDescent="0.3">
      <c r="A93" s="16" t="str">
        <f t="shared" si="2"/>
        <v/>
      </c>
      <c r="B93" s="19"/>
      <c r="C93" s="17" t="str">
        <f t="shared" si="3"/>
        <v/>
      </c>
      <c r="D93" s="29" t="str" cm="1">
        <f t="array" ref="D93">IFERROR(INDEX(Data_Input!$10:$10,MATCH(1,(Data_Input!$7:$7=$F$3)*(Data_Input!$8:$8=$B93),0)),"")</f>
        <v/>
      </c>
      <c r="E93" s="29" t="str" cm="1">
        <f t="array" ref="E93">IFERROR(INDEX(Data_Input!$1:$100, 9, MATCH(1, (Data_Input!$7:$7=$F$3) * (Data_Input!$8:$8=$B93), 0)),"")</f>
        <v/>
      </c>
      <c r="F93" s="20" t="str" cm="1">
        <f t="array" ref="F93">IFERROR(INDEX(Data_Input!$A$1:$ZZ$502, MATCH("예수금", INDEX(Data_Input!$A$1:$ZZ$502, 0, MATCH(1, (Data_Input!$7:$7=$F$3)*(Data_Input!$8:$8=$B93), 0)), 0) + 1, MATCH(1, (Data_Input!$7:$7=$F$3)*(Data_Input!$8:$8=$B93), 0)),"")</f>
        <v/>
      </c>
      <c r="G93" s="20" t="str" cm="1">
        <f t="array" ref="G93">IFERROR(INDEX(Data_Input!$A$1:$ZZ$502, MATCH("총자산", INDEX(Data_Input!$A$1:$ZZ$502, 0, MATCH(1, (Data_Input!$7:$7=$F$3)*(Data_Input!$8:$8=$B93), 0)), 0) + 1, MATCH(1, (Data_Input!$7:$7=$F$3)*(Data_Input!$8:$8=$B93), 0)),"")</f>
        <v/>
      </c>
      <c r="H93" s="20" t="str" cm="1">
        <f t="array" ref="H93">IFERROR(INDEX(Data_Input!$A$1:$ZZ$502, MATCH("매입금액", INDEX(Data_Input!$A$1:$ZZ$502, 0, MATCH(1, (Data_Input!$7:$7=$F$3)*(Data_Input!$8:$8=$B93), 0)), 0) + 1, MATCH(1, (Data_Input!$7:$7=$F$3)*(Data_Input!$8:$8=$B93), 0)),"")</f>
        <v/>
      </c>
      <c r="I93" s="20" t="str" cm="1">
        <f t="array" ref="I93">IFERROR(INDEX(Data_Input!$A$1:$ZZ$502, MATCH("평가금액", INDEX(Data_Input!$A$1:$ZZ$502, 0, MATCH(1, (Data_Input!$7:$7=$F$3)*(Data_Input!$8:$8=$B93), 0)), 0) + 1, MATCH(1, (Data_Input!$7:$7=$F$3)*(Data_Input!$8:$8=$B93), 0)),"")</f>
        <v/>
      </c>
      <c r="J93" s="20" t="str" cm="1">
        <f t="array" ref="J93">IFERROR(INDEX(Data_Input!$A$1:$ZZ$502, MATCH("평가손익", INDEX(Data_Input!$A$1:$ZZ$502, 0, MATCH(1, (Data_Input!$7:$7=$F$3)*(Data_Input!$8:$8=$B93), 0)), 0) + 1, MATCH(1, (Data_Input!$7:$7=$F$3)*(Data_Input!$8:$8=$B93), 0)),"")</f>
        <v/>
      </c>
      <c r="K93" s="14" t="str" cm="1">
        <f t="array" ref="K93">IFERROR(INDEX(Data_Input!$A$1:$ZZ$502, MATCH("총수익률", INDEX(Data_Input!$A$1:$ZZ$502, 0, MATCH(1, (Data_Input!$7:$7=$F$3)*(Data_Input!$8:$8=$B93), 0)), 0) + 1, MATCH(1, (Data_Input!$7:$7=$F$3)*(Data_Input!$8:$8=$B93), 0)),"")</f>
        <v/>
      </c>
      <c r="L93" t="str" cm="1">
        <f t="array" ref="L93">IFERROR(_xlfn.LET(
    _xlpm.targetDate, B93,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94" spans="1:12" x14ac:dyDescent="0.3">
      <c r="A94" s="16" t="str">
        <f t="shared" si="2"/>
        <v/>
      </c>
      <c r="B94" s="19"/>
      <c r="C94" s="17" t="str">
        <f t="shared" si="3"/>
        <v/>
      </c>
      <c r="D94" s="29" t="str" cm="1">
        <f t="array" ref="D94">IFERROR(INDEX(Data_Input!$10:$10,MATCH(1,(Data_Input!$7:$7=$F$3)*(Data_Input!$8:$8=$B94),0)),"")</f>
        <v/>
      </c>
      <c r="E94" s="29" t="str" cm="1">
        <f t="array" ref="E94">IFERROR(INDEX(Data_Input!$1:$100, 9, MATCH(1, (Data_Input!$7:$7=$F$3) * (Data_Input!$8:$8=$B94), 0)),"")</f>
        <v/>
      </c>
      <c r="F94" s="20" t="str" cm="1">
        <f t="array" ref="F94">IFERROR(INDEX(Data_Input!$A$1:$ZZ$502, MATCH("예수금", INDEX(Data_Input!$A$1:$ZZ$502, 0, MATCH(1, (Data_Input!$7:$7=$F$3)*(Data_Input!$8:$8=$B94), 0)), 0) + 1, MATCH(1, (Data_Input!$7:$7=$F$3)*(Data_Input!$8:$8=$B94), 0)),"")</f>
        <v/>
      </c>
      <c r="G94" s="20" t="str" cm="1">
        <f t="array" ref="G94">IFERROR(INDEX(Data_Input!$A$1:$ZZ$502, MATCH("총자산", INDEX(Data_Input!$A$1:$ZZ$502, 0, MATCH(1, (Data_Input!$7:$7=$F$3)*(Data_Input!$8:$8=$B94), 0)), 0) + 1, MATCH(1, (Data_Input!$7:$7=$F$3)*(Data_Input!$8:$8=$B94), 0)),"")</f>
        <v/>
      </c>
      <c r="H94" s="20" t="str" cm="1">
        <f t="array" ref="H94">IFERROR(INDEX(Data_Input!$A$1:$ZZ$502, MATCH("매입금액", INDEX(Data_Input!$A$1:$ZZ$502, 0, MATCH(1, (Data_Input!$7:$7=$F$3)*(Data_Input!$8:$8=$B94), 0)), 0) + 1, MATCH(1, (Data_Input!$7:$7=$F$3)*(Data_Input!$8:$8=$B94), 0)),"")</f>
        <v/>
      </c>
      <c r="I94" s="20" t="str" cm="1">
        <f t="array" ref="I94">IFERROR(INDEX(Data_Input!$A$1:$ZZ$502, MATCH("평가금액", INDEX(Data_Input!$A$1:$ZZ$502, 0, MATCH(1, (Data_Input!$7:$7=$F$3)*(Data_Input!$8:$8=$B94), 0)), 0) + 1, MATCH(1, (Data_Input!$7:$7=$F$3)*(Data_Input!$8:$8=$B94), 0)),"")</f>
        <v/>
      </c>
      <c r="J94" s="20" t="str" cm="1">
        <f t="array" ref="J94">IFERROR(INDEX(Data_Input!$A$1:$ZZ$502, MATCH("평가손익", INDEX(Data_Input!$A$1:$ZZ$502, 0, MATCH(1, (Data_Input!$7:$7=$F$3)*(Data_Input!$8:$8=$B94), 0)), 0) + 1, MATCH(1, (Data_Input!$7:$7=$F$3)*(Data_Input!$8:$8=$B94), 0)),"")</f>
        <v/>
      </c>
      <c r="K94" s="14" t="str" cm="1">
        <f t="array" ref="K94">IFERROR(INDEX(Data_Input!$A$1:$ZZ$502, MATCH("총수익률", INDEX(Data_Input!$A$1:$ZZ$502, 0, MATCH(1, (Data_Input!$7:$7=$F$3)*(Data_Input!$8:$8=$B94), 0)), 0) + 1, MATCH(1, (Data_Input!$7:$7=$F$3)*(Data_Input!$8:$8=$B94), 0)),"")</f>
        <v/>
      </c>
      <c r="L94" t="str" cm="1">
        <f t="array" ref="L94">IFERROR(_xlfn.LET(
    _xlpm.targetDate, B94,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95" spans="1:12" x14ac:dyDescent="0.3">
      <c r="A95" s="16" t="str">
        <f t="shared" si="2"/>
        <v/>
      </c>
      <c r="B95" s="19"/>
      <c r="C95" s="17" t="str">
        <f t="shared" si="3"/>
        <v/>
      </c>
      <c r="D95" s="29" t="str" cm="1">
        <f t="array" ref="D95">IFERROR(INDEX(Data_Input!$10:$10,MATCH(1,(Data_Input!$7:$7=$F$3)*(Data_Input!$8:$8=$B95),0)),"")</f>
        <v/>
      </c>
      <c r="E95" s="29" t="str" cm="1">
        <f t="array" ref="E95">IFERROR(INDEX(Data_Input!$1:$100, 9, MATCH(1, (Data_Input!$7:$7=$F$3) * (Data_Input!$8:$8=$B95), 0)),"")</f>
        <v/>
      </c>
      <c r="F95" s="20" t="str" cm="1">
        <f t="array" ref="F95">IFERROR(INDEX(Data_Input!$A$1:$ZZ$502, MATCH("예수금", INDEX(Data_Input!$A$1:$ZZ$502, 0, MATCH(1, (Data_Input!$7:$7=$F$3)*(Data_Input!$8:$8=$B95), 0)), 0) + 1, MATCH(1, (Data_Input!$7:$7=$F$3)*(Data_Input!$8:$8=$B95), 0)),"")</f>
        <v/>
      </c>
      <c r="G95" s="20" t="str" cm="1">
        <f t="array" ref="G95">IFERROR(INDEX(Data_Input!$A$1:$ZZ$502, MATCH("총자산", INDEX(Data_Input!$A$1:$ZZ$502, 0, MATCH(1, (Data_Input!$7:$7=$F$3)*(Data_Input!$8:$8=$B95), 0)), 0) + 1, MATCH(1, (Data_Input!$7:$7=$F$3)*(Data_Input!$8:$8=$B95), 0)),"")</f>
        <v/>
      </c>
      <c r="H95" s="20" t="str" cm="1">
        <f t="array" ref="H95">IFERROR(INDEX(Data_Input!$A$1:$ZZ$502, MATCH("매입금액", INDEX(Data_Input!$A$1:$ZZ$502, 0, MATCH(1, (Data_Input!$7:$7=$F$3)*(Data_Input!$8:$8=$B95), 0)), 0) + 1, MATCH(1, (Data_Input!$7:$7=$F$3)*(Data_Input!$8:$8=$B95), 0)),"")</f>
        <v/>
      </c>
      <c r="I95" s="20" t="str" cm="1">
        <f t="array" ref="I95">IFERROR(INDEX(Data_Input!$A$1:$ZZ$502, MATCH("평가금액", INDEX(Data_Input!$A$1:$ZZ$502, 0, MATCH(1, (Data_Input!$7:$7=$F$3)*(Data_Input!$8:$8=$B95), 0)), 0) + 1, MATCH(1, (Data_Input!$7:$7=$F$3)*(Data_Input!$8:$8=$B95), 0)),"")</f>
        <v/>
      </c>
      <c r="J95" s="20" t="str" cm="1">
        <f t="array" ref="J95">IFERROR(INDEX(Data_Input!$A$1:$ZZ$502, MATCH("평가손익", INDEX(Data_Input!$A$1:$ZZ$502, 0, MATCH(1, (Data_Input!$7:$7=$F$3)*(Data_Input!$8:$8=$B95), 0)), 0) + 1, MATCH(1, (Data_Input!$7:$7=$F$3)*(Data_Input!$8:$8=$B95), 0)),"")</f>
        <v/>
      </c>
      <c r="K95" s="14" t="str" cm="1">
        <f t="array" ref="K95">IFERROR(INDEX(Data_Input!$A$1:$ZZ$502, MATCH("총수익률", INDEX(Data_Input!$A$1:$ZZ$502, 0, MATCH(1, (Data_Input!$7:$7=$F$3)*(Data_Input!$8:$8=$B95), 0)), 0) + 1, MATCH(1, (Data_Input!$7:$7=$F$3)*(Data_Input!$8:$8=$B95), 0)),"")</f>
        <v/>
      </c>
      <c r="L95" t="str" cm="1">
        <f t="array" ref="L95">IFERROR(_xlfn.LET(
    _xlpm.targetDate, B95,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96" spans="1:12" x14ac:dyDescent="0.3">
      <c r="A96" s="16" t="str">
        <f t="shared" si="2"/>
        <v/>
      </c>
      <c r="B96" s="19"/>
      <c r="C96" s="17" t="str">
        <f t="shared" si="3"/>
        <v/>
      </c>
      <c r="D96" s="29" t="str" cm="1">
        <f t="array" ref="D96">IFERROR(INDEX(Data_Input!$10:$10,MATCH(1,(Data_Input!$7:$7=$F$3)*(Data_Input!$8:$8=$B96),0)),"")</f>
        <v/>
      </c>
      <c r="E96" s="29" t="str" cm="1">
        <f t="array" ref="E96">IFERROR(INDEX(Data_Input!$1:$100, 9, MATCH(1, (Data_Input!$7:$7=$F$3) * (Data_Input!$8:$8=$B96), 0)),"")</f>
        <v/>
      </c>
      <c r="F96" s="20" t="str" cm="1">
        <f t="array" ref="F96">IFERROR(INDEX(Data_Input!$A$1:$ZZ$502, MATCH("예수금", INDEX(Data_Input!$A$1:$ZZ$502, 0, MATCH(1, (Data_Input!$7:$7=$F$3)*(Data_Input!$8:$8=$B96), 0)), 0) + 1, MATCH(1, (Data_Input!$7:$7=$F$3)*(Data_Input!$8:$8=$B96), 0)),"")</f>
        <v/>
      </c>
      <c r="G96" s="20" t="str" cm="1">
        <f t="array" ref="G96">IFERROR(INDEX(Data_Input!$A$1:$ZZ$502, MATCH("총자산", INDEX(Data_Input!$A$1:$ZZ$502, 0, MATCH(1, (Data_Input!$7:$7=$F$3)*(Data_Input!$8:$8=$B96), 0)), 0) + 1, MATCH(1, (Data_Input!$7:$7=$F$3)*(Data_Input!$8:$8=$B96), 0)),"")</f>
        <v/>
      </c>
      <c r="H96" s="20" t="str" cm="1">
        <f t="array" ref="H96">IFERROR(INDEX(Data_Input!$A$1:$ZZ$502, MATCH("매입금액", INDEX(Data_Input!$A$1:$ZZ$502, 0, MATCH(1, (Data_Input!$7:$7=$F$3)*(Data_Input!$8:$8=$B96), 0)), 0) + 1, MATCH(1, (Data_Input!$7:$7=$F$3)*(Data_Input!$8:$8=$B96), 0)),"")</f>
        <v/>
      </c>
      <c r="I96" s="20" t="str" cm="1">
        <f t="array" ref="I96">IFERROR(INDEX(Data_Input!$A$1:$ZZ$502, MATCH("평가금액", INDEX(Data_Input!$A$1:$ZZ$502, 0, MATCH(1, (Data_Input!$7:$7=$F$3)*(Data_Input!$8:$8=$B96), 0)), 0) + 1, MATCH(1, (Data_Input!$7:$7=$F$3)*(Data_Input!$8:$8=$B96), 0)),"")</f>
        <v/>
      </c>
      <c r="J96" s="20" t="str" cm="1">
        <f t="array" ref="J96">IFERROR(INDEX(Data_Input!$A$1:$ZZ$502, MATCH("평가손익", INDEX(Data_Input!$A$1:$ZZ$502, 0, MATCH(1, (Data_Input!$7:$7=$F$3)*(Data_Input!$8:$8=$B96), 0)), 0) + 1, MATCH(1, (Data_Input!$7:$7=$F$3)*(Data_Input!$8:$8=$B96), 0)),"")</f>
        <v/>
      </c>
      <c r="K96" s="14" t="str" cm="1">
        <f t="array" ref="K96">IFERROR(INDEX(Data_Input!$A$1:$ZZ$502, MATCH("총수익률", INDEX(Data_Input!$A$1:$ZZ$502, 0, MATCH(1, (Data_Input!$7:$7=$F$3)*(Data_Input!$8:$8=$B96), 0)), 0) + 1, MATCH(1, (Data_Input!$7:$7=$F$3)*(Data_Input!$8:$8=$B96), 0)),"")</f>
        <v/>
      </c>
      <c r="L96" t="str" cm="1">
        <f t="array" ref="L96">IFERROR(_xlfn.LET(
    _xlpm.targetDate, B96,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97" spans="1:12" x14ac:dyDescent="0.3">
      <c r="A97" s="16" t="str">
        <f t="shared" si="2"/>
        <v/>
      </c>
      <c r="B97" s="19"/>
      <c r="C97" s="17" t="str">
        <f t="shared" si="3"/>
        <v/>
      </c>
      <c r="D97" s="29" t="str" cm="1">
        <f t="array" ref="D97">IFERROR(INDEX(Data_Input!$10:$10,MATCH(1,(Data_Input!$7:$7=$F$3)*(Data_Input!$8:$8=$B97),0)),"")</f>
        <v/>
      </c>
      <c r="E97" s="29" t="str" cm="1">
        <f t="array" ref="E97">IFERROR(INDEX(Data_Input!$1:$100, 9, MATCH(1, (Data_Input!$7:$7=$F$3) * (Data_Input!$8:$8=$B97), 0)),"")</f>
        <v/>
      </c>
      <c r="F97" s="20" t="str" cm="1">
        <f t="array" ref="F97">IFERROR(INDEX(Data_Input!$A$1:$ZZ$502, MATCH("예수금", INDEX(Data_Input!$A$1:$ZZ$502, 0, MATCH(1, (Data_Input!$7:$7=$F$3)*(Data_Input!$8:$8=$B97), 0)), 0) + 1, MATCH(1, (Data_Input!$7:$7=$F$3)*(Data_Input!$8:$8=$B97), 0)),"")</f>
        <v/>
      </c>
      <c r="G97" s="20" t="str" cm="1">
        <f t="array" ref="G97">IFERROR(INDEX(Data_Input!$A$1:$ZZ$502, MATCH("총자산", INDEX(Data_Input!$A$1:$ZZ$502, 0, MATCH(1, (Data_Input!$7:$7=$F$3)*(Data_Input!$8:$8=$B97), 0)), 0) + 1, MATCH(1, (Data_Input!$7:$7=$F$3)*(Data_Input!$8:$8=$B97), 0)),"")</f>
        <v/>
      </c>
      <c r="H97" s="20" t="str" cm="1">
        <f t="array" ref="H97">IFERROR(INDEX(Data_Input!$A$1:$ZZ$502, MATCH("매입금액", INDEX(Data_Input!$A$1:$ZZ$502, 0, MATCH(1, (Data_Input!$7:$7=$F$3)*(Data_Input!$8:$8=$B97), 0)), 0) + 1, MATCH(1, (Data_Input!$7:$7=$F$3)*(Data_Input!$8:$8=$B97), 0)),"")</f>
        <v/>
      </c>
      <c r="I97" s="20" t="str" cm="1">
        <f t="array" ref="I97">IFERROR(INDEX(Data_Input!$A$1:$ZZ$502, MATCH("평가금액", INDEX(Data_Input!$A$1:$ZZ$502, 0, MATCH(1, (Data_Input!$7:$7=$F$3)*(Data_Input!$8:$8=$B97), 0)), 0) + 1, MATCH(1, (Data_Input!$7:$7=$F$3)*(Data_Input!$8:$8=$B97), 0)),"")</f>
        <v/>
      </c>
      <c r="J97" s="20" t="str" cm="1">
        <f t="array" ref="J97">IFERROR(INDEX(Data_Input!$A$1:$ZZ$502, MATCH("평가손익", INDEX(Data_Input!$A$1:$ZZ$502, 0, MATCH(1, (Data_Input!$7:$7=$F$3)*(Data_Input!$8:$8=$B97), 0)), 0) + 1, MATCH(1, (Data_Input!$7:$7=$F$3)*(Data_Input!$8:$8=$B97), 0)),"")</f>
        <v/>
      </c>
      <c r="K97" s="14" t="str" cm="1">
        <f t="array" ref="K97">IFERROR(INDEX(Data_Input!$A$1:$ZZ$502, MATCH("총수익률", INDEX(Data_Input!$A$1:$ZZ$502, 0, MATCH(1, (Data_Input!$7:$7=$F$3)*(Data_Input!$8:$8=$B97), 0)), 0) + 1, MATCH(1, (Data_Input!$7:$7=$F$3)*(Data_Input!$8:$8=$B97), 0)),"")</f>
        <v/>
      </c>
      <c r="L97" t="str" cm="1">
        <f t="array" ref="L97">IFERROR(_xlfn.LET(
    _xlpm.targetDate, B97,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98" spans="1:12" x14ac:dyDescent="0.3">
      <c r="A98" s="16" t="str">
        <f t="shared" si="2"/>
        <v/>
      </c>
      <c r="B98" s="19"/>
      <c r="C98" s="17" t="str">
        <f t="shared" si="3"/>
        <v/>
      </c>
      <c r="D98" s="29" t="str" cm="1">
        <f t="array" ref="D98">IFERROR(INDEX(Data_Input!$10:$10,MATCH(1,(Data_Input!$7:$7=$F$3)*(Data_Input!$8:$8=$B98),0)),"")</f>
        <v/>
      </c>
      <c r="E98" s="29" t="str" cm="1">
        <f t="array" ref="E98">IFERROR(INDEX(Data_Input!$1:$100, 9, MATCH(1, (Data_Input!$7:$7=$F$3) * (Data_Input!$8:$8=$B98), 0)),"")</f>
        <v/>
      </c>
      <c r="F98" s="20" t="str" cm="1">
        <f t="array" ref="F98">IFERROR(INDEX(Data_Input!$A$1:$ZZ$502, MATCH("예수금", INDEX(Data_Input!$A$1:$ZZ$502, 0, MATCH(1, (Data_Input!$7:$7=$F$3)*(Data_Input!$8:$8=$B98), 0)), 0) + 1, MATCH(1, (Data_Input!$7:$7=$F$3)*(Data_Input!$8:$8=$B98), 0)),"")</f>
        <v/>
      </c>
      <c r="G98" s="20" t="str" cm="1">
        <f t="array" ref="G98">IFERROR(INDEX(Data_Input!$A$1:$ZZ$502, MATCH("총자산", INDEX(Data_Input!$A$1:$ZZ$502, 0, MATCH(1, (Data_Input!$7:$7=$F$3)*(Data_Input!$8:$8=$B98), 0)), 0) + 1, MATCH(1, (Data_Input!$7:$7=$F$3)*(Data_Input!$8:$8=$B98), 0)),"")</f>
        <v/>
      </c>
      <c r="H98" s="20" t="str" cm="1">
        <f t="array" ref="H98">IFERROR(INDEX(Data_Input!$A$1:$ZZ$502, MATCH("매입금액", INDEX(Data_Input!$A$1:$ZZ$502, 0, MATCH(1, (Data_Input!$7:$7=$F$3)*(Data_Input!$8:$8=$B98), 0)), 0) + 1, MATCH(1, (Data_Input!$7:$7=$F$3)*(Data_Input!$8:$8=$B98), 0)),"")</f>
        <v/>
      </c>
      <c r="I98" s="20" t="str" cm="1">
        <f t="array" ref="I98">IFERROR(INDEX(Data_Input!$A$1:$ZZ$502, MATCH("평가금액", INDEX(Data_Input!$A$1:$ZZ$502, 0, MATCH(1, (Data_Input!$7:$7=$F$3)*(Data_Input!$8:$8=$B98), 0)), 0) + 1, MATCH(1, (Data_Input!$7:$7=$F$3)*(Data_Input!$8:$8=$B98), 0)),"")</f>
        <v/>
      </c>
      <c r="J98" s="20" t="str" cm="1">
        <f t="array" ref="J98">IFERROR(INDEX(Data_Input!$A$1:$ZZ$502, MATCH("평가손익", INDEX(Data_Input!$A$1:$ZZ$502, 0, MATCH(1, (Data_Input!$7:$7=$F$3)*(Data_Input!$8:$8=$B98), 0)), 0) + 1, MATCH(1, (Data_Input!$7:$7=$F$3)*(Data_Input!$8:$8=$B98), 0)),"")</f>
        <v/>
      </c>
      <c r="K98" s="14" t="str" cm="1">
        <f t="array" ref="K98">IFERROR(INDEX(Data_Input!$A$1:$ZZ$502, MATCH("총수익률", INDEX(Data_Input!$A$1:$ZZ$502, 0, MATCH(1, (Data_Input!$7:$7=$F$3)*(Data_Input!$8:$8=$B98), 0)), 0) + 1, MATCH(1, (Data_Input!$7:$7=$F$3)*(Data_Input!$8:$8=$B98), 0)),"")</f>
        <v/>
      </c>
      <c r="L98" t="str" cm="1">
        <f t="array" ref="L98">IFERROR(_xlfn.LET(
    _xlpm.targetDate, B98,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99" spans="1:12" x14ac:dyDescent="0.3">
      <c r="A99" s="16" t="str">
        <f t="shared" si="2"/>
        <v/>
      </c>
      <c r="B99" s="19"/>
      <c r="C99" s="17" t="str">
        <f t="shared" si="3"/>
        <v/>
      </c>
      <c r="D99" s="29" t="str" cm="1">
        <f t="array" ref="D99">IFERROR(INDEX(Data_Input!$10:$10,MATCH(1,(Data_Input!$7:$7=$F$3)*(Data_Input!$8:$8=$B99),0)),"")</f>
        <v/>
      </c>
      <c r="E99" s="29" t="str" cm="1">
        <f t="array" ref="E99">IFERROR(INDEX(Data_Input!$1:$100, 9, MATCH(1, (Data_Input!$7:$7=$F$3) * (Data_Input!$8:$8=$B99), 0)),"")</f>
        <v/>
      </c>
      <c r="F99" s="20" t="str" cm="1">
        <f t="array" ref="F99">IFERROR(INDEX(Data_Input!$A$1:$ZZ$502, MATCH("예수금", INDEX(Data_Input!$A$1:$ZZ$502, 0, MATCH(1, (Data_Input!$7:$7=$F$3)*(Data_Input!$8:$8=$B99), 0)), 0) + 1, MATCH(1, (Data_Input!$7:$7=$F$3)*(Data_Input!$8:$8=$B99), 0)),"")</f>
        <v/>
      </c>
      <c r="G99" s="20" t="str" cm="1">
        <f t="array" ref="G99">IFERROR(INDEX(Data_Input!$A$1:$ZZ$502, MATCH("총자산", INDEX(Data_Input!$A$1:$ZZ$502, 0, MATCH(1, (Data_Input!$7:$7=$F$3)*(Data_Input!$8:$8=$B99), 0)), 0) + 1, MATCH(1, (Data_Input!$7:$7=$F$3)*(Data_Input!$8:$8=$B99), 0)),"")</f>
        <v/>
      </c>
      <c r="H99" s="20" t="str" cm="1">
        <f t="array" ref="H99">IFERROR(INDEX(Data_Input!$A$1:$ZZ$502, MATCH("매입금액", INDEX(Data_Input!$A$1:$ZZ$502, 0, MATCH(1, (Data_Input!$7:$7=$F$3)*(Data_Input!$8:$8=$B99), 0)), 0) + 1, MATCH(1, (Data_Input!$7:$7=$F$3)*(Data_Input!$8:$8=$B99), 0)),"")</f>
        <v/>
      </c>
      <c r="I99" s="20" t="str" cm="1">
        <f t="array" ref="I99">IFERROR(INDEX(Data_Input!$A$1:$ZZ$502, MATCH("평가금액", INDEX(Data_Input!$A$1:$ZZ$502, 0, MATCH(1, (Data_Input!$7:$7=$F$3)*(Data_Input!$8:$8=$B99), 0)), 0) + 1, MATCH(1, (Data_Input!$7:$7=$F$3)*(Data_Input!$8:$8=$B99), 0)),"")</f>
        <v/>
      </c>
      <c r="J99" s="20" t="str" cm="1">
        <f t="array" ref="J99">IFERROR(INDEX(Data_Input!$A$1:$ZZ$502, MATCH("평가손익", INDEX(Data_Input!$A$1:$ZZ$502, 0, MATCH(1, (Data_Input!$7:$7=$F$3)*(Data_Input!$8:$8=$B99), 0)), 0) + 1, MATCH(1, (Data_Input!$7:$7=$F$3)*(Data_Input!$8:$8=$B99), 0)),"")</f>
        <v/>
      </c>
      <c r="K99" s="14" t="str" cm="1">
        <f t="array" ref="K99">IFERROR(INDEX(Data_Input!$A$1:$ZZ$502, MATCH("총수익률", INDEX(Data_Input!$A$1:$ZZ$502, 0, MATCH(1, (Data_Input!$7:$7=$F$3)*(Data_Input!$8:$8=$B99), 0)), 0) + 1, MATCH(1, (Data_Input!$7:$7=$F$3)*(Data_Input!$8:$8=$B99), 0)),"")</f>
        <v/>
      </c>
      <c r="L99" t="str" cm="1">
        <f t="array" ref="L99">IFERROR(_xlfn.LET(
    _xlpm.targetDate, B99,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00" spans="1:12" x14ac:dyDescent="0.3">
      <c r="A100" s="16" t="str">
        <f t="shared" si="2"/>
        <v/>
      </c>
      <c r="B100" s="19"/>
      <c r="C100" s="17" t="str">
        <f t="shared" si="3"/>
        <v/>
      </c>
      <c r="D100" s="29" t="str" cm="1">
        <f t="array" ref="D100">IFERROR(INDEX(Data_Input!$10:$10,MATCH(1,(Data_Input!$7:$7=$F$3)*(Data_Input!$8:$8=$B100),0)),"")</f>
        <v/>
      </c>
      <c r="E100" s="29" t="str" cm="1">
        <f t="array" ref="E100">IFERROR(INDEX(Data_Input!$1:$100, 9, MATCH(1, (Data_Input!$7:$7=$F$3) * (Data_Input!$8:$8=$B100), 0)),"")</f>
        <v/>
      </c>
      <c r="F100" s="20" t="str" cm="1">
        <f t="array" ref="F100">IFERROR(INDEX(Data_Input!$A$1:$ZZ$502, MATCH("예수금", INDEX(Data_Input!$A$1:$ZZ$502, 0, MATCH(1, (Data_Input!$7:$7=$F$3)*(Data_Input!$8:$8=$B100), 0)), 0) + 1, MATCH(1, (Data_Input!$7:$7=$F$3)*(Data_Input!$8:$8=$B100), 0)),"")</f>
        <v/>
      </c>
      <c r="G100" s="20" t="str" cm="1">
        <f t="array" ref="G100">IFERROR(INDEX(Data_Input!$A$1:$ZZ$502, MATCH("총자산", INDEX(Data_Input!$A$1:$ZZ$502, 0, MATCH(1, (Data_Input!$7:$7=$F$3)*(Data_Input!$8:$8=$B100), 0)), 0) + 1, MATCH(1, (Data_Input!$7:$7=$F$3)*(Data_Input!$8:$8=$B100), 0)),"")</f>
        <v/>
      </c>
      <c r="H100" s="20" t="str" cm="1">
        <f t="array" ref="H100">IFERROR(INDEX(Data_Input!$A$1:$ZZ$502, MATCH("매입금액", INDEX(Data_Input!$A$1:$ZZ$502, 0, MATCH(1, (Data_Input!$7:$7=$F$3)*(Data_Input!$8:$8=$B100), 0)), 0) + 1, MATCH(1, (Data_Input!$7:$7=$F$3)*(Data_Input!$8:$8=$B100), 0)),"")</f>
        <v/>
      </c>
      <c r="I100" s="20" t="str" cm="1">
        <f t="array" ref="I100">IFERROR(INDEX(Data_Input!$A$1:$ZZ$502, MATCH("평가금액", INDEX(Data_Input!$A$1:$ZZ$502, 0, MATCH(1, (Data_Input!$7:$7=$F$3)*(Data_Input!$8:$8=$B100), 0)), 0) + 1, MATCH(1, (Data_Input!$7:$7=$F$3)*(Data_Input!$8:$8=$B100), 0)),"")</f>
        <v/>
      </c>
      <c r="J100" s="20" t="str" cm="1">
        <f t="array" ref="J100">IFERROR(INDEX(Data_Input!$A$1:$ZZ$502, MATCH("평가손익", INDEX(Data_Input!$A$1:$ZZ$502, 0, MATCH(1, (Data_Input!$7:$7=$F$3)*(Data_Input!$8:$8=$B100), 0)), 0) + 1, MATCH(1, (Data_Input!$7:$7=$F$3)*(Data_Input!$8:$8=$B100), 0)),"")</f>
        <v/>
      </c>
      <c r="K100" s="14" t="str" cm="1">
        <f t="array" ref="K100">IFERROR(INDEX(Data_Input!$A$1:$ZZ$502, MATCH("총수익률", INDEX(Data_Input!$A$1:$ZZ$502, 0, MATCH(1, (Data_Input!$7:$7=$F$3)*(Data_Input!$8:$8=$B100), 0)), 0) + 1, MATCH(1, (Data_Input!$7:$7=$F$3)*(Data_Input!$8:$8=$B100), 0)),"")</f>
        <v/>
      </c>
      <c r="L100" t="str" cm="1">
        <f t="array" ref="L100">IFERROR(_xlfn.LET(
    _xlpm.targetDate, B100,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01" spans="1:12" x14ac:dyDescent="0.3">
      <c r="A101" s="16" t="str">
        <f t="shared" si="2"/>
        <v/>
      </c>
      <c r="B101" s="19"/>
      <c r="C101" s="17" t="str">
        <f t="shared" si="3"/>
        <v/>
      </c>
      <c r="D101" s="29" t="str" cm="1">
        <f t="array" ref="D101">IFERROR(INDEX(Data_Input!$10:$10,MATCH(1,(Data_Input!$7:$7=$F$3)*(Data_Input!$8:$8=$B101),0)),"")</f>
        <v/>
      </c>
      <c r="E101" s="29" t="str" cm="1">
        <f t="array" ref="E101">IFERROR(INDEX(Data_Input!$1:$100, 9, MATCH(1, (Data_Input!$7:$7=$F$3) * (Data_Input!$8:$8=$B101), 0)),"")</f>
        <v/>
      </c>
      <c r="F101" s="20" t="str" cm="1">
        <f t="array" ref="F101">IFERROR(INDEX(Data_Input!$A$1:$ZZ$502, MATCH("예수금", INDEX(Data_Input!$A$1:$ZZ$502, 0, MATCH(1, (Data_Input!$7:$7=$F$3)*(Data_Input!$8:$8=$B101), 0)), 0) + 1, MATCH(1, (Data_Input!$7:$7=$F$3)*(Data_Input!$8:$8=$B101), 0)),"")</f>
        <v/>
      </c>
      <c r="G101" s="20" t="str" cm="1">
        <f t="array" ref="G101">IFERROR(INDEX(Data_Input!$A$1:$ZZ$502, MATCH("총자산", INDEX(Data_Input!$A$1:$ZZ$502, 0, MATCH(1, (Data_Input!$7:$7=$F$3)*(Data_Input!$8:$8=$B101), 0)), 0) + 1, MATCH(1, (Data_Input!$7:$7=$F$3)*(Data_Input!$8:$8=$B101), 0)),"")</f>
        <v/>
      </c>
      <c r="H101" s="20" t="str" cm="1">
        <f t="array" ref="H101">IFERROR(INDEX(Data_Input!$A$1:$ZZ$502, MATCH("매입금액", INDEX(Data_Input!$A$1:$ZZ$502, 0, MATCH(1, (Data_Input!$7:$7=$F$3)*(Data_Input!$8:$8=$B101), 0)), 0) + 1, MATCH(1, (Data_Input!$7:$7=$F$3)*(Data_Input!$8:$8=$B101), 0)),"")</f>
        <v/>
      </c>
      <c r="I101" s="20" t="str" cm="1">
        <f t="array" ref="I101">IFERROR(INDEX(Data_Input!$A$1:$ZZ$502, MATCH("평가금액", INDEX(Data_Input!$A$1:$ZZ$502, 0, MATCH(1, (Data_Input!$7:$7=$F$3)*(Data_Input!$8:$8=$B101), 0)), 0) + 1, MATCH(1, (Data_Input!$7:$7=$F$3)*(Data_Input!$8:$8=$B101), 0)),"")</f>
        <v/>
      </c>
      <c r="J101" s="20" t="str" cm="1">
        <f t="array" ref="J101">IFERROR(INDEX(Data_Input!$A$1:$ZZ$502, MATCH("평가손익", INDEX(Data_Input!$A$1:$ZZ$502, 0, MATCH(1, (Data_Input!$7:$7=$F$3)*(Data_Input!$8:$8=$B101), 0)), 0) + 1, MATCH(1, (Data_Input!$7:$7=$F$3)*(Data_Input!$8:$8=$B101), 0)),"")</f>
        <v/>
      </c>
      <c r="K101" s="14" t="str" cm="1">
        <f t="array" ref="K101">IFERROR(INDEX(Data_Input!$A$1:$ZZ$502, MATCH("총수익률", INDEX(Data_Input!$A$1:$ZZ$502, 0, MATCH(1, (Data_Input!$7:$7=$F$3)*(Data_Input!$8:$8=$B101), 0)), 0) + 1, MATCH(1, (Data_Input!$7:$7=$F$3)*(Data_Input!$8:$8=$B101), 0)),"")</f>
        <v/>
      </c>
      <c r="L101" t="str" cm="1">
        <f t="array" ref="L101">IFERROR(_xlfn.LET(
    _xlpm.targetDate, B101,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02" spans="1:12" x14ac:dyDescent="0.3">
      <c r="A102" s="16" t="str">
        <f t="shared" si="2"/>
        <v/>
      </c>
      <c r="B102" s="19"/>
      <c r="C102" s="17" t="str">
        <f t="shared" si="3"/>
        <v/>
      </c>
      <c r="D102" s="29" t="str" cm="1">
        <f t="array" ref="D102">IFERROR(INDEX(Data_Input!$10:$10,MATCH(1,(Data_Input!$7:$7=$F$3)*(Data_Input!$8:$8=$B102),0)),"")</f>
        <v/>
      </c>
      <c r="E102" s="29" t="str" cm="1">
        <f t="array" ref="E102">IFERROR(INDEX(Data_Input!$1:$100, 9, MATCH(1, (Data_Input!$7:$7=$F$3) * (Data_Input!$8:$8=$B102), 0)),"")</f>
        <v/>
      </c>
      <c r="F102" s="20" t="str" cm="1">
        <f t="array" ref="F102">IFERROR(INDEX(Data_Input!$A$1:$ZZ$502, MATCH("예수금", INDEX(Data_Input!$A$1:$ZZ$502, 0, MATCH(1, (Data_Input!$7:$7=$F$3)*(Data_Input!$8:$8=$B102), 0)), 0) + 1, MATCH(1, (Data_Input!$7:$7=$F$3)*(Data_Input!$8:$8=$B102), 0)),"")</f>
        <v/>
      </c>
      <c r="G102" s="20" t="str" cm="1">
        <f t="array" ref="G102">IFERROR(INDEX(Data_Input!$A$1:$ZZ$502, MATCH("총자산", INDEX(Data_Input!$A$1:$ZZ$502, 0, MATCH(1, (Data_Input!$7:$7=$F$3)*(Data_Input!$8:$8=$B102), 0)), 0) + 1, MATCH(1, (Data_Input!$7:$7=$F$3)*(Data_Input!$8:$8=$B102), 0)),"")</f>
        <v/>
      </c>
      <c r="H102" s="20" t="str" cm="1">
        <f t="array" ref="H102">IFERROR(INDEX(Data_Input!$A$1:$ZZ$502, MATCH("매입금액", INDEX(Data_Input!$A$1:$ZZ$502, 0, MATCH(1, (Data_Input!$7:$7=$F$3)*(Data_Input!$8:$8=$B102), 0)), 0) + 1, MATCH(1, (Data_Input!$7:$7=$F$3)*(Data_Input!$8:$8=$B102), 0)),"")</f>
        <v/>
      </c>
      <c r="I102" s="20" t="str" cm="1">
        <f t="array" ref="I102">IFERROR(INDEX(Data_Input!$A$1:$ZZ$502, MATCH("평가금액", INDEX(Data_Input!$A$1:$ZZ$502, 0, MATCH(1, (Data_Input!$7:$7=$F$3)*(Data_Input!$8:$8=$B102), 0)), 0) + 1, MATCH(1, (Data_Input!$7:$7=$F$3)*(Data_Input!$8:$8=$B102), 0)),"")</f>
        <v/>
      </c>
      <c r="J102" s="20" t="str" cm="1">
        <f t="array" ref="J102">IFERROR(INDEX(Data_Input!$A$1:$ZZ$502, MATCH("평가손익", INDEX(Data_Input!$A$1:$ZZ$502, 0, MATCH(1, (Data_Input!$7:$7=$F$3)*(Data_Input!$8:$8=$B102), 0)), 0) + 1, MATCH(1, (Data_Input!$7:$7=$F$3)*(Data_Input!$8:$8=$B102), 0)),"")</f>
        <v/>
      </c>
      <c r="K102" s="14" t="str" cm="1">
        <f t="array" ref="K102">IFERROR(INDEX(Data_Input!$A$1:$ZZ$502, MATCH("총수익률", INDEX(Data_Input!$A$1:$ZZ$502, 0, MATCH(1, (Data_Input!$7:$7=$F$3)*(Data_Input!$8:$8=$B102), 0)), 0) + 1, MATCH(1, (Data_Input!$7:$7=$F$3)*(Data_Input!$8:$8=$B102), 0)),"")</f>
        <v/>
      </c>
      <c r="L102" t="str" cm="1">
        <f t="array" ref="L102">IFERROR(_xlfn.LET(
    _xlpm.targetDate, B102,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03" spans="1:12" x14ac:dyDescent="0.3">
      <c r="A103" s="16" t="str">
        <f t="shared" si="2"/>
        <v/>
      </c>
      <c r="B103" s="19"/>
      <c r="C103" s="17" t="str">
        <f t="shared" si="3"/>
        <v/>
      </c>
      <c r="D103" s="29" t="str" cm="1">
        <f t="array" ref="D103">IFERROR(INDEX(Data_Input!$10:$10,MATCH(1,(Data_Input!$7:$7=$F$3)*(Data_Input!$8:$8=$B103),0)),"")</f>
        <v/>
      </c>
      <c r="E103" s="29" t="str" cm="1">
        <f t="array" ref="E103">IFERROR(INDEX(Data_Input!$1:$100, 9, MATCH(1, (Data_Input!$7:$7=$F$3) * (Data_Input!$8:$8=$B103), 0)),"")</f>
        <v/>
      </c>
      <c r="F103" s="20" t="str" cm="1">
        <f t="array" ref="F103">IFERROR(INDEX(Data_Input!$A$1:$ZZ$502, MATCH("예수금", INDEX(Data_Input!$A$1:$ZZ$502, 0, MATCH(1, (Data_Input!$7:$7=$F$3)*(Data_Input!$8:$8=$B103), 0)), 0) + 1, MATCH(1, (Data_Input!$7:$7=$F$3)*(Data_Input!$8:$8=$B103), 0)),"")</f>
        <v/>
      </c>
      <c r="G103" s="20" t="str" cm="1">
        <f t="array" ref="G103">IFERROR(INDEX(Data_Input!$A$1:$ZZ$502, MATCH("총자산", INDEX(Data_Input!$A$1:$ZZ$502, 0, MATCH(1, (Data_Input!$7:$7=$F$3)*(Data_Input!$8:$8=$B103), 0)), 0) + 1, MATCH(1, (Data_Input!$7:$7=$F$3)*(Data_Input!$8:$8=$B103), 0)),"")</f>
        <v/>
      </c>
      <c r="H103" s="20" t="str" cm="1">
        <f t="array" ref="H103">IFERROR(INDEX(Data_Input!$A$1:$ZZ$502, MATCH("매입금액", INDEX(Data_Input!$A$1:$ZZ$502, 0, MATCH(1, (Data_Input!$7:$7=$F$3)*(Data_Input!$8:$8=$B103), 0)), 0) + 1, MATCH(1, (Data_Input!$7:$7=$F$3)*(Data_Input!$8:$8=$B103), 0)),"")</f>
        <v/>
      </c>
      <c r="I103" s="20" t="str" cm="1">
        <f t="array" ref="I103">IFERROR(INDEX(Data_Input!$A$1:$ZZ$502, MATCH("평가금액", INDEX(Data_Input!$A$1:$ZZ$502, 0, MATCH(1, (Data_Input!$7:$7=$F$3)*(Data_Input!$8:$8=$B103), 0)), 0) + 1, MATCH(1, (Data_Input!$7:$7=$F$3)*(Data_Input!$8:$8=$B103), 0)),"")</f>
        <v/>
      </c>
      <c r="J103" s="20" t="str" cm="1">
        <f t="array" ref="J103">IFERROR(INDEX(Data_Input!$A$1:$ZZ$502, MATCH("평가손익", INDEX(Data_Input!$A$1:$ZZ$502, 0, MATCH(1, (Data_Input!$7:$7=$F$3)*(Data_Input!$8:$8=$B103), 0)), 0) + 1, MATCH(1, (Data_Input!$7:$7=$F$3)*(Data_Input!$8:$8=$B103), 0)),"")</f>
        <v/>
      </c>
      <c r="K103" s="14" t="str" cm="1">
        <f t="array" ref="K103">IFERROR(INDEX(Data_Input!$A$1:$ZZ$502, MATCH("총수익률", INDEX(Data_Input!$A$1:$ZZ$502, 0, MATCH(1, (Data_Input!$7:$7=$F$3)*(Data_Input!$8:$8=$B103), 0)), 0) + 1, MATCH(1, (Data_Input!$7:$7=$F$3)*(Data_Input!$8:$8=$B103), 0)),"")</f>
        <v/>
      </c>
      <c r="L103" t="str" cm="1">
        <f t="array" ref="L103">IFERROR(_xlfn.LET(
    _xlpm.targetDate, B103,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04" spans="1:12" x14ac:dyDescent="0.3">
      <c r="A104" s="16" t="str">
        <f t="shared" si="2"/>
        <v/>
      </c>
      <c r="B104" s="19"/>
      <c r="C104" s="17" t="str">
        <f t="shared" si="3"/>
        <v/>
      </c>
      <c r="D104" s="29" t="str" cm="1">
        <f t="array" ref="D104">IFERROR(INDEX(Data_Input!$10:$10,MATCH(1,(Data_Input!$7:$7=$F$3)*(Data_Input!$8:$8=$B104),0)),"")</f>
        <v/>
      </c>
      <c r="E104" s="29" t="str" cm="1">
        <f t="array" ref="E104">IFERROR(INDEX(Data_Input!$1:$100, 9, MATCH(1, (Data_Input!$7:$7=$F$3) * (Data_Input!$8:$8=$B104), 0)),"")</f>
        <v/>
      </c>
      <c r="F104" s="20" t="str" cm="1">
        <f t="array" ref="F104">IFERROR(INDEX(Data_Input!$A$1:$ZZ$502, MATCH("예수금", INDEX(Data_Input!$A$1:$ZZ$502, 0, MATCH(1, (Data_Input!$7:$7=$F$3)*(Data_Input!$8:$8=$B104), 0)), 0) + 1, MATCH(1, (Data_Input!$7:$7=$F$3)*(Data_Input!$8:$8=$B104), 0)),"")</f>
        <v/>
      </c>
      <c r="G104" s="20" t="str" cm="1">
        <f t="array" ref="G104">IFERROR(INDEX(Data_Input!$A$1:$ZZ$502, MATCH("총자산", INDEX(Data_Input!$A$1:$ZZ$502, 0, MATCH(1, (Data_Input!$7:$7=$F$3)*(Data_Input!$8:$8=$B104), 0)), 0) + 1, MATCH(1, (Data_Input!$7:$7=$F$3)*(Data_Input!$8:$8=$B104), 0)),"")</f>
        <v/>
      </c>
      <c r="H104" s="20" t="str" cm="1">
        <f t="array" ref="H104">IFERROR(INDEX(Data_Input!$A$1:$ZZ$502, MATCH("매입금액", INDEX(Data_Input!$A$1:$ZZ$502, 0, MATCH(1, (Data_Input!$7:$7=$F$3)*(Data_Input!$8:$8=$B104), 0)), 0) + 1, MATCH(1, (Data_Input!$7:$7=$F$3)*(Data_Input!$8:$8=$B104), 0)),"")</f>
        <v/>
      </c>
      <c r="I104" s="20" t="str" cm="1">
        <f t="array" ref="I104">IFERROR(INDEX(Data_Input!$A$1:$ZZ$502, MATCH("평가금액", INDEX(Data_Input!$A$1:$ZZ$502, 0, MATCH(1, (Data_Input!$7:$7=$F$3)*(Data_Input!$8:$8=$B104), 0)), 0) + 1, MATCH(1, (Data_Input!$7:$7=$F$3)*(Data_Input!$8:$8=$B104), 0)),"")</f>
        <v/>
      </c>
      <c r="J104" s="20" t="str" cm="1">
        <f t="array" ref="J104">IFERROR(INDEX(Data_Input!$A$1:$ZZ$502, MATCH("평가손익", INDEX(Data_Input!$A$1:$ZZ$502, 0, MATCH(1, (Data_Input!$7:$7=$F$3)*(Data_Input!$8:$8=$B104), 0)), 0) + 1, MATCH(1, (Data_Input!$7:$7=$F$3)*(Data_Input!$8:$8=$B104), 0)),"")</f>
        <v/>
      </c>
      <c r="K104" s="14" t="str" cm="1">
        <f t="array" ref="K104">IFERROR(INDEX(Data_Input!$A$1:$ZZ$502, MATCH("총수익률", INDEX(Data_Input!$A$1:$ZZ$502, 0, MATCH(1, (Data_Input!$7:$7=$F$3)*(Data_Input!$8:$8=$B104), 0)), 0) + 1, MATCH(1, (Data_Input!$7:$7=$F$3)*(Data_Input!$8:$8=$B104), 0)),"")</f>
        <v/>
      </c>
      <c r="L104" t="str" cm="1">
        <f t="array" ref="L104">IFERROR(_xlfn.LET(
    _xlpm.targetDate, B104,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05" spans="1:12" x14ac:dyDescent="0.3">
      <c r="A105" s="16" t="str">
        <f t="shared" si="2"/>
        <v/>
      </c>
      <c r="B105" s="19"/>
      <c r="C105" s="17" t="str">
        <f t="shared" si="3"/>
        <v/>
      </c>
      <c r="D105" s="29" t="str" cm="1">
        <f t="array" ref="D105">IFERROR(INDEX(Data_Input!$10:$10,MATCH(1,(Data_Input!$7:$7=$F$3)*(Data_Input!$8:$8=$B105),0)),"")</f>
        <v/>
      </c>
      <c r="E105" s="29" t="str" cm="1">
        <f t="array" ref="E105">IFERROR(INDEX(Data_Input!$1:$100, 9, MATCH(1, (Data_Input!$7:$7=$F$3) * (Data_Input!$8:$8=$B105), 0)),"")</f>
        <v/>
      </c>
      <c r="F105" s="20" t="str" cm="1">
        <f t="array" ref="F105">IFERROR(INDEX(Data_Input!$A$1:$ZZ$502, MATCH("예수금", INDEX(Data_Input!$A$1:$ZZ$502, 0, MATCH(1, (Data_Input!$7:$7=$F$3)*(Data_Input!$8:$8=$B105), 0)), 0) + 1, MATCH(1, (Data_Input!$7:$7=$F$3)*(Data_Input!$8:$8=$B105), 0)),"")</f>
        <v/>
      </c>
      <c r="G105" s="20" t="str" cm="1">
        <f t="array" ref="G105">IFERROR(INDEX(Data_Input!$A$1:$ZZ$502, MATCH("총자산", INDEX(Data_Input!$A$1:$ZZ$502, 0, MATCH(1, (Data_Input!$7:$7=$F$3)*(Data_Input!$8:$8=$B105), 0)), 0) + 1, MATCH(1, (Data_Input!$7:$7=$F$3)*(Data_Input!$8:$8=$B105), 0)),"")</f>
        <v/>
      </c>
      <c r="H105" s="20" t="str" cm="1">
        <f t="array" ref="H105">IFERROR(INDEX(Data_Input!$A$1:$ZZ$502, MATCH("매입금액", INDEX(Data_Input!$A$1:$ZZ$502, 0, MATCH(1, (Data_Input!$7:$7=$F$3)*(Data_Input!$8:$8=$B105), 0)), 0) + 1, MATCH(1, (Data_Input!$7:$7=$F$3)*(Data_Input!$8:$8=$B105), 0)),"")</f>
        <v/>
      </c>
      <c r="I105" s="20" t="str" cm="1">
        <f t="array" ref="I105">IFERROR(INDEX(Data_Input!$A$1:$ZZ$502, MATCH("평가금액", INDEX(Data_Input!$A$1:$ZZ$502, 0, MATCH(1, (Data_Input!$7:$7=$F$3)*(Data_Input!$8:$8=$B105), 0)), 0) + 1, MATCH(1, (Data_Input!$7:$7=$F$3)*(Data_Input!$8:$8=$B105), 0)),"")</f>
        <v/>
      </c>
      <c r="J105" s="20" t="str" cm="1">
        <f t="array" ref="J105">IFERROR(INDEX(Data_Input!$A$1:$ZZ$502, MATCH("평가손익", INDEX(Data_Input!$A$1:$ZZ$502, 0, MATCH(1, (Data_Input!$7:$7=$F$3)*(Data_Input!$8:$8=$B105), 0)), 0) + 1, MATCH(1, (Data_Input!$7:$7=$F$3)*(Data_Input!$8:$8=$B105), 0)),"")</f>
        <v/>
      </c>
      <c r="K105" s="14" t="str" cm="1">
        <f t="array" ref="K105">IFERROR(INDEX(Data_Input!$A$1:$ZZ$502, MATCH("총수익률", INDEX(Data_Input!$A$1:$ZZ$502, 0, MATCH(1, (Data_Input!$7:$7=$F$3)*(Data_Input!$8:$8=$B105), 0)), 0) + 1, MATCH(1, (Data_Input!$7:$7=$F$3)*(Data_Input!$8:$8=$B105), 0)),"")</f>
        <v/>
      </c>
      <c r="L105" t="str" cm="1">
        <f t="array" ref="L105">IFERROR(_xlfn.LET(
    _xlpm.targetDate, B105,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06" spans="1:12" x14ac:dyDescent="0.3">
      <c r="A106" s="16" t="str">
        <f t="shared" si="2"/>
        <v/>
      </c>
      <c r="B106" s="19"/>
      <c r="C106" s="17" t="str">
        <f t="shared" si="3"/>
        <v/>
      </c>
      <c r="D106" s="29" t="str" cm="1">
        <f t="array" ref="D106">IFERROR(INDEX(Data_Input!$10:$10,MATCH(1,(Data_Input!$7:$7=$F$3)*(Data_Input!$8:$8=$B106),0)),"")</f>
        <v/>
      </c>
      <c r="E106" s="29" t="str" cm="1">
        <f t="array" ref="E106">IFERROR(INDEX(Data_Input!$1:$100, 9, MATCH(1, (Data_Input!$7:$7=$F$3) * (Data_Input!$8:$8=$B106), 0)),"")</f>
        <v/>
      </c>
      <c r="F106" s="20" t="str" cm="1">
        <f t="array" ref="F106">IFERROR(INDEX(Data_Input!$A$1:$ZZ$502, MATCH("예수금", INDEX(Data_Input!$A$1:$ZZ$502, 0, MATCH(1, (Data_Input!$7:$7=$F$3)*(Data_Input!$8:$8=$B106), 0)), 0) + 1, MATCH(1, (Data_Input!$7:$7=$F$3)*(Data_Input!$8:$8=$B106), 0)),"")</f>
        <v/>
      </c>
      <c r="G106" s="20" t="str" cm="1">
        <f t="array" ref="G106">IFERROR(INDEX(Data_Input!$A$1:$ZZ$502, MATCH("총자산", INDEX(Data_Input!$A$1:$ZZ$502, 0, MATCH(1, (Data_Input!$7:$7=$F$3)*(Data_Input!$8:$8=$B106), 0)), 0) + 1, MATCH(1, (Data_Input!$7:$7=$F$3)*(Data_Input!$8:$8=$B106), 0)),"")</f>
        <v/>
      </c>
      <c r="H106" s="20" t="str" cm="1">
        <f t="array" ref="H106">IFERROR(INDEX(Data_Input!$A$1:$ZZ$502, MATCH("매입금액", INDEX(Data_Input!$A$1:$ZZ$502, 0, MATCH(1, (Data_Input!$7:$7=$F$3)*(Data_Input!$8:$8=$B106), 0)), 0) + 1, MATCH(1, (Data_Input!$7:$7=$F$3)*(Data_Input!$8:$8=$B106), 0)),"")</f>
        <v/>
      </c>
      <c r="I106" s="20" t="str" cm="1">
        <f t="array" ref="I106">IFERROR(INDEX(Data_Input!$A$1:$ZZ$502, MATCH("평가금액", INDEX(Data_Input!$A$1:$ZZ$502, 0, MATCH(1, (Data_Input!$7:$7=$F$3)*(Data_Input!$8:$8=$B106), 0)), 0) + 1, MATCH(1, (Data_Input!$7:$7=$F$3)*(Data_Input!$8:$8=$B106), 0)),"")</f>
        <v/>
      </c>
      <c r="J106" s="20" t="str" cm="1">
        <f t="array" ref="J106">IFERROR(INDEX(Data_Input!$A$1:$ZZ$502, MATCH("평가손익", INDEX(Data_Input!$A$1:$ZZ$502, 0, MATCH(1, (Data_Input!$7:$7=$F$3)*(Data_Input!$8:$8=$B106), 0)), 0) + 1, MATCH(1, (Data_Input!$7:$7=$F$3)*(Data_Input!$8:$8=$B106), 0)),"")</f>
        <v/>
      </c>
      <c r="K106" s="14" t="str" cm="1">
        <f t="array" ref="K106">IFERROR(INDEX(Data_Input!$A$1:$ZZ$502, MATCH("총수익률", INDEX(Data_Input!$A$1:$ZZ$502, 0, MATCH(1, (Data_Input!$7:$7=$F$3)*(Data_Input!$8:$8=$B106), 0)), 0) + 1, MATCH(1, (Data_Input!$7:$7=$F$3)*(Data_Input!$8:$8=$B106), 0)),"")</f>
        <v/>
      </c>
      <c r="L106" t="str" cm="1">
        <f t="array" ref="L106">IFERROR(_xlfn.LET(
    _xlpm.targetDate, B106,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07" spans="1:12" x14ac:dyDescent="0.3">
      <c r="A107" s="16" t="str">
        <f t="shared" si="2"/>
        <v/>
      </c>
      <c r="B107" s="19"/>
      <c r="C107" s="17" t="str">
        <f t="shared" si="3"/>
        <v/>
      </c>
      <c r="D107" s="29" t="str" cm="1">
        <f t="array" ref="D107">IFERROR(INDEX(Data_Input!$10:$10,MATCH(1,(Data_Input!$7:$7=$F$3)*(Data_Input!$8:$8=$B107),0)),"")</f>
        <v/>
      </c>
      <c r="E107" s="29" t="str" cm="1">
        <f t="array" ref="E107">IFERROR(INDEX(Data_Input!$1:$100, 9, MATCH(1, (Data_Input!$7:$7=$F$3) * (Data_Input!$8:$8=$B107), 0)),"")</f>
        <v/>
      </c>
      <c r="F107" s="20" t="str" cm="1">
        <f t="array" ref="F107">IFERROR(INDEX(Data_Input!$A$1:$ZZ$502, MATCH("예수금", INDEX(Data_Input!$A$1:$ZZ$502, 0, MATCH(1, (Data_Input!$7:$7=$F$3)*(Data_Input!$8:$8=$B107), 0)), 0) + 1, MATCH(1, (Data_Input!$7:$7=$F$3)*(Data_Input!$8:$8=$B107), 0)),"")</f>
        <v/>
      </c>
      <c r="G107" s="20" t="str" cm="1">
        <f t="array" ref="G107">IFERROR(INDEX(Data_Input!$A$1:$ZZ$502, MATCH("총자산", INDEX(Data_Input!$A$1:$ZZ$502, 0, MATCH(1, (Data_Input!$7:$7=$F$3)*(Data_Input!$8:$8=$B107), 0)), 0) + 1, MATCH(1, (Data_Input!$7:$7=$F$3)*(Data_Input!$8:$8=$B107), 0)),"")</f>
        <v/>
      </c>
      <c r="H107" s="20" t="str" cm="1">
        <f t="array" ref="H107">IFERROR(INDEX(Data_Input!$A$1:$ZZ$502, MATCH("매입금액", INDEX(Data_Input!$A$1:$ZZ$502, 0, MATCH(1, (Data_Input!$7:$7=$F$3)*(Data_Input!$8:$8=$B107), 0)), 0) + 1, MATCH(1, (Data_Input!$7:$7=$F$3)*(Data_Input!$8:$8=$B107), 0)),"")</f>
        <v/>
      </c>
      <c r="I107" s="20" t="str" cm="1">
        <f t="array" ref="I107">IFERROR(INDEX(Data_Input!$A$1:$ZZ$502, MATCH("평가금액", INDEX(Data_Input!$A$1:$ZZ$502, 0, MATCH(1, (Data_Input!$7:$7=$F$3)*(Data_Input!$8:$8=$B107), 0)), 0) + 1, MATCH(1, (Data_Input!$7:$7=$F$3)*(Data_Input!$8:$8=$B107), 0)),"")</f>
        <v/>
      </c>
      <c r="J107" s="20" t="str" cm="1">
        <f t="array" ref="J107">IFERROR(INDEX(Data_Input!$A$1:$ZZ$502, MATCH("평가손익", INDEX(Data_Input!$A$1:$ZZ$502, 0, MATCH(1, (Data_Input!$7:$7=$F$3)*(Data_Input!$8:$8=$B107), 0)), 0) + 1, MATCH(1, (Data_Input!$7:$7=$F$3)*(Data_Input!$8:$8=$B107), 0)),"")</f>
        <v/>
      </c>
      <c r="K107" s="14" t="str" cm="1">
        <f t="array" ref="K107">IFERROR(INDEX(Data_Input!$A$1:$ZZ$502, MATCH("총수익률", INDEX(Data_Input!$A$1:$ZZ$502, 0, MATCH(1, (Data_Input!$7:$7=$F$3)*(Data_Input!$8:$8=$B107), 0)), 0) + 1, MATCH(1, (Data_Input!$7:$7=$F$3)*(Data_Input!$8:$8=$B107), 0)),"")</f>
        <v/>
      </c>
      <c r="L107" t="str" cm="1">
        <f t="array" ref="L107">IFERROR(_xlfn.LET(
    _xlpm.targetDate, B107,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08" spans="1:12" x14ac:dyDescent="0.3">
      <c r="A108" s="16" t="str">
        <f t="shared" si="2"/>
        <v/>
      </c>
      <c r="B108" s="19"/>
      <c r="C108" s="17" t="str">
        <f t="shared" si="3"/>
        <v/>
      </c>
      <c r="D108" s="29" t="str" cm="1">
        <f t="array" ref="D108">IFERROR(INDEX(Data_Input!$10:$10,MATCH(1,(Data_Input!$7:$7=$F$3)*(Data_Input!$8:$8=$B108),0)),"")</f>
        <v/>
      </c>
      <c r="E108" s="29" t="str" cm="1">
        <f t="array" ref="E108">IFERROR(INDEX(Data_Input!$1:$100, 9, MATCH(1, (Data_Input!$7:$7=$F$3) * (Data_Input!$8:$8=$B108), 0)),"")</f>
        <v/>
      </c>
      <c r="F108" s="20" t="str" cm="1">
        <f t="array" ref="F108">IFERROR(INDEX(Data_Input!$A$1:$ZZ$502, MATCH("예수금", INDEX(Data_Input!$A$1:$ZZ$502, 0, MATCH(1, (Data_Input!$7:$7=$F$3)*(Data_Input!$8:$8=$B108), 0)), 0) + 1, MATCH(1, (Data_Input!$7:$7=$F$3)*(Data_Input!$8:$8=$B108), 0)),"")</f>
        <v/>
      </c>
      <c r="G108" s="20" t="str" cm="1">
        <f t="array" ref="G108">IFERROR(INDEX(Data_Input!$A$1:$ZZ$502, MATCH("총자산", INDEX(Data_Input!$A$1:$ZZ$502, 0, MATCH(1, (Data_Input!$7:$7=$F$3)*(Data_Input!$8:$8=$B108), 0)), 0) + 1, MATCH(1, (Data_Input!$7:$7=$F$3)*(Data_Input!$8:$8=$B108), 0)),"")</f>
        <v/>
      </c>
      <c r="H108" s="20" t="str" cm="1">
        <f t="array" ref="H108">IFERROR(INDEX(Data_Input!$A$1:$ZZ$502, MATCH("매입금액", INDEX(Data_Input!$A$1:$ZZ$502, 0, MATCH(1, (Data_Input!$7:$7=$F$3)*(Data_Input!$8:$8=$B108), 0)), 0) + 1, MATCH(1, (Data_Input!$7:$7=$F$3)*(Data_Input!$8:$8=$B108), 0)),"")</f>
        <v/>
      </c>
      <c r="I108" s="20" t="str" cm="1">
        <f t="array" ref="I108">IFERROR(INDEX(Data_Input!$A$1:$ZZ$502, MATCH("평가금액", INDEX(Data_Input!$A$1:$ZZ$502, 0, MATCH(1, (Data_Input!$7:$7=$F$3)*(Data_Input!$8:$8=$B108), 0)), 0) + 1, MATCH(1, (Data_Input!$7:$7=$F$3)*(Data_Input!$8:$8=$B108), 0)),"")</f>
        <v/>
      </c>
      <c r="J108" s="20" t="str" cm="1">
        <f t="array" ref="J108">IFERROR(INDEX(Data_Input!$A$1:$ZZ$502, MATCH("평가손익", INDEX(Data_Input!$A$1:$ZZ$502, 0, MATCH(1, (Data_Input!$7:$7=$F$3)*(Data_Input!$8:$8=$B108), 0)), 0) + 1, MATCH(1, (Data_Input!$7:$7=$F$3)*(Data_Input!$8:$8=$B108), 0)),"")</f>
        <v/>
      </c>
      <c r="K108" s="14" t="str" cm="1">
        <f t="array" ref="K108">IFERROR(INDEX(Data_Input!$A$1:$ZZ$502, MATCH("총수익률", INDEX(Data_Input!$A$1:$ZZ$502, 0, MATCH(1, (Data_Input!$7:$7=$F$3)*(Data_Input!$8:$8=$B108), 0)), 0) + 1, MATCH(1, (Data_Input!$7:$7=$F$3)*(Data_Input!$8:$8=$B108), 0)),"")</f>
        <v/>
      </c>
      <c r="L108" t="str" cm="1">
        <f t="array" ref="L108">IFERROR(_xlfn.LET(
    _xlpm.targetDate, B108,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09" spans="1:12" x14ac:dyDescent="0.3">
      <c r="A109" s="16" t="str">
        <f t="shared" si="2"/>
        <v/>
      </c>
      <c r="B109" s="19"/>
      <c r="C109" s="17" t="str">
        <f t="shared" si="3"/>
        <v/>
      </c>
      <c r="D109" s="29" t="str" cm="1">
        <f t="array" ref="D109">IFERROR(INDEX(Data_Input!$10:$10,MATCH(1,(Data_Input!$7:$7=$F$3)*(Data_Input!$8:$8=$B109),0)),"")</f>
        <v/>
      </c>
      <c r="E109" s="29" t="str" cm="1">
        <f t="array" ref="E109">IFERROR(INDEX(Data_Input!$1:$100, 9, MATCH(1, (Data_Input!$7:$7=$F$3) * (Data_Input!$8:$8=$B109), 0)),"")</f>
        <v/>
      </c>
      <c r="F109" s="20" t="str" cm="1">
        <f t="array" ref="F109">IFERROR(INDEX(Data_Input!$A$1:$ZZ$502, MATCH("예수금", INDEX(Data_Input!$A$1:$ZZ$502, 0, MATCH(1, (Data_Input!$7:$7=$F$3)*(Data_Input!$8:$8=$B109), 0)), 0) + 1, MATCH(1, (Data_Input!$7:$7=$F$3)*(Data_Input!$8:$8=$B109), 0)),"")</f>
        <v/>
      </c>
      <c r="G109" s="20" t="str" cm="1">
        <f t="array" ref="G109">IFERROR(INDEX(Data_Input!$A$1:$ZZ$502, MATCH("총자산", INDEX(Data_Input!$A$1:$ZZ$502, 0, MATCH(1, (Data_Input!$7:$7=$F$3)*(Data_Input!$8:$8=$B109), 0)), 0) + 1, MATCH(1, (Data_Input!$7:$7=$F$3)*(Data_Input!$8:$8=$B109), 0)),"")</f>
        <v/>
      </c>
      <c r="H109" s="20" t="str" cm="1">
        <f t="array" ref="H109">IFERROR(INDEX(Data_Input!$A$1:$ZZ$502, MATCH("매입금액", INDEX(Data_Input!$A$1:$ZZ$502, 0, MATCH(1, (Data_Input!$7:$7=$F$3)*(Data_Input!$8:$8=$B109), 0)), 0) + 1, MATCH(1, (Data_Input!$7:$7=$F$3)*(Data_Input!$8:$8=$B109), 0)),"")</f>
        <v/>
      </c>
      <c r="I109" s="20" t="str" cm="1">
        <f t="array" ref="I109">IFERROR(INDEX(Data_Input!$A$1:$ZZ$502, MATCH("평가금액", INDEX(Data_Input!$A$1:$ZZ$502, 0, MATCH(1, (Data_Input!$7:$7=$F$3)*(Data_Input!$8:$8=$B109), 0)), 0) + 1, MATCH(1, (Data_Input!$7:$7=$F$3)*(Data_Input!$8:$8=$B109), 0)),"")</f>
        <v/>
      </c>
      <c r="J109" s="20" t="str" cm="1">
        <f t="array" ref="J109">IFERROR(INDEX(Data_Input!$A$1:$ZZ$502, MATCH("평가손익", INDEX(Data_Input!$A$1:$ZZ$502, 0, MATCH(1, (Data_Input!$7:$7=$F$3)*(Data_Input!$8:$8=$B109), 0)), 0) + 1, MATCH(1, (Data_Input!$7:$7=$F$3)*(Data_Input!$8:$8=$B109), 0)),"")</f>
        <v/>
      </c>
      <c r="K109" s="14" t="str" cm="1">
        <f t="array" ref="K109">IFERROR(INDEX(Data_Input!$A$1:$ZZ$502, MATCH("총수익률", INDEX(Data_Input!$A$1:$ZZ$502, 0, MATCH(1, (Data_Input!$7:$7=$F$3)*(Data_Input!$8:$8=$B109), 0)), 0) + 1, MATCH(1, (Data_Input!$7:$7=$F$3)*(Data_Input!$8:$8=$B109), 0)),"")</f>
        <v/>
      </c>
      <c r="L109" t="str" cm="1">
        <f t="array" ref="L109">IFERROR(_xlfn.LET(
    _xlpm.targetDate, B109,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10" spans="1:12" x14ac:dyDescent="0.3">
      <c r="A110" s="16" t="str">
        <f t="shared" si="2"/>
        <v/>
      </c>
      <c r="B110" s="19"/>
      <c r="C110" s="17" t="str">
        <f t="shared" si="3"/>
        <v/>
      </c>
      <c r="D110" s="29" t="str" cm="1">
        <f t="array" ref="D110">IFERROR(INDEX(Data_Input!$10:$10,MATCH(1,(Data_Input!$7:$7=$F$3)*(Data_Input!$8:$8=$B110),0)),"")</f>
        <v/>
      </c>
      <c r="E110" s="29" t="str" cm="1">
        <f t="array" ref="E110">IFERROR(INDEX(Data_Input!$1:$100, 9, MATCH(1, (Data_Input!$7:$7=$F$3) * (Data_Input!$8:$8=$B110), 0)),"")</f>
        <v/>
      </c>
      <c r="F110" s="20" t="str" cm="1">
        <f t="array" ref="F110">IFERROR(INDEX(Data_Input!$A$1:$ZZ$502, MATCH("예수금", INDEX(Data_Input!$A$1:$ZZ$502, 0, MATCH(1, (Data_Input!$7:$7=$F$3)*(Data_Input!$8:$8=$B110), 0)), 0) + 1, MATCH(1, (Data_Input!$7:$7=$F$3)*(Data_Input!$8:$8=$B110), 0)),"")</f>
        <v/>
      </c>
      <c r="G110" s="20" t="str" cm="1">
        <f t="array" ref="G110">IFERROR(INDEX(Data_Input!$A$1:$ZZ$502, MATCH("총자산", INDEX(Data_Input!$A$1:$ZZ$502, 0, MATCH(1, (Data_Input!$7:$7=$F$3)*(Data_Input!$8:$8=$B110), 0)), 0) + 1, MATCH(1, (Data_Input!$7:$7=$F$3)*(Data_Input!$8:$8=$B110), 0)),"")</f>
        <v/>
      </c>
      <c r="H110" s="20" t="str" cm="1">
        <f t="array" ref="H110">IFERROR(INDEX(Data_Input!$A$1:$ZZ$502, MATCH("매입금액", INDEX(Data_Input!$A$1:$ZZ$502, 0, MATCH(1, (Data_Input!$7:$7=$F$3)*(Data_Input!$8:$8=$B110), 0)), 0) + 1, MATCH(1, (Data_Input!$7:$7=$F$3)*(Data_Input!$8:$8=$B110), 0)),"")</f>
        <v/>
      </c>
      <c r="I110" s="20" t="str" cm="1">
        <f t="array" ref="I110">IFERROR(INDEX(Data_Input!$A$1:$ZZ$502, MATCH("평가금액", INDEX(Data_Input!$A$1:$ZZ$502, 0, MATCH(1, (Data_Input!$7:$7=$F$3)*(Data_Input!$8:$8=$B110), 0)), 0) + 1, MATCH(1, (Data_Input!$7:$7=$F$3)*(Data_Input!$8:$8=$B110), 0)),"")</f>
        <v/>
      </c>
      <c r="J110" s="20" t="str" cm="1">
        <f t="array" ref="J110">IFERROR(INDEX(Data_Input!$A$1:$ZZ$502, MATCH("평가손익", INDEX(Data_Input!$A$1:$ZZ$502, 0, MATCH(1, (Data_Input!$7:$7=$F$3)*(Data_Input!$8:$8=$B110), 0)), 0) + 1, MATCH(1, (Data_Input!$7:$7=$F$3)*(Data_Input!$8:$8=$B110), 0)),"")</f>
        <v/>
      </c>
      <c r="K110" s="14" t="str" cm="1">
        <f t="array" ref="K110">IFERROR(INDEX(Data_Input!$A$1:$ZZ$502, MATCH("총수익률", INDEX(Data_Input!$A$1:$ZZ$502, 0, MATCH(1, (Data_Input!$7:$7=$F$3)*(Data_Input!$8:$8=$B110), 0)), 0) + 1, MATCH(1, (Data_Input!$7:$7=$F$3)*(Data_Input!$8:$8=$B110), 0)),"")</f>
        <v/>
      </c>
      <c r="L110" t="str" cm="1">
        <f t="array" ref="L110">IFERROR(_xlfn.LET(
    _xlpm.targetDate, B110,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11" spans="1:12" x14ac:dyDescent="0.3">
      <c r="A111" s="16" t="str">
        <f t="shared" si="2"/>
        <v/>
      </c>
      <c r="B111" s="19"/>
      <c r="C111" s="17" t="str">
        <f t="shared" si="3"/>
        <v/>
      </c>
      <c r="D111" s="29" t="str" cm="1">
        <f t="array" ref="D111">IFERROR(INDEX(Data_Input!$10:$10,MATCH(1,(Data_Input!$7:$7=$F$3)*(Data_Input!$8:$8=$B111),0)),"")</f>
        <v/>
      </c>
      <c r="E111" s="29" t="str" cm="1">
        <f t="array" ref="E111">IFERROR(INDEX(Data_Input!$1:$100, 9, MATCH(1, (Data_Input!$7:$7=$F$3) * (Data_Input!$8:$8=$B111), 0)),"")</f>
        <v/>
      </c>
      <c r="F111" s="20" t="str" cm="1">
        <f t="array" ref="F111">IFERROR(INDEX(Data_Input!$A$1:$ZZ$502, MATCH("예수금", INDEX(Data_Input!$A$1:$ZZ$502, 0, MATCH(1, (Data_Input!$7:$7=$F$3)*(Data_Input!$8:$8=$B111), 0)), 0) + 1, MATCH(1, (Data_Input!$7:$7=$F$3)*(Data_Input!$8:$8=$B111), 0)),"")</f>
        <v/>
      </c>
      <c r="G111" s="20" t="str" cm="1">
        <f t="array" ref="G111">IFERROR(INDEX(Data_Input!$A$1:$ZZ$502, MATCH("총자산", INDEX(Data_Input!$A$1:$ZZ$502, 0, MATCH(1, (Data_Input!$7:$7=$F$3)*(Data_Input!$8:$8=$B111), 0)), 0) + 1, MATCH(1, (Data_Input!$7:$7=$F$3)*(Data_Input!$8:$8=$B111), 0)),"")</f>
        <v/>
      </c>
      <c r="H111" s="20" t="str" cm="1">
        <f t="array" ref="H111">IFERROR(INDEX(Data_Input!$A$1:$ZZ$502, MATCH("매입금액", INDEX(Data_Input!$A$1:$ZZ$502, 0, MATCH(1, (Data_Input!$7:$7=$F$3)*(Data_Input!$8:$8=$B111), 0)), 0) + 1, MATCH(1, (Data_Input!$7:$7=$F$3)*(Data_Input!$8:$8=$B111), 0)),"")</f>
        <v/>
      </c>
      <c r="I111" s="20" t="str" cm="1">
        <f t="array" ref="I111">IFERROR(INDEX(Data_Input!$A$1:$ZZ$502, MATCH("평가금액", INDEX(Data_Input!$A$1:$ZZ$502, 0, MATCH(1, (Data_Input!$7:$7=$F$3)*(Data_Input!$8:$8=$B111), 0)), 0) + 1, MATCH(1, (Data_Input!$7:$7=$F$3)*(Data_Input!$8:$8=$B111), 0)),"")</f>
        <v/>
      </c>
      <c r="J111" s="20" t="str" cm="1">
        <f t="array" ref="J111">IFERROR(INDEX(Data_Input!$A$1:$ZZ$502, MATCH("평가손익", INDEX(Data_Input!$A$1:$ZZ$502, 0, MATCH(1, (Data_Input!$7:$7=$F$3)*(Data_Input!$8:$8=$B111), 0)), 0) + 1, MATCH(1, (Data_Input!$7:$7=$F$3)*(Data_Input!$8:$8=$B111), 0)),"")</f>
        <v/>
      </c>
      <c r="K111" s="14" t="str" cm="1">
        <f t="array" ref="K111">IFERROR(INDEX(Data_Input!$A$1:$ZZ$502, MATCH("총수익률", INDEX(Data_Input!$A$1:$ZZ$502, 0, MATCH(1, (Data_Input!$7:$7=$F$3)*(Data_Input!$8:$8=$B111), 0)), 0) + 1, MATCH(1, (Data_Input!$7:$7=$F$3)*(Data_Input!$8:$8=$B111), 0)),"")</f>
        <v/>
      </c>
      <c r="L111" t="str" cm="1">
        <f t="array" ref="L111">IFERROR(_xlfn.LET(
    _xlpm.targetDate, B111,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12" spans="1:12" x14ac:dyDescent="0.3">
      <c r="A112" s="16" t="str">
        <f t="shared" si="2"/>
        <v/>
      </c>
      <c r="B112" s="19"/>
      <c r="C112" s="17" t="str">
        <f t="shared" si="3"/>
        <v/>
      </c>
      <c r="D112" s="29" t="str" cm="1">
        <f t="array" ref="D112">IFERROR(INDEX(Data_Input!$10:$10,MATCH(1,(Data_Input!$7:$7=$F$3)*(Data_Input!$8:$8=$B112),0)),"")</f>
        <v/>
      </c>
      <c r="E112" s="29" t="str" cm="1">
        <f t="array" ref="E112">IFERROR(INDEX(Data_Input!$1:$100, 9, MATCH(1, (Data_Input!$7:$7=$F$3) * (Data_Input!$8:$8=$B112), 0)),"")</f>
        <v/>
      </c>
      <c r="F112" s="20" t="str" cm="1">
        <f t="array" ref="F112">IFERROR(INDEX(Data_Input!$A$1:$ZZ$502, MATCH("예수금", INDEX(Data_Input!$A$1:$ZZ$502, 0, MATCH(1, (Data_Input!$7:$7=$F$3)*(Data_Input!$8:$8=$B112), 0)), 0) + 1, MATCH(1, (Data_Input!$7:$7=$F$3)*(Data_Input!$8:$8=$B112), 0)),"")</f>
        <v/>
      </c>
      <c r="G112" s="20" t="str" cm="1">
        <f t="array" ref="G112">IFERROR(INDEX(Data_Input!$A$1:$ZZ$502, MATCH("총자산", INDEX(Data_Input!$A$1:$ZZ$502, 0, MATCH(1, (Data_Input!$7:$7=$F$3)*(Data_Input!$8:$8=$B112), 0)), 0) + 1, MATCH(1, (Data_Input!$7:$7=$F$3)*(Data_Input!$8:$8=$B112), 0)),"")</f>
        <v/>
      </c>
      <c r="H112" s="20" t="str" cm="1">
        <f t="array" ref="H112">IFERROR(INDEX(Data_Input!$A$1:$ZZ$502, MATCH("매입금액", INDEX(Data_Input!$A$1:$ZZ$502, 0, MATCH(1, (Data_Input!$7:$7=$F$3)*(Data_Input!$8:$8=$B112), 0)), 0) + 1, MATCH(1, (Data_Input!$7:$7=$F$3)*(Data_Input!$8:$8=$B112), 0)),"")</f>
        <v/>
      </c>
      <c r="I112" s="20" t="str" cm="1">
        <f t="array" ref="I112">IFERROR(INDEX(Data_Input!$A$1:$ZZ$502, MATCH("평가금액", INDEX(Data_Input!$A$1:$ZZ$502, 0, MATCH(1, (Data_Input!$7:$7=$F$3)*(Data_Input!$8:$8=$B112), 0)), 0) + 1, MATCH(1, (Data_Input!$7:$7=$F$3)*(Data_Input!$8:$8=$B112), 0)),"")</f>
        <v/>
      </c>
      <c r="J112" s="20" t="str" cm="1">
        <f t="array" ref="J112">IFERROR(INDEX(Data_Input!$A$1:$ZZ$502, MATCH("평가손익", INDEX(Data_Input!$A$1:$ZZ$502, 0, MATCH(1, (Data_Input!$7:$7=$F$3)*(Data_Input!$8:$8=$B112), 0)), 0) + 1, MATCH(1, (Data_Input!$7:$7=$F$3)*(Data_Input!$8:$8=$B112), 0)),"")</f>
        <v/>
      </c>
      <c r="K112" s="14" t="str" cm="1">
        <f t="array" ref="K112">IFERROR(INDEX(Data_Input!$A$1:$ZZ$502, MATCH("총수익률", INDEX(Data_Input!$A$1:$ZZ$502, 0, MATCH(1, (Data_Input!$7:$7=$F$3)*(Data_Input!$8:$8=$B112), 0)), 0) + 1, MATCH(1, (Data_Input!$7:$7=$F$3)*(Data_Input!$8:$8=$B112), 0)),"")</f>
        <v/>
      </c>
      <c r="L112" t="str" cm="1">
        <f t="array" ref="L112">IFERROR(_xlfn.LET(
    _xlpm.targetDate, B112,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13" spans="1:12" x14ac:dyDescent="0.3">
      <c r="A113" s="16" t="str">
        <f t="shared" si="2"/>
        <v/>
      </c>
      <c r="B113" s="19"/>
      <c r="C113" s="17" t="str">
        <f t="shared" si="3"/>
        <v/>
      </c>
      <c r="D113" s="29" t="str" cm="1">
        <f t="array" ref="D113">IFERROR(INDEX(Data_Input!$10:$10,MATCH(1,(Data_Input!$7:$7=$F$3)*(Data_Input!$8:$8=$B113),0)),"")</f>
        <v/>
      </c>
      <c r="E113" s="29" t="str" cm="1">
        <f t="array" ref="E113">IFERROR(INDEX(Data_Input!$1:$100, 9, MATCH(1, (Data_Input!$7:$7=$F$3) * (Data_Input!$8:$8=$B113), 0)),"")</f>
        <v/>
      </c>
      <c r="F113" s="20" t="str" cm="1">
        <f t="array" ref="F113">IFERROR(INDEX(Data_Input!$A$1:$ZZ$502, MATCH("예수금", INDEX(Data_Input!$A$1:$ZZ$502, 0, MATCH(1, (Data_Input!$7:$7=$F$3)*(Data_Input!$8:$8=$B113), 0)), 0) + 1, MATCH(1, (Data_Input!$7:$7=$F$3)*(Data_Input!$8:$8=$B113), 0)),"")</f>
        <v/>
      </c>
      <c r="G113" s="20" t="str" cm="1">
        <f t="array" ref="G113">IFERROR(INDEX(Data_Input!$A$1:$ZZ$502, MATCH("총자산", INDEX(Data_Input!$A$1:$ZZ$502, 0, MATCH(1, (Data_Input!$7:$7=$F$3)*(Data_Input!$8:$8=$B113), 0)), 0) + 1, MATCH(1, (Data_Input!$7:$7=$F$3)*(Data_Input!$8:$8=$B113), 0)),"")</f>
        <v/>
      </c>
      <c r="H113" s="20" t="str" cm="1">
        <f t="array" ref="H113">IFERROR(INDEX(Data_Input!$A$1:$ZZ$502, MATCH("매입금액", INDEX(Data_Input!$A$1:$ZZ$502, 0, MATCH(1, (Data_Input!$7:$7=$F$3)*(Data_Input!$8:$8=$B113), 0)), 0) + 1, MATCH(1, (Data_Input!$7:$7=$F$3)*(Data_Input!$8:$8=$B113), 0)),"")</f>
        <v/>
      </c>
      <c r="I113" s="20" t="str" cm="1">
        <f t="array" ref="I113">IFERROR(INDEX(Data_Input!$A$1:$ZZ$502, MATCH("평가금액", INDEX(Data_Input!$A$1:$ZZ$502, 0, MATCH(1, (Data_Input!$7:$7=$F$3)*(Data_Input!$8:$8=$B113), 0)), 0) + 1, MATCH(1, (Data_Input!$7:$7=$F$3)*(Data_Input!$8:$8=$B113), 0)),"")</f>
        <v/>
      </c>
      <c r="J113" s="20" t="str" cm="1">
        <f t="array" ref="J113">IFERROR(INDEX(Data_Input!$A$1:$ZZ$502, MATCH("평가손익", INDEX(Data_Input!$A$1:$ZZ$502, 0, MATCH(1, (Data_Input!$7:$7=$F$3)*(Data_Input!$8:$8=$B113), 0)), 0) + 1, MATCH(1, (Data_Input!$7:$7=$F$3)*(Data_Input!$8:$8=$B113), 0)),"")</f>
        <v/>
      </c>
      <c r="K113" s="14" t="str" cm="1">
        <f t="array" ref="K113">IFERROR(INDEX(Data_Input!$A$1:$ZZ$502, MATCH("총수익률", INDEX(Data_Input!$A$1:$ZZ$502, 0, MATCH(1, (Data_Input!$7:$7=$F$3)*(Data_Input!$8:$8=$B113), 0)), 0) + 1, MATCH(1, (Data_Input!$7:$7=$F$3)*(Data_Input!$8:$8=$B113), 0)),"")</f>
        <v/>
      </c>
      <c r="L113" t="str" cm="1">
        <f t="array" ref="L113">IFERROR(_xlfn.LET(
    _xlpm.targetDate, B113,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14" spans="1:12" x14ac:dyDescent="0.3">
      <c r="A114" s="16" t="str">
        <f t="shared" si="2"/>
        <v/>
      </c>
      <c r="B114" s="19"/>
      <c r="C114" s="17" t="str">
        <f t="shared" si="3"/>
        <v/>
      </c>
      <c r="D114" s="29" t="str" cm="1">
        <f t="array" ref="D114">IFERROR(INDEX(Data_Input!$10:$10,MATCH(1,(Data_Input!$7:$7=$F$3)*(Data_Input!$8:$8=$B114),0)),"")</f>
        <v/>
      </c>
      <c r="E114" s="29" t="str" cm="1">
        <f t="array" ref="E114">IFERROR(INDEX(Data_Input!$1:$100, 9, MATCH(1, (Data_Input!$7:$7=$F$3) * (Data_Input!$8:$8=$B114), 0)),"")</f>
        <v/>
      </c>
      <c r="F114" s="20" t="str" cm="1">
        <f t="array" ref="F114">IFERROR(INDEX(Data_Input!$A$1:$ZZ$502, MATCH("예수금", INDEX(Data_Input!$A$1:$ZZ$502, 0, MATCH(1, (Data_Input!$7:$7=$F$3)*(Data_Input!$8:$8=$B114), 0)), 0) + 1, MATCH(1, (Data_Input!$7:$7=$F$3)*(Data_Input!$8:$8=$B114), 0)),"")</f>
        <v/>
      </c>
      <c r="G114" s="20" t="str" cm="1">
        <f t="array" ref="G114">IFERROR(INDEX(Data_Input!$A$1:$ZZ$502, MATCH("총자산", INDEX(Data_Input!$A$1:$ZZ$502, 0, MATCH(1, (Data_Input!$7:$7=$F$3)*(Data_Input!$8:$8=$B114), 0)), 0) + 1, MATCH(1, (Data_Input!$7:$7=$F$3)*(Data_Input!$8:$8=$B114), 0)),"")</f>
        <v/>
      </c>
      <c r="H114" s="20" t="str" cm="1">
        <f t="array" ref="H114">IFERROR(INDEX(Data_Input!$A$1:$ZZ$502, MATCH("매입금액", INDEX(Data_Input!$A$1:$ZZ$502, 0, MATCH(1, (Data_Input!$7:$7=$F$3)*(Data_Input!$8:$8=$B114), 0)), 0) + 1, MATCH(1, (Data_Input!$7:$7=$F$3)*(Data_Input!$8:$8=$B114), 0)),"")</f>
        <v/>
      </c>
      <c r="I114" s="20" t="str" cm="1">
        <f t="array" ref="I114">IFERROR(INDEX(Data_Input!$A$1:$ZZ$502, MATCH("평가금액", INDEX(Data_Input!$A$1:$ZZ$502, 0, MATCH(1, (Data_Input!$7:$7=$F$3)*(Data_Input!$8:$8=$B114), 0)), 0) + 1, MATCH(1, (Data_Input!$7:$7=$F$3)*(Data_Input!$8:$8=$B114), 0)),"")</f>
        <v/>
      </c>
      <c r="J114" s="20" t="str" cm="1">
        <f t="array" ref="J114">IFERROR(INDEX(Data_Input!$A$1:$ZZ$502, MATCH("평가손익", INDEX(Data_Input!$A$1:$ZZ$502, 0, MATCH(1, (Data_Input!$7:$7=$F$3)*(Data_Input!$8:$8=$B114), 0)), 0) + 1, MATCH(1, (Data_Input!$7:$7=$F$3)*(Data_Input!$8:$8=$B114), 0)),"")</f>
        <v/>
      </c>
      <c r="K114" s="14" t="str" cm="1">
        <f t="array" ref="K114">IFERROR(INDEX(Data_Input!$A$1:$ZZ$502, MATCH("총수익률", INDEX(Data_Input!$A$1:$ZZ$502, 0, MATCH(1, (Data_Input!$7:$7=$F$3)*(Data_Input!$8:$8=$B114), 0)), 0) + 1, MATCH(1, (Data_Input!$7:$7=$F$3)*(Data_Input!$8:$8=$B114), 0)),"")</f>
        <v/>
      </c>
      <c r="L114" t="str" cm="1">
        <f t="array" ref="L114">IFERROR(_xlfn.LET(
    _xlpm.targetDate, B114,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15" spans="1:12" x14ac:dyDescent="0.3">
      <c r="A115" s="16" t="str">
        <f t="shared" si="2"/>
        <v/>
      </c>
      <c r="B115" s="19"/>
      <c r="C115" s="17" t="str">
        <f t="shared" si="3"/>
        <v/>
      </c>
      <c r="D115" s="29" t="str" cm="1">
        <f t="array" ref="D115">IFERROR(INDEX(Data_Input!$10:$10,MATCH(1,(Data_Input!$7:$7=$F$3)*(Data_Input!$8:$8=$B115),0)),"")</f>
        <v/>
      </c>
      <c r="E115" s="29" t="str" cm="1">
        <f t="array" ref="E115">IFERROR(INDEX(Data_Input!$1:$100, 9, MATCH(1, (Data_Input!$7:$7=$F$3) * (Data_Input!$8:$8=$B115), 0)),"")</f>
        <v/>
      </c>
      <c r="F115" s="20" t="str" cm="1">
        <f t="array" ref="F115">IFERROR(INDEX(Data_Input!$A$1:$ZZ$502, MATCH("예수금", INDEX(Data_Input!$A$1:$ZZ$502, 0, MATCH(1, (Data_Input!$7:$7=$F$3)*(Data_Input!$8:$8=$B115), 0)), 0) + 1, MATCH(1, (Data_Input!$7:$7=$F$3)*(Data_Input!$8:$8=$B115), 0)),"")</f>
        <v/>
      </c>
      <c r="G115" s="20" t="str" cm="1">
        <f t="array" ref="G115">IFERROR(INDEX(Data_Input!$A$1:$ZZ$502, MATCH("총자산", INDEX(Data_Input!$A$1:$ZZ$502, 0, MATCH(1, (Data_Input!$7:$7=$F$3)*(Data_Input!$8:$8=$B115), 0)), 0) + 1, MATCH(1, (Data_Input!$7:$7=$F$3)*(Data_Input!$8:$8=$B115), 0)),"")</f>
        <v/>
      </c>
      <c r="H115" s="20" t="str" cm="1">
        <f t="array" ref="H115">IFERROR(INDEX(Data_Input!$A$1:$ZZ$502, MATCH("매입금액", INDEX(Data_Input!$A$1:$ZZ$502, 0, MATCH(1, (Data_Input!$7:$7=$F$3)*(Data_Input!$8:$8=$B115), 0)), 0) + 1, MATCH(1, (Data_Input!$7:$7=$F$3)*(Data_Input!$8:$8=$B115), 0)),"")</f>
        <v/>
      </c>
      <c r="I115" s="20" t="str" cm="1">
        <f t="array" ref="I115">IFERROR(INDEX(Data_Input!$A$1:$ZZ$502, MATCH("평가금액", INDEX(Data_Input!$A$1:$ZZ$502, 0, MATCH(1, (Data_Input!$7:$7=$F$3)*(Data_Input!$8:$8=$B115), 0)), 0) + 1, MATCH(1, (Data_Input!$7:$7=$F$3)*(Data_Input!$8:$8=$B115), 0)),"")</f>
        <v/>
      </c>
      <c r="J115" s="20" t="str" cm="1">
        <f t="array" ref="J115">IFERROR(INDEX(Data_Input!$A$1:$ZZ$502, MATCH("평가손익", INDEX(Data_Input!$A$1:$ZZ$502, 0, MATCH(1, (Data_Input!$7:$7=$F$3)*(Data_Input!$8:$8=$B115), 0)), 0) + 1, MATCH(1, (Data_Input!$7:$7=$F$3)*(Data_Input!$8:$8=$B115), 0)),"")</f>
        <v/>
      </c>
      <c r="K115" s="14" t="str" cm="1">
        <f t="array" ref="K115">IFERROR(INDEX(Data_Input!$A$1:$ZZ$502, MATCH("총수익률", INDEX(Data_Input!$A$1:$ZZ$502, 0, MATCH(1, (Data_Input!$7:$7=$F$3)*(Data_Input!$8:$8=$B115), 0)), 0) + 1, MATCH(1, (Data_Input!$7:$7=$F$3)*(Data_Input!$8:$8=$B115), 0)),"")</f>
        <v/>
      </c>
      <c r="L115" t="str" cm="1">
        <f t="array" ref="L115">IFERROR(_xlfn.LET(
    _xlpm.targetDate, B115,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16" spans="1:12" x14ac:dyDescent="0.3">
      <c r="A116" s="16" t="str">
        <f t="shared" si="2"/>
        <v/>
      </c>
      <c r="B116" s="19"/>
      <c r="C116" s="17" t="str">
        <f t="shared" si="3"/>
        <v/>
      </c>
      <c r="D116" s="29" t="str" cm="1">
        <f t="array" ref="D116">IFERROR(INDEX(Data_Input!$10:$10,MATCH(1,(Data_Input!$7:$7=$F$3)*(Data_Input!$8:$8=$B116),0)),"")</f>
        <v/>
      </c>
      <c r="E116" s="29" t="str" cm="1">
        <f t="array" ref="E116">IFERROR(INDEX(Data_Input!$1:$100, 9, MATCH(1, (Data_Input!$7:$7=$F$3) * (Data_Input!$8:$8=$B116), 0)),"")</f>
        <v/>
      </c>
      <c r="F116" s="20" t="str" cm="1">
        <f t="array" ref="F116">IFERROR(INDEX(Data_Input!$A$1:$ZZ$502, MATCH("예수금", INDEX(Data_Input!$A$1:$ZZ$502, 0, MATCH(1, (Data_Input!$7:$7=$F$3)*(Data_Input!$8:$8=$B116), 0)), 0) + 1, MATCH(1, (Data_Input!$7:$7=$F$3)*(Data_Input!$8:$8=$B116), 0)),"")</f>
        <v/>
      </c>
      <c r="G116" s="20" t="str" cm="1">
        <f t="array" ref="G116">IFERROR(INDEX(Data_Input!$A$1:$ZZ$502, MATCH("총자산", INDEX(Data_Input!$A$1:$ZZ$502, 0, MATCH(1, (Data_Input!$7:$7=$F$3)*(Data_Input!$8:$8=$B116), 0)), 0) + 1, MATCH(1, (Data_Input!$7:$7=$F$3)*(Data_Input!$8:$8=$B116), 0)),"")</f>
        <v/>
      </c>
      <c r="H116" s="20" t="str" cm="1">
        <f t="array" ref="H116">IFERROR(INDEX(Data_Input!$A$1:$ZZ$502, MATCH("매입금액", INDEX(Data_Input!$A$1:$ZZ$502, 0, MATCH(1, (Data_Input!$7:$7=$F$3)*(Data_Input!$8:$8=$B116), 0)), 0) + 1, MATCH(1, (Data_Input!$7:$7=$F$3)*(Data_Input!$8:$8=$B116), 0)),"")</f>
        <v/>
      </c>
      <c r="I116" s="20" t="str" cm="1">
        <f t="array" ref="I116">IFERROR(INDEX(Data_Input!$A$1:$ZZ$502, MATCH("평가금액", INDEX(Data_Input!$A$1:$ZZ$502, 0, MATCH(1, (Data_Input!$7:$7=$F$3)*(Data_Input!$8:$8=$B116), 0)), 0) + 1, MATCH(1, (Data_Input!$7:$7=$F$3)*(Data_Input!$8:$8=$B116), 0)),"")</f>
        <v/>
      </c>
      <c r="J116" s="20" t="str" cm="1">
        <f t="array" ref="J116">IFERROR(INDEX(Data_Input!$A$1:$ZZ$502, MATCH("평가손익", INDEX(Data_Input!$A$1:$ZZ$502, 0, MATCH(1, (Data_Input!$7:$7=$F$3)*(Data_Input!$8:$8=$B116), 0)), 0) + 1, MATCH(1, (Data_Input!$7:$7=$F$3)*(Data_Input!$8:$8=$B116), 0)),"")</f>
        <v/>
      </c>
      <c r="K116" s="14" t="str" cm="1">
        <f t="array" ref="K116">IFERROR(INDEX(Data_Input!$A$1:$ZZ$502, MATCH("총수익률", INDEX(Data_Input!$A$1:$ZZ$502, 0, MATCH(1, (Data_Input!$7:$7=$F$3)*(Data_Input!$8:$8=$B116), 0)), 0) + 1, MATCH(1, (Data_Input!$7:$7=$F$3)*(Data_Input!$8:$8=$B116), 0)),"")</f>
        <v/>
      </c>
      <c r="L116" t="str" cm="1">
        <f t="array" ref="L116">IFERROR(_xlfn.LET(
    _xlpm.targetDate, B116,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17" spans="1:12" x14ac:dyDescent="0.3">
      <c r="A117" s="16" t="str">
        <f t="shared" si="2"/>
        <v/>
      </c>
      <c r="B117" s="19"/>
      <c r="C117" s="17" t="str">
        <f t="shared" si="3"/>
        <v/>
      </c>
      <c r="D117" s="29" t="str" cm="1">
        <f t="array" ref="D117">IFERROR(INDEX(Data_Input!$10:$10,MATCH(1,(Data_Input!$7:$7=$F$3)*(Data_Input!$8:$8=$B117),0)),"")</f>
        <v/>
      </c>
      <c r="E117" s="29" t="str" cm="1">
        <f t="array" ref="E117">IFERROR(INDEX(Data_Input!$1:$100, 9, MATCH(1, (Data_Input!$7:$7=$F$3) * (Data_Input!$8:$8=$B117), 0)),"")</f>
        <v/>
      </c>
      <c r="F117" s="20" t="str" cm="1">
        <f t="array" ref="F117">IFERROR(INDEX(Data_Input!$A$1:$ZZ$502, MATCH("예수금", INDEX(Data_Input!$A$1:$ZZ$502, 0, MATCH(1, (Data_Input!$7:$7=$F$3)*(Data_Input!$8:$8=$B117), 0)), 0) + 1, MATCH(1, (Data_Input!$7:$7=$F$3)*(Data_Input!$8:$8=$B117), 0)),"")</f>
        <v/>
      </c>
      <c r="G117" s="20" t="str" cm="1">
        <f t="array" ref="G117">IFERROR(INDEX(Data_Input!$A$1:$ZZ$502, MATCH("총자산", INDEX(Data_Input!$A$1:$ZZ$502, 0, MATCH(1, (Data_Input!$7:$7=$F$3)*(Data_Input!$8:$8=$B117), 0)), 0) + 1, MATCH(1, (Data_Input!$7:$7=$F$3)*(Data_Input!$8:$8=$B117), 0)),"")</f>
        <v/>
      </c>
      <c r="H117" s="20" t="str" cm="1">
        <f t="array" ref="H117">IFERROR(INDEX(Data_Input!$A$1:$ZZ$502, MATCH("매입금액", INDEX(Data_Input!$A$1:$ZZ$502, 0, MATCH(1, (Data_Input!$7:$7=$F$3)*(Data_Input!$8:$8=$B117), 0)), 0) + 1, MATCH(1, (Data_Input!$7:$7=$F$3)*(Data_Input!$8:$8=$B117), 0)),"")</f>
        <v/>
      </c>
      <c r="I117" s="20" t="str" cm="1">
        <f t="array" ref="I117">IFERROR(INDEX(Data_Input!$A$1:$ZZ$502, MATCH("평가금액", INDEX(Data_Input!$A$1:$ZZ$502, 0, MATCH(1, (Data_Input!$7:$7=$F$3)*(Data_Input!$8:$8=$B117), 0)), 0) + 1, MATCH(1, (Data_Input!$7:$7=$F$3)*(Data_Input!$8:$8=$B117), 0)),"")</f>
        <v/>
      </c>
      <c r="J117" s="20" t="str" cm="1">
        <f t="array" ref="J117">IFERROR(INDEX(Data_Input!$A$1:$ZZ$502, MATCH("평가손익", INDEX(Data_Input!$A$1:$ZZ$502, 0, MATCH(1, (Data_Input!$7:$7=$F$3)*(Data_Input!$8:$8=$B117), 0)), 0) + 1, MATCH(1, (Data_Input!$7:$7=$F$3)*(Data_Input!$8:$8=$B117), 0)),"")</f>
        <v/>
      </c>
      <c r="K117" s="14" t="str" cm="1">
        <f t="array" ref="K117">IFERROR(INDEX(Data_Input!$A$1:$ZZ$502, MATCH("총수익률", INDEX(Data_Input!$A$1:$ZZ$502, 0, MATCH(1, (Data_Input!$7:$7=$F$3)*(Data_Input!$8:$8=$B117), 0)), 0) + 1, MATCH(1, (Data_Input!$7:$7=$F$3)*(Data_Input!$8:$8=$B117), 0)),"")</f>
        <v/>
      </c>
      <c r="L117" t="str" cm="1">
        <f t="array" ref="L117">IFERROR(_xlfn.LET(
    _xlpm.targetDate, B117,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18" spans="1:12" x14ac:dyDescent="0.3">
      <c r="A118" s="16" t="str">
        <f t="shared" si="2"/>
        <v/>
      </c>
      <c r="B118" s="19"/>
      <c r="C118" s="17" t="str">
        <f t="shared" si="3"/>
        <v/>
      </c>
      <c r="D118" s="29" t="str" cm="1">
        <f t="array" ref="D118">IFERROR(INDEX(Data_Input!$10:$10,MATCH(1,(Data_Input!$7:$7=$F$3)*(Data_Input!$8:$8=$B118),0)),"")</f>
        <v/>
      </c>
      <c r="E118" s="29" t="str" cm="1">
        <f t="array" ref="E118">IFERROR(INDEX(Data_Input!$1:$100, 9, MATCH(1, (Data_Input!$7:$7=$F$3) * (Data_Input!$8:$8=$B118), 0)),"")</f>
        <v/>
      </c>
      <c r="F118" s="20" t="str" cm="1">
        <f t="array" ref="F118">IFERROR(INDEX(Data_Input!$A$1:$ZZ$502, MATCH("예수금", INDEX(Data_Input!$A$1:$ZZ$502, 0, MATCH(1, (Data_Input!$7:$7=$F$3)*(Data_Input!$8:$8=$B118), 0)), 0) + 1, MATCH(1, (Data_Input!$7:$7=$F$3)*(Data_Input!$8:$8=$B118), 0)),"")</f>
        <v/>
      </c>
      <c r="G118" s="20" t="str" cm="1">
        <f t="array" ref="G118">IFERROR(INDEX(Data_Input!$A$1:$ZZ$502, MATCH("총자산", INDEX(Data_Input!$A$1:$ZZ$502, 0, MATCH(1, (Data_Input!$7:$7=$F$3)*(Data_Input!$8:$8=$B118), 0)), 0) + 1, MATCH(1, (Data_Input!$7:$7=$F$3)*(Data_Input!$8:$8=$B118), 0)),"")</f>
        <v/>
      </c>
      <c r="H118" s="20" t="str" cm="1">
        <f t="array" ref="H118">IFERROR(INDEX(Data_Input!$A$1:$ZZ$502, MATCH("매입금액", INDEX(Data_Input!$A$1:$ZZ$502, 0, MATCH(1, (Data_Input!$7:$7=$F$3)*(Data_Input!$8:$8=$B118), 0)), 0) + 1, MATCH(1, (Data_Input!$7:$7=$F$3)*(Data_Input!$8:$8=$B118), 0)),"")</f>
        <v/>
      </c>
      <c r="I118" s="20" t="str" cm="1">
        <f t="array" ref="I118">IFERROR(INDEX(Data_Input!$A$1:$ZZ$502, MATCH("평가금액", INDEX(Data_Input!$A$1:$ZZ$502, 0, MATCH(1, (Data_Input!$7:$7=$F$3)*(Data_Input!$8:$8=$B118), 0)), 0) + 1, MATCH(1, (Data_Input!$7:$7=$F$3)*(Data_Input!$8:$8=$B118), 0)),"")</f>
        <v/>
      </c>
      <c r="J118" s="20" t="str" cm="1">
        <f t="array" ref="J118">IFERROR(INDEX(Data_Input!$A$1:$ZZ$502, MATCH("평가손익", INDEX(Data_Input!$A$1:$ZZ$502, 0, MATCH(1, (Data_Input!$7:$7=$F$3)*(Data_Input!$8:$8=$B118), 0)), 0) + 1, MATCH(1, (Data_Input!$7:$7=$F$3)*(Data_Input!$8:$8=$B118), 0)),"")</f>
        <v/>
      </c>
      <c r="K118" s="14" t="str" cm="1">
        <f t="array" ref="K118">IFERROR(INDEX(Data_Input!$A$1:$ZZ$502, MATCH("총수익률", INDEX(Data_Input!$A$1:$ZZ$502, 0, MATCH(1, (Data_Input!$7:$7=$F$3)*(Data_Input!$8:$8=$B118), 0)), 0) + 1, MATCH(1, (Data_Input!$7:$7=$F$3)*(Data_Input!$8:$8=$B118), 0)),"")</f>
        <v/>
      </c>
      <c r="L118" t="str" cm="1">
        <f t="array" ref="L118">IFERROR(_xlfn.LET(
    _xlpm.targetDate, B118,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19" spans="1:12" x14ac:dyDescent="0.3">
      <c r="A119" s="16" t="str">
        <f t="shared" si="2"/>
        <v/>
      </c>
      <c r="B119" s="19"/>
      <c r="C119" s="17" t="str">
        <f t="shared" si="3"/>
        <v/>
      </c>
      <c r="D119" s="29" t="str" cm="1">
        <f t="array" ref="D119">IFERROR(INDEX(Data_Input!$10:$10,MATCH(1,(Data_Input!$7:$7=$F$3)*(Data_Input!$8:$8=$B119),0)),"")</f>
        <v/>
      </c>
      <c r="E119" s="29" t="str" cm="1">
        <f t="array" ref="E119">IFERROR(INDEX(Data_Input!$1:$100, 9, MATCH(1, (Data_Input!$7:$7=$F$3) * (Data_Input!$8:$8=$B119), 0)),"")</f>
        <v/>
      </c>
      <c r="F119" s="20" t="str" cm="1">
        <f t="array" ref="F119">IFERROR(INDEX(Data_Input!$A$1:$ZZ$502, MATCH("예수금", INDEX(Data_Input!$A$1:$ZZ$502, 0, MATCH(1, (Data_Input!$7:$7=$F$3)*(Data_Input!$8:$8=$B119), 0)), 0) + 1, MATCH(1, (Data_Input!$7:$7=$F$3)*(Data_Input!$8:$8=$B119), 0)),"")</f>
        <v/>
      </c>
      <c r="G119" s="20" t="str" cm="1">
        <f t="array" ref="G119">IFERROR(INDEX(Data_Input!$A$1:$ZZ$502, MATCH("총자산", INDEX(Data_Input!$A$1:$ZZ$502, 0, MATCH(1, (Data_Input!$7:$7=$F$3)*(Data_Input!$8:$8=$B119), 0)), 0) + 1, MATCH(1, (Data_Input!$7:$7=$F$3)*(Data_Input!$8:$8=$B119), 0)),"")</f>
        <v/>
      </c>
      <c r="H119" s="20" t="str" cm="1">
        <f t="array" ref="H119">IFERROR(INDEX(Data_Input!$A$1:$ZZ$502, MATCH("매입금액", INDEX(Data_Input!$A$1:$ZZ$502, 0, MATCH(1, (Data_Input!$7:$7=$F$3)*(Data_Input!$8:$8=$B119), 0)), 0) + 1, MATCH(1, (Data_Input!$7:$7=$F$3)*(Data_Input!$8:$8=$B119), 0)),"")</f>
        <v/>
      </c>
      <c r="I119" s="20" t="str" cm="1">
        <f t="array" ref="I119">IFERROR(INDEX(Data_Input!$A$1:$ZZ$502, MATCH("평가금액", INDEX(Data_Input!$A$1:$ZZ$502, 0, MATCH(1, (Data_Input!$7:$7=$F$3)*(Data_Input!$8:$8=$B119), 0)), 0) + 1, MATCH(1, (Data_Input!$7:$7=$F$3)*(Data_Input!$8:$8=$B119), 0)),"")</f>
        <v/>
      </c>
      <c r="J119" s="20" t="str" cm="1">
        <f t="array" ref="J119">IFERROR(INDEX(Data_Input!$A$1:$ZZ$502, MATCH("평가손익", INDEX(Data_Input!$A$1:$ZZ$502, 0, MATCH(1, (Data_Input!$7:$7=$F$3)*(Data_Input!$8:$8=$B119), 0)), 0) + 1, MATCH(1, (Data_Input!$7:$7=$F$3)*(Data_Input!$8:$8=$B119), 0)),"")</f>
        <v/>
      </c>
      <c r="K119" s="14" t="str" cm="1">
        <f t="array" ref="K119">IFERROR(INDEX(Data_Input!$A$1:$ZZ$502, MATCH("총수익률", INDEX(Data_Input!$A$1:$ZZ$502, 0, MATCH(1, (Data_Input!$7:$7=$F$3)*(Data_Input!$8:$8=$B119), 0)), 0) + 1, MATCH(1, (Data_Input!$7:$7=$F$3)*(Data_Input!$8:$8=$B119), 0)),"")</f>
        <v/>
      </c>
      <c r="L119" t="str" cm="1">
        <f t="array" ref="L119">IFERROR(_xlfn.LET(
    _xlpm.targetDate, B119,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20" spans="1:12" x14ac:dyDescent="0.3">
      <c r="A120" s="16" t="str">
        <f t="shared" si="2"/>
        <v/>
      </c>
      <c r="B120" s="19"/>
      <c r="C120" s="17" t="str">
        <f t="shared" si="3"/>
        <v/>
      </c>
      <c r="D120" s="29" t="str" cm="1">
        <f t="array" ref="D120">IFERROR(INDEX(Data_Input!$10:$10,MATCH(1,(Data_Input!$7:$7=$F$3)*(Data_Input!$8:$8=$B120),0)),"")</f>
        <v/>
      </c>
      <c r="E120" s="29" t="str" cm="1">
        <f t="array" ref="E120">IFERROR(INDEX(Data_Input!$1:$100, 9, MATCH(1, (Data_Input!$7:$7=$F$3) * (Data_Input!$8:$8=$B120), 0)),"")</f>
        <v/>
      </c>
      <c r="F120" s="20" t="str" cm="1">
        <f t="array" ref="F120">IFERROR(INDEX(Data_Input!$A$1:$ZZ$502, MATCH("예수금", INDEX(Data_Input!$A$1:$ZZ$502, 0, MATCH(1, (Data_Input!$7:$7=$F$3)*(Data_Input!$8:$8=$B120), 0)), 0) + 1, MATCH(1, (Data_Input!$7:$7=$F$3)*(Data_Input!$8:$8=$B120), 0)),"")</f>
        <v/>
      </c>
      <c r="G120" s="20" t="str" cm="1">
        <f t="array" ref="G120">IFERROR(INDEX(Data_Input!$A$1:$ZZ$502, MATCH("총자산", INDEX(Data_Input!$A$1:$ZZ$502, 0, MATCH(1, (Data_Input!$7:$7=$F$3)*(Data_Input!$8:$8=$B120), 0)), 0) + 1, MATCH(1, (Data_Input!$7:$7=$F$3)*(Data_Input!$8:$8=$B120), 0)),"")</f>
        <v/>
      </c>
      <c r="H120" s="20" t="str" cm="1">
        <f t="array" ref="H120">IFERROR(INDEX(Data_Input!$A$1:$ZZ$502, MATCH("매입금액", INDEX(Data_Input!$A$1:$ZZ$502, 0, MATCH(1, (Data_Input!$7:$7=$F$3)*(Data_Input!$8:$8=$B120), 0)), 0) + 1, MATCH(1, (Data_Input!$7:$7=$F$3)*(Data_Input!$8:$8=$B120), 0)),"")</f>
        <v/>
      </c>
      <c r="I120" s="20" t="str" cm="1">
        <f t="array" ref="I120">IFERROR(INDEX(Data_Input!$A$1:$ZZ$502, MATCH("평가금액", INDEX(Data_Input!$A$1:$ZZ$502, 0, MATCH(1, (Data_Input!$7:$7=$F$3)*(Data_Input!$8:$8=$B120), 0)), 0) + 1, MATCH(1, (Data_Input!$7:$7=$F$3)*(Data_Input!$8:$8=$B120), 0)),"")</f>
        <v/>
      </c>
      <c r="J120" s="20" t="str" cm="1">
        <f t="array" ref="J120">IFERROR(INDEX(Data_Input!$A$1:$ZZ$502, MATCH("평가손익", INDEX(Data_Input!$A$1:$ZZ$502, 0, MATCH(1, (Data_Input!$7:$7=$F$3)*(Data_Input!$8:$8=$B120), 0)), 0) + 1, MATCH(1, (Data_Input!$7:$7=$F$3)*(Data_Input!$8:$8=$B120), 0)),"")</f>
        <v/>
      </c>
      <c r="K120" s="14" t="str" cm="1">
        <f t="array" ref="K120">IFERROR(INDEX(Data_Input!$A$1:$ZZ$502, MATCH("총수익률", INDEX(Data_Input!$A$1:$ZZ$502, 0, MATCH(1, (Data_Input!$7:$7=$F$3)*(Data_Input!$8:$8=$B120), 0)), 0) + 1, MATCH(1, (Data_Input!$7:$7=$F$3)*(Data_Input!$8:$8=$B120), 0)),"")</f>
        <v/>
      </c>
      <c r="L120" t="str" cm="1">
        <f t="array" ref="L120">IFERROR(_xlfn.LET(
    _xlpm.targetDate, B120,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21" spans="1:12" x14ac:dyDescent="0.3">
      <c r="A121" s="16" t="str">
        <f t="shared" si="2"/>
        <v/>
      </c>
      <c r="B121" s="19"/>
      <c r="C121" s="17" t="str">
        <f t="shared" si="3"/>
        <v/>
      </c>
      <c r="D121" s="29" t="str" cm="1">
        <f t="array" ref="D121">IFERROR(INDEX(Data_Input!$10:$10,MATCH(1,(Data_Input!$7:$7=$F$3)*(Data_Input!$8:$8=$B121),0)),"")</f>
        <v/>
      </c>
      <c r="E121" s="29" t="str" cm="1">
        <f t="array" ref="E121">IFERROR(INDEX(Data_Input!$1:$100, 9, MATCH(1, (Data_Input!$7:$7=$F$3) * (Data_Input!$8:$8=$B121), 0)),"")</f>
        <v/>
      </c>
      <c r="F121" s="20" t="str" cm="1">
        <f t="array" ref="F121">IFERROR(INDEX(Data_Input!$A$1:$ZZ$502, MATCH("예수금", INDEX(Data_Input!$A$1:$ZZ$502, 0, MATCH(1, (Data_Input!$7:$7=$F$3)*(Data_Input!$8:$8=$B121), 0)), 0) + 1, MATCH(1, (Data_Input!$7:$7=$F$3)*(Data_Input!$8:$8=$B121), 0)),"")</f>
        <v/>
      </c>
      <c r="G121" s="20" t="str" cm="1">
        <f t="array" ref="G121">IFERROR(INDEX(Data_Input!$A$1:$ZZ$502, MATCH("총자산", INDEX(Data_Input!$A$1:$ZZ$502, 0, MATCH(1, (Data_Input!$7:$7=$F$3)*(Data_Input!$8:$8=$B121), 0)), 0) + 1, MATCH(1, (Data_Input!$7:$7=$F$3)*(Data_Input!$8:$8=$B121), 0)),"")</f>
        <v/>
      </c>
      <c r="H121" s="20" t="str" cm="1">
        <f t="array" ref="H121">IFERROR(INDEX(Data_Input!$A$1:$ZZ$502, MATCH("매입금액", INDEX(Data_Input!$A$1:$ZZ$502, 0, MATCH(1, (Data_Input!$7:$7=$F$3)*(Data_Input!$8:$8=$B121), 0)), 0) + 1, MATCH(1, (Data_Input!$7:$7=$F$3)*(Data_Input!$8:$8=$B121), 0)),"")</f>
        <v/>
      </c>
      <c r="I121" s="20" t="str" cm="1">
        <f t="array" ref="I121">IFERROR(INDEX(Data_Input!$A$1:$ZZ$502, MATCH("평가금액", INDEX(Data_Input!$A$1:$ZZ$502, 0, MATCH(1, (Data_Input!$7:$7=$F$3)*(Data_Input!$8:$8=$B121), 0)), 0) + 1, MATCH(1, (Data_Input!$7:$7=$F$3)*(Data_Input!$8:$8=$B121), 0)),"")</f>
        <v/>
      </c>
      <c r="J121" s="20" t="str" cm="1">
        <f t="array" ref="J121">IFERROR(INDEX(Data_Input!$A$1:$ZZ$502, MATCH("평가손익", INDEX(Data_Input!$A$1:$ZZ$502, 0, MATCH(1, (Data_Input!$7:$7=$F$3)*(Data_Input!$8:$8=$B121), 0)), 0) + 1, MATCH(1, (Data_Input!$7:$7=$F$3)*(Data_Input!$8:$8=$B121), 0)),"")</f>
        <v/>
      </c>
      <c r="K121" s="14" t="str" cm="1">
        <f t="array" ref="K121">IFERROR(INDEX(Data_Input!$A$1:$ZZ$502, MATCH("총수익률", INDEX(Data_Input!$A$1:$ZZ$502, 0, MATCH(1, (Data_Input!$7:$7=$F$3)*(Data_Input!$8:$8=$B121), 0)), 0) + 1, MATCH(1, (Data_Input!$7:$7=$F$3)*(Data_Input!$8:$8=$B121), 0)),"")</f>
        <v/>
      </c>
      <c r="L121" t="str" cm="1">
        <f t="array" ref="L121">IFERROR(_xlfn.LET(
    _xlpm.targetDate, B121,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22" spans="1:12" x14ac:dyDescent="0.3">
      <c r="A122" s="16" t="str">
        <f t="shared" si="2"/>
        <v/>
      </c>
      <c r="B122" s="19"/>
      <c r="C122" s="17" t="str">
        <f t="shared" si="3"/>
        <v/>
      </c>
      <c r="D122" s="29" t="str" cm="1">
        <f t="array" ref="D122">IFERROR(INDEX(Data_Input!$10:$10,MATCH(1,(Data_Input!$7:$7=$F$3)*(Data_Input!$8:$8=$B122),0)),"")</f>
        <v/>
      </c>
      <c r="E122" s="29" t="str" cm="1">
        <f t="array" ref="E122">IFERROR(INDEX(Data_Input!$1:$100, 9, MATCH(1, (Data_Input!$7:$7=$F$3) * (Data_Input!$8:$8=$B122), 0)),"")</f>
        <v/>
      </c>
      <c r="F122" s="20" t="str" cm="1">
        <f t="array" ref="F122">IFERROR(INDEX(Data_Input!$A$1:$ZZ$502, MATCH("예수금", INDEX(Data_Input!$A$1:$ZZ$502, 0, MATCH(1, (Data_Input!$7:$7=$F$3)*(Data_Input!$8:$8=$B122), 0)), 0) + 1, MATCH(1, (Data_Input!$7:$7=$F$3)*(Data_Input!$8:$8=$B122), 0)),"")</f>
        <v/>
      </c>
      <c r="G122" s="20" t="str" cm="1">
        <f t="array" ref="G122">IFERROR(INDEX(Data_Input!$A$1:$ZZ$502, MATCH("총자산", INDEX(Data_Input!$A$1:$ZZ$502, 0, MATCH(1, (Data_Input!$7:$7=$F$3)*(Data_Input!$8:$8=$B122), 0)), 0) + 1, MATCH(1, (Data_Input!$7:$7=$F$3)*(Data_Input!$8:$8=$B122), 0)),"")</f>
        <v/>
      </c>
      <c r="H122" s="20" t="str" cm="1">
        <f t="array" ref="H122">IFERROR(INDEX(Data_Input!$A$1:$ZZ$502, MATCH("매입금액", INDEX(Data_Input!$A$1:$ZZ$502, 0, MATCH(1, (Data_Input!$7:$7=$F$3)*(Data_Input!$8:$8=$B122), 0)), 0) + 1, MATCH(1, (Data_Input!$7:$7=$F$3)*(Data_Input!$8:$8=$B122), 0)),"")</f>
        <v/>
      </c>
      <c r="I122" s="20" t="str" cm="1">
        <f t="array" ref="I122">IFERROR(INDEX(Data_Input!$A$1:$ZZ$502, MATCH("평가금액", INDEX(Data_Input!$A$1:$ZZ$502, 0, MATCH(1, (Data_Input!$7:$7=$F$3)*(Data_Input!$8:$8=$B122), 0)), 0) + 1, MATCH(1, (Data_Input!$7:$7=$F$3)*(Data_Input!$8:$8=$B122), 0)),"")</f>
        <v/>
      </c>
      <c r="J122" s="20" t="str" cm="1">
        <f t="array" ref="J122">IFERROR(INDEX(Data_Input!$A$1:$ZZ$502, MATCH("평가손익", INDEX(Data_Input!$A$1:$ZZ$502, 0, MATCH(1, (Data_Input!$7:$7=$F$3)*(Data_Input!$8:$8=$B122), 0)), 0) + 1, MATCH(1, (Data_Input!$7:$7=$F$3)*(Data_Input!$8:$8=$B122), 0)),"")</f>
        <v/>
      </c>
      <c r="K122" s="14" t="str" cm="1">
        <f t="array" ref="K122">IFERROR(INDEX(Data_Input!$A$1:$ZZ$502, MATCH("총수익률", INDEX(Data_Input!$A$1:$ZZ$502, 0, MATCH(1, (Data_Input!$7:$7=$F$3)*(Data_Input!$8:$8=$B122), 0)), 0) + 1, MATCH(1, (Data_Input!$7:$7=$F$3)*(Data_Input!$8:$8=$B122), 0)),"")</f>
        <v/>
      </c>
      <c r="L122" t="str" cm="1">
        <f t="array" ref="L122">IFERROR(_xlfn.LET(
    _xlpm.targetDate, B122,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23" spans="1:12" x14ac:dyDescent="0.3">
      <c r="A123" s="16" t="str">
        <f t="shared" si="2"/>
        <v/>
      </c>
      <c r="B123" s="19"/>
      <c r="C123" s="17" t="str">
        <f t="shared" si="3"/>
        <v/>
      </c>
      <c r="D123" s="29" t="str" cm="1">
        <f t="array" ref="D123">IFERROR(INDEX(Data_Input!$10:$10,MATCH(1,(Data_Input!$7:$7=$F$3)*(Data_Input!$8:$8=$B123),0)),"")</f>
        <v/>
      </c>
      <c r="E123" s="29" t="str" cm="1">
        <f t="array" ref="E123">IFERROR(INDEX(Data_Input!$1:$100, 9, MATCH(1, (Data_Input!$7:$7=$F$3) * (Data_Input!$8:$8=$B123), 0)),"")</f>
        <v/>
      </c>
      <c r="F123" s="20" t="str" cm="1">
        <f t="array" ref="F123">IFERROR(INDEX(Data_Input!$A$1:$ZZ$502, MATCH("예수금", INDEX(Data_Input!$A$1:$ZZ$502, 0, MATCH(1, (Data_Input!$7:$7=$F$3)*(Data_Input!$8:$8=$B123), 0)), 0) + 1, MATCH(1, (Data_Input!$7:$7=$F$3)*(Data_Input!$8:$8=$B123), 0)),"")</f>
        <v/>
      </c>
      <c r="G123" s="20" t="str" cm="1">
        <f t="array" ref="G123">IFERROR(INDEX(Data_Input!$A$1:$ZZ$502, MATCH("총자산", INDEX(Data_Input!$A$1:$ZZ$502, 0, MATCH(1, (Data_Input!$7:$7=$F$3)*(Data_Input!$8:$8=$B123), 0)), 0) + 1, MATCH(1, (Data_Input!$7:$7=$F$3)*(Data_Input!$8:$8=$B123), 0)),"")</f>
        <v/>
      </c>
      <c r="H123" s="20" t="str" cm="1">
        <f t="array" ref="H123">IFERROR(INDEX(Data_Input!$A$1:$ZZ$502, MATCH("매입금액", INDEX(Data_Input!$A$1:$ZZ$502, 0, MATCH(1, (Data_Input!$7:$7=$F$3)*(Data_Input!$8:$8=$B123), 0)), 0) + 1, MATCH(1, (Data_Input!$7:$7=$F$3)*(Data_Input!$8:$8=$B123), 0)),"")</f>
        <v/>
      </c>
      <c r="I123" s="20" t="str" cm="1">
        <f t="array" ref="I123">IFERROR(INDEX(Data_Input!$A$1:$ZZ$502, MATCH("평가금액", INDEX(Data_Input!$A$1:$ZZ$502, 0, MATCH(1, (Data_Input!$7:$7=$F$3)*(Data_Input!$8:$8=$B123), 0)), 0) + 1, MATCH(1, (Data_Input!$7:$7=$F$3)*(Data_Input!$8:$8=$B123), 0)),"")</f>
        <v/>
      </c>
      <c r="J123" s="20" t="str" cm="1">
        <f t="array" ref="J123">IFERROR(INDEX(Data_Input!$A$1:$ZZ$502, MATCH("평가손익", INDEX(Data_Input!$A$1:$ZZ$502, 0, MATCH(1, (Data_Input!$7:$7=$F$3)*(Data_Input!$8:$8=$B123), 0)), 0) + 1, MATCH(1, (Data_Input!$7:$7=$F$3)*(Data_Input!$8:$8=$B123), 0)),"")</f>
        <v/>
      </c>
      <c r="K123" s="14" t="str" cm="1">
        <f t="array" ref="K123">IFERROR(INDEX(Data_Input!$A$1:$ZZ$502, MATCH("총수익률", INDEX(Data_Input!$A$1:$ZZ$502, 0, MATCH(1, (Data_Input!$7:$7=$F$3)*(Data_Input!$8:$8=$B123), 0)), 0) + 1, MATCH(1, (Data_Input!$7:$7=$F$3)*(Data_Input!$8:$8=$B123), 0)),"")</f>
        <v/>
      </c>
      <c r="L123" t="str" cm="1">
        <f t="array" ref="L123">IFERROR(_xlfn.LET(
    _xlpm.targetDate, B123,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24" spans="1:12" x14ac:dyDescent="0.3">
      <c r="A124" s="16" t="str">
        <f t="shared" si="2"/>
        <v/>
      </c>
      <c r="B124" s="19"/>
      <c r="C124" s="17" t="str">
        <f t="shared" si="3"/>
        <v/>
      </c>
      <c r="D124" s="29" t="str" cm="1">
        <f t="array" ref="D124">IFERROR(INDEX(Data_Input!$10:$10,MATCH(1,(Data_Input!$7:$7=$F$3)*(Data_Input!$8:$8=$B124),0)),"")</f>
        <v/>
      </c>
      <c r="E124" s="29" t="str" cm="1">
        <f t="array" ref="E124">IFERROR(INDEX(Data_Input!$1:$100, 9, MATCH(1, (Data_Input!$7:$7=$F$3) * (Data_Input!$8:$8=$B124), 0)),"")</f>
        <v/>
      </c>
      <c r="F124" s="20" t="str" cm="1">
        <f t="array" ref="F124">IFERROR(INDEX(Data_Input!$A$1:$ZZ$502, MATCH("예수금", INDEX(Data_Input!$A$1:$ZZ$502, 0, MATCH(1, (Data_Input!$7:$7=$F$3)*(Data_Input!$8:$8=$B124), 0)), 0) + 1, MATCH(1, (Data_Input!$7:$7=$F$3)*(Data_Input!$8:$8=$B124), 0)),"")</f>
        <v/>
      </c>
      <c r="G124" s="20" t="str" cm="1">
        <f t="array" ref="G124">IFERROR(INDEX(Data_Input!$A$1:$ZZ$502, MATCH("총자산", INDEX(Data_Input!$A$1:$ZZ$502, 0, MATCH(1, (Data_Input!$7:$7=$F$3)*(Data_Input!$8:$8=$B124), 0)), 0) + 1, MATCH(1, (Data_Input!$7:$7=$F$3)*(Data_Input!$8:$8=$B124), 0)),"")</f>
        <v/>
      </c>
      <c r="H124" s="20" t="str" cm="1">
        <f t="array" ref="H124">IFERROR(INDEX(Data_Input!$A$1:$ZZ$502, MATCH("매입금액", INDEX(Data_Input!$A$1:$ZZ$502, 0, MATCH(1, (Data_Input!$7:$7=$F$3)*(Data_Input!$8:$8=$B124), 0)), 0) + 1, MATCH(1, (Data_Input!$7:$7=$F$3)*(Data_Input!$8:$8=$B124), 0)),"")</f>
        <v/>
      </c>
      <c r="I124" s="20" t="str" cm="1">
        <f t="array" ref="I124">IFERROR(INDEX(Data_Input!$A$1:$ZZ$502, MATCH("평가금액", INDEX(Data_Input!$A$1:$ZZ$502, 0, MATCH(1, (Data_Input!$7:$7=$F$3)*(Data_Input!$8:$8=$B124), 0)), 0) + 1, MATCH(1, (Data_Input!$7:$7=$F$3)*(Data_Input!$8:$8=$B124), 0)),"")</f>
        <v/>
      </c>
      <c r="J124" s="20" t="str" cm="1">
        <f t="array" ref="J124">IFERROR(INDEX(Data_Input!$A$1:$ZZ$502, MATCH("평가손익", INDEX(Data_Input!$A$1:$ZZ$502, 0, MATCH(1, (Data_Input!$7:$7=$F$3)*(Data_Input!$8:$8=$B124), 0)), 0) + 1, MATCH(1, (Data_Input!$7:$7=$F$3)*(Data_Input!$8:$8=$B124), 0)),"")</f>
        <v/>
      </c>
      <c r="K124" s="14" t="str" cm="1">
        <f t="array" ref="K124">IFERROR(INDEX(Data_Input!$A$1:$ZZ$502, MATCH("총수익률", INDEX(Data_Input!$A$1:$ZZ$502, 0, MATCH(1, (Data_Input!$7:$7=$F$3)*(Data_Input!$8:$8=$B124), 0)), 0) + 1, MATCH(1, (Data_Input!$7:$7=$F$3)*(Data_Input!$8:$8=$B124), 0)),"")</f>
        <v/>
      </c>
      <c r="L124" t="str" cm="1">
        <f t="array" ref="L124">IFERROR(_xlfn.LET(
    _xlpm.targetDate, B124,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25" spans="1:12" x14ac:dyDescent="0.3">
      <c r="A125" s="16" t="str">
        <f t="shared" si="2"/>
        <v/>
      </c>
      <c r="B125" s="19"/>
      <c r="C125" s="17" t="str">
        <f t="shared" si="3"/>
        <v/>
      </c>
      <c r="D125" s="29" t="str" cm="1">
        <f t="array" ref="D125">IFERROR(INDEX(Data_Input!$10:$10,MATCH(1,(Data_Input!$7:$7=$F$3)*(Data_Input!$8:$8=$B125),0)),"")</f>
        <v/>
      </c>
      <c r="E125" s="29" t="str" cm="1">
        <f t="array" ref="E125">IFERROR(INDEX(Data_Input!$1:$100, 9, MATCH(1, (Data_Input!$7:$7=$F$3) * (Data_Input!$8:$8=$B125), 0)),"")</f>
        <v/>
      </c>
      <c r="F125" s="20" t="str" cm="1">
        <f t="array" ref="F125">IFERROR(INDEX(Data_Input!$A$1:$ZZ$502, MATCH("예수금", INDEX(Data_Input!$A$1:$ZZ$502, 0, MATCH(1, (Data_Input!$7:$7=$F$3)*(Data_Input!$8:$8=$B125), 0)), 0) + 1, MATCH(1, (Data_Input!$7:$7=$F$3)*(Data_Input!$8:$8=$B125), 0)),"")</f>
        <v/>
      </c>
      <c r="G125" s="20" t="str" cm="1">
        <f t="array" ref="G125">IFERROR(INDEX(Data_Input!$A$1:$ZZ$502, MATCH("총자산", INDEX(Data_Input!$A$1:$ZZ$502, 0, MATCH(1, (Data_Input!$7:$7=$F$3)*(Data_Input!$8:$8=$B125), 0)), 0) + 1, MATCH(1, (Data_Input!$7:$7=$F$3)*(Data_Input!$8:$8=$B125), 0)),"")</f>
        <v/>
      </c>
      <c r="H125" s="20" t="str" cm="1">
        <f t="array" ref="H125">IFERROR(INDEX(Data_Input!$A$1:$ZZ$502, MATCH("매입금액", INDEX(Data_Input!$A$1:$ZZ$502, 0, MATCH(1, (Data_Input!$7:$7=$F$3)*(Data_Input!$8:$8=$B125), 0)), 0) + 1, MATCH(1, (Data_Input!$7:$7=$F$3)*(Data_Input!$8:$8=$B125), 0)),"")</f>
        <v/>
      </c>
      <c r="I125" s="20" t="str" cm="1">
        <f t="array" ref="I125">IFERROR(INDEX(Data_Input!$A$1:$ZZ$502, MATCH("평가금액", INDEX(Data_Input!$A$1:$ZZ$502, 0, MATCH(1, (Data_Input!$7:$7=$F$3)*(Data_Input!$8:$8=$B125), 0)), 0) + 1, MATCH(1, (Data_Input!$7:$7=$F$3)*(Data_Input!$8:$8=$B125), 0)),"")</f>
        <v/>
      </c>
      <c r="J125" s="20" t="str" cm="1">
        <f t="array" ref="J125">IFERROR(INDEX(Data_Input!$A$1:$ZZ$502, MATCH("평가손익", INDEX(Data_Input!$A$1:$ZZ$502, 0, MATCH(1, (Data_Input!$7:$7=$F$3)*(Data_Input!$8:$8=$B125), 0)), 0) + 1, MATCH(1, (Data_Input!$7:$7=$F$3)*(Data_Input!$8:$8=$B125), 0)),"")</f>
        <v/>
      </c>
      <c r="K125" s="14" t="str" cm="1">
        <f t="array" ref="K125">IFERROR(INDEX(Data_Input!$A$1:$ZZ$502, MATCH("총수익률", INDEX(Data_Input!$A$1:$ZZ$502, 0, MATCH(1, (Data_Input!$7:$7=$F$3)*(Data_Input!$8:$8=$B125), 0)), 0) + 1, MATCH(1, (Data_Input!$7:$7=$F$3)*(Data_Input!$8:$8=$B125), 0)),"")</f>
        <v/>
      </c>
      <c r="L125" t="str" cm="1">
        <f t="array" ref="L125">IFERROR(_xlfn.LET(
    _xlpm.targetDate, B125,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26" spans="1:12" x14ac:dyDescent="0.3">
      <c r="A126" s="16" t="str">
        <f t="shared" si="2"/>
        <v/>
      </c>
      <c r="B126" s="19"/>
      <c r="C126" s="17" t="str">
        <f t="shared" si="3"/>
        <v/>
      </c>
      <c r="D126" s="29" t="str" cm="1">
        <f t="array" ref="D126">IFERROR(INDEX(Data_Input!$10:$10,MATCH(1,(Data_Input!$7:$7=$F$3)*(Data_Input!$8:$8=$B126),0)),"")</f>
        <v/>
      </c>
      <c r="E126" s="29" t="str" cm="1">
        <f t="array" ref="E126">IFERROR(INDEX(Data_Input!$1:$100, 9, MATCH(1, (Data_Input!$7:$7=$F$3) * (Data_Input!$8:$8=$B126), 0)),"")</f>
        <v/>
      </c>
      <c r="F126" s="20" t="str" cm="1">
        <f t="array" ref="F126">IFERROR(INDEX(Data_Input!$A$1:$ZZ$502, MATCH("예수금", INDEX(Data_Input!$A$1:$ZZ$502, 0, MATCH(1, (Data_Input!$7:$7=$F$3)*(Data_Input!$8:$8=$B126), 0)), 0) + 1, MATCH(1, (Data_Input!$7:$7=$F$3)*(Data_Input!$8:$8=$B126), 0)),"")</f>
        <v/>
      </c>
      <c r="G126" s="20" t="str" cm="1">
        <f t="array" ref="G126">IFERROR(INDEX(Data_Input!$A$1:$ZZ$502, MATCH("총자산", INDEX(Data_Input!$A$1:$ZZ$502, 0, MATCH(1, (Data_Input!$7:$7=$F$3)*(Data_Input!$8:$8=$B126), 0)), 0) + 1, MATCH(1, (Data_Input!$7:$7=$F$3)*(Data_Input!$8:$8=$B126), 0)),"")</f>
        <v/>
      </c>
      <c r="H126" s="20" t="str" cm="1">
        <f t="array" ref="H126">IFERROR(INDEX(Data_Input!$A$1:$ZZ$502, MATCH("매입금액", INDEX(Data_Input!$A$1:$ZZ$502, 0, MATCH(1, (Data_Input!$7:$7=$F$3)*(Data_Input!$8:$8=$B126), 0)), 0) + 1, MATCH(1, (Data_Input!$7:$7=$F$3)*(Data_Input!$8:$8=$B126), 0)),"")</f>
        <v/>
      </c>
      <c r="I126" s="20" t="str" cm="1">
        <f t="array" ref="I126">IFERROR(INDEX(Data_Input!$A$1:$ZZ$502, MATCH("평가금액", INDEX(Data_Input!$A$1:$ZZ$502, 0, MATCH(1, (Data_Input!$7:$7=$F$3)*(Data_Input!$8:$8=$B126), 0)), 0) + 1, MATCH(1, (Data_Input!$7:$7=$F$3)*(Data_Input!$8:$8=$B126), 0)),"")</f>
        <v/>
      </c>
      <c r="J126" s="20" t="str" cm="1">
        <f t="array" ref="J126">IFERROR(INDEX(Data_Input!$A$1:$ZZ$502, MATCH("평가손익", INDEX(Data_Input!$A$1:$ZZ$502, 0, MATCH(1, (Data_Input!$7:$7=$F$3)*(Data_Input!$8:$8=$B126), 0)), 0) + 1, MATCH(1, (Data_Input!$7:$7=$F$3)*(Data_Input!$8:$8=$B126), 0)),"")</f>
        <v/>
      </c>
      <c r="K126" s="14" t="str" cm="1">
        <f t="array" ref="K126">IFERROR(INDEX(Data_Input!$A$1:$ZZ$502, MATCH("총수익률", INDEX(Data_Input!$A$1:$ZZ$502, 0, MATCH(1, (Data_Input!$7:$7=$F$3)*(Data_Input!$8:$8=$B126), 0)), 0) + 1, MATCH(1, (Data_Input!$7:$7=$F$3)*(Data_Input!$8:$8=$B126), 0)),"")</f>
        <v/>
      </c>
      <c r="L126" t="str" cm="1">
        <f t="array" ref="L126">IFERROR(_xlfn.LET(
    _xlpm.targetDate, B126,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27" spans="1:12" x14ac:dyDescent="0.3">
      <c r="A127" s="16" t="str">
        <f t="shared" si="2"/>
        <v/>
      </c>
      <c r="B127" s="19"/>
      <c r="C127" s="17" t="str">
        <f t="shared" si="3"/>
        <v/>
      </c>
      <c r="D127" s="29" t="str" cm="1">
        <f t="array" ref="D127">IFERROR(INDEX(Data_Input!$10:$10,MATCH(1,(Data_Input!$7:$7=$F$3)*(Data_Input!$8:$8=$B127),0)),"")</f>
        <v/>
      </c>
      <c r="E127" s="29" t="str" cm="1">
        <f t="array" ref="E127">IFERROR(INDEX(Data_Input!$1:$100, 9, MATCH(1, (Data_Input!$7:$7=$F$3) * (Data_Input!$8:$8=$B127), 0)),"")</f>
        <v/>
      </c>
      <c r="F127" s="20" t="str" cm="1">
        <f t="array" ref="F127">IFERROR(INDEX(Data_Input!$A$1:$ZZ$502, MATCH("예수금", INDEX(Data_Input!$A$1:$ZZ$502, 0, MATCH(1, (Data_Input!$7:$7=$F$3)*(Data_Input!$8:$8=$B127), 0)), 0) + 1, MATCH(1, (Data_Input!$7:$7=$F$3)*(Data_Input!$8:$8=$B127), 0)),"")</f>
        <v/>
      </c>
      <c r="G127" s="20" t="str" cm="1">
        <f t="array" ref="G127">IFERROR(INDEX(Data_Input!$A$1:$ZZ$502, MATCH("총자산", INDEX(Data_Input!$A$1:$ZZ$502, 0, MATCH(1, (Data_Input!$7:$7=$F$3)*(Data_Input!$8:$8=$B127), 0)), 0) + 1, MATCH(1, (Data_Input!$7:$7=$F$3)*(Data_Input!$8:$8=$B127), 0)),"")</f>
        <v/>
      </c>
      <c r="H127" s="20" t="str" cm="1">
        <f t="array" ref="H127">IFERROR(INDEX(Data_Input!$A$1:$ZZ$502, MATCH("매입금액", INDEX(Data_Input!$A$1:$ZZ$502, 0, MATCH(1, (Data_Input!$7:$7=$F$3)*(Data_Input!$8:$8=$B127), 0)), 0) + 1, MATCH(1, (Data_Input!$7:$7=$F$3)*(Data_Input!$8:$8=$B127), 0)),"")</f>
        <v/>
      </c>
      <c r="I127" s="20" t="str" cm="1">
        <f t="array" ref="I127">IFERROR(INDEX(Data_Input!$A$1:$ZZ$502, MATCH("평가금액", INDEX(Data_Input!$A$1:$ZZ$502, 0, MATCH(1, (Data_Input!$7:$7=$F$3)*(Data_Input!$8:$8=$B127), 0)), 0) + 1, MATCH(1, (Data_Input!$7:$7=$F$3)*(Data_Input!$8:$8=$B127), 0)),"")</f>
        <v/>
      </c>
      <c r="J127" s="20" t="str" cm="1">
        <f t="array" ref="J127">IFERROR(INDEX(Data_Input!$A$1:$ZZ$502, MATCH("평가손익", INDEX(Data_Input!$A$1:$ZZ$502, 0, MATCH(1, (Data_Input!$7:$7=$F$3)*(Data_Input!$8:$8=$B127), 0)), 0) + 1, MATCH(1, (Data_Input!$7:$7=$F$3)*(Data_Input!$8:$8=$B127), 0)),"")</f>
        <v/>
      </c>
      <c r="K127" s="14" t="str" cm="1">
        <f t="array" ref="K127">IFERROR(INDEX(Data_Input!$A$1:$ZZ$502, MATCH("총수익률", INDEX(Data_Input!$A$1:$ZZ$502, 0, MATCH(1, (Data_Input!$7:$7=$F$3)*(Data_Input!$8:$8=$B127), 0)), 0) + 1, MATCH(1, (Data_Input!$7:$7=$F$3)*(Data_Input!$8:$8=$B127), 0)),"")</f>
        <v/>
      </c>
      <c r="L127" t="str" cm="1">
        <f t="array" ref="L127">IFERROR(_xlfn.LET(
    _xlpm.targetDate, B127,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28" spans="1:12" x14ac:dyDescent="0.3">
      <c r="A128" s="16" t="str">
        <f t="shared" si="2"/>
        <v/>
      </c>
      <c r="B128" s="19"/>
      <c r="C128" s="17" t="str">
        <f t="shared" si="3"/>
        <v/>
      </c>
      <c r="D128" s="29" t="str" cm="1">
        <f t="array" ref="D128">IFERROR(INDEX(Data_Input!$10:$10,MATCH(1,(Data_Input!$7:$7=$F$3)*(Data_Input!$8:$8=$B128),0)),"")</f>
        <v/>
      </c>
      <c r="E128" s="29" t="str" cm="1">
        <f t="array" ref="E128">IFERROR(INDEX(Data_Input!$1:$100, 9, MATCH(1, (Data_Input!$7:$7=$F$3) * (Data_Input!$8:$8=$B128), 0)),"")</f>
        <v/>
      </c>
      <c r="F128" s="20" t="str" cm="1">
        <f t="array" ref="F128">IFERROR(INDEX(Data_Input!$A$1:$ZZ$502, MATCH("예수금", INDEX(Data_Input!$A$1:$ZZ$502, 0, MATCH(1, (Data_Input!$7:$7=$F$3)*(Data_Input!$8:$8=$B128), 0)), 0) + 1, MATCH(1, (Data_Input!$7:$7=$F$3)*(Data_Input!$8:$8=$B128), 0)),"")</f>
        <v/>
      </c>
      <c r="G128" s="20" t="str" cm="1">
        <f t="array" ref="G128">IFERROR(INDEX(Data_Input!$A$1:$ZZ$502, MATCH("총자산", INDEX(Data_Input!$A$1:$ZZ$502, 0, MATCH(1, (Data_Input!$7:$7=$F$3)*(Data_Input!$8:$8=$B128), 0)), 0) + 1, MATCH(1, (Data_Input!$7:$7=$F$3)*(Data_Input!$8:$8=$B128), 0)),"")</f>
        <v/>
      </c>
      <c r="H128" s="20" t="str" cm="1">
        <f t="array" ref="H128">IFERROR(INDEX(Data_Input!$A$1:$ZZ$502, MATCH("매입금액", INDEX(Data_Input!$A$1:$ZZ$502, 0, MATCH(1, (Data_Input!$7:$7=$F$3)*(Data_Input!$8:$8=$B128), 0)), 0) + 1, MATCH(1, (Data_Input!$7:$7=$F$3)*(Data_Input!$8:$8=$B128), 0)),"")</f>
        <v/>
      </c>
      <c r="I128" s="20" t="str" cm="1">
        <f t="array" ref="I128">IFERROR(INDEX(Data_Input!$A$1:$ZZ$502, MATCH("평가금액", INDEX(Data_Input!$A$1:$ZZ$502, 0, MATCH(1, (Data_Input!$7:$7=$F$3)*(Data_Input!$8:$8=$B128), 0)), 0) + 1, MATCH(1, (Data_Input!$7:$7=$F$3)*(Data_Input!$8:$8=$B128), 0)),"")</f>
        <v/>
      </c>
      <c r="J128" s="20" t="str" cm="1">
        <f t="array" ref="J128">IFERROR(INDEX(Data_Input!$A$1:$ZZ$502, MATCH("평가손익", INDEX(Data_Input!$A$1:$ZZ$502, 0, MATCH(1, (Data_Input!$7:$7=$F$3)*(Data_Input!$8:$8=$B128), 0)), 0) + 1, MATCH(1, (Data_Input!$7:$7=$F$3)*(Data_Input!$8:$8=$B128), 0)),"")</f>
        <v/>
      </c>
      <c r="K128" s="14" t="str" cm="1">
        <f t="array" ref="K128">IFERROR(INDEX(Data_Input!$A$1:$ZZ$502, MATCH("총수익률", INDEX(Data_Input!$A$1:$ZZ$502, 0, MATCH(1, (Data_Input!$7:$7=$F$3)*(Data_Input!$8:$8=$B128), 0)), 0) + 1, MATCH(1, (Data_Input!$7:$7=$F$3)*(Data_Input!$8:$8=$B128), 0)),"")</f>
        <v/>
      </c>
      <c r="L128" t="str" cm="1">
        <f t="array" ref="L128">IFERROR(_xlfn.LET(
    _xlpm.targetDate, B128,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29" spans="1:12" x14ac:dyDescent="0.3">
      <c r="A129" s="16" t="str">
        <f t="shared" si="2"/>
        <v/>
      </c>
      <c r="B129" s="19"/>
      <c r="C129" s="17" t="str">
        <f t="shared" si="3"/>
        <v/>
      </c>
      <c r="D129" s="29" t="str" cm="1">
        <f t="array" ref="D129">IFERROR(INDEX(Data_Input!$10:$10,MATCH(1,(Data_Input!$7:$7=$F$3)*(Data_Input!$8:$8=$B129),0)),"")</f>
        <v/>
      </c>
      <c r="E129" s="29" t="str" cm="1">
        <f t="array" ref="E129">IFERROR(INDEX(Data_Input!$1:$100, 9, MATCH(1, (Data_Input!$7:$7=$F$3) * (Data_Input!$8:$8=$B129), 0)),"")</f>
        <v/>
      </c>
      <c r="F129" s="20" t="str" cm="1">
        <f t="array" ref="F129">IFERROR(INDEX(Data_Input!$A$1:$ZZ$502, MATCH("예수금", INDEX(Data_Input!$A$1:$ZZ$502, 0, MATCH(1, (Data_Input!$7:$7=$F$3)*(Data_Input!$8:$8=$B129), 0)), 0) + 1, MATCH(1, (Data_Input!$7:$7=$F$3)*(Data_Input!$8:$8=$B129), 0)),"")</f>
        <v/>
      </c>
      <c r="G129" s="20" t="str" cm="1">
        <f t="array" ref="G129">IFERROR(INDEX(Data_Input!$A$1:$ZZ$502, MATCH("총자산", INDEX(Data_Input!$A$1:$ZZ$502, 0, MATCH(1, (Data_Input!$7:$7=$F$3)*(Data_Input!$8:$8=$B129), 0)), 0) + 1, MATCH(1, (Data_Input!$7:$7=$F$3)*(Data_Input!$8:$8=$B129), 0)),"")</f>
        <v/>
      </c>
      <c r="H129" s="20" t="str" cm="1">
        <f t="array" ref="H129">IFERROR(INDEX(Data_Input!$A$1:$ZZ$502, MATCH("매입금액", INDEX(Data_Input!$A$1:$ZZ$502, 0, MATCH(1, (Data_Input!$7:$7=$F$3)*(Data_Input!$8:$8=$B129), 0)), 0) + 1, MATCH(1, (Data_Input!$7:$7=$F$3)*(Data_Input!$8:$8=$B129), 0)),"")</f>
        <v/>
      </c>
      <c r="I129" s="20" t="str" cm="1">
        <f t="array" ref="I129">IFERROR(INDEX(Data_Input!$A$1:$ZZ$502, MATCH("평가금액", INDEX(Data_Input!$A$1:$ZZ$502, 0, MATCH(1, (Data_Input!$7:$7=$F$3)*(Data_Input!$8:$8=$B129), 0)), 0) + 1, MATCH(1, (Data_Input!$7:$7=$F$3)*(Data_Input!$8:$8=$B129), 0)),"")</f>
        <v/>
      </c>
      <c r="J129" s="20" t="str" cm="1">
        <f t="array" ref="J129">IFERROR(INDEX(Data_Input!$A$1:$ZZ$502, MATCH("평가손익", INDEX(Data_Input!$A$1:$ZZ$502, 0, MATCH(1, (Data_Input!$7:$7=$F$3)*(Data_Input!$8:$8=$B129), 0)), 0) + 1, MATCH(1, (Data_Input!$7:$7=$F$3)*(Data_Input!$8:$8=$B129), 0)),"")</f>
        <v/>
      </c>
      <c r="K129" s="14" t="str" cm="1">
        <f t="array" ref="K129">IFERROR(INDEX(Data_Input!$A$1:$ZZ$502, MATCH("총수익률", INDEX(Data_Input!$A$1:$ZZ$502, 0, MATCH(1, (Data_Input!$7:$7=$F$3)*(Data_Input!$8:$8=$B129), 0)), 0) + 1, MATCH(1, (Data_Input!$7:$7=$F$3)*(Data_Input!$8:$8=$B129), 0)),"")</f>
        <v/>
      </c>
      <c r="L129" t="str" cm="1">
        <f t="array" ref="L129">IFERROR(_xlfn.LET(
    _xlpm.targetDate, B129,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30" spans="1:12" x14ac:dyDescent="0.3">
      <c r="A130" s="16" t="str">
        <f t="shared" si="2"/>
        <v/>
      </c>
      <c r="B130" s="19"/>
      <c r="C130" s="17" t="str">
        <f t="shared" si="3"/>
        <v/>
      </c>
      <c r="D130" s="29" t="str" cm="1">
        <f t="array" ref="D130">IFERROR(INDEX(Data_Input!$10:$10,MATCH(1,(Data_Input!$7:$7=$F$3)*(Data_Input!$8:$8=$B130),0)),"")</f>
        <v/>
      </c>
      <c r="E130" s="29" t="str" cm="1">
        <f t="array" ref="E130">IFERROR(INDEX(Data_Input!$1:$100, 9, MATCH(1, (Data_Input!$7:$7=$F$3) * (Data_Input!$8:$8=$B130), 0)),"")</f>
        <v/>
      </c>
      <c r="F130" s="20" t="str" cm="1">
        <f t="array" ref="F130">IFERROR(INDEX(Data_Input!$A$1:$ZZ$502, MATCH("예수금", INDEX(Data_Input!$A$1:$ZZ$502, 0, MATCH(1, (Data_Input!$7:$7=$F$3)*(Data_Input!$8:$8=$B130), 0)), 0) + 1, MATCH(1, (Data_Input!$7:$7=$F$3)*(Data_Input!$8:$8=$B130), 0)),"")</f>
        <v/>
      </c>
      <c r="G130" s="20" t="str" cm="1">
        <f t="array" ref="G130">IFERROR(INDEX(Data_Input!$A$1:$ZZ$502, MATCH("총자산", INDEX(Data_Input!$A$1:$ZZ$502, 0, MATCH(1, (Data_Input!$7:$7=$F$3)*(Data_Input!$8:$8=$B130), 0)), 0) + 1, MATCH(1, (Data_Input!$7:$7=$F$3)*(Data_Input!$8:$8=$B130), 0)),"")</f>
        <v/>
      </c>
      <c r="H130" s="20" t="str" cm="1">
        <f t="array" ref="H130">IFERROR(INDEX(Data_Input!$A$1:$ZZ$502, MATCH("매입금액", INDEX(Data_Input!$A$1:$ZZ$502, 0, MATCH(1, (Data_Input!$7:$7=$F$3)*(Data_Input!$8:$8=$B130), 0)), 0) + 1, MATCH(1, (Data_Input!$7:$7=$F$3)*(Data_Input!$8:$8=$B130), 0)),"")</f>
        <v/>
      </c>
      <c r="I130" s="20" t="str" cm="1">
        <f t="array" ref="I130">IFERROR(INDEX(Data_Input!$A$1:$ZZ$502, MATCH("평가금액", INDEX(Data_Input!$A$1:$ZZ$502, 0, MATCH(1, (Data_Input!$7:$7=$F$3)*(Data_Input!$8:$8=$B130), 0)), 0) + 1, MATCH(1, (Data_Input!$7:$7=$F$3)*(Data_Input!$8:$8=$B130), 0)),"")</f>
        <v/>
      </c>
      <c r="J130" s="20" t="str" cm="1">
        <f t="array" ref="J130">IFERROR(INDEX(Data_Input!$A$1:$ZZ$502, MATCH("평가손익", INDEX(Data_Input!$A$1:$ZZ$502, 0, MATCH(1, (Data_Input!$7:$7=$F$3)*(Data_Input!$8:$8=$B130), 0)), 0) + 1, MATCH(1, (Data_Input!$7:$7=$F$3)*(Data_Input!$8:$8=$B130), 0)),"")</f>
        <v/>
      </c>
      <c r="K130" s="14" t="str" cm="1">
        <f t="array" ref="K130">IFERROR(INDEX(Data_Input!$A$1:$ZZ$502, MATCH("총수익률", INDEX(Data_Input!$A$1:$ZZ$502, 0, MATCH(1, (Data_Input!$7:$7=$F$3)*(Data_Input!$8:$8=$B130), 0)), 0) + 1, MATCH(1, (Data_Input!$7:$7=$F$3)*(Data_Input!$8:$8=$B130), 0)),"")</f>
        <v/>
      </c>
      <c r="L130" t="str" cm="1">
        <f t="array" ref="L130">IFERROR(_xlfn.LET(
    _xlpm.targetDate, B130,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31" spans="1:12" x14ac:dyDescent="0.3">
      <c r="A131" s="16" t="str">
        <f t="shared" si="2"/>
        <v/>
      </c>
      <c r="B131" s="19"/>
      <c r="C131" s="17" t="str">
        <f t="shared" si="3"/>
        <v/>
      </c>
      <c r="D131" s="29" t="str" cm="1">
        <f t="array" ref="D131">IFERROR(INDEX(Data_Input!$10:$10,MATCH(1,(Data_Input!$7:$7=$F$3)*(Data_Input!$8:$8=$B131),0)),"")</f>
        <v/>
      </c>
      <c r="E131" s="29" t="str" cm="1">
        <f t="array" ref="E131">IFERROR(INDEX(Data_Input!$1:$100, 9, MATCH(1, (Data_Input!$7:$7=$F$3) * (Data_Input!$8:$8=$B131), 0)),"")</f>
        <v/>
      </c>
      <c r="F131" s="20" t="str" cm="1">
        <f t="array" ref="F131">IFERROR(INDEX(Data_Input!$A$1:$ZZ$502, MATCH("예수금", INDEX(Data_Input!$A$1:$ZZ$502, 0, MATCH(1, (Data_Input!$7:$7=$F$3)*(Data_Input!$8:$8=$B131), 0)), 0) + 1, MATCH(1, (Data_Input!$7:$7=$F$3)*(Data_Input!$8:$8=$B131), 0)),"")</f>
        <v/>
      </c>
      <c r="G131" s="20" t="str" cm="1">
        <f t="array" ref="G131">IFERROR(INDEX(Data_Input!$A$1:$ZZ$502, MATCH("총자산", INDEX(Data_Input!$A$1:$ZZ$502, 0, MATCH(1, (Data_Input!$7:$7=$F$3)*(Data_Input!$8:$8=$B131), 0)), 0) + 1, MATCH(1, (Data_Input!$7:$7=$F$3)*(Data_Input!$8:$8=$B131), 0)),"")</f>
        <v/>
      </c>
      <c r="H131" s="20" t="str" cm="1">
        <f t="array" ref="H131">IFERROR(INDEX(Data_Input!$A$1:$ZZ$502, MATCH("매입금액", INDEX(Data_Input!$A$1:$ZZ$502, 0, MATCH(1, (Data_Input!$7:$7=$F$3)*(Data_Input!$8:$8=$B131), 0)), 0) + 1, MATCH(1, (Data_Input!$7:$7=$F$3)*(Data_Input!$8:$8=$B131), 0)),"")</f>
        <v/>
      </c>
      <c r="I131" s="20" t="str" cm="1">
        <f t="array" ref="I131">IFERROR(INDEX(Data_Input!$A$1:$ZZ$502, MATCH("평가금액", INDEX(Data_Input!$A$1:$ZZ$502, 0, MATCH(1, (Data_Input!$7:$7=$F$3)*(Data_Input!$8:$8=$B131), 0)), 0) + 1, MATCH(1, (Data_Input!$7:$7=$F$3)*(Data_Input!$8:$8=$B131), 0)),"")</f>
        <v/>
      </c>
      <c r="J131" s="20" t="str" cm="1">
        <f t="array" ref="J131">IFERROR(INDEX(Data_Input!$A$1:$ZZ$502, MATCH("평가손익", INDEX(Data_Input!$A$1:$ZZ$502, 0, MATCH(1, (Data_Input!$7:$7=$F$3)*(Data_Input!$8:$8=$B131), 0)), 0) + 1, MATCH(1, (Data_Input!$7:$7=$F$3)*(Data_Input!$8:$8=$B131), 0)),"")</f>
        <v/>
      </c>
      <c r="K131" s="14" t="str" cm="1">
        <f t="array" ref="K131">IFERROR(INDEX(Data_Input!$A$1:$ZZ$502, MATCH("총수익률", INDEX(Data_Input!$A$1:$ZZ$502, 0, MATCH(1, (Data_Input!$7:$7=$F$3)*(Data_Input!$8:$8=$B131), 0)), 0) + 1, MATCH(1, (Data_Input!$7:$7=$F$3)*(Data_Input!$8:$8=$B131), 0)),"")</f>
        <v/>
      </c>
      <c r="L131" t="str" cm="1">
        <f t="array" ref="L131">IFERROR(_xlfn.LET(
    _xlpm.targetDate, B131,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32" spans="1:12" x14ac:dyDescent="0.3">
      <c r="A132" s="16" t="str">
        <f t="shared" si="2"/>
        <v/>
      </c>
      <c r="B132" s="19"/>
      <c r="C132" s="17" t="str">
        <f t="shared" si="3"/>
        <v/>
      </c>
      <c r="D132" s="29" t="str" cm="1">
        <f t="array" ref="D132">IFERROR(INDEX(Data_Input!$10:$10,MATCH(1,(Data_Input!$7:$7=$F$3)*(Data_Input!$8:$8=$B132),0)),"")</f>
        <v/>
      </c>
      <c r="E132" s="29" t="str" cm="1">
        <f t="array" ref="E132">IFERROR(INDEX(Data_Input!$1:$100, 9, MATCH(1, (Data_Input!$7:$7=$F$3) * (Data_Input!$8:$8=$B132), 0)),"")</f>
        <v/>
      </c>
      <c r="F132" s="20" t="str" cm="1">
        <f t="array" ref="F132">IFERROR(INDEX(Data_Input!$A$1:$ZZ$502, MATCH("예수금", INDEX(Data_Input!$A$1:$ZZ$502, 0, MATCH(1, (Data_Input!$7:$7=$F$3)*(Data_Input!$8:$8=$B132), 0)), 0) + 1, MATCH(1, (Data_Input!$7:$7=$F$3)*(Data_Input!$8:$8=$B132), 0)),"")</f>
        <v/>
      </c>
      <c r="G132" s="20" t="str" cm="1">
        <f t="array" ref="G132">IFERROR(INDEX(Data_Input!$A$1:$ZZ$502, MATCH("총자산", INDEX(Data_Input!$A$1:$ZZ$502, 0, MATCH(1, (Data_Input!$7:$7=$F$3)*(Data_Input!$8:$8=$B132), 0)), 0) + 1, MATCH(1, (Data_Input!$7:$7=$F$3)*(Data_Input!$8:$8=$B132), 0)),"")</f>
        <v/>
      </c>
      <c r="H132" s="20" t="str" cm="1">
        <f t="array" ref="H132">IFERROR(INDEX(Data_Input!$A$1:$ZZ$502, MATCH("매입금액", INDEX(Data_Input!$A$1:$ZZ$502, 0, MATCH(1, (Data_Input!$7:$7=$F$3)*(Data_Input!$8:$8=$B132), 0)), 0) + 1, MATCH(1, (Data_Input!$7:$7=$F$3)*(Data_Input!$8:$8=$B132), 0)),"")</f>
        <v/>
      </c>
      <c r="I132" s="20" t="str" cm="1">
        <f t="array" ref="I132">IFERROR(INDEX(Data_Input!$A$1:$ZZ$502, MATCH("평가금액", INDEX(Data_Input!$A$1:$ZZ$502, 0, MATCH(1, (Data_Input!$7:$7=$F$3)*(Data_Input!$8:$8=$B132), 0)), 0) + 1, MATCH(1, (Data_Input!$7:$7=$F$3)*(Data_Input!$8:$8=$B132), 0)),"")</f>
        <v/>
      </c>
      <c r="J132" s="20" t="str" cm="1">
        <f t="array" ref="J132">IFERROR(INDEX(Data_Input!$A$1:$ZZ$502, MATCH("평가손익", INDEX(Data_Input!$A$1:$ZZ$502, 0, MATCH(1, (Data_Input!$7:$7=$F$3)*(Data_Input!$8:$8=$B132), 0)), 0) + 1, MATCH(1, (Data_Input!$7:$7=$F$3)*(Data_Input!$8:$8=$B132), 0)),"")</f>
        <v/>
      </c>
      <c r="K132" s="14" t="str" cm="1">
        <f t="array" ref="K132">IFERROR(INDEX(Data_Input!$A$1:$ZZ$502, MATCH("총수익률", INDEX(Data_Input!$A$1:$ZZ$502, 0, MATCH(1, (Data_Input!$7:$7=$F$3)*(Data_Input!$8:$8=$B132), 0)), 0) + 1, MATCH(1, (Data_Input!$7:$7=$F$3)*(Data_Input!$8:$8=$B132), 0)),"")</f>
        <v/>
      </c>
      <c r="L132" t="str" cm="1">
        <f t="array" ref="L132">IFERROR(_xlfn.LET(
    _xlpm.targetDate, B132,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33" spans="1:12" x14ac:dyDescent="0.3">
      <c r="A133" s="16" t="str">
        <f t="shared" si="2"/>
        <v/>
      </c>
      <c r="B133" s="19"/>
      <c r="C133" s="17" t="str">
        <f t="shared" si="3"/>
        <v/>
      </c>
      <c r="D133" s="29" t="str" cm="1">
        <f t="array" ref="D133">IFERROR(INDEX(Data_Input!$10:$10,MATCH(1,(Data_Input!$7:$7=$F$3)*(Data_Input!$8:$8=$B133),0)),"")</f>
        <v/>
      </c>
      <c r="E133" s="29" t="str" cm="1">
        <f t="array" ref="E133">IFERROR(INDEX(Data_Input!$1:$100, 9, MATCH(1, (Data_Input!$7:$7=$F$3) * (Data_Input!$8:$8=$B133), 0)),"")</f>
        <v/>
      </c>
      <c r="F133" s="20" t="str" cm="1">
        <f t="array" ref="F133">IFERROR(INDEX(Data_Input!$A$1:$ZZ$502, MATCH("예수금", INDEX(Data_Input!$A$1:$ZZ$502, 0, MATCH(1, (Data_Input!$7:$7=$F$3)*(Data_Input!$8:$8=$B133), 0)), 0) + 1, MATCH(1, (Data_Input!$7:$7=$F$3)*(Data_Input!$8:$8=$B133), 0)),"")</f>
        <v/>
      </c>
      <c r="G133" s="20" t="str" cm="1">
        <f t="array" ref="G133">IFERROR(INDEX(Data_Input!$A$1:$ZZ$502, MATCH("총자산", INDEX(Data_Input!$A$1:$ZZ$502, 0, MATCH(1, (Data_Input!$7:$7=$F$3)*(Data_Input!$8:$8=$B133), 0)), 0) + 1, MATCH(1, (Data_Input!$7:$7=$F$3)*(Data_Input!$8:$8=$B133), 0)),"")</f>
        <v/>
      </c>
      <c r="H133" s="20" t="str" cm="1">
        <f t="array" ref="H133">IFERROR(INDEX(Data_Input!$A$1:$ZZ$502, MATCH("매입금액", INDEX(Data_Input!$A$1:$ZZ$502, 0, MATCH(1, (Data_Input!$7:$7=$F$3)*(Data_Input!$8:$8=$B133), 0)), 0) + 1, MATCH(1, (Data_Input!$7:$7=$F$3)*(Data_Input!$8:$8=$B133), 0)),"")</f>
        <v/>
      </c>
      <c r="I133" s="20" t="str" cm="1">
        <f t="array" ref="I133">IFERROR(INDEX(Data_Input!$A$1:$ZZ$502, MATCH("평가금액", INDEX(Data_Input!$A$1:$ZZ$502, 0, MATCH(1, (Data_Input!$7:$7=$F$3)*(Data_Input!$8:$8=$B133), 0)), 0) + 1, MATCH(1, (Data_Input!$7:$7=$F$3)*(Data_Input!$8:$8=$B133), 0)),"")</f>
        <v/>
      </c>
      <c r="J133" s="20" t="str" cm="1">
        <f t="array" ref="J133">IFERROR(INDEX(Data_Input!$A$1:$ZZ$502, MATCH("평가손익", INDEX(Data_Input!$A$1:$ZZ$502, 0, MATCH(1, (Data_Input!$7:$7=$F$3)*(Data_Input!$8:$8=$B133), 0)), 0) + 1, MATCH(1, (Data_Input!$7:$7=$F$3)*(Data_Input!$8:$8=$B133), 0)),"")</f>
        <v/>
      </c>
      <c r="K133" s="14" t="str" cm="1">
        <f t="array" ref="K133">IFERROR(INDEX(Data_Input!$A$1:$ZZ$502, MATCH("총수익률", INDEX(Data_Input!$A$1:$ZZ$502, 0, MATCH(1, (Data_Input!$7:$7=$F$3)*(Data_Input!$8:$8=$B133), 0)), 0) + 1, MATCH(1, (Data_Input!$7:$7=$F$3)*(Data_Input!$8:$8=$B133), 0)),"")</f>
        <v/>
      </c>
      <c r="L133" t="str" cm="1">
        <f t="array" ref="L133">IFERROR(_xlfn.LET(
    _xlpm.targetDate, B133,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34" spans="1:12" x14ac:dyDescent="0.3">
      <c r="A134" s="16" t="str">
        <f t="shared" si="2"/>
        <v/>
      </c>
      <c r="B134" s="19"/>
      <c r="C134" s="17" t="str">
        <f t="shared" si="3"/>
        <v/>
      </c>
      <c r="D134" s="29" t="str" cm="1">
        <f t="array" ref="D134">IFERROR(INDEX(Data_Input!$10:$10,MATCH(1,(Data_Input!$7:$7=$F$3)*(Data_Input!$8:$8=$B134),0)),"")</f>
        <v/>
      </c>
      <c r="E134" s="29" t="str" cm="1">
        <f t="array" ref="E134">IFERROR(INDEX(Data_Input!$1:$100, 9, MATCH(1, (Data_Input!$7:$7=$F$3) * (Data_Input!$8:$8=$B134), 0)),"")</f>
        <v/>
      </c>
      <c r="F134" s="20" t="str" cm="1">
        <f t="array" ref="F134">IFERROR(INDEX(Data_Input!$A$1:$ZZ$502, MATCH("예수금", INDEX(Data_Input!$A$1:$ZZ$502, 0, MATCH(1, (Data_Input!$7:$7=$F$3)*(Data_Input!$8:$8=$B134), 0)), 0) + 1, MATCH(1, (Data_Input!$7:$7=$F$3)*(Data_Input!$8:$8=$B134), 0)),"")</f>
        <v/>
      </c>
      <c r="G134" s="20" t="str" cm="1">
        <f t="array" ref="G134">IFERROR(INDEX(Data_Input!$A$1:$ZZ$502, MATCH("총자산", INDEX(Data_Input!$A$1:$ZZ$502, 0, MATCH(1, (Data_Input!$7:$7=$F$3)*(Data_Input!$8:$8=$B134), 0)), 0) + 1, MATCH(1, (Data_Input!$7:$7=$F$3)*(Data_Input!$8:$8=$B134), 0)),"")</f>
        <v/>
      </c>
      <c r="H134" s="20" t="str" cm="1">
        <f t="array" ref="H134">IFERROR(INDEX(Data_Input!$A$1:$ZZ$502, MATCH("매입금액", INDEX(Data_Input!$A$1:$ZZ$502, 0, MATCH(1, (Data_Input!$7:$7=$F$3)*(Data_Input!$8:$8=$B134), 0)), 0) + 1, MATCH(1, (Data_Input!$7:$7=$F$3)*(Data_Input!$8:$8=$B134), 0)),"")</f>
        <v/>
      </c>
      <c r="I134" s="20" t="str" cm="1">
        <f t="array" ref="I134">IFERROR(INDEX(Data_Input!$A$1:$ZZ$502, MATCH("평가금액", INDEX(Data_Input!$A$1:$ZZ$502, 0, MATCH(1, (Data_Input!$7:$7=$F$3)*(Data_Input!$8:$8=$B134), 0)), 0) + 1, MATCH(1, (Data_Input!$7:$7=$F$3)*(Data_Input!$8:$8=$B134), 0)),"")</f>
        <v/>
      </c>
      <c r="J134" s="20" t="str" cm="1">
        <f t="array" ref="J134">IFERROR(INDEX(Data_Input!$A$1:$ZZ$502, MATCH("평가손익", INDEX(Data_Input!$A$1:$ZZ$502, 0, MATCH(1, (Data_Input!$7:$7=$F$3)*(Data_Input!$8:$8=$B134), 0)), 0) + 1, MATCH(1, (Data_Input!$7:$7=$F$3)*(Data_Input!$8:$8=$B134), 0)),"")</f>
        <v/>
      </c>
      <c r="K134" s="14" t="str" cm="1">
        <f t="array" ref="K134">IFERROR(INDEX(Data_Input!$A$1:$ZZ$502, MATCH("총수익률", INDEX(Data_Input!$A$1:$ZZ$502, 0, MATCH(1, (Data_Input!$7:$7=$F$3)*(Data_Input!$8:$8=$B134), 0)), 0) + 1, MATCH(1, (Data_Input!$7:$7=$F$3)*(Data_Input!$8:$8=$B134), 0)),"")</f>
        <v/>
      </c>
      <c r="L134" t="str" cm="1">
        <f t="array" ref="L134">IFERROR(_xlfn.LET(
    _xlpm.targetDate, B134,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35" spans="1:12" x14ac:dyDescent="0.3">
      <c r="A135" s="16" t="str">
        <f t="shared" ref="A135:A198" si="4">IF(B135&gt;0,A134+1,"")</f>
        <v/>
      </c>
      <c r="B135" s="19"/>
      <c r="C135" s="17" t="str">
        <f t="shared" si="3"/>
        <v/>
      </c>
      <c r="D135" s="29" t="str" cm="1">
        <f t="array" ref="D135">IFERROR(INDEX(Data_Input!$10:$10,MATCH(1,(Data_Input!$7:$7=$F$3)*(Data_Input!$8:$8=$B135),0)),"")</f>
        <v/>
      </c>
      <c r="E135" s="29" t="str" cm="1">
        <f t="array" ref="E135">IFERROR(INDEX(Data_Input!$1:$100, 9, MATCH(1, (Data_Input!$7:$7=$F$3) * (Data_Input!$8:$8=$B135), 0)),"")</f>
        <v/>
      </c>
      <c r="F135" s="20" t="str" cm="1">
        <f t="array" ref="F135">IFERROR(INDEX(Data_Input!$A$1:$ZZ$502, MATCH("예수금", INDEX(Data_Input!$A$1:$ZZ$502, 0, MATCH(1, (Data_Input!$7:$7=$F$3)*(Data_Input!$8:$8=$B135), 0)), 0) + 1, MATCH(1, (Data_Input!$7:$7=$F$3)*(Data_Input!$8:$8=$B135), 0)),"")</f>
        <v/>
      </c>
      <c r="G135" s="20" t="str" cm="1">
        <f t="array" ref="G135">IFERROR(INDEX(Data_Input!$A$1:$ZZ$502, MATCH("총자산", INDEX(Data_Input!$A$1:$ZZ$502, 0, MATCH(1, (Data_Input!$7:$7=$F$3)*(Data_Input!$8:$8=$B135), 0)), 0) + 1, MATCH(1, (Data_Input!$7:$7=$F$3)*(Data_Input!$8:$8=$B135), 0)),"")</f>
        <v/>
      </c>
      <c r="H135" s="20" t="str" cm="1">
        <f t="array" ref="H135">IFERROR(INDEX(Data_Input!$A$1:$ZZ$502, MATCH("매입금액", INDEX(Data_Input!$A$1:$ZZ$502, 0, MATCH(1, (Data_Input!$7:$7=$F$3)*(Data_Input!$8:$8=$B135), 0)), 0) + 1, MATCH(1, (Data_Input!$7:$7=$F$3)*(Data_Input!$8:$8=$B135), 0)),"")</f>
        <v/>
      </c>
      <c r="I135" s="20" t="str" cm="1">
        <f t="array" ref="I135">IFERROR(INDEX(Data_Input!$A$1:$ZZ$502, MATCH("평가금액", INDEX(Data_Input!$A$1:$ZZ$502, 0, MATCH(1, (Data_Input!$7:$7=$F$3)*(Data_Input!$8:$8=$B135), 0)), 0) + 1, MATCH(1, (Data_Input!$7:$7=$F$3)*(Data_Input!$8:$8=$B135), 0)),"")</f>
        <v/>
      </c>
      <c r="J135" s="20" t="str" cm="1">
        <f t="array" ref="J135">IFERROR(INDEX(Data_Input!$A$1:$ZZ$502, MATCH("평가손익", INDEX(Data_Input!$A$1:$ZZ$502, 0, MATCH(1, (Data_Input!$7:$7=$F$3)*(Data_Input!$8:$8=$B135), 0)), 0) + 1, MATCH(1, (Data_Input!$7:$7=$F$3)*(Data_Input!$8:$8=$B135), 0)),"")</f>
        <v/>
      </c>
      <c r="K135" s="14" t="str" cm="1">
        <f t="array" ref="K135">IFERROR(INDEX(Data_Input!$A$1:$ZZ$502, MATCH("총수익률", INDEX(Data_Input!$A$1:$ZZ$502, 0, MATCH(1, (Data_Input!$7:$7=$F$3)*(Data_Input!$8:$8=$B135), 0)), 0) + 1, MATCH(1, (Data_Input!$7:$7=$F$3)*(Data_Input!$8:$8=$B135), 0)),"")</f>
        <v/>
      </c>
      <c r="L135" t="str" cm="1">
        <f t="array" ref="L135">IFERROR(_xlfn.LET(
    _xlpm.targetDate, B135,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36" spans="1:12" x14ac:dyDescent="0.3">
      <c r="A136" s="16" t="str">
        <f t="shared" si="4"/>
        <v/>
      </c>
      <c r="B136" s="19"/>
      <c r="C136" s="17" t="str">
        <f t="shared" ref="C136:C199" si="5">IF(B136&gt;0,C135,"")</f>
        <v/>
      </c>
      <c r="D136" s="29" t="str" cm="1">
        <f t="array" ref="D136">IFERROR(INDEX(Data_Input!$10:$10,MATCH(1,(Data_Input!$7:$7=$F$3)*(Data_Input!$8:$8=$B136),0)),"")</f>
        <v/>
      </c>
      <c r="E136" s="29" t="str" cm="1">
        <f t="array" ref="E136">IFERROR(INDEX(Data_Input!$1:$100, 9, MATCH(1, (Data_Input!$7:$7=$F$3) * (Data_Input!$8:$8=$B136), 0)),"")</f>
        <v/>
      </c>
      <c r="F136" s="20" t="str" cm="1">
        <f t="array" ref="F136">IFERROR(INDEX(Data_Input!$A$1:$ZZ$502, MATCH("예수금", INDEX(Data_Input!$A$1:$ZZ$502, 0, MATCH(1, (Data_Input!$7:$7=$F$3)*(Data_Input!$8:$8=$B136), 0)), 0) + 1, MATCH(1, (Data_Input!$7:$7=$F$3)*(Data_Input!$8:$8=$B136), 0)),"")</f>
        <v/>
      </c>
      <c r="G136" s="20" t="str" cm="1">
        <f t="array" ref="G136">IFERROR(INDEX(Data_Input!$A$1:$ZZ$502, MATCH("총자산", INDEX(Data_Input!$A$1:$ZZ$502, 0, MATCH(1, (Data_Input!$7:$7=$F$3)*(Data_Input!$8:$8=$B136), 0)), 0) + 1, MATCH(1, (Data_Input!$7:$7=$F$3)*(Data_Input!$8:$8=$B136), 0)),"")</f>
        <v/>
      </c>
      <c r="H136" s="20" t="str" cm="1">
        <f t="array" ref="H136">IFERROR(INDEX(Data_Input!$A$1:$ZZ$502, MATCH("매입금액", INDEX(Data_Input!$A$1:$ZZ$502, 0, MATCH(1, (Data_Input!$7:$7=$F$3)*(Data_Input!$8:$8=$B136), 0)), 0) + 1, MATCH(1, (Data_Input!$7:$7=$F$3)*(Data_Input!$8:$8=$B136), 0)),"")</f>
        <v/>
      </c>
      <c r="I136" s="20" t="str" cm="1">
        <f t="array" ref="I136">IFERROR(INDEX(Data_Input!$A$1:$ZZ$502, MATCH("평가금액", INDEX(Data_Input!$A$1:$ZZ$502, 0, MATCH(1, (Data_Input!$7:$7=$F$3)*(Data_Input!$8:$8=$B136), 0)), 0) + 1, MATCH(1, (Data_Input!$7:$7=$F$3)*(Data_Input!$8:$8=$B136), 0)),"")</f>
        <v/>
      </c>
      <c r="J136" s="20" t="str" cm="1">
        <f t="array" ref="J136">IFERROR(INDEX(Data_Input!$A$1:$ZZ$502, MATCH("평가손익", INDEX(Data_Input!$A$1:$ZZ$502, 0, MATCH(1, (Data_Input!$7:$7=$F$3)*(Data_Input!$8:$8=$B136), 0)), 0) + 1, MATCH(1, (Data_Input!$7:$7=$F$3)*(Data_Input!$8:$8=$B136), 0)),"")</f>
        <v/>
      </c>
      <c r="K136" s="14" t="str" cm="1">
        <f t="array" ref="K136">IFERROR(INDEX(Data_Input!$A$1:$ZZ$502, MATCH("총수익률", INDEX(Data_Input!$A$1:$ZZ$502, 0, MATCH(1, (Data_Input!$7:$7=$F$3)*(Data_Input!$8:$8=$B136), 0)), 0) + 1, MATCH(1, (Data_Input!$7:$7=$F$3)*(Data_Input!$8:$8=$B136), 0)),"")</f>
        <v/>
      </c>
      <c r="L136" t="str" cm="1">
        <f t="array" ref="L136">IFERROR(_xlfn.LET(
    _xlpm.targetDate, B136,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37" spans="1:12" x14ac:dyDescent="0.3">
      <c r="A137" s="16" t="str">
        <f t="shared" si="4"/>
        <v/>
      </c>
      <c r="B137" s="19"/>
      <c r="C137" s="17" t="str">
        <f t="shared" si="5"/>
        <v/>
      </c>
      <c r="D137" s="29" t="str" cm="1">
        <f t="array" ref="D137">IFERROR(INDEX(Data_Input!$10:$10,MATCH(1,(Data_Input!$7:$7=$F$3)*(Data_Input!$8:$8=$B137),0)),"")</f>
        <v/>
      </c>
      <c r="E137" s="29" t="str" cm="1">
        <f t="array" ref="E137">IFERROR(INDEX(Data_Input!$1:$100, 9, MATCH(1, (Data_Input!$7:$7=$F$3) * (Data_Input!$8:$8=$B137), 0)),"")</f>
        <v/>
      </c>
      <c r="F137" s="20" t="str" cm="1">
        <f t="array" ref="F137">IFERROR(INDEX(Data_Input!$A$1:$ZZ$502, MATCH("예수금", INDEX(Data_Input!$A$1:$ZZ$502, 0, MATCH(1, (Data_Input!$7:$7=$F$3)*(Data_Input!$8:$8=$B137), 0)), 0) + 1, MATCH(1, (Data_Input!$7:$7=$F$3)*(Data_Input!$8:$8=$B137), 0)),"")</f>
        <v/>
      </c>
      <c r="G137" s="20" t="str" cm="1">
        <f t="array" ref="G137">IFERROR(INDEX(Data_Input!$A$1:$ZZ$502, MATCH("총자산", INDEX(Data_Input!$A$1:$ZZ$502, 0, MATCH(1, (Data_Input!$7:$7=$F$3)*(Data_Input!$8:$8=$B137), 0)), 0) + 1, MATCH(1, (Data_Input!$7:$7=$F$3)*(Data_Input!$8:$8=$B137), 0)),"")</f>
        <v/>
      </c>
      <c r="H137" s="20" t="str" cm="1">
        <f t="array" ref="H137">IFERROR(INDEX(Data_Input!$A$1:$ZZ$502, MATCH("매입금액", INDEX(Data_Input!$A$1:$ZZ$502, 0, MATCH(1, (Data_Input!$7:$7=$F$3)*(Data_Input!$8:$8=$B137), 0)), 0) + 1, MATCH(1, (Data_Input!$7:$7=$F$3)*(Data_Input!$8:$8=$B137), 0)),"")</f>
        <v/>
      </c>
      <c r="I137" s="20" t="str" cm="1">
        <f t="array" ref="I137">IFERROR(INDEX(Data_Input!$A$1:$ZZ$502, MATCH("평가금액", INDEX(Data_Input!$A$1:$ZZ$502, 0, MATCH(1, (Data_Input!$7:$7=$F$3)*(Data_Input!$8:$8=$B137), 0)), 0) + 1, MATCH(1, (Data_Input!$7:$7=$F$3)*(Data_Input!$8:$8=$B137), 0)),"")</f>
        <v/>
      </c>
      <c r="J137" s="20" t="str" cm="1">
        <f t="array" ref="J137">IFERROR(INDEX(Data_Input!$A$1:$ZZ$502, MATCH("평가손익", INDEX(Data_Input!$A$1:$ZZ$502, 0, MATCH(1, (Data_Input!$7:$7=$F$3)*(Data_Input!$8:$8=$B137), 0)), 0) + 1, MATCH(1, (Data_Input!$7:$7=$F$3)*(Data_Input!$8:$8=$B137), 0)),"")</f>
        <v/>
      </c>
      <c r="K137" s="14" t="str" cm="1">
        <f t="array" ref="K137">IFERROR(INDEX(Data_Input!$A$1:$ZZ$502, MATCH("총수익률", INDEX(Data_Input!$A$1:$ZZ$502, 0, MATCH(1, (Data_Input!$7:$7=$F$3)*(Data_Input!$8:$8=$B137), 0)), 0) + 1, MATCH(1, (Data_Input!$7:$7=$F$3)*(Data_Input!$8:$8=$B137), 0)),"")</f>
        <v/>
      </c>
      <c r="L137" t="str" cm="1">
        <f t="array" ref="L137">IFERROR(_xlfn.LET(
    _xlpm.targetDate, B137,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38" spans="1:12" x14ac:dyDescent="0.3">
      <c r="A138" s="16" t="str">
        <f t="shared" si="4"/>
        <v/>
      </c>
      <c r="B138" s="19"/>
      <c r="C138" s="17" t="str">
        <f t="shared" si="5"/>
        <v/>
      </c>
      <c r="D138" s="29" t="str" cm="1">
        <f t="array" ref="D138">IFERROR(INDEX(Data_Input!$10:$10,MATCH(1,(Data_Input!$7:$7=$F$3)*(Data_Input!$8:$8=$B138),0)),"")</f>
        <v/>
      </c>
      <c r="E138" s="29" t="str" cm="1">
        <f t="array" ref="E138">IFERROR(INDEX(Data_Input!$1:$100, 9, MATCH(1, (Data_Input!$7:$7=$F$3) * (Data_Input!$8:$8=$B138), 0)),"")</f>
        <v/>
      </c>
      <c r="F138" s="20" t="str" cm="1">
        <f t="array" ref="F138">IFERROR(INDEX(Data_Input!$A$1:$ZZ$502, MATCH("예수금", INDEX(Data_Input!$A$1:$ZZ$502, 0, MATCH(1, (Data_Input!$7:$7=$F$3)*(Data_Input!$8:$8=$B138), 0)), 0) + 1, MATCH(1, (Data_Input!$7:$7=$F$3)*(Data_Input!$8:$8=$B138), 0)),"")</f>
        <v/>
      </c>
      <c r="G138" s="20" t="str" cm="1">
        <f t="array" ref="G138">IFERROR(INDEX(Data_Input!$A$1:$ZZ$502, MATCH("총자산", INDEX(Data_Input!$A$1:$ZZ$502, 0, MATCH(1, (Data_Input!$7:$7=$F$3)*(Data_Input!$8:$8=$B138), 0)), 0) + 1, MATCH(1, (Data_Input!$7:$7=$F$3)*(Data_Input!$8:$8=$B138), 0)),"")</f>
        <v/>
      </c>
      <c r="H138" s="20" t="str" cm="1">
        <f t="array" ref="H138">IFERROR(INDEX(Data_Input!$A$1:$ZZ$502, MATCH("매입금액", INDEX(Data_Input!$A$1:$ZZ$502, 0, MATCH(1, (Data_Input!$7:$7=$F$3)*(Data_Input!$8:$8=$B138), 0)), 0) + 1, MATCH(1, (Data_Input!$7:$7=$F$3)*(Data_Input!$8:$8=$B138), 0)),"")</f>
        <v/>
      </c>
      <c r="I138" s="20" t="str" cm="1">
        <f t="array" ref="I138">IFERROR(INDEX(Data_Input!$A$1:$ZZ$502, MATCH("평가금액", INDEX(Data_Input!$A$1:$ZZ$502, 0, MATCH(1, (Data_Input!$7:$7=$F$3)*(Data_Input!$8:$8=$B138), 0)), 0) + 1, MATCH(1, (Data_Input!$7:$7=$F$3)*(Data_Input!$8:$8=$B138), 0)),"")</f>
        <v/>
      </c>
      <c r="J138" s="20" t="str" cm="1">
        <f t="array" ref="J138">IFERROR(INDEX(Data_Input!$A$1:$ZZ$502, MATCH("평가손익", INDEX(Data_Input!$A$1:$ZZ$502, 0, MATCH(1, (Data_Input!$7:$7=$F$3)*(Data_Input!$8:$8=$B138), 0)), 0) + 1, MATCH(1, (Data_Input!$7:$7=$F$3)*(Data_Input!$8:$8=$B138), 0)),"")</f>
        <v/>
      </c>
      <c r="K138" s="14" t="str" cm="1">
        <f t="array" ref="K138">IFERROR(INDEX(Data_Input!$A$1:$ZZ$502, MATCH("총수익률", INDEX(Data_Input!$A$1:$ZZ$502, 0, MATCH(1, (Data_Input!$7:$7=$F$3)*(Data_Input!$8:$8=$B138), 0)), 0) + 1, MATCH(1, (Data_Input!$7:$7=$F$3)*(Data_Input!$8:$8=$B138), 0)),"")</f>
        <v/>
      </c>
      <c r="L138" t="str" cm="1">
        <f t="array" ref="L138">IFERROR(_xlfn.LET(
    _xlpm.targetDate, B138,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39" spans="1:12" x14ac:dyDescent="0.3">
      <c r="A139" s="16" t="str">
        <f t="shared" si="4"/>
        <v/>
      </c>
      <c r="B139" s="19"/>
      <c r="C139" s="17" t="str">
        <f t="shared" si="5"/>
        <v/>
      </c>
      <c r="D139" s="29" t="str" cm="1">
        <f t="array" ref="D139">IFERROR(INDEX(Data_Input!$10:$10,MATCH(1,(Data_Input!$7:$7=$F$3)*(Data_Input!$8:$8=$B139),0)),"")</f>
        <v/>
      </c>
      <c r="E139" s="29" t="str" cm="1">
        <f t="array" ref="E139">IFERROR(INDEX(Data_Input!$1:$100, 9, MATCH(1, (Data_Input!$7:$7=$F$3) * (Data_Input!$8:$8=$B139), 0)),"")</f>
        <v/>
      </c>
      <c r="F139" s="20" t="str" cm="1">
        <f t="array" ref="F139">IFERROR(INDEX(Data_Input!$A$1:$ZZ$502, MATCH("예수금", INDEX(Data_Input!$A$1:$ZZ$502, 0, MATCH(1, (Data_Input!$7:$7=$F$3)*(Data_Input!$8:$8=$B139), 0)), 0) + 1, MATCH(1, (Data_Input!$7:$7=$F$3)*(Data_Input!$8:$8=$B139), 0)),"")</f>
        <v/>
      </c>
      <c r="G139" s="20" t="str" cm="1">
        <f t="array" ref="G139">IFERROR(INDEX(Data_Input!$A$1:$ZZ$502, MATCH("총자산", INDEX(Data_Input!$A$1:$ZZ$502, 0, MATCH(1, (Data_Input!$7:$7=$F$3)*(Data_Input!$8:$8=$B139), 0)), 0) + 1, MATCH(1, (Data_Input!$7:$7=$F$3)*(Data_Input!$8:$8=$B139), 0)),"")</f>
        <v/>
      </c>
      <c r="H139" s="20" t="str" cm="1">
        <f t="array" ref="H139">IFERROR(INDEX(Data_Input!$A$1:$ZZ$502, MATCH("매입금액", INDEX(Data_Input!$A$1:$ZZ$502, 0, MATCH(1, (Data_Input!$7:$7=$F$3)*(Data_Input!$8:$8=$B139), 0)), 0) + 1, MATCH(1, (Data_Input!$7:$7=$F$3)*(Data_Input!$8:$8=$B139), 0)),"")</f>
        <v/>
      </c>
      <c r="I139" s="20" t="str" cm="1">
        <f t="array" ref="I139">IFERROR(INDEX(Data_Input!$A$1:$ZZ$502, MATCH("평가금액", INDEX(Data_Input!$A$1:$ZZ$502, 0, MATCH(1, (Data_Input!$7:$7=$F$3)*(Data_Input!$8:$8=$B139), 0)), 0) + 1, MATCH(1, (Data_Input!$7:$7=$F$3)*(Data_Input!$8:$8=$B139), 0)),"")</f>
        <v/>
      </c>
      <c r="J139" s="20" t="str" cm="1">
        <f t="array" ref="J139">IFERROR(INDEX(Data_Input!$A$1:$ZZ$502, MATCH("평가손익", INDEX(Data_Input!$A$1:$ZZ$502, 0, MATCH(1, (Data_Input!$7:$7=$F$3)*(Data_Input!$8:$8=$B139), 0)), 0) + 1, MATCH(1, (Data_Input!$7:$7=$F$3)*(Data_Input!$8:$8=$B139), 0)),"")</f>
        <v/>
      </c>
      <c r="K139" s="14" t="str" cm="1">
        <f t="array" ref="K139">IFERROR(INDEX(Data_Input!$A$1:$ZZ$502, MATCH("총수익률", INDEX(Data_Input!$A$1:$ZZ$502, 0, MATCH(1, (Data_Input!$7:$7=$F$3)*(Data_Input!$8:$8=$B139), 0)), 0) + 1, MATCH(1, (Data_Input!$7:$7=$F$3)*(Data_Input!$8:$8=$B139), 0)),"")</f>
        <v/>
      </c>
      <c r="L139" t="str" cm="1">
        <f t="array" ref="L139">IFERROR(_xlfn.LET(
    _xlpm.targetDate, B139,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40" spans="1:12" x14ac:dyDescent="0.3">
      <c r="A140" s="16" t="str">
        <f t="shared" si="4"/>
        <v/>
      </c>
      <c r="B140" s="19"/>
      <c r="C140" s="17" t="str">
        <f t="shared" si="5"/>
        <v/>
      </c>
      <c r="D140" s="29" t="str" cm="1">
        <f t="array" ref="D140">IFERROR(INDEX(Data_Input!$10:$10,MATCH(1,(Data_Input!$7:$7=$F$3)*(Data_Input!$8:$8=$B140),0)),"")</f>
        <v/>
      </c>
      <c r="E140" s="29" t="str" cm="1">
        <f t="array" ref="E140">IFERROR(INDEX(Data_Input!$1:$100, 9, MATCH(1, (Data_Input!$7:$7=$F$3) * (Data_Input!$8:$8=$B140), 0)),"")</f>
        <v/>
      </c>
      <c r="F140" s="20" t="str" cm="1">
        <f t="array" ref="F140">IFERROR(INDEX(Data_Input!$A$1:$ZZ$502, MATCH("예수금", INDEX(Data_Input!$A$1:$ZZ$502, 0, MATCH(1, (Data_Input!$7:$7=$F$3)*(Data_Input!$8:$8=$B140), 0)), 0) + 1, MATCH(1, (Data_Input!$7:$7=$F$3)*(Data_Input!$8:$8=$B140), 0)),"")</f>
        <v/>
      </c>
      <c r="G140" s="20" t="str" cm="1">
        <f t="array" ref="G140">IFERROR(INDEX(Data_Input!$A$1:$ZZ$502, MATCH("총자산", INDEX(Data_Input!$A$1:$ZZ$502, 0, MATCH(1, (Data_Input!$7:$7=$F$3)*(Data_Input!$8:$8=$B140), 0)), 0) + 1, MATCH(1, (Data_Input!$7:$7=$F$3)*(Data_Input!$8:$8=$B140), 0)),"")</f>
        <v/>
      </c>
      <c r="H140" s="20" t="str" cm="1">
        <f t="array" ref="H140">IFERROR(INDEX(Data_Input!$A$1:$ZZ$502, MATCH("매입금액", INDEX(Data_Input!$A$1:$ZZ$502, 0, MATCH(1, (Data_Input!$7:$7=$F$3)*(Data_Input!$8:$8=$B140), 0)), 0) + 1, MATCH(1, (Data_Input!$7:$7=$F$3)*(Data_Input!$8:$8=$B140), 0)),"")</f>
        <v/>
      </c>
      <c r="I140" s="20" t="str" cm="1">
        <f t="array" ref="I140">IFERROR(INDEX(Data_Input!$A$1:$ZZ$502, MATCH("평가금액", INDEX(Data_Input!$A$1:$ZZ$502, 0, MATCH(1, (Data_Input!$7:$7=$F$3)*(Data_Input!$8:$8=$B140), 0)), 0) + 1, MATCH(1, (Data_Input!$7:$7=$F$3)*(Data_Input!$8:$8=$B140), 0)),"")</f>
        <v/>
      </c>
      <c r="J140" s="20" t="str" cm="1">
        <f t="array" ref="J140">IFERROR(INDEX(Data_Input!$A$1:$ZZ$502, MATCH("평가손익", INDEX(Data_Input!$A$1:$ZZ$502, 0, MATCH(1, (Data_Input!$7:$7=$F$3)*(Data_Input!$8:$8=$B140), 0)), 0) + 1, MATCH(1, (Data_Input!$7:$7=$F$3)*(Data_Input!$8:$8=$B140), 0)),"")</f>
        <v/>
      </c>
      <c r="K140" s="14" t="str" cm="1">
        <f t="array" ref="K140">IFERROR(INDEX(Data_Input!$A$1:$ZZ$502, MATCH("총수익률", INDEX(Data_Input!$A$1:$ZZ$502, 0, MATCH(1, (Data_Input!$7:$7=$F$3)*(Data_Input!$8:$8=$B140), 0)), 0) + 1, MATCH(1, (Data_Input!$7:$7=$F$3)*(Data_Input!$8:$8=$B140), 0)),"")</f>
        <v/>
      </c>
      <c r="L140" t="str" cm="1">
        <f t="array" ref="L140">IFERROR(_xlfn.LET(
    _xlpm.targetDate, B140,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41" spans="1:12" x14ac:dyDescent="0.3">
      <c r="A141" s="16" t="str">
        <f t="shared" si="4"/>
        <v/>
      </c>
      <c r="B141" s="19"/>
      <c r="C141" s="17" t="str">
        <f t="shared" si="5"/>
        <v/>
      </c>
      <c r="D141" s="29" t="str" cm="1">
        <f t="array" ref="D141">IFERROR(INDEX(Data_Input!$10:$10,MATCH(1,(Data_Input!$7:$7=$F$3)*(Data_Input!$8:$8=$B141),0)),"")</f>
        <v/>
      </c>
      <c r="E141" s="29" t="str" cm="1">
        <f t="array" ref="E141">IFERROR(INDEX(Data_Input!$1:$100, 9, MATCH(1, (Data_Input!$7:$7=$F$3) * (Data_Input!$8:$8=$B141), 0)),"")</f>
        <v/>
      </c>
      <c r="F141" s="20" t="str" cm="1">
        <f t="array" ref="F141">IFERROR(INDEX(Data_Input!$A$1:$ZZ$502, MATCH("예수금", INDEX(Data_Input!$A$1:$ZZ$502, 0, MATCH(1, (Data_Input!$7:$7=$F$3)*(Data_Input!$8:$8=$B141), 0)), 0) + 1, MATCH(1, (Data_Input!$7:$7=$F$3)*(Data_Input!$8:$8=$B141), 0)),"")</f>
        <v/>
      </c>
      <c r="G141" s="20" t="str" cm="1">
        <f t="array" ref="G141">IFERROR(INDEX(Data_Input!$A$1:$ZZ$502, MATCH("총자산", INDEX(Data_Input!$A$1:$ZZ$502, 0, MATCH(1, (Data_Input!$7:$7=$F$3)*(Data_Input!$8:$8=$B141), 0)), 0) + 1, MATCH(1, (Data_Input!$7:$7=$F$3)*(Data_Input!$8:$8=$B141), 0)),"")</f>
        <v/>
      </c>
      <c r="H141" s="20" t="str" cm="1">
        <f t="array" ref="H141">IFERROR(INDEX(Data_Input!$A$1:$ZZ$502, MATCH("매입금액", INDEX(Data_Input!$A$1:$ZZ$502, 0, MATCH(1, (Data_Input!$7:$7=$F$3)*(Data_Input!$8:$8=$B141), 0)), 0) + 1, MATCH(1, (Data_Input!$7:$7=$F$3)*(Data_Input!$8:$8=$B141), 0)),"")</f>
        <v/>
      </c>
      <c r="I141" s="20" t="str" cm="1">
        <f t="array" ref="I141">IFERROR(INDEX(Data_Input!$A$1:$ZZ$502, MATCH("평가금액", INDEX(Data_Input!$A$1:$ZZ$502, 0, MATCH(1, (Data_Input!$7:$7=$F$3)*(Data_Input!$8:$8=$B141), 0)), 0) + 1, MATCH(1, (Data_Input!$7:$7=$F$3)*(Data_Input!$8:$8=$B141), 0)),"")</f>
        <v/>
      </c>
      <c r="J141" s="20" t="str" cm="1">
        <f t="array" ref="J141">IFERROR(INDEX(Data_Input!$A$1:$ZZ$502, MATCH("평가손익", INDEX(Data_Input!$A$1:$ZZ$502, 0, MATCH(1, (Data_Input!$7:$7=$F$3)*(Data_Input!$8:$8=$B141), 0)), 0) + 1, MATCH(1, (Data_Input!$7:$7=$F$3)*(Data_Input!$8:$8=$B141), 0)),"")</f>
        <v/>
      </c>
      <c r="K141" s="14" t="str" cm="1">
        <f t="array" ref="K141">IFERROR(INDEX(Data_Input!$A$1:$ZZ$502, MATCH("총수익률", INDEX(Data_Input!$A$1:$ZZ$502, 0, MATCH(1, (Data_Input!$7:$7=$F$3)*(Data_Input!$8:$8=$B141), 0)), 0) + 1, MATCH(1, (Data_Input!$7:$7=$F$3)*(Data_Input!$8:$8=$B141), 0)),"")</f>
        <v/>
      </c>
      <c r="L141" t="str" cm="1">
        <f t="array" ref="L141">IFERROR(_xlfn.LET(
    _xlpm.targetDate, B141,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42" spans="1:12" x14ac:dyDescent="0.3">
      <c r="A142" s="16" t="str">
        <f t="shared" si="4"/>
        <v/>
      </c>
      <c r="B142" s="19"/>
      <c r="C142" s="17" t="str">
        <f t="shared" si="5"/>
        <v/>
      </c>
      <c r="D142" s="29" t="str" cm="1">
        <f t="array" ref="D142">IFERROR(INDEX(Data_Input!$10:$10,MATCH(1,(Data_Input!$7:$7=$F$3)*(Data_Input!$8:$8=$B142),0)),"")</f>
        <v/>
      </c>
      <c r="E142" s="29" t="str" cm="1">
        <f t="array" ref="E142">IFERROR(INDEX(Data_Input!$1:$100, 9, MATCH(1, (Data_Input!$7:$7=$F$3) * (Data_Input!$8:$8=$B142), 0)),"")</f>
        <v/>
      </c>
      <c r="F142" s="20" t="str" cm="1">
        <f t="array" ref="F142">IFERROR(INDEX(Data_Input!$A$1:$ZZ$502, MATCH("예수금", INDEX(Data_Input!$A$1:$ZZ$502, 0, MATCH(1, (Data_Input!$7:$7=$F$3)*(Data_Input!$8:$8=$B142), 0)), 0) + 1, MATCH(1, (Data_Input!$7:$7=$F$3)*(Data_Input!$8:$8=$B142), 0)),"")</f>
        <v/>
      </c>
      <c r="G142" s="20" t="str" cm="1">
        <f t="array" ref="G142">IFERROR(INDEX(Data_Input!$A$1:$ZZ$502, MATCH("총자산", INDEX(Data_Input!$A$1:$ZZ$502, 0, MATCH(1, (Data_Input!$7:$7=$F$3)*(Data_Input!$8:$8=$B142), 0)), 0) + 1, MATCH(1, (Data_Input!$7:$7=$F$3)*(Data_Input!$8:$8=$B142), 0)),"")</f>
        <v/>
      </c>
      <c r="H142" s="20" t="str" cm="1">
        <f t="array" ref="H142">IFERROR(INDEX(Data_Input!$A$1:$ZZ$502, MATCH("매입금액", INDEX(Data_Input!$A$1:$ZZ$502, 0, MATCH(1, (Data_Input!$7:$7=$F$3)*(Data_Input!$8:$8=$B142), 0)), 0) + 1, MATCH(1, (Data_Input!$7:$7=$F$3)*(Data_Input!$8:$8=$B142), 0)),"")</f>
        <v/>
      </c>
      <c r="I142" s="20" t="str" cm="1">
        <f t="array" ref="I142">IFERROR(INDEX(Data_Input!$A$1:$ZZ$502, MATCH("평가금액", INDEX(Data_Input!$A$1:$ZZ$502, 0, MATCH(1, (Data_Input!$7:$7=$F$3)*(Data_Input!$8:$8=$B142), 0)), 0) + 1, MATCH(1, (Data_Input!$7:$7=$F$3)*(Data_Input!$8:$8=$B142), 0)),"")</f>
        <v/>
      </c>
      <c r="J142" s="20" t="str" cm="1">
        <f t="array" ref="J142">IFERROR(INDEX(Data_Input!$A$1:$ZZ$502, MATCH("평가손익", INDEX(Data_Input!$A$1:$ZZ$502, 0, MATCH(1, (Data_Input!$7:$7=$F$3)*(Data_Input!$8:$8=$B142), 0)), 0) + 1, MATCH(1, (Data_Input!$7:$7=$F$3)*(Data_Input!$8:$8=$B142), 0)),"")</f>
        <v/>
      </c>
      <c r="K142" s="14" t="str" cm="1">
        <f t="array" ref="K142">IFERROR(INDEX(Data_Input!$A$1:$ZZ$502, MATCH("총수익률", INDEX(Data_Input!$A$1:$ZZ$502, 0, MATCH(1, (Data_Input!$7:$7=$F$3)*(Data_Input!$8:$8=$B142), 0)), 0) + 1, MATCH(1, (Data_Input!$7:$7=$F$3)*(Data_Input!$8:$8=$B142), 0)),"")</f>
        <v/>
      </c>
      <c r="L142" t="str" cm="1">
        <f t="array" ref="L142">IFERROR(_xlfn.LET(
    _xlpm.targetDate, B142,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43" spans="1:12" x14ac:dyDescent="0.3">
      <c r="A143" s="16" t="str">
        <f t="shared" si="4"/>
        <v/>
      </c>
      <c r="B143" s="19"/>
      <c r="C143" s="17" t="str">
        <f t="shared" si="5"/>
        <v/>
      </c>
      <c r="D143" s="29" t="str" cm="1">
        <f t="array" ref="D143">IFERROR(INDEX(Data_Input!$10:$10,MATCH(1,(Data_Input!$7:$7=$F$3)*(Data_Input!$8:$8=$B143),0)),"")</f>
        <v/>
      </c>
      <c r="E143" s="29" t="str" cm="1">
        <f t="array" ref="E143">IFERROR(INDEX(Data_Input!$1:$100, 9, MATCH(1, (Data_Input!$7:$7=$F$3) * (Data_Input!$8:$8=$B143), 0)),"")</f>
        <v/>
      </c>
      <c r="F143" s="20" t="str" cm="1">
        <f t="array" ref="F143">IFERROR(INDEX(Data_Input!$A$1:$ZZ$502, MATCH("예수금", INDEX(Data_Input!$A$1:$ZZ$502, 0, MATCH(1, (Data_Input!$7:$7=$F$3)*(Data_Input!$8:$8=$B143), 0)), 0) + 1, MATCH(1, (Data_Input!$7:$7=$F$3)*(Data_Input!$8:$8=$B143), 0)),"")</f>
        <v/>
      </c>
      <c r="G143" s="20" t="str" cm="1">
        <f t="array" ref="G143">IFERROR(INDEX(Data_Input!$A$1:$ZZ$502, MATCH("총자산", INDEX(Data_Input!$A$1:$ZZ$502, 0, MATCH(1, (Data_Input!$7:$7=$F$3)*(Data_Input!$8:$8=$B143), 0)), 0) + 1, MATCH(1, (Data_Input!$7:$7=$F$3)*(Data_Input!$8:$8=$B143), 0)),"")</f>
        <v/>
      </c>
      <c r="H143" s="20" t="str" cm="1">
        <f t="array" ref="H143">IFERROR(INDEX(Data_Input!$A$1:$ZZ$502, MATCH("매입금액", INDEX(Data_Input!$A$1:$ZZ$502, 0, MATCH(1, (Data_Input!$7:$7=$F$3)*(Data_Input!$8:$8=$B143), 0)), 0) + 1, MATCH(1, (Data_Input!$7:$7=$F$3)*(Data_Input!$8:$8=$B143), 0)),"")</f>
        <v/>
      </c>
      <c r="I143" s="20" t="str" cm="1">
        <f t="array" ref="I143">IFERROR(INDEX(Data_Input!$A$1:$ZZ$502, MATCH("평가금액", INDEX(Data_Input!$A$1:$ZZ$502, 0, MATCH(1, (Data_Input!$7:$7=$F$3)*(Data_Input!$8:$8=$B143), 0)), 0) + 1, MATCH(1, (Data_Input!$7:$7=$F$3)*(Data_Input!$8:$8=$B143), 0)),"")</f>
        <v/>
      </c>
      <c r="J143" s="20" t="str" cm="1">
        <f t="array" ref="J143">IFERROR(INDEX(Data_Input!$A$1:$ZZ$502, MATCH("평가손익", INDEX(Data_Input!$A$1:$ZZ$502, 0, MATCH(1, (Data_Input!$7:$7=$F$3)*(Data_Input!$8:$8=$B143), 0)), 0) + 1, MATCH(1, (Data_Input!$7:$7=$F$3)*(Data_Input!$8:$8=$B143), 0)),"")</f>
        <v/>
      </c>
      <c r="K143" s="14" t="str" cm="1">
        <f t="array" ref="K143">IFERROR(INDEX(Data_Input!$A$1:$ZZ$502, MATCH("총수익률", INDEX(Data_Input!$A$1:$ZZ$502, 0, MATCH(1, (Data_Input!$7:$7=$F$3)*(Data_Input!$8:$8=$B143), 0)), 0) + 1, MATCH(1, (Data_Input!$7:$7=$F$3)*(Data_Input!$8:$8=$B143), 0)),"")</f>
        <v/>
      </c>
      <c r="L143" t="str" cm="1">
        <f t="array" ref="L143">IFERROR(_xlfn.LET(
    _xlpm.targetDate, B143,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44" spans="1:12" x14ac:dyDescent="0.3">
      <c r="A144" s="16" t="str">
        <f t="shared" si="4"/>
        <v/>
      </c>
      <c r="B144" s="19"/>
      <c r="C144" s="17" t="str">
        <f t="shared" si="5"/>
        <v/>
      </c>
      <c r="D144" s="29" t="str" cm="1">
        <f t="array" ref="D144">IFERROR(INDEX(Data_Input!$10:$10,MATCH(1,(Data_Input!$7:$7=$F$3)*(Data_Input!$8:$8=$B144),0)),"")</f>
        <v/>
      </c>
      <c r="E144" s="29" t="str" cm="1">
        <f t="array" ref="E144">IFERROR(INDEX(Data_Input!$1:$100, 9, MATCH(1, (Data_Input!$7:$7=$F$3) * (Data_Input!$8:$8=$B144), 0)),"")</f>
        <v/>
      </c>
      <c r="F144" s="20" t="str" cm="1">
        <f t="array" ref="F144">IFERROR(INDEX(Data_Input!$A$1:$ZZ$502, MATCH("예수금", INDEX(Data_Input!$A$1:$ZZ$502, 0, MATCH(1, (Data_Input!$7:$7=$F$3)*(Data_Input!$8:$8=$B144), 0)), 0) + 1, MATCH(1, (Data_Input!$7:$7=$F$3)*(Data_Input!$8:$8=$B144), 0)),"")</f>
        <v/>
      </c>
      <c r="G144" s="20" t="str" cm="1">
        <f t="array" ref="G144">IFERROR(INDEX(Data_Input!$A$1:$ZZ$502, MATCH("총자산", INDEX(Data_Input!$A$1:$ZZ$502, 0, MATCH(1, (Data_Input!$7:$7=$F$3)*(Data_Input!$8:$8=$B144), 0)), 0) + 1, MATCH(1, (Data_Input!$7:$7=$F$3)*(Data_Input!$8:$8=$B144), 0)),"")</f>
        <v/>
      </c>
      <c r="H144" s="20" t="str" cm="1">
        <f t="array" ref="H144">IFERROR(INDEX(Data_Input!$A$1:$ZZ$502, MATCH("매입금액", INDEX(Data_Input!$A$1:$ZZ$502, 0, MATCH(1, (Data_Input!$7:$7=$F$3)*(Data_Input!$8:$8=$B144), 0)), 0) + 1, MATCH(1, (Data_Input!$7:$7=$F$3)*(Data_Input!$8:$8=$B144), 0)),"")</f>
        <v/>
      </c>
      <c r="I144" s="20" t="str" cm="1">
        <f t="array" ref="I144">IFERROR(INDEX(Data_Input!$A$1:$ZZ$502, MATCH("평가금액", INDEX(Data_Input!$A$1:$ZZ$502, 0, MATCH(1, (Data_Input!$7:$7=$F$3)*(Data_Input!$8:$8=$B144), 0)), 0) + 1, MATCH(1, (Data_Input!$7:$7=$F$3)*(Data_Input!$8:$8=$B144), 0)),"")</f>
        <v/>
      </c>
      <c r="J144" s="20" t="str" cm="1">
        <f t="array" ref="J144">IFERROR(INDEX(Data_Input!$A$1:$ZZ$502, MATCH("평가손익", INDEX(Data_Input!$A$1:$ZZ$502, 0, MATCH(1, (Data_Input!$7:$7=$F$3)*(Data_Input!$8:$8=$B144), 0)), 0) + 1, MATCH(1, (Data_Input!$7:$7=$F$3)*(Data_Input!$8:$8=$B144), 0)),"")</f>
        <v/>
      </c>
      <c r="K144" s="14" t="str" cm="1">
        <f t="array" ref="K144">IFERROR(INDEX(Data_Input!$A$1:$ZZ$502, MATCH("총수익률", INDEX(Data_Input!$A$1:$ZZ$502, 0, MATCH(1, (Data_Input!$7:$7=$F$3)*(Data_Input!$8:$8=$B144), 0)), 0) + 1, MATCH(1, (Data_Input!$7:$7=$F$3)*(Data_Input!$8:$8=$B144), 0)),"")</f>
        <v/>
      </c>
      <c r="L144" t="str" cm="1">
        <f t="array" ref="L144">IFERROR(_xlfn.LET(
    _xlpm.targetDate, B144,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45" spans="1:12" x14ac:dyDescent="0.3">
      <c r="A145" s="16" t="str">
        <f t="shared" si="4"/>
        <v/>
      </c>
      <c r="B145" s="19"/>
      <c r="C145" s="17" t="str">
        <f t="shared" si="5"/>
        <v/>
      </c>
      <c r="D145" s="29" t="str" cm="1">
        <f t="array" ref="D145">IFERROR(INDEX(Data_Input!$10:$10,MATCH(1,(Data_Input!$7:$7=$F$3)*(Data_Input!$8:$8=$B145),0)),"")</f>
        <v/>
      </c>
      <c r="E145" s="29" t="str" cm="1">
        <f t="array" ref="E145">IFERROR(INDEX(Data_Input!$1:$100, 9, MATCH(1, (Data_Input!$7:$7=$F$3) * (Data_Input!$8:$8=$B145), 0)),"")</f>
        <v/>
      </c>
      <c r="F145" s="20" t="str" cm="1">
        <f t="array" ref="F145">IFERROR(INDEX(Data_Input!$A$1:$ZZ$502, MATCH("예수금", INDEX(Data_Input!$A$1:$ZZ$502, 0, MATCH(1, (Data_Input!$7:$7=$F$3)*(Data_Input!$8:$8=$B145), 0)), 0) + 1, MATCH(1, (Data_Input!$7:$7=$F$3)*(Data_Input!$8:$8=$B145), 0)),"")</f>
        <v/>
      </c>
      <c r="G145" s="20" t="str" cm="1">
        <f t="array" ref="G145">IFERROR(INDEX(Data_Input!$A$1:$ZZ$502, MATCH("총자산", INDEX(Data_Input!$A$1:$ZZ$502, 0, MATCH(1, (Data_Input!$7:$7=$F$3)*(Data_Input!$8:$8=$B145), 0)), 0) + 1, MATCH(1, (Data_Input!$7:$7=$F$3)*(Data_Input!$8:$8=$B145), 0)),"")</f>
        <v/>
      </c>
      <c r="H145" s="20" t="str" cm="1">
        <f t="array" ref="H145">IFERROR(INDEX(Data_Input!$A$1:$ZZ$502, MATCH("매입금액", INDEX(Data_Input!$A$1:$ZZ$502, 0, MATCH(1, (Data_Input!$7:$7=$F$3)*(Data_Input!$8:$8=$B145), 0)), 0) + 1, MATCH(1, (Data_Input!$7:$7=$F$3)*(Data_Input!$8:$8=$B145), 0)),"")</f>
        <v/>
      </c>
      <c r="I145" s="20" t="str" cm="1">
        <f t="array" ref="I145">IFERROR(INDEX(Data_Input!$A$1:$ZZ$502, MATCH("평가금액", INDEX(Data_Input!$A$1:$ZZ$502, 0, MATCH(1, (Data_Input!$7:$7=$F$3)*(Data_Input!$8:$8=$B145), 0)), 0) + 1, MATCH(1, (Data_Input!$7:$7=$F$3)*(Data_Input!$8:$8=$B145), 0)),"")</f>
        <v/>
      </c>
      <c r="J145" s="20" t="str" cm="1">
        <f t="array" ref="J145">IFERROR(INDEX(Data_Input!$A$1:$ZZ$502, MATCH("평가손익", INDEX(Data_Input!$A$1:$ZZ$502, 0, MATCH(1, (Data_Input!$7:$7=$F$3)*(Data_Input!$8:$8=$B145), 0)), 0) + 1, MATCH(1, (Data_Input!$7:$7=$F$3)*(Data_Input!$8:$8=$B145), 0)),"")</f>
        <v/>
      </c>
      <c r="K145" s="14" t="str" cm="1">
        <f t="array" ref="K145">IFERROR(INDEX(Data_Input!$A$1:$ZZ$502, MATCH("총수익률", INDEX(Data_Input!$A$1:$ZZ$502, 0, MATCH(1, (Data_Input!$7:$7=$F$3)*(Data_Input!$8:$8=$B145), 0)), 0) + 1, MATCH(1, (Data_Input!$7:$7=$F$3)*(Data_Input!$8:$8=$B145), 0)),"")</f>
        <v/>
      </c>
      <c r="L145" t="str" cm="1">
        <f t="array" ref="L145">IFERROR(_xlfn.LET(
    _xlpm.targetDate, B145,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46" spans="1:12" x14ac:dyDescent="0.3">
      <c r="A146" s="16" t="str">
        <f t="shared" si="4"/>
        <v/>
      </c>
      <c r="B146" s="19"/>
      <c r="C146" s="17" t="str">
        <f t="shared" si="5"/>
        <v/>
      </c>
      <c r="D146" s="29" t="str" cm="1">
        <f t="array" ref="D146">IFERROR(INDEX(Data_Input!$10:$10,MATCH(1,(Data_Input!$7:$7=$F$3)*(Data_Input!$8:$8=$B146),0)),"")</f>
        <v/>
      </c>
      <c r="E146" s="29" t="str" cm="1">
        <f t="array" ref="E146">IFERROR(INDEX(Data_Input!$1:$100, 9, MATCH(1, (Data_Input!$7:$7=$F$3) * (Data_Input!$8:$8=$B146), 0)),"")</f>
        <v/>
      </c>
      <c r="F146" s="20" t="str" cm="1">
        <f t="array" ref="F146">IFERROR(INDEX(Data_Input!$A$1:$ZZ$502, MATCH("예수금", INDEX(Data_Input!$A$1:$ZZ$502, 0, MATCH(1, (Data_Input!$7:$7=$F$3)*(Data_Input!$8:$8=$B146), 0)), 0) + 1, MATCH(1, (Data_Input!$7:$7=$F$3)*(Data_Input!$8:$8=$B146), 0)),"")</f>
        <v/>
      </c>
      <c r="G146" s="20" t="str" cm="1">
        <f t="array" ref="G146">IFERROR(INDEX(Data_Input!$A$1:$ZZ$502, MATCH("총자산", INDEX(Data_Input!$A$1:$ZZ$502, 0, MATCH(1, (Data_Input!$7:$7=$F$3)*(Data_Input!$8:$8=$B146), 0)), 0) + 1, MATCH(1, (Data_Input!$7:$7=$F$3)*(Data_Input!$8:$8=$B146), 0)),"")</f>
        <v/>
      </c>
      <c r="H146" s="20" t="str" cm="1">
        <f t="array" ref="H146">IFERROR(INDEX(Data_Input!$A$1:$ZZ$502, MATCH("매입금액", INDEX(Data_Input!$A$1:$ZZ$502, 0, MATCH(1, (Data_Input!$7:$7=$F$3)*(Data_Input!$8:$8=$B146), 0)), 0) + 1, MATCH(1, (Data_Input!$7:$7=$F$3)*(Data_Input!$8:$8=$B146), 0)),"")</f>
        <v/>
      </c>
      <c r="I146" s="20" t="str" cm="1">
        <f t="array" ref="I146">IFERROR(INDEX(Data_Input!$A$1:$ZZ$502, MATCH("평가금액", INDEX(Data_Input!$A$1:$ZZ$502, 0, MATCH(1, (Data_Input!$7:$7=$F$3)*(Data_Input!$8:$8=$B146), 0)), 0) + 1, MATCH(1, (Data_Input!$7:$7=$F$3)*(Data_Input!$8:$8=$B146), 0)),"")</f>
        <v/>
      </c>
      <c r="J146" s="20" t="str" cm="1">
        <f t="array" ref="J146">IFERROR(INDEX(Data_Input!$A$1:$ZZ$502, MATCH("평가손익", INDEX(Data_Input!$A$1:$ZZ$502, 0, MATCH(1, (Data_Input!$7:$7=$F$3)*(Data_Input!$8:$8=$B146), 0)), 0) + 1, MATCH(1, (Data_Input!$7:$7=$F$3)*(Data_Input!$8:$8=$B146), 0)),"")</f>
        <v/>
      </c>
      <c r="K146" s="14" t="str" cm="1">
        <f t="array" ref="K146">IFERROR(INDEX(Data_Input!$A$1:$ZZ$502, MATCH("총수익률", INDEX(Data_Input!$A$1:$ZZ$502, 0, MATCH(1, (Data_Input!$7:$7=$F$3)*(Data_Input!$8:$8=$B146), 0)), 0) + 1, MATCH(1, (Data_Input!$7:$7=$F$3)*(Data_Input!$8:$8=$B146), 0)),"")</f>
        <v/>
      </c>
      <c r="L146" t="str" cm="1">
        <f t="array" ref="L146">IFERROR(_xlfn.LET(
    _xlpm.targetDate, B146,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47" spans="1:12" x14ac:dyDescent="0.3">
      <c r="A147" s="16" t="str">
        <f t="shared" si="4"/>
        <v/>
      </c>
      <c r="B147" s="19"/>
      <c r="C147" s="17" t="str">
        <f t="shared" si="5"/>
        <v/>
      </c>
      <c r="D147" s="29" t="str" cm="1">
        <f t="array" ref="D147">IFERROR(INDEX(Data_Input!$10:$10,MATCH(1,(Data_Input!$7:$7=$F$3)*(Data_Input!$8:$8=$B147),0)),"")</f>
        <v/>
      </c>
      <c r="E147" s="29" t="str" cm="1">
        <f t="array" ref="E147">IFERROR(INDEX(Data_Input!$1:$100, 9, MATCH(1, (Data_Input!$7:$7=$F$3) * (Data_Input!$8:$8=$B147), 0)),"")</f>
        <v/>
      </c>
      <c r="F147" s="20" t="str" cm="1">
        <f t="array" ref="F147">IFERROR(INDEX(Data_Input!$A$1:$ZZ$502, MATCH("예수금", INDEX(Data_Input!$A$1:$ZZ$502, 0, MATCH(1, (Data_Input!$7:$7=$F$3)*(Data_Input!$8:$8=$B147), 0)), 0) + 1, MATCH(1, (Data_Input!$7:$7=$F$3)*(Data_Input!$8:$8=$B147), 0)),"")</f>
        <v/>
      </c>
      <c r="G147" s="20" t="str" cm="1">
        <f t="array" ref="G147">IFERROR(INDEX(Data_Input!$A$1:$ZZ$502, MATCH("총자산", INDEX(Data_Input!$A$1:$ZZ$502, 0, MATCH(1, (Data_Input!$7:$7=$F$3)*(Data_Input!$8:$8=$B147), 0)), 0) + 1, MATCH(1, (Data_Input!$7:$7=$F$3)*(Data_Input!$8:$8=$B147), 0)),"")</f>
        <v/>
      </c>
      <c r="H147" s="20" t="str" cm="1">
        <f t="array" ref="H147">IFERROR(INDEX(Data_Input!$A$1:$ZZ$502, MATCH("매입금액", INDEX(Data_Input!$A$1:$ZZ$502, 0, MATCH(1, (Data_Input!$7:$7=$F$3)*(Data_Input!$8:$8=$B147), 0)), 0) + 1, MATCH(1, (Data_Input!$7:$7=$F$3)*(Data_Input!$8:$8=$B147), 0)),"")</f>
        <v/>
      </c>
      <c r="I147" s="20" t="str" cm="1">
        <f t="array" ref="I147">IFERROR(INDEX(Data_Input!$A$1:$ZZ$502, MATCH("평가금액", INDEX(Data_Input!$A$1:$ZZ$502, 0, MATCH(1, (Data_Input!$7:$7=$F$3)*(Data_Input!$8:$8=$B147), 0)), 0) + 1, MATCH(1, (Data_Input!$7:$7=$F$3)*(Data_Input!$8:$8=$B147), 0)),"")</f>
        <v/>
      </c>
      <c r="J147" s="20" t="str" cm="1">
        <f t="array" ref="J147">IFERROR(INDEX(Data_Input!$A$1:$ZZ$502, MATCH("평가손익", INDEX(Data_Input!$A$1:$ZZ$502, 0, MATCH(1, (Data_Input!$7:$7=$F$3)*(Data_Input!$8:$8=$B147), 0)), 0) + 1, MATCH(1, (Data_Input!$7:$7=$F$3)*(Data_Input!$8:$8=$B147), 0)),"")</f>
        <v/>
      </c>
      <c r="K147" s="14" t="str" cm="1">
        <f t="array" ref="K147">IFERROR(INDEX(Data_Input!$A$1:$ZZ$502, MATCH("총수익률", INDEX(Data_Input!$A$1:$ZZ$502, 0, MATCH(1, (Data_Input!$7:$7=$F$3)*(Data_Input!$8:$8=$B147), 0)), 0) + 1, MATCH(1, (Data_Input!$7:$7=$F$3)*(Data_Input!$8:$8=$B147), 0)),"")</f>
        <v/>
      </c>
      <c r="L147" t="str" cm="1">
        <f t="array" ref="L147">IFERROR(_xlfn.LET(
    _xlpm.targetDate, B147,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48" spans="1:12" x14ac:dyDescent="0.3">
      <c r="A148" s="16" t="str">
        <f t="shared" si="4"/>
        <v/>
      </c>
      <c r="B148" s="19"/>
      <c r="C148" s="17" t="str">
        <f t="shared" si="5"/>
        <v/>
      </c>
      <c r="D148" s="29" t="str" cm="1">
        <f t="array" ref="D148">IFERROR(INDEX(Data_Input!$10:$10,MATCH(1,(Data_Input!$7:$7=$F$3)*(Data_Input!$8:$8=$B148),0)),"")</f>
        <v/>
      </c>
      <c r="E148" s="29" t="str" cm="1">
        <f t="array" ref="E148">IFERROR(INDEX(Data_Input!$1:$100, 9, MATCH(1, (Data_Input!$7:$7=$F$3) * (Data_Input!$8:$8=$B148), 0)),"")</f>
        <v/>
      </c>
      <c r="F148" s="20" t="str" cm="1">
        <f t="array" ref="F148">IFERROR(INDEX(Data_Input!$A$1:$ZZ$502, MATCH("예수금", INDEX(Data_Input!$A$1:$ZZ$502, 0, MATCH(1, (Data_Input!$7:$7=$F$3)*(Data_Input!$8:$8=$B148), 0)), 0) + 1, MATCH(1, (Data_Input!$7:$7=$F$3)*(Data_Input!$8:$8=$B148), 0)),"")</f>
        <v/>
      </c>
      <c r="G148" s="20" t="str" cm="1">
        <f t="array" ref="G148">IFERROR(INDEX(Data_Input!$A$1:$ZZ$502, MATCH("총자산", INDEX(Data_Input!$A$1:$ZZ$502, 0, MATCH(1, (Data_Input!$7:$7=$F$3)*(Data_Input!$8:$8=$B148), 0)), 0) + 1, MATCH(1, (Data_Input!$7:$7=$F$3)*(Data_Input!$8:$8=$B148), 0)),"")</f>
        <v/>
      </c>
      <c r="H148" s="20" t="str" cm="1">
        <f t="array" ref="H148">IFERROR(INDEX(Data_Input!$A$1:$ZZ$502, MATCH("매입금액", INDEX(Data_Input!$A$1:$ZZ$502, 0, MATCH(1, (Data_Input!$7:$7=$F$3)*(Data_Input!$8:$8=$B148), 0)), 0) + 1, MATCH(1, (Data_Input!$7:$7=$F$3)*(Data_Input!$8:$8=$B148), 0)),"")</f>
        <v/>
      </c>
      <c r="I148" s="20" t="str" cm="1">
        <f t="array" ref="I148">IFERROR(INDEX(Data_Input!$A$1:$ZZ$502, MATCH("평가금액", INDEX(Data_Input!$A$1:$ZZ$502, 0, MATCH(1, (Data_Input!$7:$7=$F$3)*(Data_Input!$8:$8=$B148), 0)), 0) + 1, MATCH(1, (Data_Input!$7:$7=$F$3)*(Data_Input!$8:$8=$B148), 0)),"")</f>
        <v/>
      </c>
      <c r="J148" s="20" t="str" cm="1">
        <f t="array" ref="J148">IFERROR(INDEX(Data_Input!$A$1:$ZZ$502, MATCH("평가손익", INDEX(Data_Input!$A$1:$ZZ$502, 0, MATCH(1, (Data_Input!$7:$7=$F$3)*(Data_Input!$8:$8=$B148), 0)), 0) + 1, MATCH(1, (Data_Input!$7:$7=$F$3)*(Data_Input!$8:$8=$B148), 0)),"")</f>
        <v/>
      </c>
      <c r="K148" s="14" t="str" cm="1">
        <f t="array" ref="K148">IFERROR(INDEX(Data_Input!$A$1:$ZZ$502, MATCH("총수익률", INDEX(Data_Input!$A$1:$ZZ$502, 0, MATCH(1, (Data_Input!$7:$7=$F$3)*(Data_Input!$8:$8=$B148), 0)), 0) + 1, MATCH(1, (Data_Input!$7:$7=$F$3)*(Data_Input!$8:$8=$B148), 0)),"")</f>
        <v/>
      </c>
      <c r="L148" t="str" cm="1">
        <f t="array" ref="L148">IFERROR(_xlfn.LET(
    _xlpm.targetDate, B148,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49" spans="1:12" x14ac:dyDescent="0.3">
      <c r="A149" s="16" t="str">
        <f t="shared" si="4"/>
        <v/>
      </c>
      <c r="B149" s="19"/>
      <c r="C149" s="17" t="str">
        <f t="shared" si="5"/>
        <v/>
      </c>
      <c r="D149" s="29" t="str" cm="1">
        <f t="array" ref="D149">IFERROR(INDEX(Data_Input!$10:$10,MATCH(1,(Data_Input!$7:$7=$F$3)*(Data_Input!$8:$8=$B149),0)),"")</f>
        <v/>
      </c>
      <c r="E149" s="29" t="str" cm="1">
        <f t="array" ref="E149">IFERROR(INDEX(Data_Input!$1:$100, 9, MATCH(1, (Data_Input!$7:$7=$F$3) * (Data_Input!$8:$8=$B149), 0)),"")</f>
        <v/>
      </c>
      <c r="F149" s="20" t="str" cm="1">
        <f t="array" ref="F149">IFERROR(INDEX(Data_Input!$A$1:$ZZ$502, MATCH("예수금", INDEX(Data_Input!$A$1:$ZZ$502, 0, MATCH(1, (Data_Input!$7:$7=$F$3)*(Data_Input!$8:$8=$B149), 0)), 0) + 1, MATCH(1, (Data_Input!$7:$7=$F$3)*(Data_Input!$8:$8=$B149), 0)),"")</f>
        <v/>
      </c>
      <c r="G149" s="20" t="str" cm="1">
        <f t="array" ref="G149">IFERROR(INDEX(Data_Input!$A$1:$ZZ$502, MATCH("총자산", INDEX(Data_Input!$A$1:$ZZ$502, 0, MATCH(1, (Data_Input!$7:$7=$F$3)*(Data_Input!$8:$8=$B149), 0)), 0) + 1, MATCH(1, (Data_Input!$7:$7=$F$3)*(Data_Input!$8:$8=$B149), 0)),"")</f>
        <v/>
      </c>
      <c r="H149" s="20" t="str" cm="1">
        <f t="array" ref="H149">IFERROR(INDEX(Data_Input!$A$1:$ZZ$502, MATCH("매입금액", INDEX(Data_Input!$A$1:$ZZ$502, 0, MATCH(1, (Data_Input!$7:$7=$F$3)*(Data_Input!$8:$8=$B149), 0)), 0) + 1, MATCH(1, (Data_Input!$7:$7=$F$3)*(Data_Input!$8:$8=$B149), 0)),"")</f>
        <v/>
      </c>
      <c r="I149" s="20" t="str" cm="1">
        <f t="array" ref="I149">IFERROR(INDEX(Data_Input!$A$1:$ZZ$502, MATCH("평가금액", INDEX(Data_Input!$A$1:$ZZ$502, 0, MATCH(1, (Data_Input!$7:$7=$F$3)*(Data_Input!$8:$8=$B149), 0)), 0) + 1, MATCH(1, (Data_Input!$7:$7=$F$3)*(Data_Input!$8:$8=$B149), 0)),"")</f>
        <v/>
      </c>
      <c r="J149" s="20" t="str" cm="1">
        <f t="array" ref="J149">IFERROR(INDEX(Data_Input!$A$1:$ZZ$502, MATCH("평가손익", INDEX(Data_Input!$A$1:$ZZ$502, 0, MATCH(1, (Data_Input!$7:$7=$F$3)*(Data_Input!$8:$8=$B149), 0)), 0) + 1, MATCH(1, (Data_Input!$7:$7=$F$3)*(Data_Input!$8:$8=$B149), 0)),"")</f>
        <v/>
      </c>
      <c r="K149" s="14" t="str" cm="1">
        <f t="array" ref="K149">IFERROR(INDEX(Data_Input!$A$1:$ZZ$502, MATCH("총수익률", INDEX(Data_Input!$A$1:$ZZ$502, 0, MATCH(1, (Data_Input!$7:$7=$F$3)*(Data_Input!$8:$8=$B149), 0)), 0) + 1, MATCH(1, (Data_Input!$7:$7=$F$3)*(Data_Input!$8:$8=$B149), 0)),"")</f>
        <v/>
      </c>
      <c r="L149" t="str" cm="1">
        <f t="array" ref="L149">IFERROR(_xlfn.LET(
    _xlpm.targetDate, B149,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50" spans="1:12" x14ac:dyDescent="0.3">
      <c r="A150" s="16" t="str">
        <f t="shared" si="4"/>
        <v/>
      </c>
      <c r="B150" s="19"/>
      <c r="C150" s="17" t="str">
        <f t="shared" si="5"/>
        <v/>
      </c>
      <c r="D150" s="29" t="str" cm="1">
        <f t="array" ref="D150">IFERROR(INDEX(Data_Input!$10:$10,MATCH(1,(Data_Input!$7:$7=$F$3)*(Data_Input!$8:$8=$B150),0)),"")</f>
        <v/>
      </c>
      <c r="E150" s="29" t="str" cm="1">
        <f t="array" ref="E150">IFERROR(INDEX(Data_Input!$1:$100, 9, MATCH(1, (Data_Input!$7:$7=$F$3) * (Data_Input!$8:$8=$B150), 0)),"")</f>
        <v/>
      </c>
      <c r="F150" s="20" t="str" cm="1">
        <f t="array" ref="F150">IFERROR(INDEX(Data_Input!$A$1:$ZZ$502, MATCH("예수금", INDEX(Data_Input!$A$1:$ZZ$502, 0, MATCH(1, (Data_Input!$7:$7=$F$3)*(Data_Input!$8:$8=$B150), 0)), 0) + 1, MATCH(1, (Data_Input!$7:$7=$F$3)*(Data_Input!$8:$8=$B150), 0)),"")</f>
        <v/>
      </c>
      <c r="G150" s="20" t="str" cm="1">
        <f t="array" ref="G150">IFERROR(INDEX(Data_Input!$A$1:$ZZ$502, MATCH("총자산", INDEX(Data_Input!$A$1:$ZZ$502, 0, MATCH(1, (Data_Input!$7:$7=$F$3)*(Data_Input!$8:$8=$B150), 0)), 0) + 1, MATCH(1, (Data_Input!$7:$7=$F$3)*(Data_Input!$8:$8=$B150), 0)),"")</f>
        <v/>
      </c>
      <c r="H150" s="20" t="str" cm="1">
        <f t="array" ref="H150">IFERROR(INDEX(Data_Input!$A$1:$ZZ$502, MATCH("매입금액", INDEX(Data_Input!$A$1:$ZZ$502, 0, MATCH(1, (Data_Input!$7:$7=$F$3)*(Data_Input!$8:$8=$B150), 0)), 0) + 1, MATCH(1, (Data_Input!$7:$7=$F$3)*(Data_Input!$8:$8=$B150), 0)),"")</f>
        <v/>
      </c>
      <c r="I150" s="20" t="str" cm="1">
        <f t="array" ref="I150">IFERROR(INDEX(Data_Input!$A$1:$ZZ$502, MATCH("평가금액", INDEX(Data_Input!$A$1:$ZZ$502, 0, MATCH(1, (Data_Input!$7:$7=$F$3)*(Data_Input!$8:$8=$B150), 0)), 0) + 1, MATCH(1, (Data_Input!$7:$7=$F$3)*(Data_Input!$8:$8=$B150), 0)),"")</f>
        <v/>
      </c>
      <c r="J150" s="20" t="str" cm="1">
        <f t="array" ref="J150">IFERROR(INDEX(Data_Input!$A$1:$ZZ$502, MATCH("평가손익", INDEX(Data_Input!$A$1:$ZZ$502, 0, MATCH(1, (Data_Input!$7:$7=$F$3)*(Data_Input!$8:$8=$B150), 0)), 0) + 1, MATCH(1, (Data_Input!$7:$7=$F$3)*(Data_Input!$8:$8=$B150), 0)),"")</f>
        <v/>
      </c>
      <c r="K150" s="14" t="str" cm="1">
        <f t="array" ref="K150">IFERROR(INDEX(Data_Input!$A$1:$ZZ$502, MATCH("총수익률", INDEX(Data_Input!$A$1:$ZZ$502, 0, MATCH(1, (Data_Input!$7:$7=$F$3)*(Data_Input!$8:$8=$B150), 0)), 0) + 1, MATCH(1, (Data_Input!$7:$7=$F$3)*(Data_Input!$8:$8=$B150), 0)),"")</f>
        <v/>
      </c>
      <c r="L150" t="str" cm="1">
        <f t="array" ref="L150">IFERROR(_xlfn.LET(
    _xlpm.targetDate, B150,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51" spans="1:12" x14ac:dyDescent="0.3">
      <c r="A151" s="16" t="str">
        <f t="shared" si="4"/>
        <v/>
      </c>
      <c r="B151" s="19"/>
      <c r="C151" s="17" t="str">
        <f t="shared" si="5"/>
        <v/>
      </c>
      <c r="D151" s="29" t="str" cm="1">
        <f t="array" ref="D151">IFERROR(INDEX(Data_Input!$10:$10,MATCH(1,(Data_Input!$7:$7=$F$3)*(Data_Input!$8:$8=$B151),0)),"")</f>
        <v/>
      </c>
      <c r="E151" s="29" t="str" cm="1">
        <f t="array" ref="E151">IFERROR(INDEX(Data_Input!$1:$100, 9, MATCH(1, (Data_Input!$7:$7=$F$3) * (Data_Input!$8:$8=$B151), 0)),"")</f>
        <v/>
      </c>
      <c r="F151" s="20" t="str" cm="1">
        <f t="array" ref="F151">IFERROR(INDEX(Data_Input!$A$1:$ZZ$502, MATCH("예수금", INDEX(Data_Input!$A$1:$ZZ$502, 0, MATCH(1, (Data_Input!$7:$7=$F$3)*(Data_Input!$8:$8=$B151), 0)), 0) + 1, MATCH(1, (Data_Input!$7:$7=$F$3)*(Data_Input!$8:$8=$B151), 0)),"")</f>
        <v/>
      </c>
      <c r="G151" s="20" t="str" cm="1">
        <f t="array" ref="G151">IFERROR(INDEX(Data_Input!$A$1:$ZZ$502, MATCH("총자산", INDEX(Data_Input!$A$1:$ZZ$502, 0, MATCH(1, (Data_Input!$7:$7=$F$3)*(Data_Input!$8:$8=$B151), 0)), 0) + 1, MATCH(1, (Data_Input!$7:$7=$F$3)*(Data_Input!$8:$8=$B151), 0)),"")</f>
        <v/>
      </c>
      <c r="H151" s="20" t="str" cm="1">
        <f t="array" ref="H151">IFERROR(INDEX(Data_Input!$A$1:$ZZ$502, MATCH("매입금액", INDEX(Data_Input!$A$1:$ZZ$502, 0, MATCH(1, (Data_Input!$7:$7=$F$3)*(Data_Input!$8:$8=$B151), 0)), 0) + 1, MATCH(1, (Data_Input!$7:$7=$F$3)*(Data_Input!$8:$8=$B151), 0)),"")</f>
        <v/>
      </c>
      <c r="I151" s="20" t="str" cm="1">
        <f t="array" ref="I151">IFERROR(INDEX(Data_Input!$A$1:$ZZ$502, MATCH("평가금액", INDEX(Data_Input!$A$1:$ZZ$502, 0, MATCH(1, (Data_Input!$7:$7=$F$3)*(Data_Input!$8:$8=$B151), 0)), 0) + 1, MATCH(1, (Data_Input!$7:$7=$F$3)*(Data_Input!$8:$8=$B151), 0)),"")</f>
        <v/>
      </c>
      <c r="J151" s="20" t="str" cm="1">
        <f t="array" ref="J151">IFERROR(INDEX(Data_Input!$A$1:$ZZ$502, MATCH("평가손익", INDEX(Data_Input!$A$1:$ZZ$502, 0, MATCH(1, (Data_Input!$7:$7=$F$3)*(Data_Input!$8:$8=$B151), 0)), 0) + 1, MATCH(1, (Data_Input!$7:$7=$F$3)*(Data_Input!$8:$8=$B151), 0)),"")</f>
        <v/>
      </c>
      <c r="K151" s="14" t="str" cm="1">
        <f t="array" ref="K151">IFERROR(INDEX(Data_Input!$A$1:$ZZ$502, MATCH("총수익률", INDEX(Data_Input!$A$1:$ZZ$502, 0, MATCH(1, (Data_Input!$7:$7=$F$3)*(Data_Input!$8:$8=$B151), 0)), 0) + 1, MATCH(1, (Data_Input!$7:$7=$F$3)*(Data_Input!$8:$8=$B151), 0)),"")</f>
        <v/>
      </c>
      <c r="L151" t="str" cm="1">
        <f t="array" ref="L151">IFERROR(_xlfn.LET(
    _xlpm.targetDate, B151,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52" spans="1:12" x14ac:dyDescent="0.3">
      <c r="A152" s="16" t="str">
        <f t="shared" si="4"/>
        <v/>
      </c>
      <c r="B152" s="19"/>
      <c r="C152" s="17" t="str">
        <f t="shared" si="5"/>
        <v/>
      </c>
      <c r="D152" s="29" t="str" cm="1">
        <f t="array" ref="D152">IFERROR(INDEX(Data_Input!$10:$10,MATCH(1,(Data_Input!$7:$7=$F$3)*(Data_Input!$8:$8=$B152),0)),"")</f>
        <v/>
      </c>
      <c r="E152" s="29" t="str" cm="1">
        <f t="array" ref="E152">IFERROR(INDEX(Data_Input!$1:$100, 9, MATCH(1, (Data_Input!$7:$7=$F$3) * (Data_Input!$8:$8=$B152), 0)),"")</f>
        <v/>
      </c>
      <c r="F152" s="20" t="str" cm="1">
        <f t="array" ref="F152">IFERROR(INDEX(Data_Input!$A$1:$ZZ$502, MATCH("예수금", INDEX(Data_Input!$A$1:$ZZ$502, 0, MATCH(1, (Data_Input!$7:$7=$F$3)*(Data_Input!$8:$8=$B152), 0)), 0) + 1, MATCH(1, (Data_Input!$7:$7=$F$3)*(Data_Input!$8:$8=$B152), 0)),"")</f>
        <v/>
      </c>
      <c r="G152" s="20" t="str" cm="1">
        <f t="array" ref="G152">IFERROR(INDEX(Data_Input!$A$1:$ZZ$502, MATCH("총자산", INDEX(Data_Input!$A$1:$ZZ$502, 0, MATCH(1, (Data_Input!$7:$7=$F$3)*(Data_Input!$8:$8=$B152), 0)), 0) + 1, MATCH(1, (Data_Input!$7:$7=$F$3)*(Data_Input!$8:$8=$B152), 0)),"")</f>
        <v/>
      </c>
      <c r="H152" s="20" t="str" cm="1">
        <f t="array" ref="H152">IFERROR(INDEX(Data_Input!$A$1:$ZZ$502, MATCH("매입금액", INDEX(Data_Input!$A$1:$ZZ$502, 0, MATCH(1, (Data_Input!$7:$7=$F$3)*(Data_Input!$8:$8=$B152), 0)), 0) + 1, MATCH(1, (Data_Input!$7:$7=$F$3)*(Data_Input!$8:$8=$B152), 0)),"")</f>
        <v/>
      </c>
      <c r="I152" s="20" t="str" cm="1">
        <f t="array" ref="I152">IFERROR(INDEX(Data_Input!$A$1:$ZZ$502, MATCH("평가금액", INDEX(Data_Input!$A$1:$ZZ$502, 0, MATCH(1, (Data_Input!$7:$7=$F$3)*(Data_Input!$8:$8=$B152), 0)), 0) + 1, MATCH(1, (Data_Input!$7:$7=$F$3)*(Data_Input!$8:$8=$B152), 0)),"")</f>
        <v/>
      </c>
      <c r="J152" s="20" t="str" cm="1">
        <f t="array" ref="J152">IFERROR(INDEX(Data_Input!$A$1:$ZZ$502, MATCH("평가손익", INDEX(Data_Input!$A$1:$ZZ$502, 0, MATCH(1, (Data_Input!$7:$7=$F$3)*(Data_Input!$8:$8=$B152), 0)), 0) + 1, MATCH(1, (Data_Input!$7:$7=$F$3)*(Data_Input!$8:$8=$B152), 0)),"")</f>
        <v/>
      </c>
      <c r="K152" s="14" t="str" cm="1">
        <f t="array" ref="K152">IFERROR(INDEX(Data_Input!$A$1:$ZZ$502, MATCH("총수익률", INDEX(Data_Input!$A$1:$ZZ$502, 0, MATCH(1, (Data_Input!$7:$7=$F$3)*(Data_Input!$8:$8=$B152), 0)), 0) + 1, MATCH(1, (Data_Input!$7:$7=$F$3)*(Data_Input!$8:$8=$B152), 0)),"")</f>
        <v/>
      </c>
      <c r="L152" t="str" cm="1">
        <f t="array" ref="L152">IFERROR(_xlfn.LET(
    _xlpm.targetDate, B152,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53" spans="1:12" x14ac:dyDescent="0.3">
      <c r="A153" s="16" t="str">
        <f t="shared" si="4"/>
        <v/>
      </c>
      <c r="B153" s="19"/>
      <c r="C153" s="17" t="str">
        <f t="shared" si="5"/>
        <v/>
      </c>
      <c r="D153" s="29" t="str" cm="1">
        <f t="array" ref="D153">IFERROR(INDEX(Data_Input!$10:$10,MATCH(1,(Data_Input!$7:$7=$F$3)*(Data_Input!$8:$8=$B153),0)),"")</f>
        <v/>
      </c>
      <c r="E153" s="29" t="str" cm="1">
        <f t="array" ref="E153">IFERROR(INDEX(Data_Input!$1:$100, 9, MATCH(1, (Data_Input!$7:$7=$F$3) * (Data_Input!$8:$8=$B153), 0)),"")</f>
        <v/>
      </c>
      <c r="F153" s="20" t="str" cm="1">
        <f t="array" ref="F153">IFERROR(INDEX(Data_Input!$A$1:$ZZ$502, MATCH("예수금", INDEX(Data_Input!$A$1:$ZZ$502, 0, MATCH(1, (Data_Input!$7:$7=$F$3)*(Data_Input!$8:$8=$B153), 0)), 0) + 1, MATCH(1, (Data_Input!$7:$7=$F$3)*(Data_Input!$8:$8=$B153), 0)),"")</f>
        <v/>
      </c>
      <c r="G153" s="20" t="str" cm="1">
        <f t="array" ref="G153">IFERROR(INDEX(Data_Input!$A$1:$ZZ$502, MATCH("총자산", INDEX(Data_Input!$A$1:$ZZ$502, 0, MATCH(1, (Data_Input!$7:$7=$F$3)*(Data_Input!$8:$8=$B153), 0)), 0) + 1, MATCH(1, (Data_Input!$7:$7=$F$3)*(Data_Input!$8:$8=$B153), 0)),"")</f>
        <v/>
      </c>
      <c r="H153" s="20" t="str" cm="1">
        <f t="array" ref="H153">IFERROR(INDEX(Data_Input!$A$1:$ZZ$502, MATCH("매입금액", INDEX(Data_Input!$A$1:$ZZ$502, 0, MATCH(1, (Data_Input!$7:$7=$F$3)*(Data_Input!$8:$8=$B153), 0)), 0) + 1, MATCH(1, (Data_Input!$7:$7=$F$3)*(Data_Input!$8:$8=$B153), 0)),"")</f>
        <v/>
      </c>
      <c r="I153" s="20" t="str" cm="1">
        <f t="array" ref="I153">IFERROR(INDEX(Data_Input!$A$1:$ZZ$502, MATCH("평가금액", INDEX(Data_Input!$A$1:$ZZ$502, 0, MATCH(1, (Data_Input!$7:$7=$F$3)*(Data_Input!$8:$8=$B153), 0)), 0) + 1, MATCH(1, (Data_Input!$7:$7=$F$3)*(Data_Input!$8:$8=$B153), 0)),"")</f>
        <v/>
      </c>
      <c r="J153" s="20" t="str" cm="1">
        <f t="array" ref="J153">IFERROR(INDEX(Data_Input!$A$1:$ZZ$502, MATCH("평가손익", INDEX(Data_Input!$A$1:$ZZ$502, 0, MATCH(1, (Data_Input!$7:$7=$F$3)*(Data_Input!$8:$8=$B153), 0)), 0) + 1, MATCH(1, (Data_Input!$7:$7=$F$3)*(Data_Input!$8:$8=$B153), 0)),"")</f>
        <v/>
      </c>
      <c r="K153" s="14" t="str" cm="1">
        <f t="array" ref="K153">IFERROR(INDEX(Data_Input!$A$1:$ZZ$502, MATCH("총수익률", INDEX(Data_Input!$A$1:$ZZ$502, 0, MATCH(1, (Data_Input!$7:$7=$F$3)*(Data_Input!$8:$8=$B153), 0)), 0) + 1, MATCH(1, (Data_Input!$7:$7=$F$3)*(Data_Input!$8:$8=$B153), 0)),"")</f>
        <v/>
      </c>
      <c r="L153" t="str" cm="1">
        <f t="array" ref="L153">IFERROR(_xlfn.LET(
    _xlpm.targetDate, B153,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54" spans="1:12" x14ac:dyDescent="0.3">
      <c r="A154" s="16" t="str">
        <f t="shared" si="4"/>
        <v/>
      </c>
      <c r="B154" s="19"/>
      <c r="C154" s="17" t="str">
        <f t="shared" si="5"/>
        <v/>
      </c>
      <c r="D154" s="29" t="str" cm="1">
        <f t="array" ref="D154">IFERROR(INDEX(Data_Input!$10:$10,MATCH(1,(Data_Input!$7:$7=$F$3)*(Data_Input!$8:$8=$B154),0)),"")</f>
        <v/>
      </c>
      <c r="E154" s="29" t="str" cm="1">
        <f t="array" ref="E154">IFERROR(INDEX(Data_Input!$1:$100, 9, MATCH(1, (Data_Input!$7:$7=$F$3) * (Data_Input!$8:$8=$B154), 0)),"")</f>
        <v/>
      </c>
      <c r="F154" s="20" t="str" cm="1">
        <f t="array" ref="F154">IFERROR(INDEX(Data_Input!$A$1:$ZZ$502, MATCH("예수금", INDEX(Data_Input!$A$1:$ZZ$502, 0, MATCH(1, (Data_Input!$7:$7=$F$3)*(Data_Input!$8:$8=$B154), 0)), 0) + 1, MATCH(1, (Data_Input!$7:$7=$F$3)*(Data_Input!$8:$8=$B154), 0)),"")</f>
        <v/>
      </c>
      <c r="G154" s="20" t="str" cm="1">
        <f t="array" ref="G154">IFERROR(INDEX(Data_Input!$A$1:$ZZ$502, MATCH("총자산", INDEX(Data_Input!$A$1:$ZZ$502, 0, MATCH(1, (Data_Input!$7:$7=$F$3)*(Data_Input!$8:$8=$B154), 0)), 0) + 1, MATCH(1, (Data_Input!$7:$7=$F$3)*(Data_Input!$8:$8=$B154), 0)),"")</f>
        <v/>
      </c>
      <c r="H154" s="20" t="str" cm="1">
        <f t="array" ref="H154">IFERROR(INDEX(Data_Input!$A$1:$ZZ$502, MATCH("매입금액", INDEX(Data_Input!$A$1:$ZZ$502, 0, MATCH(1, (Data_Input!$7:$7=$F$3)*(Data_Input!$8:$8=$B154), 0)), 0) + 1, MATCH(1, (Data_Input!$7:$7=$F$3)*(Data_Input!$8:$8=$B154), 0)),"")</f>
        <v/>
      </c>
      <c r="I154" s="20" t="str" cm="1">
        <f t="array" ref="I154">IFERROR(INDEX(Data_Input!$A$1:$ZZ$502, MATCH("평가금액", INDEX(Data_Input!$A$1:$ZZ$502, 0, MATCH(1, (Data_Input!$7:$7=$F$3)*(Data_Input!$8:$8=$B154), 0)), 0) + 1, MATCH(1, (Data_Input!$7:$7=$F$3)*(Data_Input!$8:$8=$B154), 0)),"")</f>
        <v/>
      </c>
      <c r="J154" s="20" t="str" cm="1">
        <f t="array" ref="J154">IFERROR(INDEX(Data_Input!$A$1:$ZZ$502, MATCH("평가손익", INDEX(Data_Input!$A$1:$ZZ$502, 0, MATCH(1, (Data_Input!$7:$7=$F$3)*(Data_Input!$8:$8=$B154), 0)), 0) + 1, MATCH(1, (Data_Input!$7:$7=$F$3)*(Data_Input!$8:$8=$B154), 0)),"")</f>
        <v/>
      </c>
      <c r="K154" s="14" t="str" cm="1">
        <f t="array" ref="K154">IFERROR(INDEX(Data_Input!$A$1:$ZZ$502, MATCH("총수익률", INDEX(Data_Input!$A$1:$ZZ$502, 0, MATCH(1, (Data_Input!$7:$7=$F$3)*(Data_Input!$8:$8=$B154), 0)), 0) + 1, MATCH(1, (Data_Input!$7:$7=$F$3)*(Data_Input!$8:$8=$B154), 0)),"")</f>
        <v/>
      </c>
      <c r="L154" t="str" cm="1">
        <f t="array" ref="L154">IFERROR(_xlfn.LET(
    _xlpm.targetDate, B154,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55" spans="1:12" x14ac:dyDescent="0.3">
      <c r="A155" s="16" t="str">
        <f t="shared" si="4"/>
        <v/>
      </c>
      <c r="B155" s="19"/>
      <c r="C155" s="17" t="str">
        <f t="shared" si="5"/>
        <v/>
      </c>
      <c r="D155" s="29" t="str" cm="1">
        <f t="array" ref="D155">IFERROR(INDEX(Data_Input!$10:$10,MATCH(1,(Data_Input!$7:$7=$F$3)*(Data_Input!$8:$8=$B155),0)),"")</f>
        <v/>
      </c>
      <c r="E155" s="29" t="str" cm="1">
        <f t="array" ref="E155">IFERROR(INDEX(Data_Input!$1:$100, 9, MATCH(1, (Data_Input!$7:$7=$F$3) * (Data_Input!$8:$8=$B155), 0)),"")</f>
        <v/>
      </c>
      <c r="F155" s="20" t="str" cm="1">
        <f t="array" ref="F155">IFERROR(INDEX(Data_Input!$A$1:$ZZ$502, MATCH("예수금", INDEX(Data_Input!$A$1:$ZZ$502, 0, MATCH(1, (Data_Input!$7:$7=$F$3)*(Data_Input!$8:$8=$B155), 0)), 0) + 1, MATCH(1, (Data_Input!$7:$7=$F$3)*(Data_Input!$8:$8=$B155), 0)),"")</f>
        <v/>
      </c>
      <c r="G155" s="20" t="str" cm="1">
        <f t="array" ref="G155">IFERROR(INDEX(Data_Input!$A$1:$ZZ$502, MATCH("총자산", INDEX(Data_Input!$A$1:$ZZ$502, 0, MATCH(1, (Data_Input!$7:$7=$F$3)*(Data_Input!$8:$8=$B155), 0)), 0) + 1, MATCH(1, (Data_Input!$7:$7=$F$3)*(Data_Input!$8:$8=$B155), 0)),"")</f>
        <v/>
      </c>
      <c r="H155" s="20" t="str" cm="1">
        <f t="array" ref="H155">IFERROR(INDEX(Data_Input!$A$1:$ZZ$502, MATCH("매입금액", INDEX(Data_Input!$A$1:$ZZ$502, 0, MATCH(1, (Data_Input!$7:$7=$F$3)*(Data_Input!$8:$8=$B155), 0)), 0) + 1, MATCH(1, (Data_Input!$7:$7=$F$3)*(Data_Input!$8:$8=$B155), 0)),"")</f>
        <v/>
      </c>
      <c r="I155" s="20" t="str" cm="1">
        <f t="array" ref="I155">IFERROR(INDEX(Data_Input!$A$1:$ZZ$502, MATCH("평가금액", INDEX(Data_Input!$A$1:$ZZ$502, 0, MATCH(1, (Data_Input!$7:$7=$F$3)*(Data_Input!$8:$8=$B155), 0)), 0) + 1, MATCH(1, (Data_Input!$7:$7=$F$3)*(Data_Input!$8:$8=$B155), 0)),"")</f>
        <v/>
      </c>
      <c r="J155" s="20" t="str" cm="1">
        <f t="array" ref="J155">IFERROR(INDEX(Data_Input!$A$1:$ZZ$502, MATCH("평가손익", INDEX(Data_Input!$A$1:$ZZ$502, 0, MATCH(1, (Data_Input!$7:$7=$F$3)*(Data_Input!$8:$8=$B155), 0)), 0) + 1, MATCH(1, (Data_Input!$7:$7=$F$3)*(Data_Input!$8:$8=$B155), 0)),"")</f>
        <v/>
      </c>
      <c r="K155" s="14" t="str" cm="1">
        <f t="array" ref="K155">IFERROR(INDEX(Data_Input!$A$1:$ZZ$502, MATCH("총수익률", INDEX(Data_Input!$A$1:$ZZ$502, 0, MATCH(1, (Data_Input!$7:$7=$F$3)*(Data_Input!$8:$8=$B155), 0)), 0) + 1, MATCH(1, (Data_Input!$7:$7=$F$3)*(Data_Input!$8:$8=$B155), 0)),"")</f>
        <v/>
      </c>
      <c r="L155" t="str" cm="1">
        <f t="array" ref="L155">IFERROR(_xlfn.LET(
    _xlpm.targetDate, B155,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56" spans="1:12" x14ac:dyDescent="0.3">
      <c r="A156" s="16" t="str">
        <f t="shared" si="4"/>
        <v/>
      </c>
      <c r="B156" s="19"/>
      <c r="C156" s="17" t="str">
        <f t="shared" si="5"/>
        <v/>
      </c>
      <c r="D156" s="29" t="str" cm="1">
        <f t="array" ref="D156">IFERROR(INDEX(Data_Input!$10:$10,MATCH(1,(Data_Input!$7:$7=$F$3)*(Data_Input!$8:$8=$B156),0)),"")</f>
        <v/>
      </c>
      <c r="E156" s="29" t="str" cm="1">
        <f t="array" ref="E156">IFERROR(INDEX(Data_Input!$1:$100, 9, MATCH(1, (Data_Input!$7:$7=$F$3) * (Data_Input!$8:$8=$B156), 0)),"")</f>
        <v/>
      </c>
      <c r="F156" s="20" t="str" cm="1">
        <f t="array" ref="F156">IFERROR(INDEX(Data_Input!$A$1:$ZZ$502, MATCH("예수금", INDEX(Data_Input!$A$1:$ZZ$502, 0, MATCH(1, (Data_Input!$7:$7=$F$3)*(Data_Input!$8:$8=$B156), 0)), 0) + 1, MATCH(1, (Data_Input!$7:$7=$F$3)*(Data_Input!$8:$8=$B156), 0)),"")</f>
        <v/>
      </c>
      <c r="G156" s="20" t="str" cm="1">
        <f t="array" ref="G156">IFERROR(INDEX(Data_Input!$A$1:$ZZ$502, MATCH("총자산", INDEX(Data_Input!$A$1:$ZZ$502, 0, MATCH(1, (Data_Input!$7:$7=$F$3)*(Data_Input!$8:$8=$B156), 0)), 0) + 1, MATCH(1, (Data_Input!$7:$7=$F$3)*(Data_Input!$8:$8=$B156), 0)),"")</f>
        <v/>
      </c>
      <c r="H156" s="20" t="str" cm="1">
        <f t="array" ref="H156">IFERROR(INDEX(Data_Input!$A$1:$ZZ$502, MATCH("매입금액", INDEX(Data_Input!$A$1:$ZZ$502, 0, MATCH(1, (Data_Input!$7:$7=$F$3)*(Data_Input!$8:$8=$B156), 0)), 0) + 1, MATCH(1, (Data_Input!$7:$7=$F$3)*(Data_Input!$8:$8=$B156), 0)),"")</f>
        <v/>
      </c>
      <c r="I156" s="20" t="str" cm="1">
        <f t="array" ref="I156">IFERROR(INDEX(Data_Input!$A$1:$ZZ$502, MATCH("평가금액", INDEX(Data_Input!$A$1:$ZZ$502, 0, MATCH(1, (Data_Input!$7:$7=$F$3)*(Data_Input!$8:$8=$B156), 0)), 0) + 1, MATCH(1, (Data_Input!$7:$7=$F$3)*(Data_Input!$8:$8=$B156), 0)),"")</f>
        <v/>
      </c>
      <c r="J156" s="20" t="str" cm="1">
        <f t="array" ref="J156">IFERROR(INDEX(Data_Input!$A$1:$ZZ$502, MATCH("평가손익", INDEX(Data_Input!$A$1:$ZZ$502, 0, MATCH(1, (Data_Input!$7:$7=$F$3)*(Data_Input!$8:$8=$B156), 0)), 0) + 1, MATCH(1, (Data_Input!$7:$7=$F$3)*(Data_Input!$8:$8=$B156), 0)),"")</f>
        <v/>
      </c>
      <c r="K156" s="14" t="str" cm="1">
        <f t="array" ref="K156">IFERROR(INDEX(Data_Input!$A$1:$ZZ$502, MATCH("총수익률", INDEX(Data_Input!$A$1:$ZZ$502, 0, MATCH(1, (Data_Input!$7:$7=$F$3)*(Data_Input!$8:$8=$B156), 0)), 0) + 1, MATCH(1, (Data_Input!$7:$7=$F$3)*(Data_Input!$8:$8=$B156), 0)),"")</f>
        <v/>
      </c>
      <c r="L156" t="str" cm="1">
        <f t="array" ref="L156">IFERROR(_xlfn.LET(
    _xlpm.targetDate, B156,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57" spans="1:12" x14ac:dyDescent="0.3">
      <c r="A157" s="16" t="str">
        <f t="shared" si="4"/>
        <v/>
      </c>
      <c r="B157" s="19"/>
      <c r="C157" s="17" t="str">
        <f t="shared" si="5"/>
        <v/>
      </c>
      <c r="D157" s="29" t="str" cm="1">
        <f t="array" ref="D157">IFERROR(INDEX(Data_Input!$10:$10,MATCH(1,(Data_Input!$7:$7=$F$3)*(Data_Input!$8:$8=$B157),0)),"")</f>
        <v/>
      </c>
      <c r="E157" s="29" t="str" cm="1">
        <f t="array" ref="E157">IFERROR(INDEX(Data_Input!$1:$100, 9, MATCH(1, (Data_Input!$7:$7=$F$3) * (Data_Input!$8:$8=$B157), 0)),"")</f>
        <v/>
      </c>
      <c r="F157" s="20" t="str" cm="1">
        <f t="array" ref="F157">IFERROR(INDEX(Data_Input!$A$1:$ZZ$502, MATCH("예수금", INDEX(Data_Input!$A$1:$ZZ$502, 0, MATCH(1, (Data_Input!$7:$7=$F$3)*(Data_Input!$8:$8=$B157), 0)), 0) + 1, MATCH(1, (Data_Input!$7:$7=$F$3)*(Data_Input!$8:$8=$B157), 0)),"")</f>
        <v/>
      </c>
      <c r="G157" s="20" t="str" cm="1">
        <f t="array" ref="G157">IFERROR(INDEX(Data_Input!$A$1:$ZZ$502, MATCH("총자산", INDEX(Data_Input!$A$1:$ZZ$502, 0, MATCH(1, (Data_Input!$7:$7=$F$3)*(Data_Input!$8:$8=$B157), 0)), 0) + 1, MATCH(1, (Data_Input!$7:$7=$F$3)*(Data_Input!$8:$8=$B157), 0)),"")</f>
        <v/>
      </c>
      <c r="H157" s="20" t="str" cm="1">
        <f t="array" ref="H157">IFERROR(INDEX(Data_Input!$A$1:$ZZ$502, MATCH("매입금액", INDEX(Data_Input!$A$1:$ZZ$502, 0, MATCH(1, (Data_Input!$7:$7=$F$3)*(Data_Input!$8:$8=$B157), 0)), 0) + 1, MATCH(1, (Data_Input!$7:$7=$F$3)*(Data_Input!$8:$8=$B157), 0)),"")</f>
        <v/>
      </c>
      <c r="I157" s="20" t="str" cm="1">
        <f t="array" ref="I157">IFERROR(INDEX(Data_Input!$A$1:$ZZ$502, MATCH("평가금액", INDEX(Data_Input!$A$1:$ZZ$502, 0, MATCH(1, (Data_Input!$7:$7=$F$3)*(Data_Input!$8:$8=$B157), 0)), 0) + 1, MATCH(1, (Data_Input!$7:$7=$F$3)*(Data_Input!$8:$8=$B157), 0)),"")</f>
        <v/>
      </c>
      <c r="J157" s="20" t="str" cm="1">
        <f t="array" ref="J157">IFERROR(INDEX(Data_Input!$A$1:$ZZ$502, MATCH("평가손익", INDEX(Data_Input!$A$1:$ZZ$502, 0, MATCH(1, (Data_Input!$7:$7=$F$3)*(Data_Input!$8:$8=$B157), 0)), 0) + 1, MATCH(1, (Data_Input!$7:$7=$F$3)*(Data_Input!$8:$8=$B157), 0)),"")</f>
        <v/>
      </c>
      <c r="K157" s="14" t="str" cm="1">
        <f t="array" ref="K157">IFERROR(INDEX(Data_Input!$A$1:$ZZ$502, MATCH("총수익률", INDEX(Data_Input!$A$1:$ZZ$502, 0, MATCH(1, (Data_Input!$7:$7=$F$3)*(Data_Input!$8:$8=$B157), 0)), 0) + 1, MATCH(1, (Data_Input!$7:$7=$F$3)*(Data_Input!$8:$8=$B157), 0)),"")</f>
        <v/>
      </c>
      <c r="L157" t="str" cm="1">
        <f t="array" ref="L157">IFERROR(_xlfn.LET(
    _xlpm.targetDate, B157,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58" spans="1:12" x14ac:dyDescent="0.3">
      <c r="A158" s="16" t="str">
        <f t="shared" si="4"/>
        <v/>
      </c>
      <c r="B158" s="19"/>
      <c r="C158" s="17" t="str">
        <f t="shared" si="5"/>
        <v/>
      </c>
      <c r="D158" s="29" t="str" cm="1">
        <f t="array" ref="D158">IFERROR(INDEX(Data_Input!$10:$10,MATCH(1,(Data_Input!$7:$7=$F$3)*(Data_Input!$8:$8=$B158),0)),"")</f>
        <v/>
      </c>
      <c r="E158" s="29" t="str" cm="1">
        <f t="array" ref="E158">IFERROR(INDEX(Data_Input!$1:$100, 9, MATCH(1, (Data_Input!$7:$7=$F$3) * (Data_Input!$8:$8=$B158), 0)),"")</f>
        <v/>
      </c>
      <c r="F158" s="20" t="str" cm="1">
        <f t="array" ref="F158">IFERROR(INDEX(Data_Input!$A$1:$ZZ$502, MATCH("예수금", INDEX(Data_Input!$A$1:$ZZ$502, 0, MATCH(1, (Data_Input!$7:$7=$F$3)*(Data_Input!$8:$8=$B158), 0)), 0) + 1, MATCH(1, (Data_Input!$7:$7=$F$3)*(Data_Input!$8:$8=$B158), 0)),"")</f>
        <v/>
      </c>
      <c r="G158" s="20" t="str" cm="1">
        <f t="array" ref="G158">IFERROR(INDEX(Data_Input!$A$1:$ZZ$502, MATCH("총자산", INDEX(Data_Input!$A$1:$ZZ$502, 0, MATCH(1, (Data_Input!$7:$7=$F$3)*(Data_Input!$8:$8=$B158), 0)), 0) + 1, MATCH(1, (Data_Input!$7:$7=$F$3)*(Data_Input!$8:$8=$B158), 0)),"")</f>
        <v/>
      </c>
      <c r="H158" s="20" t="str" cm="1">
        <f t="array" ref="H158">IFERROR(INDEX(Data_Input!$A$1:$ZZ$502, MATCH("매입금액", INDEX(Data_Input!$A$1:$ZZ$502, 0, MATCH(1, (Data_Input!$7:$7=$F$3)*(Data_Input!$8:$8=$B158), 0)), 0) + 1, MATCH(1, (Data_Input!$7:$7=$F$3)*(Data_Input!$8:$8=$B158), 0)),"")</f>
        <v/>
      </c>
      <c r="I158" s="20" t="str" cm="1">
        <f t="array" ref="I158">IFERROR(INDEX(Data_Input!$A$1:$ZZ$502, MATCH("평가금액", INDEX(Data_Input!$A$1:$ZZ$502, 0, MATCH(1, (Data_Input!$7:$7=$F$3)*(Data_Input!$8:$8=$B158), 0)), 0) + 1, MATCH(1, (Data_Input!$7:$7=$F$3)*(Data_Input!$8:$8=$B158), 0)),"")</f>
        <v/>
      </c>
      <c r="J158" s="20" t="str" cm="1">
        <f t="array" ref="J158">IFERROR(INDEX(Data_Input!$A$1:$ZZ$502, MATCH("평가손익", INDEX(Data_Input!$A$1:$ZZ$502, 0, MATCH(1, (Data_Input!$7:$7=$F$3)*(Data_Input!$8:$8=$B158), 0)), 0) + 1, MATCH(1, (Data_Input!$7:$7=$F$3)*(Data_Input!$8:$8=$B158), 0)),"")</f>
        <v/>
      </c>
      <c r="K158" s="14" t="str" cm="1">
        <f t="array" ref="K158">IFERROR(INDEX(Data_Input!$A$1:$ZZ$502, MATCH("총수익률", INDEX(Data_Input!$A$1:$ZZ$502, 0, MATCH(1, (Data_Input!$7:$7=$F$3)*(Data_Input!$8:$8=$B158), 0)), 0) + 1, MATCH(1, (Data_Input!$7:$7=$F$3)*(Data_Input!$8:$8=$B158), 0)),"")</f>
        <v/>
      </c>
      <c r="L158" t="str" cm="1">
        <f t="array" ref="L158">IFERROR(_xlfn.LET(
    _xlpm.targetDate, B158,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59" spans="1:12" x14ac:dyDescent="0.3">
      <c r="A159" s="16" t="str">
        <f t="shared" si="4"/>
        <v/>
      </c>
      <c r="B159" s="19"/>
      <c r="C159" s="17" t="str">
        <f t="shared" si="5"/>
        <v/>
      </c>
      <c r="D159" s="29" t="str" cm="1">
        <f t="array" ref="D159">IFERROR(INDEX(Data_Input!$10:$10,MATCH(1,(Data_Input!$7:$7=$F$3)*(Data_Input!$8:$8=$B159),0)),"")</f>
        <v/>
      </c>
      <c r="E159" s="29" t="str" cm="1">
        <f t="array" ref="E159">IFERROR(INDEX(Data_Input!$1:$100, 9, MATCH(1, (Data_Input!$7:$7=$F$3) * (Data_Input!$8:$8=$B159), 0)),"")</f>
        <v/>
      </c>
      <c r="F159" s="20" t="str" cm="1">
        <f t="array" ref="F159">IFERROR(INDEX(Data_Input!$A$1:$ZZ$502, MATCH("예수금", INDEX(Data_Input!$A$1:$ZZ$502, 0, MATCH(1, (Data_Input!$7:$7=$F$3)*(Data_Input!$8:$8=$B159), 0)), 0) + 1, MATCH(1, (Data_Input!$7:$7=$F$3)*(Data_Input!$8:$8=$B159), 0)),"")</f>
        <v/>
      </c>
      <c r="G159" s="20" t="str" cm="1">
        <f t="array" ref="G159">IFERROR(INDEX(Data_Input!$A$1:$ZZ$502, MATCH("총자산", INDEX(Data_Input!$A$1:$ZZ$502, 0, MATCH(1, (Data_Input!$7:$7=$F$3)*(Data_Input!$8:$8=$B159), 0)), 0) + 1, MATCH(1, (Data_Input!$7:$7=$F$3)*(Data_Input!$8:$8=$B159), 0)),"")</f>
        <v/>
      </c>
      <c r="H159" s="20" t="str" cm="1">
        <f t="array" ref="H159">IFERROR(INDEX(Data_Input!$A$1:$ZZ$502, MATCH("매입금액", INDEX(Data_Input!$A$1:$ZZ$502, 0, MATCH(1, (Data_Input!$7:$7=$F$3)*(Data_Input!$8:$8=$B159), 0)), 0) + 1, MATCH(1, (Data_Input!$7:$7=$F$3)*(Data_Input!$8:$8=$B159), 0)),"")</f>
        <v/>
      </c>
      <c r="I159" s="20" t="str" cm="1">
        <f t="array" ref="I159">IFERROR(INDEX(Data_Input!$A$1:$ZZ$502, MATCH("평가금액", INDEX(Data_Input!$A$1:$ZZ$502, 0, MATCH(1, (Data_Input!$7:$7=$F$3)*(Data_Input!$8:$8=$B159), 0)), 0) + 1, MATCH(1, (Data_Input!$7:$7=$F$3)*(Data_Input!$8:$8=$B159), 0)),"")</f>
        <v/>
      </c>
      <c r="J159" s="20" t="str" cm="1">
        <f t="array" ref="J159">IFERROR(INDEX(Data_Input!$A$1:$ZZ$502, MATCH("평가손익", INDEX(Data_Input!$A$1:$ZZ$502, 0, MATCH(1, (Data_Input!$7:$7=$F$3)*(Data_Input!$8:$8=$B159), 0)), 0) + 1, MATCH(1, (Data_Input!$7:$7=$F$3)*(Data_Input!$8:$8=$B159), 0)),"")</f>
        <v/>
      </c>
      <c r="K159" s="14" t="str" cm="1">
        <f t="array" ref="K159">IFERROR(INDEX(Data_Input!$A$1:$ZZ$502, MATCH("총수익률", INDEX(Data_Input!$A$1:$ZZ$502, 0, MATCH(1, (Data_Input!$7:$7=$F$3)*(Data_Input!$8:$8=$B159), 0)), 0) + 1, MATCH(1, (Data_Input!$7:$7=$F$3)*(Data_Input!$8:$8=$B159), 0)),"")</f>
        <v/>
      </c>
      <c r="L159" t="str" cm="1">
        <f t="array" ref="L159">IFERROR(_xlfn.LET(
    _xlpm.targetDate, B159,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60" spans="1:12" x14ac:dyDescent="0.3">
      <c r="A160" s="16" t="str">
        <f t="shared" si="4"/>
        <v/>
      </c>
      <c r="B160" s="19"/>
      <c r="C160" s="17" t="str">
        <f t="shared" si="5"/>
        <v/>
      </c>
      <c r="D160" s="29" t="str" cm="1">
        <f t="array" ref="D160">IFERROR(INDEX(Data_Input!$10:$10,MATCH(1,(Data_Input!$7:$7=$F$3)*(Data_Input!$8:$8=$B160),0)),"")</f>
        <v/>
      </c>
      <c r="E160" s="29" t="str" cm="1">
        <f t="array" ref="E160">IFERROR(INDEX(Data_Input!$1:$100, 9, MATCH(1, (Data_Input!$7:$7=$F$3) * (Data_Input!$8:$8=$B160), 0)),"")</f>
        <v/>
      </c>
      <c r="F160" s="20" t="str" cm="1">
        <f t="array" ref="F160">IFERROR(INDEX(Data_Input!$A$1:$ZZ$502, MATCH("예수금", INDEX(Data_Input!$A$1:$ZZ$502, 0, MATCH(1, (Data_Input!$7:$7=$F$3)*(Data_Input!$8:$8=$B160), 0)), 0) + 1, MATCH(1, (Data_Input!$7:$7=$F$3)*(Data_Input!$8:$8=$B160), 0)),"")</f>
        <v/>
      </c>
      <c r="G160" s="20" t="str" cm="1">
        <f t="array" ref="G160">IFERROR(INDEX(Data_Input!$A$1:$ZZ$502, MATCH("총자산", INDEX(Data_Input!$A$1:$ZZ$502, 0, MATCH(1, (Data_Input!$7:$7=$F$3)*(Data_Input!$8:$8=$B160), 0)), 0) + 1, MATCH(1, (Data_Input!$7:$7=$F$3)*(Data_Input!$8:$8=$B160), 0)),"")</f>
        <v/>
      </c>
      <c r="H160" s="20" t="str" cm="1">
        <f t="array" ref="H160">IFERROR(INDEX(Data_Input!$A$1:$ZZ$502, MATCH("매입금액", INDEX(Data_Input!$A$1:$ZZ$502, 0, MATCH(1, (Data_Input!$7:$7=$F$3)*(Data_Input!$8:$8=$B160), 0)), 0) + 1, MATCH(1, (Data_Input!$7:$7=$F$3)*(Data_Input!$8:$8=$B160), 0)),"")</f>
        <v/>
      </c>
      <c r="I160" s="20" t="str" cm="1">
        <f t="array" ref="I160">IFERROR(INDEX(Data_Input!$A$1:$ZZ$502, MATCH("평가금액", INDEX(Data_Input!$A$1:$ZZ$502, 0, MATCH(1, (Data_Input!$7:$7=$F$3)*(Data_Input!$8:$8=$B160), 0)), 0) + 1, MATCH(1, (Data_Input!$7:$7=$F$3)*(Data_Input!$8:$8=$B160), 0)),"")</f>
        <v/>
      </c>
      <c r="J160" s="20" t="str" cm="1">
        <f t="array" ref="J160">IFERROR(INDEX(Data_Input!$A$1:$ZZ$502, MATCH("평가손익", INDEX(Data_Input!$A$1:$ZZ$502, 0, MATCH(1, (Data_Input!$7:$7=$F$3)*(Data_Input!$8:$8=$B160), 0)), 0) + 1, MATCH(1, (Data_Input!$7:$7=$F$3)*(Data_Input!$8:$8=$B160), 0)),"")</f>
        <v/>
      </c>
      <c r="K160" s="14" t="str" cm="1">
        <f t="array" ref="K160">IFERROR(INDEX(Data_Input!$A$1:$ZZ$502, MATCH("총수익률", INDEX(Data_Input!$A$1:$ZZ$502, 0, MATCH(1, (Data_Input!$7:$7=$F$3)*(Data_Input!$8:$8=$B160), 0)), 0) + 1, MATCH(1, (Data_Input!$7:$7=$F$3)*(Data_Input!$8:$8=$B160), 0)),"")</f>
        <v/>
      </c>
      <c r="L160" t="str" cm="1">
        <f t="array" ref="L160">IFERROR(_xlfn.LET(
    _xlpm.targetDate, B160,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61" spans="1:12" x14ac:dyDescent="0.3">
      <c r="A161" s="16" t="str">
        <f t="shared" si="4"/>
        <v/>
      </c>
      <c r="B161" s="19"/>
      <c r="C161" s="17" t="str">
        <f t="shared" si="5"/>
        <v/>
      </c>
      <c r="D161" s="29" t="str" cm="1">
        <f t="array" ref="D161">IFERROR(INDEX(Data_Input!$10:$10,MATCH(1,(Data_Input!$7:$7=$F$3)*(Data_Input!$8:$8=$B161),0)),"")</f>
        <v/>
      </c>
      <c r="E161" s="29" t="str" cm="1">
        <f t="array" ref="E161">IFERROR(INDEX(Data_Input!$1:$100, 9, MATCH(1, (Data_Input!$7:$7=$F$3) * (Data_Input!$8:$8=$B161), 0)),"")</f>
        <v/>
      </c>
      <c r="F161" s="20" t="str" cm="1">
        <f t="array" ref="F161">IFERROR(INDEX(Data_Input!$A$1:$ZZ$502, MATCH("예수금", INDEX(Data_Input!$A$1:$ZZ$502, 0, MATCH(1, (Data_Input!$7:$7=$F$3)*(Data_Input!$8:$8=$B161), 0)), 0) + 1, MATCH(1, (Data_Input!$7:$7=$F$3)*(Data_Input!$8:$8=$B161), 0)),"")</f>
        <v/>
      </c>
      <c r="G161" s="20" t="str" cm="1">
        <f t="array" ref="G161">IFERROR(INDEX(Data_Input!$A$1:$ZZ$502, MATCH("총자산", INDEX(Data_Input!$A$1:$ZZ$502, 0, MATCH(1, (Data_Input!$7:$7=$F$3)*(Data_Input!$8:$8=$B161), 0)), 0) + 1, MATCH(1, (Data_Input!$7:$7=$F$3)*(Data_Input!$8:$8=$B161), 0)),"")</f>
        <v/>
      </c>
      <c r="H161" s="20" t="str" cm="1">
        <f t="array" ref="H161">IFERROR(INDEX(Data_Input!$A$1:$ZZ$502, MATCH("매입금액", INDEX(Data_Input!$A$1:$ZZ$502, 0, MATCH(1, (Data_Input!$7:$7=$F$3)*(Data_Input!$8:$8=$B161), 0)), 0) + 1, MATCH(1, (Data_Input!$7:$7=$F$3)*(Data_Input!$8:$8=$B161), 0)),"")</f>
        <v/>
      </c>
      <c r="I161" s="20" t="str" cm="1">
        <f t="array" ref="I161">IFERROR(INDEX(Data_Input!$A$1:$ZZ$502, MATCH("평가금액", INDEX(Data_Input!$A$1:$ZZ$502, 0, MATCH(1, (Data_Input!$7:$7=$F$3)*(Data_Input!$8:$8=$B161), 0)), 0) + 1, MATCH(1, (Data_Input!$7:$7=$F$3)*(Data_Input!$8:$8=$B161), 0)),"")</f>
        <v/>
      </c>
      <c r="J161" s="20" t="str" cm="1">
        <f t="array" ref="J161">IFERROR(INDEX(Data_Input!$A$1:$ZZ$502, MATCH("평가손익", INDEX(Data_Input!$A$1:$ZZ$502, 0, MATCH(1, (Data_Input!$7:$7=$F$3)*(Data_Input!$8:$8=$B161), 0)), 0) + 1, MATCH(1, (Data_Input!$7:$7=$F$3)*(Data_Input!$8:$8=$B161), 0)),"")</f>
        <v/>
      </c>
      <c r="K161" s="14" t="str" cm="1">
        <f t="array" ref="K161">IFERROR(INDEX(Data_Input!$A$1:$ZZ$502, MATCH("총수익률", INDEX(Data_Input!$A$1:$ZZ$502, 0, MATCH(1, (Data_Input!$7:$7=$F$3)*(Data_Input!$8:$8=$B161), 0)), 0) + 1, MATCH(1, (Data_Input!$7:$7=$F$3)*(Data_Input!$8:$8=$B161), 0)),"")</f>
        <v/>
      </c>
      <c r="L161" t="str" cm="1">
        <f t="array" ref="L161">IFERROR(_xlfn.LET(
    _xlpm.targetDate, B161,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62" spans="1:12" x14ac:dyDescent="0.3">
      <c r="A162" s="16" t="str">
        <f t="shared" si="4"/>
        <v/>
      </c>
      <c r="B162" s="19"/>
      <c r="C162" s="17" t="str">
        <f t="shared" si="5"/>
        <v/>
      </c>
      <c r="D162" s="29" t="str" cm="1">
        <f t="array" ref="D162">IFERROR(INDEX(Data_Input!$10:$10,MATCH(1,(Data_Input!$7:$7=$F$3)*(Data_Input!$8:$8=$B162),0)),"")</f>
        <v/>
      </c>
      <c r="E162" s="29" t="str" cm="1">
        <f t="array" ref="E162">IFERROR(INDEX(Data_Input!$1:$100, 9, MATCH(1, (Data_Input!$7:$7=$F$3) * (Data_Input!$8:$8=$B162), 0)),"")</f>
        <v/>
      </c>
      <c r="F162" s="20" t="str" cm="1">
        <f t="array" ref="F162">IFERROR(INDEX(Data_Input!$A$1:$ZZ$502, MATCH("예수금", INDEX(Data_Input!$A$1:$ZZ$502, 0, MATCH(1, (Data_Input!$7:$7=$F$3)*(Data_Input!$8:$8=$B162), 0)), 0) + 1, MATCH(1, (Data_Input!$7:$7=$F$3)*(Data_Input!$8:$8=$B162), 0)),"")</f>
        <v/>
      </c>
      <c r="G162" s="20" t="str" cm="1">
        <f t="array" ref="G162">IFERROR(INDEX(Data_Input!$A$1:$ZZ$502, MATCH("총자산", INDEX(Data_Input!$A$1:$ZZ$502, 0, MATCH(1, (Data_Input!$7:$7=$F$3)*(Data_Input!$8:$8=$B162), 0)), 0) + 1, MATCH(1, (Data_Input!$7:$7=$F$3)*(Data_Input!$8:$8=$B162), 0)),"")</f>
        <v/>
      </c>
      <c r="H162" s="20" t="str" cm="1">
        <f t="array" ref="H162">IFERROR(INDEX(Data_Input!$A$1:$ZZ$502, MATCH("매입금액", INDEX(Data_Input!$A$1:$ZZ$502, 0, MATCH(1, (Data_Input!$7:$7=$F$3)*(Data_Input!$8:$8=$B162), 0)), 0) + 1, MATCH(1, (Data_Input!$7:$7=$F$3)*(Data_Input!$8:$8=$B162), 0)),"")</f>
        <v/>
      </c>
      <c r="I162" s="20" t="str" cm="1">
        <f t="array" ref="I162">IFERROR(INDEX(Data_Input!$A$1:$ZZ$502, MATCH("평가금액", INDEX(Data_Input!$A$1:$ZZ$502, 0, MATCH(1, (Data_Input!$7:$7=$F$3)*(Data_Input!$8:$8=$B162), 0)), 0) + 1, MATCH(1, (Data_Input!$7:$7=$F$3)*(Data_Input!$8:$8=$B162), 0)),"")</f>
        <v/>
      </c>
      <c r="J162" s="20" t="str" cm="1">
        <f t="array" ref="J162">IFERROR(INDEX(Data_Input!$A$1:$ZZ$502, MATCH("평가손익", INDEX(Data_Input!$A$1:$ZZ$502, 0, MATCH(1, (Data_Input!$7:$7=$F$3)*(Data_Input!$8:$8=$B162), 0)), 0) + 1, MATCH(1, (Data_Input!$7:$7=$F$3)*(Data_Input!$8:$8=$B162), 0)),"")</f>
        <v/>
      </c>
      <c r="K162" s="14" t="str" cm="1">
        <f t="array" ref="K162">IFERROR(INDEX(Data_Input!$A$1:$ZZ$502, MATCH("총수익률", INDEX(Data_Input!$A$1:$ZZ$502, 0, MATCH(1, (Data_Input!$7:$7=$F$3)*(Data_Input!$8:$8=$B162), 0)), 0) + 1, MATCH(1, (Data_Input!$7:$7=$F$3)*(Data_Input!$8:$8=$B162), 0)),"")</f>
        <v/>
      </c>
      <c r="L162" t="str" cm="1">
        <f t="array" ref="L162">IFERROR(_xlfn.LET(
    _xlpm.targetDate, B162,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63" spans="1:12" x14ac:dyDescent="0.3">
      <c r="A163" s="16" t="str">
        <f t="shared" si="4"/>
        <v/>
      </c>
      <c r="B163" s="19"/>
      <c r="C163" s="17" t="str">
        <f t="shared" si="5"/>
        <v/>
      </c>
      <c r="D163" s="29" t="str" cm="1">
        <f t="array" ref="D163">IFERROR(INDEX(Data_Input!$10:$10,MATCH(1,(Data_Input!$7:$7=$F$3)*(Data_Input!$8:$8=$B163),0)),"")</f>
        <v/>
      </c>
      <c r="E163" s="29" t="str" cm="1">
        <f t="array" ref="E163">IFERROR(INDEX(Data_Input!$1:$100, 9, MATCH(1, (Data_Input!$7:$7=$F$3) * (Data_Input!$8:$8=$B163), 0)),"")</f>
        <v/>
      </c>
      <c r="F163" s="20" t="str" cm="1">
        <f t="array" ref="F163">IFERROR(INDEX(Data_Input!$A$1:$ZZ$502, MATCH("예수금", INDEX(Data_Input!$A$1:$ZZ$502, 0, MATCH(1, (Data_Input!$7:$7=$F$3)*(Data_Input!$8:$8=$B163), 0)), 0) + 1, MATCH(1, (Data_Input!$7:$7=$F$3)*(Data_Input!$8:$8=$B163), 0)),"")</f>
        <v/>
      </c>
      <c r="G163" s="20" t="str" cm="1">
        <f t="array" ref="G163">IFERROR(INDEX(Data_Input!$A$1:$ZZ$502, MATCH("총자산", INDEX(Data_Input!$A$1:$ZZ$502, 0, MATCH(1, (Data_Input!$7:$7=$F$3)*(Data_Input!$8:$8=$B163), 0)), 0) + 1, MATCH(1, (Data_Input!$7:$7=$F$3)*(Data_Input!$8:$8=$B163), 0)),"")</f>
        <v/>
      </c>
      <c r="H163" s="20" t="str" cm="1">
        <f t="array" ref="H163">IFERROR(INDEX(Data_Input!$A$1:$ZZ$502, MATCH("매입금액", INDEX(Data_Input!$A$1:$ZZ$502, 0, MATCH(1, (Data_Input!$7:$7=$F$3)*(Data_Input!$8:$8=$B163), 0)), 0) + 1, MATCH(1, (Data_Input!$7:$7=$F$3)*(Data_Input!$8:$8=$B163), 0)),"")</f>
        <v/>
      </c>
      <c r="I163" s="20" t="str" cm="1">
        <f t="array" ref="I163">IFERROR(INDEX(Data_Input!$A$1:$ZZ$502, MATCH("평가금액", INDEX(Data_Input!$A$1:$ZZ$502, 0, MATCH(1, (Data_Input!$7:$7=$F$3)*(Data_Input!$8:$8=$B163), 0)), 0) + 1, MATCH(1, (Data_Input!$7:$7=$F$3)*(Data_Input!$8:$8=$B163), 0)),"")</f>
        <v/>
      </c>
      <c r="J163" s="20" t="str" cm="1">
        <f t="array" ref="J163">IFERROR(INDEX(Data_Input!$A$1:$ZZ$502, MATCH("평가손익", INDEX(Data_Input!$A$1:$ZZ$502, 0, MATCH(1, (Data_Input!$7:$7=$F$3)*(Data_Input!$8:$8=$B163), 0)), 0) + 1, MATCH(1, (Data_Input!$7:$7=$F$3)*(Data_Input!$8:$8=$B163), 0)),"")</f>
        <v/>
      </c>
      <c r="K163" s="14" t="str" cm="1">
        <f t="array" ref="K163">IFERROR(INDEX(Data_Input!$A$1:$ZZ$502, MATCH("총수익률", INDEX(Data_Input!$A$1:$ZZ$502, 0, MATCH(1, (Data_Input!$7:$7=$F$3)*(Data_Input!$8:$8=$B163), 0)), 0) + 1, MATCH(1, (Data_Input!$7:$7=$F$3)*(Data_Input!$8:$8=$B163), 0)),"")</f>
        <v/>
      </c>
      <c r="L163" t="str" cm="1">
        <f t="array" ref="L163">IFERROR(_xlfn.LET(
    _xlpm.targetDate, B163,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64" spans="1:12" x14ac:dyDescent="0.3">
      <c r="A164" s="16" t="str">
        <f t="shared" si="4"/>
        <v/>
      </c>
      <c r="B164" s="19"/>
      <c r="C164" s="17" t="str">
        <f t="shared" si="5"/>
        <v/>
      </c>
      <c r="D164" s="29" t="str" cm="1">
        <f t="array" ref="D164">IFERROR(INDEX(Data_Input!$10:$10,MATCH(1,(Data_Input!$7:$7=$F$3)*(Data_Input!$8:$8=$B164),0)),"")</f>
        <v/>
      </c>
      <c r="E164" s="29" t="str" cm="1">
        <f t="array" ref="E164">IFERROR(INDEX(Data_Input!$1:$100, 9, MATCH(1, (Data_Input!$7:$7=$F$3) * (Data_Input!$8:$8=$B164), 0)),"")</f>
        <v/>
      </c>
      <c r="F164" s="20" t="str" cm="1">
        <f t="array" ref="F164">IFERROR(INDEX(Data_Input!$A$1:$ZZ$502, MATCH("예수금", INDEX(Data_Input!$A$1:$ZZ$502, 0, MATCH(1, (Data_Input!$7:$7=$F$3)*(Data_Input!$8:$8=$B164), 0)), 0) + 1, MATCH(1, (Data_Input!$7:$7=$F$3)*(Data_Input!$8:$8=$B164), 0)),"")</f>
        <v/>
      </c>
      <c r="G164" s="20" t="str" cm="1">
        <f t="array" ref="G164">IFERROR(INDEX(Data_Input!$A$1:$ZZ$502, MATCH("총자산", INDEX(Data_Input!$A$1:$ZZ$502, 0, MATCH(1, (Data_Input!$7:$7=$F$3)*(Data_Input!$8:$8=$B164), 0)), 0) + 1, MATCH(1, (Data_Input!$7:$7=$F$3)*(Data_Input!$8:$8=$B164), 0)),"")</f>
        <v/>
      </c>
      <c r="H164" s="20" t="str" cm="1">
        <f t="array" ref="H164">IFERROR(INDEX(Data_Input!$A$1:$ZZ$502, MATCH("매입금액", INDEX(Data_Input!$A$1:$ZZ$502, 0, MATCH(1, (Data_Input!$7:$7=$F$3)*(Data_Input!$8:$8=$B164), 0)), 0) + 1, MATCH(1, (Data_Input!$7:$7=$F$3)*(Data_Input!$8:$8=$B164), 0)),"")</f>
        <v/>
      </c>
      <c r="I164" s="20" t="str" cm="1">
        <f t="array" ref="I164">IFERROR(INDEX(Data_Input!$A$1:$ZZ$502, MATCH("평가금액", INDEX(Data_Input!$A$1:$ZZ$502, 0, MATCH(1, (Data_Input!$7:$7=$F$3)*(Data_Input!$8:$8=$B164), 0)), 0) + 1, MATCH(1, (Data_Input!$7:$7=$F$3)*(Data_Input!$8:$8=$B164), 0)),"")</f>
        <v/>
      </c>
      <c r="J164" s="20" t="str" cm="1">
        <f t="array" ref="J164">IFERROR(INDEX(Data_Input!$A$1:$ZZ$502, MATCH("평가손익", INDEX(Data_Input!$A$1:$ZZ$502, 0, MATCH(1, (Data_Input!$7:$7=$F$3)*(Data_Input!$8:$8=$B164), 0)), 0) + 1, MATCH(1, (Data_Input!$7:$7=$F$3)*(Data_Input!$8:$8=$B164), 0)),"")</f>
        <v/>
      </c>
      <c r="K164" s="14" t="str" cm="1">
        <f t="array" ref="K164">IFERROR(INDEX(Data_Input!$A$1:$ZZ$502, MATCH("총수익률", INDEX(Data_Input!$A$1:$ZZ$502, 0, MATCH(1, (Data_Input!$7:$7=$F$3)*(Data_Input!$8:$8=$B164), 0)), 0) + 1, MATCH(1, (Data_Input!$7:$7=$F$3)*(Data_Input!$8:$8=$B164), 0)),"")</f>
        <v/>
      </c>
      <c r="L164" t="str" cm="1">
        <f t="array" ref="L164">IFERROR(_xlfn.LET(
    _xlpm.targetDate, B164,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65" spans="1:12" x14ac:dyDescent="0.3">
      <c r="A165" s="16" t="str">
        <f t="shared" si="4"/>
        <v/>
      </c>
      <c r="B165" s="19"/>
      <c r="C165" s="17" t="str">
        <f t="shared" si="5"/>
        <v/>
      </c>
      <c r="D165" s="29" t="str" cm="1">
        <f t="array" ref="D165">IFERROR(INDEX(Data_Input!$10:$10,MATCH(1,(Data_Input!$7:$7=$F$3)*(Data_Input!$8:$8=$B165),0)),"")</f>
        <v/>
      </c>
      <c r="E165" s="29" t="str" cm="1">
        <f t="array" ref="E165">IFERROR(INDEX(Data_Input!$1:$100, 9, MATCH(1, (Data_Input!$7:$7=$F$3) * (Data_Input!$8:$8=$B165), 0)),"")</f>
        <v/>
      </c>
      <c r="F165" s="20" t="str" cm="1">
        <f t="array" ref="F165">IFERROR(INDEX(Data_Input!$A$1:$ZZ$502, MATCH("예수금", INDEX(Data_Input!$A$1:$ZZ$502, 0, MATCH(1, (Data_Input!$7:$7=$F$3)*(Data_Input!$8:$8=$B165), 0)), 0) + 1, MATCH(1, (Data_Input!$7:$7=$F$3)*(Data_Input!$8:$8=$B165), 0)),"")</f>
        <v/>
      </c>
      <c r="G165" s="20" t="str" cm="1">
        <f t="array" ref="G165">IFERROR(INDEX(Data_Input!$A$1:$ZZ$502, MATCH("총자산", INDEX(Data_Input!$A$1:$ZZ$502, 0, MATCH(1, (Data_Input!$7:$7=$F$3)*(Data_Input!$8:$8=$B165), 0)), 0) + 1, MATCH(1, (Data_Input!$7:$7=$F$3)*(Data_Input!$8:$8=$B165), 0)),"")</f>
        <v/>
      </c>
      <c r="H165" s="20" t="str" cm="1">
        <f t="array" ref="H165">IFERROR(INDEX(Data_Input!$A$1:$ZZ$502, MATCH("매입금액", INDEX(Data_Input!$A$1:$ZZ$502, 0, MATCH(1, (Data_Input!$7:$7=$F$3)*(Data_Input!$8:$8=$B165), 0)), 0) + 1, MATCH(1, (Data_Input!$7:$7=$F$3)*(Data_Input!$8:$8=$B165), 0)),"")</f>
        <v/>
      </c>
      <c r="I165" s="20" t="str" cm="1">
        <f t="array" ref="I165">IFERROR(INDEX(Data_Input!$A$1:$ZZ$502, MATCH("평가금액", INDEX(Data_Input!$A$1:$ZZ$502, 0, MATCH(1, (Data_Input!$7:$7=$F$3)*(Data_Input!$8:$8=$B165), 0)), 0) + 1, MATCH(1, (Data_Input!$7:$7=$F$3)*(Data_Input!$8:$8=$B165), 0)),"")</f>
        <v/>
      </c>
      <c r="J165" s="20" t="str" cm="1">
        <f t="array" ref="J165">IFERROR(INDEX(Data_Input!$A$1:$ZZ$502, MATCH("평가손익", INDEX(Data_Input!$A$1:$ZZ$502, 0, MATCH(1, (Data_Input!$7:$7=$F$3)*(Data_Input!$8:$8=$B165), 0)), 0) + 1, MATCH(1, (Data_Input!$7:$7=$F$3)*(Data_Input!$8:$8=$B165), 0)),"")</f>
        <v/>
      </c>
      <c r="K165" s="14" t="str" cm="1">
        <f t="array" ref="K165">IFERROR(INDEX(Data_Input!$A$1:$ZZ$502, MATCH("총수익률", INDEX(Data_Input!$A$1:$ZZ$502, 0, MATCH(1, (Data_Input!$7:$7=$F$3)*(Data_Input!$8:$8=$B165), 0)), 0) + 1, MATCH(1, (Data_Input!$7:$7=$F$3)*(Data_Input!$8:$8=$B165), 0)),"")</f>
        <v/>
      </c>
      <c r="L165" t="str" cm="1">
        <f t="array" ref="L165">IFERROR(_xlfn.LET(
    _xlpm.targetDate, B165,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66" spans="1:12" x14ac:dyDescent="0.3">
      <c r="A166" s="16" t="str">
        <f t="shared" si="4"/>
        <v/>
      </c>
      <c r="B166" s="19"/>
      <c r="C166" s="17" t="str">
        <f t="shared" si="5"/>
        <v/>
      </c>
      <c r="D166" s="29" t="str" cm="1">
        <f t="array" ref="D166">IFERROR(INDEX(Data_Input!$10:$10,MATCH(1,(Data_Input!$7:$7=$F$3)*(Data_Input!$8:$8=$B166),0)),"")</f>
        <v/>
      </c>
      <c r="E166" s="29" t="str" cm="1">
        <f t="array" ref="E166">IFERROR(INDEX(Data_Input!$1:$100, 9, MATCH(1, (Data_Input!$7:$7=$F$3) * (Data_Input!$8:$8=$B166), 0)),"")</f>
        <v/>
      </c>
      <c r="F166" s="20" t="str" cm="1">
        <f t="array" ref="F166">IFERROR(INDEX(Data_Input!$A$1:$ZZ$502, MATCH("예수금", INDEX(Data_Input!$A$1:$ZZ$502, 0, MATCH(1, (Data_Input!$7:$7=$F$3)*(Data_Input!$8:$8=$B166), 0)), 0) + 1, MATCH(1, (Data_Input!$7:$7=$F$3)*(Data_Input!$8:$8=$B166), 0)),"")</f>
        <v/>
      </c>
      <c r="G166" s="20" t="str" cm="1">
        <f t="array" ref="G166">IFERROR(INDEX(Data_Input!$A$1:$ZZ$502, MATCH("총자산", INDEX(Data_Input!$A$1:$ZZ$502, 0, MATCH(1, (Data_Input!$7:$7=$F$3)*(Data_Input!$8:$8=$B166), 0)), 0) + 1, MATCH(1, (Data_Input!$7:$7=$F$3)*(Data_Input!$8:$8=$B166), 0)),"")</f>
        <v/>
      </c>
      <c r="H166" s="20" t="str" cm="1">
        <f t="array" ref="H166">IFERROR(INDEX(Data_Input!$A$1:$ZZ$502, MATCH("매입금액", INDEX(Data_Input!$A$1:$ZZ$502, 0, MATCH(1, (Data_Input!$7:$7=$F$3)*(Data_Input!$8:$8=$B166), 0)), 0) + 1, MATCH(1, (Data_Input!$7:$7=$F$3)*(Data_Input!$8:$8=$B166), 0)),"")</f>
        <v/>
      </c>
      <c r="I166" s="20" t="str" cm="1">
        <f t="array" ref="I166">IFERROR(INDEX(Data_Input!$A$1:$ZZ$502, MATCH("평가금액", INDEX(Data_Input!$A$1:$ZZ$502, 0, MATCH(1, (Data_Input!$7:$7=$F$3)*(Data_Input!$8:$8=$B166), 0)), 0) + 1, MATCH(1, (Data_Input!$7:$7=$F$3)*(Data_Input!$8:$8=$B166), 0)),"")</f>
        <v/>
      </c>
      <c r="J166" s="20" t="str" cm="1">
        <f t="array" ref="J166">IFERROR(INDEX(Data_Input!$A$1:$ZZ$502, MATCH("평가손익", INDEX(Data_Input!$A$1:$ZZ$502, 0, MATCH(1, (Data_Input!$7:$7=$F$3)*(Data_Input!$8:$8=$B166), 0)), 0) + 1, MATCH(1, (Data_Input!$7:$7=$F$3)*(Data_Input!$8:$8=$B166), 0)),"")</f>
        <v/>
      </c>
      <c r="K166" s="14" t="str" cm="1">
        <f t="array" ref="K166">IFERROR(INDEX(Data_Input!$A$1:$ZZ$502, MATCH("총수익률", INDEX(Data_Input!$A$1:$ZZ$502, 0, MATCH(1, (Data_Input!$7:$7=$F$3)*(Data_Input!$8:$8=$B166), 0)), 0) + 1, MATCH(1, (Data_Input!$7:$7=$F$3)*(Data_Input!$8:$8=$B166), 0)),"")</f>
        <v/>
      </c>
      <c r="L166" t="str" cm="1">
        <f t="array" ref="L166">IFERROR(_xlfn.LET(
    _xlpm.targetDate, B166,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67" spans="1:12" x14ac:dyDescent="0.3">
      <c r="A167" s="16" t="str">
        <f t="shared" si="4"/>
        <v/>
      </c>
      <c r="B167" s="19"/>
      <c r="C167" s="17" t="str">
        <f t="shared" si="5"/>
        <v/>
      </c>
      <c r="D167" s="29" t="str" cm="1">
        <f t="array" ref="D167">IFERROR(INDEX(Data_Input!$10:$10,MATCH(1,(Data_Input!$7:$7=$F$3)*(Data_Input!$8:$8=$B167),0)),"")</f>
        <v/>
      </c>
      <c r="E167" s="29" t="str" cm="1">
        <f t="array" ref="E167">IFERROR(INDEX(Data_Input!$1:$100, 9, MATCH(1, (Data_Input!$7:$7=$F$3) * (Data_Input!$8:$8=$B167), 0)),"")</f>
        <v/>
      </c>
      <c r="F167" s="20" t="str" cm="1">
        <f t="array" ref="F167">IFERROR(INDEX(Data_Input!$A$1:$ZZ$502, MATCH("예수금", INDEX(Data_Input!$A$1:$ZZ$502, 0, MATCH(1, (Data_Input!$7:$7=$F$3)*(Data_Input!$8:$8=$B167), 0)), 0) + 1, MATCH(1, (Data_Input!$7:$7=$F$3)*(Data_Input!$8:$8=$B167), 0)),"")</f>
        <v/>
      </c>
      <c r="G167" s="20" t="str" cm="1">
        <f t="array" ref="G167">IFERROR(INDEX(Data_Input!$A$1:$ZZ$502, MATCH("총자산", INDEX(Data_Input!$A$1:$ZZ$502, 0, MATCH(1, (Data_Input!$7:$7=$F$3)*(Data_Input!$8:$8=$B167), 0)), 0) + 1, MATCH(1, (Data_Input!$7:$7=$F$3)*(Data_Input!$8:$8=$B167), 0)),"")</f>
        <v/>
      </c>
      <c r="H167" s="20" t="str" cm="1">
        <f t="array" ref="H167">IFERROR(INDEX(Data_Input!$A$1:$ZZ$502, MATCH("매입금액", INDEX(Data_Input!$A$1:$ZZ$502, 0, MATCH(1, (Data_Input!$7:$7=$F$3)*(Data_Input!$8:$8=$B167), 0)), 0) + 1, MATCH(1, (Data_Input!$7:$7=$F$3)*(Data_Input!$8:$8=$B167), 0)),"")</f>
        <v/>
      </c>
      <c r="I167" s="20" t="str" cm="1">
        <f t="array" ref="I167">IFERROR(INDEX(Data_Input!$A$1:$ZZ$502, MATCH("평가금액", INDEX(Data_Input!$A$1:$ZZ$502, 0, MATCH(1, (Data_Input!$7:$7=$F$3)*(Data_Input!$8:$8=$B167), 0)), 0) + 1, MATCH(1, (Data_Input!$7:$7=$F$3)*(Data_Input!$8:$8=$B167), 0)),"")</f>
        <v/>
      </c>
      <c r="J167" s="20" t="str" cm="1">
        <f t="array" ref="J167">IFERROR(INDEX(Data_Input!$A$1:$ZZ$502, MATCH("평가손익", INDEX(Data_Input!$A$1:$ZZ$502, 0, MATCH(1, (Data_Input!$7:$7=$F$3)*(Data_Input!$8:$8=$B167), 0)), 0) + 1, MATCH(1, (Data_Input!$7:$7=$F$3)*(Data_Input!$8:$8=$B167), 0)),"")</f>
        <v/>
      </c>
      <c r="K167" s="14" t="str" cm="1">
        <f t="array" ref="K167">IFERROR(INDEX(Data_Input!$A$1:$ZZ$502, MATCH("총수익률", INDEX(Data_Input!$A$1:$ZZ$502, 0, MATCH(1, (Data_Input!$7:$7=$F$3)*(Data_Input!$8:$8=$B167), 0)), 0) + 1, MATCH(1, (Data_Input!$7:$7=$F$3)*(Data_Input!$8:$8=$B167), 0)),"")</f>
        <v/>
      </c>
      <c r="L167" t="str" cm="1">
        <f t="array" ref="L167">IFERROR(_xlfn.LET(
    _xlpm.targetDate, B167,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68" spans="1:12" x14ac:dyDescent="0.3">
      <c r="A168" s="16" t="str">
        <f t="shared" si="4"/>
        <v/>
      </c>
      <c r="B168" s="19"/>
      <c r="C168" s="17" t="str">
        <f t="shared" si="5"/>
        <v/>
      </c>
      <c r="D168" s="29" t="str" cm="1">
        <f t="array" ref="D168">IFERROR(INDEX(Data_Input!$10:$10,MATCH(1,(Data_Input!$7:$7=$F$3)*(Data_Input!$8:$8=$B168),0)),"")</f>
        <v/>
      </c>
      <c r="E168" s="29" t="str" cm="1">
        <f t="array" ref="E168">IFERROR(INDEX(Data_Input!$1:$100, 9, MATCH(1, (Data_Input!$7:$7=$F$3) * (Data_Input!$8:$8=$B168), 0)),"")</f>
        <v/>
      </c>
      <c r="F168" s="20" t="str" cm="1">
        <f t="array" ref="F168">IFERROR(INDEX(Data_Input!$A$1:$ZZ$502, MATCH("예수금", INDEX(Data_Input!$A$1:$ZZ$502, 0, MATCH(1, (Data_Input!$7:$7=$F$3)*(Data_Input!$8:$8=$B168), 0)), 0) + 1, MATCH(1, (Data_Input!$7:$7=$F$3)*(Data_Input!$8:$8=$B168), 0)),"")</f>
        <v/>
      </c>
      <c r="G168" s="20" t="str" cm="1">
        <f t="array" ref="G168">IFERROR(INDEX(Data_Input!$A$1:$ZZ$502, MATCH("총자산", INDEX(Data_Input!$A$1:$ZZ$502, 0, MATCH(1, (Data_Input!$7:$7=$F$3)*(Data_Input!$8:$8=$B168), 0)), 0) + 1, MATCH(1, (Data_Input!$7:$7=$F$3)*(Data_Input!$8:$8=$B168), 0)),"")</f>
        <v/>
      </c>
      <c r="H168" s="20" t="str" cm="1">
        <f t="array" ref="H168">IFERROR(INDEX(Data_Input!$A$1:$ZZ$502, MATCH("매입금액", INDEX(Data_Input!$A$1:$ZZ$502, 0, MATCH(1, (Data_Input!$7:$7=$F$3)*(Data_Input!$8:$8=$B168), 0)), 0) + 1, MATCH(1, (Data_Input!$7:$7=$F$3)*(Data_Input!$8:$8=$B168), 0)),"")</f>
        <v/>
      </c>
      <c r="I168" s="20" t="str" cm="1">
        <f t="array" ref="I168">IFERROR(INDEX(Data_Input!$A$1:$ZZ$502, MATCH("평가금액", INDEX(Data_Input!$A$1:$ZZ$502, 0, MATCH(1, (Data_Input!$7:$7=$F$3)*(Data_Input!$8:$8=$B168), 0)), 0) + 1, MATCH(1, (Data_Input!$7:$7=$F$3)*(Data_Input!$8:$8=$B168), 0)),"")</f>
        <v/>
      </c>
      <c r="J168" s="20" t="str" cm="1">
        <f t="array" ref="J168">IFERROR(INDEX(Data_Input!$A$1:$ZZ$502, MATCH("평가손익", INDEX(Data_Input!$A$1:$ZZ$502, 0, MATCH(1, (Data_Input!$7:$7=$F$3)*(Data_Input!$8:$8=$B168), 0)), 0) + 1, MATCH(1, (Data_Input!$7:$7=$F$3)*(Data_Input!$8:$8=$B168), 0)),"")</f>
        <v/>
      </c>
      <c r="K168" s="14" t="str" cm="1">
        <f t="array" ref="K168">IFERROR(INDEX(Data_Input!$A$1:$ZZ$502, MATCH("총수익률", INDEX(Data_Input!$A$1:$ZZ$502, 0, MATCH(1, (Data_Input!$7:$7=$F$3)*(Data_Input!$8:$8=$B168), 0)), 0) + 1, MATCH(1, (Data_Input!$7:$7=$F$3)*(Data_Input!$8:$8=$B168), 0)),"")</f>
        <v/>
      </c>
      <c r="L168" t="str" cm="1">
        <f t="array" ref="L168">IFERROR(_xlfn.LET(
    _xlpm.targetDate, B168,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69" spans="1:12" x14ac:dyDescent="0.3">
      <c r="A169" s="16" t="str">
        <f t="shared" si="4"/>
        <v/>
      </c>
      <c r="B169" s="19"/>
      <c r="C169" s="17" t="str">
        <f t="shared" si="5"/>
        <v/>
      </c>
      <c r="D169" s="29" t="str" cm="1">
        <f t="array" ref="D169">IFERROR(INDEX(Data_Input!$10:$10,MATCH(1,(Data_Input!$7:$7=$F$3)*(Data_Input!$8:$8=$B169),0)),"")</f>
        <v/>
      </c>
      <c r="E169" s="29" t="str" cm="1">
        <f t="array" ref="E169">IFERROR(INDEX(Data_Input!$1:$100, 9, MATCH(1, (Data_Input!$7:$7=$F$3) * (Data_Input!$8:$8=$B169), 0)),"")</f>
        <v/>
      </c>
      <c r="F169" s="20" t="str" cm="1">
        <f t="array" ref="F169">IFERROR(INDEX(Data_Input!$A$1:$ZZ$502, MATCH("예수금", INDEX(Data_Input!$A$1:$ZZ$502, 0, MATCH(1, (Data_Input!$7:$7=$F$3)*(Data_Input!$8:$8=$B169), 0)), 0) + 1, MATCH(1, (Data_Input!$7:$7=$F$3)*(Data_Input!$8:$8=$B169), 0)),"")</f>
        <v/>
      </c>
      <c r="G169" s="20" t="str" cm="1">
        <f t="array" ref="G169">IFERROR(INDEX(Data_Input!$A$1:$ZZ$502, MATCH("총자산", INDEX(Data_Input!$A$1:$ZZ$502, 0, MATCH(1, (Data_Input!$7:$7=$F$3)*(Data_Input!$8:$8=$B169), 0)), 0) + 1, MATCH(1, (Data_Input!$7:$7=$F$3)*(Data_Input!$8:$8=$B169), 0)),"")</f>
        <v/>
      </c>
      <c r="H169" s="20" t="str" cm="1">
        <f t="array" ref="H169">IFERROR(INDEX(Data_Input!$A$1:$ZZ$502, MATCH("매입금액", INDEX(Data_Input!$A$1:$ZZ$502, 0, MATCH(1, (Data_Input!$7:$7=$F$3)*(Data_Input!$8:$8=$B169), 0)), 0) + 1, MATCH(1, (Data_Input!$7:$7=$F$3)*(Data_Input!$8:$8=$B169), 0)),"")</f>
        <v/>
      </c>
      <c r="I169" s="20" t="str" cm="1">
        <f t="array" ref="I169">IFERROR(INDEX(Data_Input!$A$1:$ZZ$502, MATCH("평가금액", INDEX(Data_Input!$A$1:$ZZ$502, 0, MATCH(1, (Data_Input!$7:$7=$F$3)*(Data_Input!$8:$8=$B169), 0)), 0) + 1, MATCH(1, (Data_Input!$7:$7=$F$3)*(Data_Input!$8:$8=$B169), 0)),"")</f>
        <v/>
      </c>
      <c r="J169" s="20" t="str" cm="1">
        <f t="array" ref="J169">IFERROR(INDEX(Data_Input!$A$1:$ZZ$502, MATCH("평가손익", INDEX(Data_Input!$A$1:$ZZ$502, 0, MATCH(1, (Data_Input!$7:$7=$F$3)*(Data_Input!$8:$8=$B169), 0)), 0) + 1, MATCH(1, (Data_Input!$7:$7=$F$3)*(Data_Input!$8:$8=$B169), 0)),"")</f>
        <v/>
      </c>
      <c r="K169" s="14" t="str" cm="1">
        <f t="array" ref="K169">IFERROR(INDEX(Data_Input!$A$1:$ZZ$502, MATCH("총수익률", INDEX(Data_Input!$A$1:$ZZ$502, 0, MATCH(1, (Data_Input!$7:$7=$F$3)*(Data_Input!$8:$8=$B169), 0)), 0) + 1, MATCH(1, (Data_Input!$7:$7=$F$3)*(Data_Input!$8:$8=$B169), 0)),"")</f>
        <v/>
      </c>
      <c r="L169" t="str" cm="1">
        <f t="array" ref="L169">IFERROR(_xlfn.LET(
    _xlpm.targetDate, B169,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70" spans="1:12" x14ac:dyDescent="0.3">
      <c r="A170" s="16" t="str">
        <f t="shared" si="4"/>
        <v/>
      </c>
      <c r="B170" s="19"/>
      <c r="C170" s="17" t="str">
        <f t="shared" si="5"/>
        <v/>
      </c>
      <c r="D170" s="29" t="str" cm="1">
        <f t="array" ref="D170">IFERROR(INDEX(Data_Input!$10:$10,MATCH(1,(Data_Input!$7:$7=$F$3)*(Data_Input!$8:$8=$B170),0)),"")</f>
        <v/>
      </c>
      <c r="E170" s="29" t="str" cm="1">
        <f t="array" ref="E170">IFERROR(INDEX(Data_Input!$1:$100, 9, MATCH(1, (Data_Input!$7:$7=$F$3) * (Data_Input!$8:$8=$B170), 0)),"")</f>
        <v/>
      </c>
      <c r="F170" s="20" t="str" cm="1">
        <f t="array" ref="F170">IFERROR(INDEX(Data_Input!$A$1:$ZZ$502, MATCH("예수금", INDEX(Data_Input!$A$1:$ZZ$502, 0, MATCH(1, (Data_Input!$7:$7=$F$3)*(Data_Input!$8:$8=$B170), 0)), 0) + 1, MATCH(1, (Data_Input!$7:$7=$F$3)*(Data_Input!$8:$8=$B170), 0)),"")</f>
        <v/>
      </c>
      <c r="G170" s="20" t="str" cm="1">
        <f t="array" ref="G170">IFERROR(INDEX(Data_Input!$A$1:$ZZ$502, MATCH("총자산", INDEX(Data_Input!$A$1:$ZZ$502, 0, MATCH(1, (Data_Input!$7:$7=$F$3)*(Data_Input!$8:$8=$B170), 0)), 0) + 1, MATCH(1, (Data_Input!$7:$7=$F$3)*(Data_Input!$8:$8=$B170), 0)),"")</f>
        <v/>
      </c>
      <c r="H170" s="20" t="str" cm="1">
        <f t="array" ref="H170">IFERROR(INDEX(Data_Input!$A$1:$ZZ$502, MATCH("매입금액", INDEX(Data_Input!$A$1:$ZZ$502, 0, MATCH(1, (Data_Input!$7:$7=$F$3)*(Data_Input!$8:$8=$B170), 0)), 0) + 1, MATCH(1, (Data_Input!$7:$7=$F$3)*(Data_Input!$8:$8=$B170), 0)),"")</f>
        <v/>
      </c>
      <c r="I170" s="20" t="str" cm="1">
        <f t="array" ref="I170">IFERROR(INDEX(Data_Input!$A$1:$ZZ$502, MATCH("평가금액", INDEX(Data_Input!$A$1:$ZZ$502, 0, MATCH(1, (Data_Input!$7:$7=$F$3)*(Data_Input!$8:$8=$B170), 0)), 0) + 1, MATCH(1, (Data_Input!$7:$7=$F$3)*(Data_Input!$8:$8=$B170), 0)),"")</f>
        <v/>
      </c>
      <c r="J170" s="20" t="str" cm="1">
        <f t="array" ref="J170">IFERROR(INDEX(Data_Input!$A$1:$ZZ$502, MATCH("평가손익", INDEX(Data_Input!$A$1:$ZZ$502, 0, MATCH(1, (Data_Input!$7:$7=$F$3)*(Data_Input!$8:$8=$B170), 0)), 0) + 1, MATCH(1, (Data_Input!$7:$7=$F$3)*(Data_Input!$8:$8=$B170), 0)),"")</f>
        <v/>
      </c>
      <c r="K170" s="14" t="str" cm="1">
        <f t="array" ref="K170">IFERROR(INDEX(Data_Input!$A$1:$ZZ$502, MATCH("총수익률", INDEX(Data_Input!$A$1:$ZZ$502, 0, MATCH(1, (Data_Input!$7:$7=$F$3)*(Data_Input!$8:$8=$B170), 0)), 0) + 1, MATCH(1, (Data_Input!$7:$7=$F$3)*(Data_Input!$8:$8=$B170), 0)),"")</f>
        <v/>
      </c>
      <c r="L170" t="str" cm="1">
        <f t="array" ref="L170">IFERROR(_xlfn.LET(
    _xlpm.targetDate, B170,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71" spans="1:12" x14ac:dyDescent="0.3">
      <c r="A171" s="16" t="str">
        <f t="shared" si="4"/>
        <v/>
      </c>
      <c r="B171" s="19"/>
      <c r="C171" s="17" t="str">
        <f t="shared" si="5"/>
        <v/>
      </c>
      <c r="D171" s="29" t="str" cm="1">
        <f t="array" ref="D171">IFERROR(INDEX(Data_Input!$10:$10,MATCH(1,(Data_Input!$7:$7=$F$3)*(Data_Input!$8:$8=$B171),0)),"")</f>
        <v/>
      </c>
      <c r="E171" s="29" t="str" cm="1">
        <f t="array" ref="E171">IFERROR(INDEX(Data_Input!$1:$100, 9, MATCH(1, (Data_Input!$7:$7=$F$3) * (Data_Input!$8:$8=$B171), 0)),"")</f>
        <v/>
      </c>
      <c r="F171" s="20" t="str" cm="1">
        <f t="array" ref="F171">IFERROR(INDEX(Data_Input!$A$1:$ZZ$502, MATCH("예수금", INDEX(Data_Input!$A$1:$ZZ$502, 0, MATCH(1, (Data_Input!$7:$7=$F$3)*(Data_Input!$8:$8=$B171), 0)), 0) + 1, MATCH(1, (Data_Input!$7:$7=$F$3)*(Data_Input!$8:$8=$B171), 0)),"")</f>
        <v/>
      </c>
      <c r="G171" s="20" t="str" cm="1">
        <f t="array" ref="G171">IFERROR(INDEX(Data_Input!$A$1:$ZZ$502, MATCH("총자산", INDEX(Data_Input!$A$1:$ZZ$502, 0, MATCH(1, (Data_Input!$7:$7=$F$3)*(Data_Input!$8:$8=$B171), 0)), 0) + 1, MATCH(1, (Data_Input!$7:$7=$F$3)*(Data_Input!$8:$8=$B171), 0)),"")</f>
        <v/>
      </c>
      <c r="H171" s="20" t="str" cm="1">
        <f t="array" ref="H171">IFERROR(INDEX(Data_Input!$A$1:$ZZ$502, MATCH("매입금액", INDEX(Data_Input!$A$1:$ZZ$502, 0, MATCH(1, (Data_Input!$7:$7=$F$3)*(Data_Input!$8:$8=$B171), 0)), 0) + 1, MATCH(1, (Data_Input!$7:$7=$F$3)*(Data_Input!$8:$8=$B171), 0)),"")</f>
        <v/>
      </c>
      <c r="I171" s="20" t="str" cm="1">
        <f t="array" ref="I171">IFERROR(INDEX(Data_Input!$A$1:$ZZ$502, MATCH("평가금액", INDEX(Data_Input!$A$1:$ZZ$502, 0, MATCH(1, (Data_Input!$7:$7=$F$3)*(Data_Input!$8:$8=$B171), 0)), 0) + 1, MATCH(1, (Data_Input!$7:$7=$F$3)*(Data_Input!$8:$8=$B171), 0)),"")</f>
        <v/>
      </c>
      <c r="J171" s="20" t="str" cm="1">
        <f t="array" ref="J171">IFERROR(INDEX(Data_Input!$A$1:$ZZ$502, MATCH("평가손익", INDEX(Data_Input!$A$1:$ZZ$502, 0, MATCH(1, (Data_Input!$7:$7=$F$3)*(Data_Input!$8:$8=$B171), 0)), 0) + 1, MATCH(1, (Data_Input!$7:$7=$F$3)*(Data_Input!$8:$8=$B171), 0)),"")</f>
        <v/>
      </c>
      <c r="K171" s="14" t="str" cm="1">
        <f t="array" ref="K171">IFERROR(INDEX(Data_Input!$A$1:$ZZ$502, MATCH("총수익률", INDEX(Data_Input!$A$1:$ZZ$502, 0, MATCH(1, (Data_Input!$7:$7=$F$3)*(Data_Input!$8:$8=$B171), 0)), 0) + 1, MATCH(1, (Data_Input!$7:$7=$F$3)*(Data_Input!$8:$8=$B171), 0)),"")</f>
        <v/>
      </c>
      <c r="L171" t="str" cm="1">
        <f t="array" ref="L171">IFERROR(_xlfn.LET(
    _xlpm.targetDate, B171,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72" spans="1:12" x14ac:dyDescent="0.3">
      <c r="A172" s="16" t="str">
        <f t="shared" si="4"/>
        <v/>
      </c>
      <c r="B172" s="19"/>
      <c r="C172" s="17" t="str">
        <f t="shared" si="5"/>
        <v/>
      </c>
      <c r="D172" s="29" t="str" cm="1">
        <f t="array" ref="D172">IFERROR(INDEX(Data_Input!$10:$10,MATCH(1,(Data_Input!$7:$7=$F$3)*(Data_Input!$8:$8=$B172),0)),"")</f>
        <v/>
      </c>
      <c r="E172" s="29" t="str" cm="1">
        <f t="array" ref="E172">IFERROR(INDEX(Data_Input!$1:$100, 9, MATCH(1, (Data_Input!$7:$7=$F$3) * (Data_Input!$8:$8=$B172), 0)),"")</f>
        <v/>
      </c>
      <c r="F172" s="20" t="str" cm="1">
        <f t="array" ref="F172">IFERROR(INDEX(Data_Input!$A$1:$ZZ$502, MATCH("예수금", INDEX(Data_Input!$A$1:$ZZ$502, 0, MATCH(1, (Data_Input!$7:$7=$F$3)*(Data_Input!$8:$8=$B172), 0)), 0) + 1, MATCH(1, (Data_Input!$7:$7=$F$3)*(Data_Input!$8:$8=$B172), 0)),"")</f>
        <v/>
      </c>
      <c r="G172" s="20" t="str" cm="1">
        <f t="array" ref="G172">IFERROR(INDEX(Data_Input!$A$1:$ZZ$502, MATCH("총자산", INDEX(Data_Input!$A$1:$ZZ$502, 0, MATCH(1, (Data_Input!$7:$7=$F$3)*(Data_Input!$8:$8=$B172), 0)), 0) + 1, MATCH(1, (Data_Input!$7:$7=$F$3)*(Data_Input!$8:$8=$B172), 0)),"")</f>
        <v/>
      </c>
      <c r="H172" s="20" t="str" cm="1">
        <f t="array" ref="H172">IFERROR(INDEX(Data_Input!$A$1:$ZZ$502, MATCH("매입금액", INDEX(Data_Input!$A$1:$ZZ$502, 0, MATCH(1, (Data_Input!$7:$7=$F$3)*(Data_Input!$8:$8=$B172), 0)), 0) + 1, MATCH(1, (Data_Input!$7:$7=$F$3)*(Data_Input!$8:$8=$B172), 0)),"")</f>
        <v/>
      </c>
      <c r="I172" s="20" t="str" cm="1">
        <f t="array" ref="I172">IFERROR(INDEX(Data_Input!$A$1:$ZZ$502, MATCH("평가금액", INDEX(Data_Input!$A$1:$ZZ$502, 0, MATCH(1, (Data_Input!$7:$7=$F$3)*(Data_Input!$8:$8=$B172), 0)), 0) + 1, MATCH(1, (Data_Input!$7:$7=$F$3)*(Data_Input!$8:$8=$B172), 0)),"")</f>
        <v/>
      </c>
      <c r="J172" s="20" t="str" cm="1">
        <f t="array" ref="J172">IFERROR(INDEX(Data_Input!$A$1:$ZZ$502, MATCH("평가손익", INDEX(Data_Input!$A$1:$ZZ$502, 0, MATCH(1, (Data_Input!$7:$7=$F$3)*(Data_Input!$8:$8=$B172), 0)), 0) + 1, MATCH(1, (Data_Input!$7:$7=$F$3)*(Data_Input!$8:$8=$B172), 0)),"")</f>
        <v/>
      </c>
      <c r="K172" s="14" t="str" cm="1">
        <f t="array" ref="K172">IFERROR(INDEX(Data_Input!$A$1:$ZZ$502, MATCH("총수익률", INDEX(Data_Input!$A$1:$ZZ$502, 0, MATCH(1, (Data_Input!$7:$7=$F$3)*(Data_Input!$8:$8=$B172), 0)), 0) + 1, MATCH(1, (Data_Input!$7:$7=$F$3)*(Data_Input!$8:$8=$B172), 0)),"")</f>
        <v/>
      </c>
      <c r="L172" t="str" cm="1">
        <f t="array" ref="L172">IFERROR(_xlfn.LET(
    _xlpm.targetDate, B172,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73" spans="1:12" x14ac:dyDescent="0.3">
      <c r="A173" s="16" t="str">
        <f t="shared" si="4"/>
        <v/>
      </c>
      <c r="B173" s="19"/>
      <c r="C173" s="17" t="str">
        <f t="shared" si="5"/>
        <v/>
      </c>
      <c r="D173" s="29" t="str" cm="1">
        <f t="array" ref="D173">IFERROR(INDEX(Data_Input!$10:$10,MATCH(1,(Data_Input!$7:$7=$F$3)*(Data_Input!$8:$8=$B173),0)),"")</f>
        <v/>
      </c>
      <c r="E173" s="29" t="str" cm="1">
        <f t="array" ref="E173">IFERROR(INDEX(Data_Input!$1:$100, 9, MATCH(1, (Data_Input!$7:$7=$F$3) * (Data_Input!$8:$8=$B173), 0)),"")</f>
        <v/>
      </c>
      <c r="F173" s="20" t="str" cm="1">
        <f t="array" ref="F173">IFERROR(INDEX(Data_Input!$A$1:$ZZ$502, MATCH("예수금", INDEX(Data_Input!$A$1:$ZZ$502, 0, MATCH(1, (Data_Input!$7:$7=$F$3)*(Data_Input!$8:$8=$B173), 0)), 0) + 1, MATCH(1, (Data_Input!$7:$7=$F$3)*(Data_Input!$8:$8=$B173), 0)),"")</f>
        <v/>
      </c>
      <c r="G173" s="20" t="str" cm="1">
        <f t="array" ref="G173">IFERROR(INDEX(Data_Input!$A$1:$ZZ$502, MATCH("총자산", INDEX(Data_Input!$A$1:$ZZ$502, 0, MATCH(1, (Data_Input!$7:$7=$F$3)*(Data_Input!$8:$8=$B173), 0)), 0) + 1, MATCH(1, (Data_Input!$7:$7=$F$3)*(Data_Input!$8:$8=$B173), 0)),"")</f>
        <v/>
      </c>
      <c r="H173" s="20" t="str" cm="1">
        <f t="array" ref="H173">IFERROR(INDEX(Data_Input!$A$1:$ZZ$502, MATCH("매입금액", INDEX(Data_Input!$A$1:$ZZ$502, 0, MATCH(1, (Data_Input!$7:$7=$F$3)*(Data_Input!$8:$8=$B173), 0)), 0) + 1, MATCH(1, (Data_Input!$7:$7=$F$3)*(Data_Input!$8:$8=$B173), 0)),"")</f>
        <v/>
      </c>
      <c r="I173" s="20" t="str" cm="1">
        <f t="array" ref="I173">IFERROR(INDEX(Data_Input!$A$1:$ZZ$502, MATCH("평가금액", INDEX(Data_Input!$A$1:$ZZ$502, 0, MATCH(1, (Data_Input!$7:$7=$F$3)*(Data_Input!$8:$8=$B173), 0)), 0) + 1, MATCH(1, (Data_Input!$7:$7=$F$3)*(Data_Input!$8:$8=$B173), 0)),"")</f>
        <v/>
      </c>
      <c r="J173" s="20" t="str" cm="1">
        <f t="array" ref="J173">IFERROR(INDEX(Data_Input!$A$1:$ZZ$502, MATCH("평가손익", INDEX(Data_Input!$A$1:$ZZ$502, 0, MATCH(1, (Data_Input!$7:$7=$F$3)*(Data_Input!$8:$8=$B173), 0)), 0) + 1, MATCH(1, (Data_Input!$7:$7=$F$3)*(Data_Input!$8:$8=$B173), 0)),"")</f>
        <v/>
      </c>
      <c r="K173" s="14" t="str" cm="1">
        <f t="array" ref="K173">IFERROR(INDEX(Data_Input!$A$1:$ZZ$502, MATCH("총수익률", INDEX(Data_Input!$A$1:$ZZ$502, 0, MATCH(1, (Data_Input!$7:$7=$F$3)*(Data_Input!$8:$8=$B173), 0)), 0) + 1, MATCH(1, (Data_Input!$7:$7=$F$3)*(Data_Input!$8:$8=$B173), 0)),"")</f>
        <v/>
      </c>
      <c r="L173" t="str" cm="1">
        <f t="array" ref="L173">IFERROR(_xlfn.LET(
    _xlpm.targetDate, B173,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74" spans="1:12" x14ac:dyDescent="0.3">
      <c r="A174" s="16" t="str">
        <f t="shared" si="4"/>
        <v/>
      </c>
      <c r="B174" s="19"/>
      <c r="C174" s="17" t="str">
        <f t="shared" si="5"/>
        <v/>
      </c>
      <c r="D174" s="29" t="str" cm="1">
        <f t="array" ref="D174">IFERROR(INDEX(Data_Input!$10:$10,MATCH(1,(Data_Input!$7:$7=$F$3)*(Data_Input!$8:$8=$B174),0)),"")</f>
        <v/>
      </c>
      <c r="E174" s="29" t="str" cm="1">
        <f t="array" ref="E174">IFERROR(INDEX(Data_Input!$1:$100, 9, MATCH(1, (Data_Input!$7:$7=$F$3) * (Data_Input!$8:$8=$B174), 0)),"")</f>
        <v/>
      </c>
      <c r="F174" s="20" t="str" cm="1">
        <f t="array" ref="F174">IFERROR(INDEX(Data_Input!$A$1:$ZZ$502, MATCH("예수금", INDEX(Data_Input!$A$1:$ZZ$502, 0, MATCH(1, (Data_Input!$7:$7=$F$3)*(Data_Input!$8:$8=$B174), 0)), 0) + 1, MATCH(1, (Data_Input!$7:$7=$F$3)*(Data_Input!$8:$8=$B174), 0)),"")</f>
        <v/>
      </c>
      <c r="G174" s="20" t="str" cm="1">
        <f t="array" ref="G174">IFERROR(INDEX(Data_Input!$A$1:$ZZ$502, MATCH("총자산", INDEX(Data_Input!$A$1:$ZZ$502, 0, MATCH(1, (Data_Input!$7:$7=$F$3)*(Data_Input!$8:$8=$B174), 0)), 0) + 1, MATCH(1, (Data_Input!$7:$7=$F$3)*(Data_Input!$8:$8=$B174), 0)),"")</f>
        <v/>
      </c>
      <c r="H174" s="20" t="str" cm="1">
        <f t="array" ref="H174">IFERROR(INDEX(Data_Input!$A$1:$ZZ$502, MATCH("매입금액", INDEX(Data_Input!$A$1:$ZZ$502, 0, MATCH(1, (Data_Input!$7:$7=$F$3)*(Data_Input!$8:$8=$B174), 0)), 0) + 1, MATCH(1, (Data_Input!$7:$7=$F$3)*(Data_Input!$8:$8=$B174), 0)),"")</f>
        <v/>
      </c>
      <c r="I174" s="20" t="str" cm="1">
        <f t="array" ref="I174">IFERROR(INDEX(Data_Input!$A$1:$ZZ$502, MATCH("평가금액", INDEX(Data_Input!$A$1:$ZZ$502, 0, MATCH(1, (Data_Input!$7:$7=$F$3)*(Data_Input!$8:$8=$B174), 0)), 0) + 1, MATCH(1, (Data_Input!$7:$7=$F$3)*(Data_Input!$8:$8=$B174), 0)),"")</f>
        <v/>
      </c>
      <c r="J174" s="20" t="str" cm="1">
        <f t="array" ref="J174">IFERROR(INDEX(Data_Input!$A$1:$ZZ$502, MATCH("평가손익", INDEX(Data_Input!$A$1:$ZZ$502, 0, MATCH(1, (Data_Input!$7:$7=$F$3)*(Data_Input!$8:$8=$B174), 0)), 0) + 1, MATCH(1, (Data_Input!$7:$7=$F$3)*(Data_Input!$8:$8=$B174), 0)),"")</f>
        <v/>
      </c>
      <c r="K174" s="14" t="str" cm="1">
        <f t="array" ref="K174">IFERROR(INDEX(Data_Input!$A$1:$ZZ$502, MATCH("총수익률", INDEX(Data_Input!$A$1:$ZZ$502, 0, MATCH(1, (Data_Input!$7:$7=$F$3)*(Data_Input!$8:$8=$B174), 0)), 0) + 1, MATCH(1, (Data_Input!$7:$7=$F$3)*(Data_Input!$8:$8=$B174), 0)),"")</f>
        <v/>
      </c>
      <c r="L174" t="str" cm="1">
        <f t="array" ref="L174">IFERROR(_xlfn.LET(
    _xlpm.targetDate, B174,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75" spans="1:12" x14ac:dyDescent="0.3">
      <c r="A175" s="16" t="str">
        <f t="shared" si="4"/>
        <v/>
      </c>
      <c r="B175" s="19"/>
      <c r="C175" s="17" t="str">
        <f t="shared" si="5"/>
        <v/>
      </c>
      <c r="D175" s="29" t="str" cm="1">
        <f t="array" ref="D175">IFERROR(INDEX(Data_Input!$10:$10,MATCH(1,(Data_Input!$7:$7=$F$3)*(Data_Input!$8:$8=$B175),0)),"")</f>
        <v/>
      </c>
      <c r="E175" s="29" t="str" cm="1">
        <f t="array" ref="E175">IFERROR(INDEX(Data_Input!$1:$100, 9, MATCH(1, (Data_Input!$7:$7=$F$3) * (Data_Input!$8:$8=$B175), 0)),"")</f>
        <v/>
      </c>
      <c r="F175" s="20" t="str" cm="1">
        <f t="array" ref="F175">IFERROR(INDEX(Data_Input!$A$1:$ZZ$502, MATCH("예수금", INDEX(Data_Input!$A$1:$ZZ$502, 0, MATCH(1, (Data_Input!$7:$7=$F$3)*(Data_Input!$8:$8=$B175), 0)), 0) + 1, MATCH(1, (Data_Input!$7:$7=$F$3)*(Data_Input!$8:$8=$B175), 0)),"")</f>
        <v/>
      </c>
      <c r="G175" s="20" t="str" cm="1">
        <f t="array" ref="G175">IFERROR(INDEX(Data_Input!$A$1:$ZZ$502, MATCH("총자산", INDEX(Data_Input!$A$1:$ZZ$502, 0, MATCH(1, (Data_Input!$7:$7=$F$3)*(Data_Input!$8:$8=$B175), 0)), 0) + 1, MATCH(1, (Data_Input!$7:$7=$F$3)*(Data_Input!$8:$8=$B175), 0)),"")</f>
        <v/>
      </c>
      <c r="H175" s="20" t="str" cm="1">
        <f t="array" ref="H175">IFERROR(INDEX(Data_Input!$A$1:$ZZ$502, MATCH("매입금액", INDEX(Data_Input!$A$1:$ZZ$502, 0, MATCH(1, (Data_Input!$7:$7=$F$3)*(Data_Input!$8:$8=$B175), 0)), 0) + 1, MATCH(1, (Data_Input!$7:$7=$F$3)*(Data_Input!$8:$8=$B175), 0)),"")</f>
        <v/>
      </c>
      <c r="I175" s="20" t="str" cm="1">
        <f t="array" ref="I175">IFERROR(INDEX(Data_Input!$A$1:$ZZ$502, MATCH("평가금액", INDEX(Data_Input!$A$1:$ZZ$502, 0, MATCH(1, (Data_Input!$7:$7=$F$3)*(Data_Input!$8:$8=$B175), 0)), 0) + 1, MATCH(1, (Data_Input!$7:$7=$F$3)*(Data_Input!$8:$8=$B175), 0)),"")</f>
        <v/>
      </c>
      <c r="J175" s="20" t="str" cm="1">
        <f t="array" ref="J175">IFERROR(INDEX(Data_Input!$A$1:$ZZ$502, MATCH("평가손익", INDEX(Data_Input!$A$1:$ZZ$502, 0, MATCH(1, (Data_Input!$7:$7=$F$3)*(Data_Input!$8:$8=$B175), 0)), 0) + 1, MATCH(1, (Data_Input!$7:$7=$F$3)*(Data_Input!$8:$8=$B175), 0)),"")</f>
        <v/>
      </c>
      <c r="K175" s="14" t="str" cm="1">
        <f t="array" ref="K175">IFERROR(INDEX(Data_Input!$A$1:$ZZ$502, MATCH("총수익률", INDEX(Data_Input!$A$1:$ZZ$502, 0, MATCH(1, (Data_Input!$7:$7=$F$3)*(Data_Input!$8:$8=$B175), 0)), 0) + 1, MATCH(1, (Data_Input!$7:$7=$F$3)*(Data_Input!$8:$8=$B175), 0)),"")</f>
        <v/>
      </c>
      <c r="L175" t="str" cm="1">
        <f t="array" ref="L175">IFERROR(_xlfn.LET(
    _xlpm.targetDate, B175,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76" spans="1:12" x14ac:dyDescent="0.3">
      <c r="A176" s="16" t="str">
        <f t="shared" si="4"/>
        <v/>
      </c>
      <c r="B176" s="19"/>
      <c r="C176" s="17" t="str">
        <f t="shared" si="5"/>
        <v/>
      </c>
      <c r="D176" s="29" t="str" cm="1">
        <f t="array" ref="D176">IFERROR(INDEX(Data_Input!$10:$10,MATCH(1,(Data_Input!$7:$7=$F$3)*(Data_Input!$8:$8=$B176),0)),"")</f>
        <v/>
      </c>
      <c r="E176" s="29" t="str" cm="1">
        <f t="array" ref="E176">IFERROR(INDEX(Data_Input!$1:$100, 9, MATCH(1, (Data_Input!$7:$7=$F$3) * (Data_Input!$8:$8=$B176), 0)),"")</f>
        <v/>
      </c>
      <c r="F176" s="20" t="str" cm="1">
        <f t="array" ref="F176">IFERROR(INDEX(Data_Input!$A$1:$ZZ$502, MATCH("예수금", INDEX(Data_Input!$A$1:$ZZ$502, 0, MATCH(1, (Data_Input!$7:$7=$F$3)*(Data_Input!$8:$8=$B176), 0)), 0) + 1, MATCH(1, (Data_Input!$7:$7=$F$3)*(Data_Input!$8:$8=$B176), 0)),"")</f>
        <v/>
      </c>
      <c r="G176" s="20" t="str" cm="1">
        <f t="array" ref="G176">IFERROR(INDEX(Data_Input!$A$1:$ZZ$502, MATCH("총자산", INDEX(Data_Input!$A$1:$ZZ$502, 0, MATCH(1, (Data_Input!$7:$7=$F$3)*(Data_Input!$8:$8=$B176), 0)), 0) + 1, MATCH(1, (Data_Input!$7:$7=$F$3)*(Data_Input!$8:$8=$B176), 0)),"")</f>
        <v/>
      </c>
      <c r="H176" s="20" t="str" cm="1">
        <f t="array" ref="H176">IFERROR(INDEX(Data_Input!$A$1:$ZZ$502, MATCH("매입금액", INDEX(Data_Input!$A$1:$ZZ$502, 0, MATCH(1, (Data_Input!$7:$7=$F$3)*(Data_Input!$8:$8=$B176), 0)), 0) + 1, MATCH(1, (Data_Input!$7:$7=$F$3)*(Data_Input!$8:$8=$B176), 0)),"")</f>
        <v/>
      </c>
      <c r="I176" s="20" t="str" cm="1">
        <f t="array" ref="I176">IFERROR(INDEX(Data_Input!$A$1:$ZZ$502, MATCH("평가금액", INDEX(Data_Input!$A$1:$ZZ$502, 0, MATCH(1, (Data_Input!$7:$7=$F$3)*(Data_Input!$8:$8=$B176), 0)), 0) + 1, MATCH(1, (Data_Input!$7:$7=$F$3)*(Data_Input!$8:$8=$B176), 0)),"")</f>
        <v/>
      </c>
      <c r="J176" s="20" t="str" cm="1">
        <f t="array" ref="J176">IFERROR(INDEX(Data_Input!$A$1:$ZZ$502, MATCH("평가손익", INDEX(Data_Input!$A$1:$ZZ$502, 0, MATCH(1, (Data_Input!$7:$7=$F$3)*(Data_Input!$8:$8=$B176), 0)), 0) + 1, MATCH(1, (Data_Input!$7:$7=$F$3)*(Data_Input!$8:$8=$B176), 0)),"")</f>
        <v/>
      </c>
      <c r="K176" s="14" t="str" cm="1">
        <f t="array" ref="K176">IFERROR(INDEX(Data_Input!$A$1:$ZZ$502, MATCH("총수익률", INDEX(Data_Input!$A$1:$ZZ$502, 0, MATCH(1, (Data_Input!$7:$7=$F$3)*(Data_Input!$8:$8=$B176), 0)), 0) + 1, MATCH(1, (Data_Input!$7:$7=$F$3)*(Data_Input!$8:$8=$B176), 0)),"")</f>
        <v/>
      </c>
      <c r="L176" t="str" cm="1">
        <f t="array" ref="L176">IFERROR(_xlfn.LET(
    _xlpm.targetDate, B176,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77" spans="1:12" x14ac:dyDescent="0.3">
      <c r="A177" s="16" t="str">
        <f t="shared" si="4"/>
        <v/>
      </c>
      <c r="B177" s="19"/>
      <c r="C177" s="17" t="str">
        <f t="shared" si="5"/>
        <v/>
      </c>
      <c r="D177" s="29" t="str" cm="1">
        <f t="array" ref="D177">IFERROR(INDEX(Data_Input!$10:$10,MATCH(1,(Data_Input!$7:$7=$F$3)*(Data_Input!$8:$8=$B177),0)),"")</f>
        <v/>
      </c>
      <c r="E177" s="29" t="str" cm="1">
        <f t="array" ref="E177">IFERROR(INDEX(Data_Input!$1:$100, 9, MATCH(1, (Data_Input!$7:$7=$F$3) * (Data_Input!$8:$8=$B177), 0)),"")</f>
        <v/>
      </c>
      <c r="F177" s="20" t="str" cm="1">
        <f t="array" ref="F177">IFERROR(INDEX(Data_Input!$A$1:$ZZ$502, MATCH("예수금", INDEX(Data_Input!$A$1:$ZZ$502, 0, MATCH(1, (Data_Input!$7:$7=$F$3)*(Data_Input!$8:$8=$B177), 0)), 0) + 1, MATCH(1, (Data_Input!$7:$7=$F$3)*(Data_Input!$8:$8=$B177), 0)),"")</f>
        <v/>
      </c>
      <c r="G177" s="20" t="str" cm="1">
        <f t="array" ref="G177">IFERROR(INDEX(Data_Input!$A$1:$ZZ$502, MATCH("총자산", INDEX(Data_Input!$A$1:$ZZ$502, 0, MATCH(1, (Data_Input!$7:$7=$F$3)*(Data_Input!$8:$8=$B177), 0)), 0) + 1, MATCH(1, (Data_Input!$7:$7=$F$3)*(Data_Input!$8:$8=$B177), 0)),"")</f>
        <v/>
      </c>
      <c r="H177" s="20" t="str" cm="1">
        <f t="array" ref="H177">IFERROR(INDEX(Data_Input!$A$1:$ZZ$502, MATCH("매입금액", INDEX(Data_Input!$A$1:$ZZ$502, 0, MATCH(1, (Data_Input!$7:$7=$F$3)*(Data_Input!$8:$8=$B177), 0)), 0) + 1, MATCH(1, (Data_Input!$7:$7=$F$3)*(Data_Input!$8:$8=$B177), 0)),"")</f>
        <v/>
      </c>
      <c r="I177" s="20" t="str" cm="1">
        <f t="array" ref="I177">IFERROR(INDEX(Data_Input!$A$1:$ZZ$502, MATCH("평가금액", INDEX(Data_Input!$A$1:$ZZ$502, 0, MATCH(1, (Data_Input!$7:$7=$F$3)*(Data_Input!$8:$8=$B177), 0)), 0) + 1, MATCH(1, (Data_Input!$7:$7=$F$3)*(Data_Input!$8:$8=$B177), 0)),"")</f>
        <v/>
      </c>
      <c r="J177" s="20" t="str" cm="1">
        <f t="array" ref="J177">IFERROR(INDEX(Data_Input!$A$1:$ZZ$502, MATCH("평가손익", INDEX(Data_Input!$A$1:$ZZ$502, 0, MATCH(1, (Data_Input!$7:$7=$F$3)*(Data_Input!$8:$8=$B177), 0)), 0) + 1, MATCH(1, (Data_Input!$7:$7=$F$3)*(Data_Input!$8:$8=$B177), 0)),"")</f>
        <v/>
      </c>
      <c r="K177" s="14" t="str" cm="1">
        <f t="array" ref="K177">IFERROR(INDEX(Data_Input!$A$1:$ZZ$502, MATCH("총수익률", INDEX(Data_Input!$A$1:$ZZ$502, 0, MATCH(1, (Data_Input!$7:$7=$F$3)*(Data_Input!$8:$8=$B177), 0)), 0) + 1, MATCH(1, (Data_Input!$7:$7=$F$3)*(Data_Input!$8:$8=$B177), 0)),"")</f>
        <v/>
      </c>
      <c r="L177" t="str" cm="1">
        <f t="array" ref="L177">IFERROR(_xlfn.LET(
    _xlpm.targetDate, B177,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78" spans="1:12" x14ac:dyDescent="0.3">
      <c r="A178" s="16" t="str">
        <f t="shared" si="4"/>
        <v/>
      </c>
      <c r="B178" s="19"/>
      <c r="C178" s="17" t="str">
        <f t="shared" si="5"/>
        <v/>
      </c>
      <c r="D178" s="29" t="str" cm="1">
        <f t="array" ref="D178">IFERROR(INDEX(Data_Input!$10:$10,MATCH(1,(Data_Input!$7:$7=$F$3)*(Data_Input!$8:$8=$B178),0)),"")</f>
        <v/>
      </c>
      <c r="E178" s="29" t="str" cm="1">
        <f t="array" ref="E178">IFERROR(INDEX(Data_Input!$1:$100, 9, MATCH(1, (Data_Input!$7:$7=$F$3) * (Data_Input!$8:$8=$B178), 0)),"")</f>
        <v/>
      </c>
      <c r="F178" s="20" t="str" cm="1">
        <f t="array" ref="F178">IFERROR(INDEX(Data_Input!$A$1:$ZZ$502, MATCH("예수금", INDEX(Data_Input!$A$1:$ZZ$502, 0, MATCH(1, (Data_Input!$7:$7=$F$3)*(Data_Input!$8:$8=$B178), 0)), 0) + 1, MATCH(1, (Data_Input!$7:$7=$F$3)*(Data_Input!$8:$8=$B178), 0)),"")</f>
        <v/>
      </c>
      <c r="G178" s="20" t="str" cm="1">
        <f t="array" ref="G178">IFERROR(INDEX(Data_Input!$A$1:$ZZ$502, MATCH("총자산", INDEX(Data_Input!$A$1:$ZZ$502, 0, MATCH(1, (Data_Input!$7:$7=$F$3)*(Data_Input!$8:$8=$B178), 0)), 0) + 1, MATCH(1, (Data_Input!$7:$7=$F$3)*(Data_Input!$8:$8=$B178), 0)),"")</f>
        <v/>
      </c>
      <c r="H178" s="20" t="str" cm="1">
        <f t="array" ref="H178">IFERROR(INDEX(Data_Input!$A$1:$ZZ$502, MATCH("매입금액", INDEX(Data_Input!$A$1:$ZZ$502, 0, MATCH(1, (Data_Input!$7:$7=$F$3)*(Data_Input!$8:$8=$B178), 0)), 0) + 1, MATCH(1, (Data_Input!$7:$7=$F$3)*(Data_Input!$8:$8=$B178), 0)),"")</f>
        <v/>
      </c>
      <c r="I178" s="20" t="str" cm="1">
        <f t="array" ref="I178">IFERROR(INDEX(Data_Input!$A$1:$ZZ$502, MATCH("평가금액", INDEX(Data_Input!$A$1:$ZZ$502, 0, MATCH(1, (Data_Input!$7:$7=$F$3)*(Data_Input!$8:$8=$B178), 0)), 0) + 1, MATCH(1, (Data_Input!$7:$7=$F$3)*(Data_Input!$8:$8=$B178), 0)),"")</f>
        <v/>
      </c>
      <c r="J178" s="20" t="str" cm="1">
        <f t="array" ref="J178">IFERROR(INDEX(Data_Input!$A$1:$ZZ$502, MATCH("평가손익", INDEX(Data_Input!$A$1:$ZZ$502, 0, MATCH(1, (Data_Input!$7:$7=$F$3)*(Data_Input!$8:$8=$B178), 0)), 0) + 1, MATCH(1, (Data_Input!$7:$7=$F$3)*(Data_Input!$8:$8=$B178), 0)),"")</f>
        <v/>
      </c>
      <c r="K178" s="14" t="str" cm="1">
        <f t="array" ref="K178">IFERROR(INDEX(Data_Input!$A$1:$ZZ$502, MATCH("총수익률", INDEX(Data_Input!$A$1:$ZZ$502, 0, MATCH(1, (Data_Input!$7:$7=$F$3)*(Data_Input!$8:$8=$B178), 0)), 0) + 1, MATCH(1, (Data_Input!$7:$7=$F$3)*(Data_Input!$8:$8=$B178), 0)),"")</f>
        <v/>
      </c>
      <c r="L178" t="str" cm="1">
        <f t="array" ref="L178">IFERROR(_xlfn.LET(
    _xlpm.targetDate, B178,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79" spans="1:12" x14ac:dyDescent="0.3">
      <c r="A179" s="16" t="str">
        <f t="shared" si="4"/>
        <v/>
      </c>
      <c r="B179" s="19"/>
      <c r="C179" s="17" t="str">
        <f t="shared" si="5"/>
        <v/>
      </c>
      <c r="D179" s="29" t="str" cm="1">
        <f t="array" ref="D179">IFERROR(INDEX(Data_Input!$10:$10,MATCH(1,(Data_Input!$7:$7=$F$3)*(Data_Input!$8:$8=$B179),0)),"")</f>
        <v/>
      </c>
      <c r="E179" s="29" t="str" cm="1">
        <f t="array" ref="E179">IFERROR(INDEX(Data_Input!$1:$100, 9, MATCH(1, (Data_Input!$7:$7=$F$3) * (Data_Input!$8:$8=$B179), 0)),"")</f>
        <v/>
      </c>
      <c r="F179" s="20" t="str" cm="1">
        <f t="array" ref="F179">IFERROR(INDEX(Data_Input!$A$1:$ZZ$502, MATCH("예수금", INDEX(Data_Input!$A$1:$ZZ$502, 0, MATCH(1, (Data_Input!$7:$7=$F$3)*(Data_Input!$8:$8=$B179), 0)), 0) + 1, MATCH(1, (Data_Input!$7:$7=$F$3)*(Data_Input!$8:$8=$B179), 0)),"")</f>
        <v/>
      </c>
      <c r="G179" s="20" t="str" cm="1">
        <f t="array" ref="G179">IFERROR(INDEX(Data_Input!$A$1:$ZZ$502, MATCH("총자산", INDEX(Data_Input!$A$1:$ZZ$502, 0, MATCH(1, (Data_Input!$7:$7=$F$3)*(Data_Input!$8:$8=$B179), 0)), 0) + 1, MATCH(1, (Data_Input!$7:$7=$F$3)*(Data_Input!$8:$8=$B179), 0)),"")</f>
        <v/>
      </c>
      <c r="H179" s="20" t="str" cm="1">
        <f t="array" ref="H179">IFERROR(INDEX(Data_Input!$A$1:$ZZ$502, MATCH("매입금액", INDEX(Data_Input!$A$1:$ZZ$502, 0, MATCH(1, (Data_Input!$7:$7=$F$3)*(Data_Input!$8:$8=$B179), 0)), 0) + 1, MATCH(1, (Data_Input!$7:$7=$F$3)*(Data_Input!$8:$8=$B179), 0)),"")</f>
        <v/>
      </c>
      <c r="I179" s="20" t="str" cm="1">
        <f t="array" ref="I179">IFERROR(INDEX(Data_Input!$A$1:$ZZ$502, MATCH("평가금액", INDEX(Data_Input!$A$1:$ZZ$502, 0, MATCH(1, (Data_Input!$7:$7=$F$3)*(Data_Input!$8:$8=$B179), 0)), 0) + 1, MATCH(1, (Data_Input!$7:$7=$F$3)*(Data_Input!$8:$8=$B179), 0)),"")</f>
        <v/>
      </c>
      <c r="J179" s="20" t="str" cm="1">
        <f t="array" ref="J179">IFERROR(INDEX(Data_Input!$A$1:$ZZ$502, MATCH("평가손익", INDEX(Data_Input!$A$1:$ZZ$502, 0, MATCH(1, (Data_Input!$7:$7=$F$3)*(Data_Input!$8:$8=$B179), 0)), 0) + 1, MATCH(1, (Data_Input!$7:$7=$F$3)*(Data_Input!$8:$8=$B179), 0)),"")</f>
        <v/>
      </c>
      <c r="K179" s="14" t="str" cm="1">
        <f t="array" ref="K179">IFERROR(INDEX(Data_Input!$A$1:$ZZ$502, MATCH("총수익률", INDEX(Data_Input!$A$1:$ZZ$502, 0, MATCH(1, (Data_Input!$7:$7=$F$3)*(Data_Input!$8:$8=$B179), 0)), 0) + 1, MATCH(1, (Data_Input!$7:$7=$F$3)*(Data_Input!$8:$8=$B179), 0)),"")</f>
        <v/>
      </c>
      <c r="L179" t="str" cm="1">
        <f t="array" ref="L179">IFERROR(_xlfn.LET(
    _xlpm.targetDate, B179,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80" spans="1:12" x14ac:dyDescent="0.3">
      <c r="A180" s="16" t="str">
        <f t="shared" si="4"/>
        <v/>
      </c>
      <c r="B180" s="19"/>
      <c r="C180" s="17" t="str">
        <f t="shared" si="5"/>
        <v/>
      </c>
      <c r="D180" s="29" t="str" cm="1">
        <f t="array" ref="D180">IFERROR(INDEX(Data_Input!$10:$10,MATCH(1,(Data_Input!$7:$7=$F$3)*(Data_Input!$8:$8=$B180),0)),"")</f>
        <v/>
      </c>
      <c r="E180" s="29" t="str" cm="1">
        <f t="array" ref="E180">IFERROR(INDEX(Data_Input!$1:$100, 9, MATCH(1, (Data_Input!$7:$7=$F$3) * (Data_Input!$8:$8=$B180), 0)),"")</f>
        <v/>
      </c>
      <c r="F180" s="20" t="str" cm="1">
        <f t="array" ref="F180">IFERROR(INDEX(Data_Input!$A$1:$ZZ$502, MATCH("예수금", INDEX(Data_Input!$A$1:$ZZ$502, 0, MATCH(1, (Data_Input!$7:$7=$F$3)*(Data_Input!$8:$8=$B180), 0)), 0) + 1, MATCH(1, (Data_Input!$7:$7=$F$3)*(Data_Input!$8:$8=$B180), 0)),"")</f>
        <v/>
      </c>
      <c r="G180" s="20" t="str" cm="1">
        <f t="array" ref="G180">IFERROR(INDEX(Data_Input!$A$1:$ZZ$502, MATCH("총자산", INDEX(Data_Input!$A$1:$ZZ$502, 0, MATCH(1, (Data_Input!$7:$7=$F$3)*(Data_Input!$8:$8=$B180), 0)), 0) + 1, MATCH(1, (Data_Input!$7:$7=$F$3)*(Data_Input!$8:$8=$B180), 0)),"")</f>
        <v/>
      </c>
      <c r="H180" s="20" t="str" cm="1">
        <f t="array" ref="H180">IFERROR(INDEX(Data_Input!$A$1:$ZZ$502, MATCH("매입금액", INDEX(Data_Input!$A$1:$ZZ$502, 0, MATCH(1, (Data_Input!$7:$7=$F$3)*(Data_Input!$8:$8=$B180), 0)), 0) + 1, MATCH(1, (Data_Input!$7:$7=$F$3)*(Data_Input!$8:$8=$B180), 0)),"")</f>
        <v/>
      </c>
      <c r="I180" s="20" t="str" cm="1">
        <f t="array" ref="I180">IFERROR(INDEX(Data_Input!$A$1:$ZZ$502, MATCH("평가금액", INDEX(Data_Input!$A$1:$ZZ$502, 0, MATCH(1, (Data_Input!$7:$7=$F$3)*(Data_Input!$8:$8=$B180), 0)), 0) + 1, MATCH(1, (Data_Input!$7:$7=$F$3)*(Data_Input!$8:$8=$B180), 0)),"")</f>
        <v/>
      </c>
      <c r="J180" s="20" t="str" cm="1">
        <f t="array" ref="J180">IFERROR(INDEX(Data_Input!$A$1:$ZZ$502, MATCH("평가손익", INDEX(Data_Input!$A$1:$ZZ$502, 0, MATCH(1, (Data_Input!$7:$7=$F$3)*(Data_Input!$8:$8=$B180), 0)), 0) + 1, MATCH(1, (Data_Input!$7:$7=$F$3)*(Data_Input!$8:$8=$B180), 0)),"")</f>
        <v/>
      </c>
      <c r="K180" s="14" t="str" cm="1">
        <f t="array" ref="K180">IFERROR(INDEX(Data_Input!$A$1:$ZZ$502, MATCH("총수익률", INDEX(Data_Input!$A$1:$ZZ$502, 0, MATCH(1, (Data_Input!$7:$7=$F$3)*(Data_Input!$8:$8=$B180), 0)), 0) + 1, MATCH(1, (Data_Input!$7:$7=$F$3)*(Data_Input!$8:$8=$B180), 0)),"")</f>
        <v/>
      </c>
      <c r="L180" t="str" cm="1">
        <f t="array" ref="L180">IFERROR(_xlfn.LET(
    _xlpm.targetDate, B180,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81" spans="1:12" x14ac:dyDescent="0.3">
      <c r="A181" s="16" t="str">
        <f t="shared" si="4"/>
        <v/>
      </c>
      <c r="B181" s="19"/>
      <c r="C181" s="17" t="str">
        <f t="shared" si="5"/>
        <v/>
      </c>
      <c r="D181" s="29" t="str" cm="1">
        <f t="array" ref="D181">IFERROR(INDEX(Data_Input!$10:$10,MATCH(1,(Data_Input!$7:$7=$F$3)*(Data_Input!$8:$8=$B181),0)),"")</f>
        <v/>
      </c>
      <c r="E181" s="29" t="str" cm="1">
        <f t="array" ref="E181">IFERROR(INDEX(Data_Input!$1:$100, 9, MATCH(1, (Data_Input!$7:$7=$F$3) * (Data_Input!$8:$8=$B181), 0)),"")</f>
        <v/>
      </c>
      <c r="F181" s="20" t="str" cm="1">
        <f t="array" ref="F181">IFERROR(INDEX(Data_Input!$A$1:$ZZ$502, MATCH("예수금", INDEX(Data_Input!$A$1:$ZZ$502, 0, MATCH(1, (Data_Input!$7:$7=$F$3)*(Data_Input!$8:$8=$B181), 0)), 0) + 1, MATCH(1, (Data_Input!$7:$7=$F$3)*(Data_Input!$8:$8=$B181), 0)),"")</f>
        <v/>
      </c>
      <c r="G181" s="20" t="str" cm="1">
        <f t="array" ref="G181">IFERROR(INDEX(Data_Input!$A$1:$ZZ$502, MATCH("총자산", INDEX(Data_Input!$A$1:$ZZ$502, 0, MATCH(1, (Data_Input!$7:$7=$F$3)*(Data_Input!$8:$8=$B181), 0)), 0) + 1, MATCH(1, (Data_Input!$7:$7=$F$3)*(Data_Input!$8:$8=$B181), 0)),"")</f>
        <v/>
      </c>
      <c r="H181" s="20" t="str" cm="1">
        <f t="array" ref="H181">IFERROR(INDEX(Data_Input!$A$1:$ZZ$502, MATCH("매입금액", INDEX(Data_Input!$A$1:$ZZ$502, 0, MATCH(1, (Data_Input!$7:$7=$F$3)*(Data_Input!$8:$8=$B181), 0)), 0) + 1, MATCH(1, (Data_Input!$7:$7=$F$3)*(Data_Input!$8:$8=$B181), 0)),"")</f>
        <v/>
      </c>
      <c r="I181" s="20" t="str" cm="1">
        <f t="array" ref="I181">IFERROR(INDEX(Data_Input!$A$1:$ZZ$502, MATCH("평가금액", INDEX(Data_Input!$A$1:$ZZ$502, 0, MATCH(1, (Data_Input!$7:$7=$F$3)*(Data_Input!$8:$8=$B181), 0)), 0) + 1, MATCH(1, (Data_Input!$7:$7=$F$3)*(Data_Input!$8:$8=$B181), 0)),"")</f>
        <v/>
      </c>
      <c r="J181" s="20" t="str" cm="1">
        <f t="array" ref="J181">IFERROR(INDEX(Data_Input!$A$1:$ZZ$502, MATCH("평가손익", INDEX(Data_Input!$A$1:$ZZ$502, 0, MATCH(1, (Data_Input!$7:$7=$F$3)*(Data_Input!$8:$8=$B181), 0)), 0) + 1, MATCH(1, (Data_Input!$7:$7=$F$3)*(Data_Input!$8:$8=$B181), 0)),"")</f>
        <v/>
      </c>
      <c r="K181" s="14" t="str" cm="1">
        <f t="array" ref="K181">IFERROR(INDEX(Data_Input!$A$1:$ZZ$502, MATCH("총수익률", INDEX(Data_Input!$A$1:$ZZ$502, 0, MATCH(1, (Data_Input!$7:$7=$F$3)*(Data_Input!$8:$8=$B181), 0)), 0) + 1, MATCH(1, (Data_Input!$7:$7=$F$3)*(Data_Input!$8:$8=$B181), 0)),"")</f>
        <v/>
      </c>
      <c r="L181" t="str" cm="1">
        <f t="array" ref="L181">IFERROR(_xlfn.LET(
    _xlpm.targetDate, B181,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82" spans="1:12" x14ac:dyDescent="0.3">
      <c r="A182" s="16" t="str">
        <f t="shared" si="4"/>
        <v/>
      </c>
      <c r="B182" s="19"/>
      <c r="C182" s="17" t="str">
        <f t="shared" si="5"/>
        <v/>
      </c>
      <c r="D182" s="29" t="str" cm="1">
        <f t="array" ref="D182">IFERROR(INDEX(Data_Input!$10:$10,MATCH(1,(Data_Input!$7:$7=$F$3)*(Data_Input!$8:$8=$B182),0)),"")</f>
        <v/>
      </c>
      <c r="E182" s="29" t="str" cm="1">
        <f t="array" ref="E182">IFERROR(INDEX(Data_Input!$1:$100, 9, MATCH(1, (Data_Input!$7:$7=$F$3) * (Data_Input!$8:$8=$B182), 0)),"")</f>
        <v/>
      </c>
      <c r="F182" s="20" t="str" cm="1">
        <f t="array" ref="F182">IFERROR(INDEX(Data_Input!$A$1:$ZZ$502, MATCH("예수금", INDEX(Data_Input!$A$1:$ZZ$502, 0, MATCH(1, (Data_Input!$7:$7=$F$3)*(Data_Input!$8:$8=$B182), 0)), 0) + 1, MATCH(1, (Data_Input!$7:$7=$F$3)*(Data_Input!$8:$8=$B182), 0)),"")</f>
        <v/>
      </c>
      <c r="G182" s="20" t="str" cm="1">
        <f t="array" ref="G182">IFERROR(INDEX(Data_Input!$A$1:$ZZ$502, MATCH("총자산", INDEX(Data_Input!$A$1:$ZZ$502, 0, MATCH(1, (Data_Input!$7:$7=$F$3)*(Data_Input!$8:$8=$B182), 0)), 0) + 1, MATCH(1, (Data_Input!$7:$7=$F$3)*(Data_Input!$8:$8=$B182), 0)),"")</f>
        <v/>
      </c>
      <c r="H182" s="20" t="str" cm="1">
        <f t="array" ref="H182">IFERROR(INDEX(Data_Input!$A$1:$ZZ$502, MATCH("매입금액", INDEX(Data_Input!$A$1:$ZZ$502, 0, MATCH(1, (Data_Input!$7:$7=$F$3)*(Data_Input!$8:$8=$B182), 0)), 0) + 1, MATCH(1, (Data_Input!$7:$7=$F$3)*(Data_Input!$8:$8=$B182), 0)),"")</f>
        <v/>
      </c>
      <c r="I182" s="20" t="str" cm="1">
        <f t="array" ref="I182">IFERROR(INDEX(Data_Input!$A$1:$ZZ$502, MATCH("평가금액", INDEX(Data_Input!$A$1:$ZZ$502, 0, MATCH(1, (Data_Input!$7:$7=$F$3)*(Data_Input!$8:$8=$B182), 0)), 0) + 1, MATCH(1, (Data_Input!$7:$7=$F$3)*(Data_Input!$8:$8=$B182), 0)),"")</f>
        <v/>
      </c>
      <c r="J182" s="20" t="str" cm="1">
        <f t="array" ref="J182">IFERROR(INDEX(Data_Input!$A$1:$ZZ$502, MATCH("평가손익", INDEX(Data_Input!$A$1:$ZZ$502, 0, MATCH(1, (Data_Input!$7:$7=$F$3)*(Data_Input!$8:$8=$B182), 0)), 0) + 1, MATCH(1, (Data_Input!$7:$7=$F$3)*(Data_Input!$8:$8=$B182), 0)),"")</f>
        <v/>
      </c>
      <c r="K182" s="14" t="str" cm="1">
        <f t="array" ref="K182">IFERROR(INDEX(Data_Input!$A$1:$ZZ$502, MATCH("총수익률", INDEX(Data_Input!$A$1:$ZZ$502, 0, MATCH(1, (Data_Input!$7:$7=$F$3)*(Data_Input!$8:$8=$B182), 0)), 0) + 1, MATCH(1, (Data_Input!$7:$7=$F$3)*(Data_Input!$8:$8=$B182), 0)),"")</f>
        <v/>
      </c>
      <c r="L182" t="str" cm="1">
        <f t="array" ref="L182">IFERROR(_xlfn.LET(
    _xlpm.targetDate, B182,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83" spans="1:12" x14ac:dyDescent="0.3">
      <c r="A183" s="16" t="str">
        <f t="shared" si="4"/>
        <v/>
      </c>
      <c r="B183" s="19"/>
      <c r="C183" s="17" t="str">
        <f t="shared" si="5"/>
        <v/>
      </c>
      <c r="D183" s="29" t="str" cm="1">
        <f t="array" ref="D183">IFERROR(INDEX(Data_Input!$10:$10,MATCH(1,(Data_Input!$7:$7=$F$3)*(Data_Input!$8:$8=$B183),0)),"")</f>
        <v/>
      </c>
      <c r="E183" s="29" t="str" cm="1">
        <f t="array" ref="E183">IFERROR(INDEX(Data_Input!$1:$100, 9, MATCH(1, (Data_Input!$7:$7=$F$3) * (Data_Input!$8:$8=$B183), 0)),"")</f>
        <v/>
      </c>
      <c r="F183" s="20" t="str" cm="1">
        <f t="array" ref="F183">IFERROR(INDEX(Data_Input!$A$1:$ZZ$502, MATCH("예수금", INDEX(Data_Input!$A$1:$ZZ$502, 0, MATCH(1, (Data_Input!$7:$7=$F$3)*(Data_Input!$8:$8=$B183), 0)), 0) + 1, MATCH(1, (Data_Input!$7:$7=$F$3)*(Data_Input!$8:$8=$B183), 0)),"")</f>
        <v/>
      </c>
      <c r="G183" s="20" t="str" cm="1">
        <f t="array" ref="G183">IFERROR(INDEX(Data_Input!$A$1:$ZZ$502, MATCH("총자산", INDEX(Data_Input!$A$1:$ZZ$502, 0, MATCH(1, (Data_Input!$7:$7=$F$3)*(Data_Input!$8:$8=$B183), 0)), 0) + 1, MATCH(1, (Data_Input!$7:$7=$F$3)*(Data_Input!$8:$8=$B183), 0)),"")</f>
        <v/>
      </c>
      <c r="H183" s="20" t="str" cm="1">
        <f t="array" ref="H183">IFERROR(INDEX(Data_Input!$A$1:$ZZ$502, MATCH("매입금액", INDEX(Data_Input!$A$1:$ZZ$502, 0, MATCH(1, (Data_Input!$7:$7=$F$3)*(Data_Input!$8:$8=$B183), 0)), 0) + 1, MATCH(1, (Data_Input!$7:$7=$F$3)*(Data_Input!$8:$8=$B183), 0)),"")</f>
        <v/>
      </c>
      <c r="I183" s="20" t="str" cm="1">
        <f t="array" ref="I183">IFERROR(INDEX(Data_Input!$A$1:$ZZ$502, MATCH("평가금액", INDEX(Data_Input!$A$1:$ZZ$502, 0, MATCH(1, (Data_Input!$7:$7=$F$3)*(Data_Input!$8:$8=$B183), 0)), 0) + 1, MATCH(1, (Data_Input!$7:$7=$F$3)*(Data_Input!$8:$8=$B183), 0)),"")</f>
        <v/>
      </c>
      <c r="J183" s="20" t="str" cm="1">
        <f t="array" ref="J183">IFERROR(INDEX(Data_Input!$A$1:$ZZ$502, MATCH("평가손익", INDEX(Data_Input!$A$1:$ZZ$502, 0, MATCH(1, (Data_Input!$7:$7=$F$3)*(Data_Input!$8:$8=$B183), 0)), 0) + 1, MATCH(1, (Data_Input!$7:$7=$F$3)*(Data_Input!$8:$8=$B183), 0)),"")</f>
        <v/>
      </c>
      <c r="K183" s="14" t="str" cm="1">
        <f t="array" ref="K183">IFERROR(INDEX(Data_Input!$A$1:$ZZ$502, MATCH("총수익률", INDEX(Data_Input!$A$1:$ZZ$502, 0, MATCH(1, (Data_Input!$7:$7=$F$3)*(Data_Input!$8:$8=$B183), 0)), 0) + 1, MATCH(1, (Data_Input!$7:$7=$F$3)*(Data_Input!$8:$8=$B183), 0)),"")</f>
        <v/>
      </c>
      <c r="L183" t="str" cm="1">
        <f t="array" ref="L183">IFERROR(_xlfn.LET(
    _xlpm.targetDate, B183,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84" spans="1:12" x14ac:dyDescent="0.3">
      <c r="A184" s="16" t="str">
        <f t="shared" si="4"/>
        <v/>
      </c>
      <c r="B184" s="19"/>
      <c r="C184" s="17" t="str">
        <f t="shared" si="5"/>
        <v/>
      </c>
      <c r="D184" s="29" t="str" cm="1">
        <f t="array" ref="D184">IFERROR(INDEX(Data_Input!$10:$10,MATCH(1,(Data_Input!$7:$7=$F$3)*(Data_Input!$8:$8=$B184),0)),"")</f>
        <v/>
      </c>
      <c r="E184" s="29" t="str" cm="1">
        <f t="array" ref="E184">IFERROR(INDEX(Data_Input!$1:$100, 9, MATCH(1, (Data_Input!$7:$7=$F$3) * (Data_Input!$8:$8=$B184), 0)),"")</f>
        <v/>
      </c>
      <c r="F184" s="20" t="str" cm="1">
        <f t="array" ref="F184">IFERROR(INDEX(Data_Input!$A$1:$ZZ$502, MATCH("예수금", INDEX(Data_Input!$A$1:$ZZ$502, 0, MATCH(1, (Data_Input!$7:$7=$F$3)*(Data_Input!$8:$8=$B184), 0)), 0) + 1, MATCH(1, (Data_Input!$7:$7=$F$3)*(Data_Input!$8:$8=$B184), 0)),"")</f>
        <v/>
      </c>
      <c r="G184" s="20" t="str" cm="1">
        <f t="array" ref="G184">IFERROR(INDEX(Data_Input!$A$1:$ZZ$502, MATCH("총자산", INDEX(Data_Input!$A$1:$ZZ$502, 0, MATCH(1, (Data_Input!$7:$7=$F$3)*(Data_Input!$8:$8=$B184), 0)), 0) + 1, MATCH(1, (Data_Input!$7:$7=$F$3)*(Data_Input!$8:$8=$B184), 0)),"")</f>
        <v/>
      </c>
      <c r="H184" s="20" t="str" cm="1">
        <f t="array" ref="H184">IFERROR(INDEX(Data_Input!$A$1:$ZZ$502, MATCH("매입금액", INDEX(Data_Input!$A$1:$ZZ$502, 0, MATCH(1, (Data_Input!$7:$7=$F$3)*(Data_Input!$8:$8=$B184), 0)), 0) + 1, MATCH(1, (Data_Input!$7:$7=$F$3)*(Data_Input!$8:$8=$B184), 0)),"")</f>
        <v/>
      </c>
      <c r="I184" s="20" t="str" cm="1">
        <f t="array" ref="I184">IFERROR(INDEX(Data_Input!$A$1:$ZZ$502, MATCH("평가금액", INDEX(Data_Input!$A$1:$ZZ$502, 0, MATCH(1, (Data_Input!$7:$7=$F$3)*(Data_Input!$8:$8=$B184), 0)), 0) + 1, MATCH(1, (Data_Input!$7:$7=$F$3)*(Data_Input!$8:$8=$B184), 0)),"")</f>
        <v/>
      </c>
      <c r="J184" s="20" t="str" cm="1">
        <f t="array" ref="J184">IFERROR(INDEX(Data_Input!$A$1:$ZZ$502, MATCH("평가손익", INDEX(Data_Input!$A$1:$ZZ$502, 0, MATCH(1, (Data_Input!$7:$7=$F$3)*(Data_Input!$8:$8=$B184), 0)), 0) + 1, MATCH(1, (Data_Input!$7:$7=$F$3)*(Data_Input!$8:$8=$B184), 0)),"")</f>
        <v/>
      </c>
      <c r="K184" s="14" t="str" cm="1">
        <f t="array" ref="K184">IFERROR(INDEX(Data_Input!$A$1:$ZZ$502, MATCH("총수익률", INDEX(Data_Input!$A$1:$ZZ$502, 0, MATCH(1, (Data_Input!$7:$7=$F$3)*(Data_Input!$8:$8=$B184), 0)), 0) + 1, MATCH(1, (Data_Input!$7:$7=$F$3)*(Data_Input!$8:$8=$B184), 0)),"")</f>
        <v/>
      </c>
      <c r="L184" t="str" cm="1">
        <f t="array" ref="L184">IFERROR(_xlfn.LET(
    _xlpm.targetDate, B184,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85" spans="1:12" x14ac:dyDescent="0.3">
      <c r="A185" s="16" t="str">
        <f t="shared" si="4"/>
        <v/>
      </c>
      <c r="B185" s="19"/>
      <c r="C185" s="17" t="str">
        <f t="shared" si="5"/>
        <v/>
      </c>
      <c r="D185" s="29" t="str" cm="1">
        <f t="array" ref="D185">IFERROR(INDEX(Data_Input!$10:$10,MATCH(1,(Data_Input!$7:$7=$F$3)*(Data_Input!$8:$8=$B185),0)),"")</f>
        <v/>
      </c>
      <c r="E185" s="29" t="str" cm="1">
        <f t="array" ref="E185">IFERROR(INDEX(Data_Input!$1:$100, 9, MATCH(1, (Data_Input!$7:$7=$F$3) * (Data_Input!$8:$8=$B185), 0)),"")</f>
        <v/>
      </c>
      <c r="F185" s="20" t="str" cm="1">
        <f t="array" ref="F185">IFERROR(INDEX(Data_Input!$A$1:$ZZ$502, MATCH("예수금", INDEX(Data_Input!$A$1:$ZZ$502, 0, MATCH(1, (Data_Input!$7:$7=$F$3)*(Data_Input!$8:$8=$B185), 0)), 0) + 1, MATCH(1, (Data_Input!$7:$7=$F$3)*(Data_Input!$8:$8=$B185), 0)),"")</f>
        <v/>
      </c>
      <c r="G185" s="20" t="str" cm="1">
        <f t="array" ref="G185">IFERROR(INDEX(Data_Input!$A$1:$ZZ$502, MATCH("총자산", INDEX(Data_Input!$A$1:$ZZ$502, 0, MATCH(1, (Data_Input!$7:$7=$F$3)*(Data_Input!$8:$8=$B185), 0)), 0) + 1, MATCH(1, (Data_Input!$7:$7=$F$3)*(Data_Input!$8:$8=$B185), 0)),"")</f>
        <v/>
      </c>
      <c r="H185" s="20" t="str" cm="1">
        <f t="array" ref="H185">IFERROR(INDEX(Data_Input!$A$1:$ZZ$502, MATCH("매입금액", INDEX(Data_Input!$A$1:$ZZ$502, 0, MATCH(1, (Data_Input!$7:$7=$F$3)*(Data_Input!$8:$8=$B185), 0)), 0) + 1, MATCH(1, (Data_Input!$7:$7=$F$3)*(Data_Input!$8:$8=$B185), 0)),"")</f>
        <v/>
      </c>
      <c r="I185" s="20" t="str" cm="1">
        <f t="array" ref="I185">IFERROR(INDEX(Data_Input!$A$1:$ZZ$502, MATCH("평가금액", INDEX(Data_Input!$A$1:$ZZ$502, 0, MATCH(1, (Data_Input!$7:$7=$F$3)*(Data_Input!$8:$8=$B185), 0)), 0) + 1, MATCH(1, (Data_Input!$7:$7=$F$3)*(Data_Input!$8:$8=$B185), 0)),"")</f>
        <v/>
      </c>
      <c r="J185" s="20" t="str" cm="1">
        <f t="array" ref="J185">IFERROR(INDEX(Data_Input!$A$1:$ZZ$502, MATCH("평가손익", INDEX(Data_Input!$A$1:$ZZ$502, 0, MATCH(1, (Data_Input!$7:$7=$F$3)*(Data_Input!$8:$8=$B185), 0)), 0) + 1, MATCH(1, (Data_Input!$7:$7=$F$3)*(Data_Input!$8:$8=$B185), 0)),"")</f>
        <v/>
      </c>
      <c r="K185" s="14" t="str" cm="1">
        <f t="array" ref="K185">IFERROR(INDEX(Data_Input!$A$1:$ZZ$502, MATCH("총수익률", INDEX(Data_Input!$A$1:$ZZ$502, 0, MATCH(1, (Data_Input!$7:$7=$F$3)*(Data_Input!$8:$8=$B185), 0)), 0) + 1, MATCH(1, (Data_Input!$7:$7=$F$3)*(Data_Input!$8:$8=$B185), 0)),"")</f>
        <v/>
      </c>
      <c r="L185" t="str" cm="1">
        <f t="array" ref="L185">IFERROR(_xlfn.LET(
    _xlpm.targetDate, B185,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86" spans="1:12" x14ac:dyDescent="0.3">
      <c r="A186" s="16" t="str">
        <f t="shared" si="4"/>
        <v/>
      </c>
      <c r="B186" s="19"/>
      <c r="C186" s="17" t="str">
        <f t="shared" si="5"/>
        <v/>
      </c>
      <c r="D186" s="29" t="str" cm="1">
        <f t="array" ref="D186">IFERROR(INDEX(Data_Input!$10:$10,MATCH(1,(Data_Input!$7:$7=$F$3)*(Data_Input!$8:$8=$B186),0)),"")</f>
        <v/>
      </c>
      <c r="E186" s="29" t="str" cm="1">
        <f t="array" ref="E186">IFERROR(INDEX(Data_Input!$1:$100, 9, MATCH(1, (Data_Input!$7:$7=$F$3) * (Data_Input!$8:$8=$B186), 0)),"")</f>
        <v/>
      </c>
      <c r="F186" s="20" t="str" cm="1">
        <f t="array" ref="F186">IFERROR(INDEX(Data_Input!$A$1:$ZZ$502, MATCH("예수금", INDEX(Data_Input!$A$1:$ZZ$502, 0, MATCH(1, (Data_Input!$7:$7=$F$3)*(Data_Input!$8:$8=$B186), 0)), 0) + 1, MATCH(1, (Data_Input!$7:$7=$F$3)*(Data_Input!$8:$8=$B186), 0)),"")</f>
        <v/>
      </c>
      <c r="G186" s="20" t="str" cm="1">
        <f t="array" ref="G186">IFERROR(INDEX(Data_Input!$A$1:$ZZ$502, MATCH("총자산", INDEX(Data_Input!$A$1:$ZZ$502, 0, MATCH(1, (Data_Input!$7:$7=$F$3)*(Data_Input!$8:$8=$B186), 0)), 0) + 1, MATCH(1, (Data_Input!$7:$7=$F$3)*(Data_Input!$8:$8=$B186), 0)),"")</f>
        <v/>
      </c>
      <c r="H186" s="20" t="str" cm="1">
        <f t="array" ref="H186">IFERROR(INDEX(Data_Input!$A$1:$ZZ$502, MATCH("매입금액", INDEX(Data_Input!$A$1:$ZZ$502, 0, MATCH(1, (Data_Input!$7:$7=$F$3)*(Data_Input!$8:$8=$B186), 0)), 0) + 1, MATCH(1, (Data_Input!$7:$7=$F$3)*(Data_Input!$8:$8=$B186), 0)),"")</f>
        <v/>
      </c>
      <c r="I186" s="20" t="str" cm="1">
        <f t="array" ref="I186">IFERROR(INDEX(Data_Input!$A$1:$ZZ$502, MATCH("평가금액", INDEX(Data_Input!$A$1:$ZZ$502, 0, MATCH(1, (Data_Input!$7:$7=$F$3)*(Data_Input!$8:$8=$B186), 0)), 0) + 1, MATCH(1, (Data_Input!$7:$7=$F$3)*(Data_Input!$8:$8=$B186), 0)),"")</f>
        <v/>
      </c>
      <c r="J186" s="20" t="str" cm="1">
        <f t="array" ref="J186">IFERROR(INDEX(Data_Input!$A$1:$ZZ$502, MATCH("평가손익", INDEX(Data_Input!$A$1:$ZZ$502, 0, MATCH(1, (Data_Input!$7:$7=$F$3)*(Data_Input!$8:$8=$B186), 0)), 0) + 1, MATCH(1, (Data_Input!$7:$7=$F$3)*(Data_Input!$8:$8=$B186), 0)),"")</f>
        <v/>
      </c>
      <c r="K186" s="14" t="str" cm="1">
        <f t="array" ref="K186">IFERROR(INDEX(Data_Input!$A$1:$ZZ$502, MATCH("총수익률", INDEX(Data_Input!$A$1:$ZZ$502, 0, MATCH(1, (Data_Input!$7:$7=$F$3)*(Data_Input!$8:$8=$B186), 0)), 0) + 1, MATCH(1, (Data_Input!$7:$7=$F$3)*(Data_Input!$8:$8=$B186), 0)),"")</f>
        <v/>
      </c>
      <c r="L186" t="str" cm="1">
        <f t="array" ref="L186">IFERROR(_xlfn.LET(
    _xlpm.targetDate, B186,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87" spans="1:12" x14ac:dyDescent="0.3">
      <c r="A187" s="16" t="str">
        <f t="shared" si="4"/>
        <v/>
      </c>
      <c r="B187" s="19"/>
      <c r="C187" s="17" t="str">
        <f t="shared" si="5"/>
        <v/>
      </c>
      <c r="D187" s="29" t="str" cm="1">
        <f t="array" ref="D187">IFERROR(INDEX(Data_Input!$10:$10,MATCH(1,(Data_Input!$7:$7=$F$3)*(Data_Input!$8:$8=$B187),0)),"")</f>
        <v/>
      </c>
      <c r="E187" s="29" t="str" cm="1">
        <f t="array" ref="E187">IFERROR(INDEX(Data_Input!$1:$100, 9, MATCH(1, (Data_Input!$7:$7=$F$3) * (Data_Input!$8:$8=$B187), 0)),"")</f>
        <v/>
      </c>
      <c r="F187" s="20" t="str" cm="1">
        <f t="array" ref="F187">IFERROR(INDEX(Data_Input!$A$1:$ZZ$502, MATCH("예수금", INDEX(Data_Input!$A$1:$ZZ$502, 0, MATCH(1, (Data_Input!$7:$7=$F$3)*(Data_Input!$8:$8=$B187), 0)), 0) + 1, MATCH(1, (Data_Input!$7:$7=$F$3)*(Data_Input!$8:$8=$B187), 0)),"")</f>
        <v/>
      </c>
      <c r="G187" s="20" t="str" cm="1">
        <f t="array" ref="G187">IFERROR(INDEX(Data_Input!$A$1:$ZZ$502, MATCH("총자산", INDEX(Data_Input!$A$1:$ZZ$502, 0, MATCH(1, (Data_Input!$7:$7=$F$3)*(Data_Input!$8:$8=$B187), 0)), 0) + 1, MATCH(1, (Data_Input!$7:$7=$F$3)*(Data_Input!$8:$8=$B187), 0)),"")</f>
        <v/>
      </c>
      <c r="H187" s="20" t="str" cm="1">
        <f t="array" ref="H187">IFERROR(INDEX(Data_Input!$A$1:$ZZ$502, MATCH("매입금액", INDEX(Data_Input!$A$1:$ZZ$502, 0, MATCH(1, (Data_Input!$7:$7=$F$3)*(Data_Input!$8:$8=$B187), 0)), 0) + 1, MATCH(1, (Data_Input!$7:$7=$F$3)*(Data_Input!$8:$8=$B187), 0)),"")</f>
        <v/>
      </c>
      <c r="I187" s="20" t="str" cm="1">
        <f t="array" ref="I187">IFERROR(INDEX(Data_Input!$A$1:$ZZ$502, MATCH("평가금액", INDEX(Data_Input!$A$1:$ZZ$502, 0, MATCH(1, (Data_Input!$7:$7=$F$3)*(Data_Input!$8:$8=$B187), 0)), 0) + 1, MATCH(1, (Data_Input!$7:$7=$F$3)*(Data_Input!$8:$8=$B187), 0)),"")</f>
        <v/>
      </c>
      <c r="J187" s="20" t="str" cm="1">
        <f t="array" ref="J187">IFERROR(INDEX(Data_Input!$A$1:$ZZ$502, MATCH("평가손익", INDEX(Data_Input!$A$1:$ZZ$502, 0, MATCH(1, (Data_Input!$7:$7=$F$3)*(Data_Input!$8:$8=$B187), 0)), 0) + 1, MATCH(1, (Data_Input!$7:$7=$F$3)*(Data_Input!$8:$8=$B187), 0)),"")</f>
        <v/>
      </c>
      <c r="K187" s="14" t="str" cm="1">
        <f t="array" ref="K187">IFERROR(INDEX(Data_Input!$A$1:$ZZ$502, MATCH("총수익률", INDEX(Data_Input!$A$1:$ZZ$502, 0, MATCH(1, (Data_Input!$7:$7=$F$3)*(Data_Input!$8:$8=$B187), 0)), 0) + 1, MATCH(1, (Data_Input!$7:$7=$F$3)*(Data_Input!$8:$8=$B187), 0)),"")</f>
        <v/>
      </c>
      <c r="L187" t="str" cm="1">
        <f t="array" ref="L187">IFERROR(_xlfn.LET(
    _xlpm.targetDate, B187,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88" spans="1:12" x14ac:dyDescent="0.3">
      <c r="A188" s="16" t="str">
        <f t="shared" si="4"/>
        <v/>
      </c>
      <c r="B188" s="19"/>
      <c r="C188" s="17" t="str">
        <f t="shared" si="5"/>
        <v/>
      </c>
      <c r="D188" s="29" t="str" cm="1">
        <f t="array" ref="D188">IFERROR(INDEX(Data_Input!$10:$10,MATCH(1,(Data_Input!$7:$7=$F$3)*(Data_Input!$8:$8=$B188),0)),"")</f>
        <v/>
      </c>
      <c r="E188" s="29" t="str" cm="1">
        <f t="array" ref="E188">IFERROR(INDEX(Data_Input!$1:$100, 9, MATCH(1, (Data_Input!$7:$7=$F$3) * (Data_Input!$8:$8=$B188), 0)),"")</f>
        <v/>
      </c>
      <c r="F188" s="20" t="str" cm="1">
        <f t="array" ref="F188">IFERROR(INDEX(Data_Input!$A$1:$ZZ$502, MATCH("예수금", INDEX(Data_Input!$A$1:$ZZ$502, 0, MATCH(1, (Data_Input!$7:$7=$F$3)*(Data_Input!$8:$8=$B188), 0)), 0) + 1, MATCH(1, (Data_Input!$7:$7=$F$3)*(Data_Input!$8:$8=$B188), 0)),"")</f>
        <v/>
      </c>
      <c r="G188" s="20" t="str" cm="1">
        <f t="array" ref="G188">IFERROR(INDEX(Data_Input!$A$1:$ZZ$502, MATCH("총자산", INDEX(Data_Input!$A$1:$ZZ$502, 0, MATCH(1, (Data_Input!$7:$7=$F$3)*(Data_Input!$8:$8=$B188), 0)), 0) + 1, MATCH(1, (Data_Input!$7:$7=$F$3)*(Data_Input!$8:$8=$B188), 0)),"")</f>
        <v/>
      </c>
      <c r="H188" s="20" t="str" cm="1">
        <f t="array" ref="H188">IFERROR(INDEX(Data_Input!$A$1:$ZZ$502, MATCH("매입금액", INDEX(Data_Input!$A$1:$ZZ$502, 0, MATCH(1, (Data_Input!$7:$7=$F$3)*(Data_Input!$8:$8=$B188), 0)), 0) + 1, MATCH(1, (Data_Input!$7:$7=$F$3)*(Data_Input!$8:$8=$B188), 0)),"")</f>
        <v/>
      </c>
      <c r="I188" s="20" t="str" cm="1">
        <f t="array" ref="I188">IFERROR(INDEX(Data_Input!$A$1:$ZZ$502, MATCH("평가금액", INDEX(Data_Input!$A$1:$ZZ$502, 0, MATCH(1, (Data_Input!$7:$7=$F$3)*(Data_Input!$8:$8=$B188), 0)), 0) + 1, MATCH(1, (Data_Input!$7:$7=$F$3)*(Data_Input!$8:$8=$B188), 0)),"")</f>
        <v/>
      </c>
      <c r="J188" s="20" t="str" cm="1">
        <f t="array" ref="J188">IFERROR(INDEX(Data_Input!$A$1:$ZZ$502, MATCH("평가손익", INDEX(Data_Input!$A$1:$ZZ$502, 0, MATCH(1, (Data_Input!$7:$7=$F$3)*(Data_Input!$8:$8=$B188), 0)), 0) + 1, MATCH(1, (Data_Input!$7:$7=$F$3)*(Data_Input!$8:$8=$B188), 0)),"")</f>
        <v/>
      </c>
      <c r="K188" s="14" t="str" cm="1">
        <f t="array" ref="K188">IFERROR(INDEX(Data_Input!$A$1:$ZZ$502, MATCH("총수익률", INDEX(Data_Input!$A$1:$ZZ$502, 0, MATCH(1, (Data_Input!$7:$7=$F$3)*(Data_Input!$8:$8=$B188), 0)), 0) + 1, MATCH(1, (Data_Input!$7:$7=$F$3)*(Data_Input!$8:$8=$B188), 0)),"")</f>
        <v/>
      </c>
      <c r="L188" t="str" cm="1">
        <f t="array" ref="L188">IFERROR(_xlfn.LET(
    _xlpm.targetDate, B188,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89" spans="1:12" x14ac:dyDescent="0.3">
      <c r="A189" s="16" t="str">
        <f t="shared" si="4"/>
        <v/>
      </c>
      <c r="B189" s="19"/>
      <c r="C189" s="17" t="str">
        <f t="shared" si="5"/>
        <v/>
      </c>
      <c r="D189" s="29" t="str" cm="1">
        <f t="array" ref="D189">IFERROR(INDEX(Data_Input!$10:$10,MATCH(1,(Data_Input!$7:$7=$F$3)*(Data_Input!$8:$8=$B189),0)),"")</f>
        <v/>
      </c>
      <c r="E189" s="29" t="str" cm="1">
        <f t="array" ref="E189">IFERROR(INDEX(Data_Input!$1:$100, 9, MATCH(1, (Data_Input!$7:$7=$F$3) * (Data_Input!$8:$8=$B189), 0)),"")</f>
        <v/>
      </c>
      <c r="F189" s="20" t="str" cm="1">
        <f t="array" ref="F189">IFERROR(INDEX(Data_Input!$A$1:$ZZ$502, MATCH("예수금", INDEX(Data_Input!$A$1:$ZZ$502, 0, MATCH(1, (Data_Input!$7:$7=$F$3)*(Data_Input!$8:$8=$B189), 0)), 0) + 1, MATCH(1, (Data_Input!$7:$7=$F$3)*(Data_Input!$8:$8=$B189), 0)),"")</f>
        <v/>
      </c>
      <c r="G189" s="20" t="str" cm="1">
        <f t="array" ref="G189">IFERROR(INDEX(Data_Input!$A$1:$ZZ$502, MATCH("총자산", INDEX(Data_Input!$A$1:$ZZ$502, 0, MATCH(1, (Data_Input!$7:$7=$F$3)*(Data_Input!$8:$8=$B189), 0)), 0) + 1, MATCH(1, (Data_Input!$7:$7=$F$3)*(Data_Input!$8:$8=$B189), 0)),"")</f>
        <v/>
      </c>
      <c r="H189" s="20" t="str" cm="1">
        <f t="array" ref="H189">IFERROR(INDEX(Data_Input!$A$1:$ZZ$502, MATCH("매입금액", INDEX(Data_Input!$A$1:$ZZ$502, 0, MATCH(1, (Data_Input!$7:$7=$F$3)*(Data_Input!$8:$8=$B189), 0)), 0) + 1, MATCH(1, (Data_Input!$7:$7=$F$3)*(Data_Input!$8:$8=$B189), 0)),"")</f>
        <v/>
      </c>
      <c r="I189" s="20" t="str" cm="1">
        <f t="array" ref="I189">IFERROR(INDEX(Data_Input!$A$1:$ZZ$502, MATCH("평가금액", INDEX(Data_Input!$A$1:$ZZ$502, 0, MATCH(1, (Data_Input!$7:$7=$F$3)*(Data_Input!$8:$8=$B189), 0)), 0) + 1, MATCH(1, (Data_Input!$7:$7=$F$3)*(Data_Input!$8:$8=$B189), 0)),"")</f>
        <v/>
      </c>
      <c r="J189" s="20" t="str" cm="1">
        <f t="array" ref="J189">IFERROR(INDEX(Data_Input!$A$1:$ZZ$502, MATCH("평가손익", INDEX(Data_Input!$A$1:$ZZ$502, 0, MATCH(1, (Data_Input!$7:$7=$F$3)*(Data_Input!$8:$8=$B189), 0)), 0) + 1, MATCH(1, (Data_Input!$7:$7=$F$3)*(Data_Input!$8:$8=$B189), 0)),"")</f>
        <v/>
      </c>
      <c r="K189" s="14" t="str" cm="1">
        <f t="array" ref="K189">IFERROR(INDEX(Data_Input!$A$1:$ZZ$502, MATCH("총수익률", INDEX(Data_Input!$A$1:$ZZ$502, 0, MATCH(1, (Data_Input!$7:$7=$F$3)*(Data_Input!$8:$8=$B189), 0)), 0) + 1, MATCH(1, (Data_Input!$7:$7=$F$3)*(Data_Input!$8:$8=$B189), 0)),"")</f>
        <v/>
      </c>
      <c r="L189" t="str" cm="1">
        <f t="array" ref="L189">IFERROR(_xlfn.LET(
    _xlpm.targetDate, B189,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90" spans="1:12" x14ac:dyDescent="0.3">
      <c r="A190" s="16" t="str">
        <f t="shared" si="4"/>
        <v/>
      </c>
      <c r="B190" s="19"/>
      <c r="C190" s="17" t="str">
        <f t="shared" si="5"/>
        <v/>
      </c>
      <c r="D190" s="29" t="str" cm="1">
        <f t="array" ref="D190">IFERROR(INDEX(Data_Input!$10:$10,MATCH(1,(Data_Input!$7:$7=$F$3)*(Data_Input!$8:$8=$B190),0)),"")</f>
        <v/>
      </c>
      <c r="E190" s="29" t="str" cm="1">
        <f t="array" ref="E190">IFERROR(INDEX(Data_Input!$1:$100, 9, MATCH(1, (Data_Input!$7:$7=$F$3) * (Data_Input!$8:$8=$B190), 0)),"")</f>
        <v/>
      </c>
      <c r="F190" s="20" t="str" cm="1">
        <f t="array" ref="F190">IFERROR(INDEX(Data_Input!$A$1:$ZZ$502, MATCH("예수금", INDEX(Data_Input!$A$1:$ZZ$502, 0, MATCH(1, (Data_Input!$7:$7=$F$3)*(Data_Input!$8:$8=$B190), 0)), 0) + 1, MATCH(1, (Data_Input!$7:$7=$F$3)*(Data_Input!$8:$8=$B190), 0)),"")</f>
        <v/>
      </c>
      <c r="G190" s="20" t="str" cm="1">
        <f t="array" ref="G190">IFERROR(INDEX(Data_Input!$A$1:$ZZ$502, MATCH("총자산", INDEX(Data_Input!$A$1:$ZZ$502, 0, MATCH(1, (Data_Input!$7:$7=$F$3)*(Data_Input!$8:$8=$B190), 0)), 0) + 1, MATCH(1, (Data_Input!$7:$7=$F$3)*(Data_Input!$8:$8=$B190), 0)),"")</f>
        <v/>
      </c>
      <c r="H190" s="20" t="str" cm="1">
        <f t="array" ref="H190">IFERROR(INDEX(Data_Input!$A$1:$ZZ$502, MATCH("매입금액", INDEX(Data_Input!$A$1:$ZZ$502, 0, MATCH(1, (Data_Input!$7:$7=$F$3)*(Data_Input!$8:$8=$B190), 0)), 0) + 1, MATCH(1, (Data_Input!$7:$7=$F$3)*(Data_Input!$8:$8=$B190), 0)),"")</f>
        <v/>
      </c>
      <c r="I190" s="20" t="str" cm="1">
        <f t="array" ref="I190">IFERROR(INDEX(Data_Input!$A$1:$ZZ$502, MATCH("평가금액", INDEX(Data_Input!$A$1:$ZZ$502, 0, MATCH(1, (Data_Input!$7:$7=$F$3)*(Data_Input!$8:$8=$B190), 0)), 0) + 1, MATCH(1, (Data_Input!$7:$7=$F$3)*(Data_Input!$8:$8=$B190), 0)),"")</f>
        <v/>
      </c>
      <c r="J190" s="20" t="str" cm="1">
        <f t="array" ref="J190">IFERROR(INDEX(Data_Input!$A$1:$ZZ$502, MATCH("평가손익", INDEX(Data_Input!$A$1:$ZZ$502, 0, MATCH(1, (Data_Input!$7:$7=$F$3)*(Data_Input!$8:$8=$B190), 0)), 0) + 1, MATCH(1, (Data_Input!$7:$7=$F$3)*(Data_Input!$8:$8=$B190), 0)),"")</f>
        <v/>
      </c>
      <c r="K190" s="14" t="str" cm="1">
        <f t="array" ref="K190">IFERROR(INDEX(Data_Input!$A$1:$ZZ$502, MATCH("총수익률", INDEX(Data_Input!$A$1:$ZZ$502, 0, MATCH(1, (Data_Input!$7:$7=$F$3)*(Data_Input!$8:$8=$B190), 0)), 0) + 1, MATCH(1, (Data_Input!$7:$7=$F$3)*(Data_Input!$8:$8=$B190), 0)),"")</f>
        <v/>
      </c>
      <c r="L190" t="str" cm="1">
        <f t="array" ref="L190">IFERROR(_xlfn.LET(
    _xlpm.targetDate, B190,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91" spans="1:12" x14ac:dyDescent="0.3">
      <c r="A191" s="16" t="str">
        <f t="shared" si="4"/>
        <v/>
      </c>
      <c r="B191" s="19"/>
      <c r="C191" s="17" t="str">
        <f t="shared" si="5"/>
        <v/>
      </c>
      <c r="D191" s="29" t="str" cm="1">
        <f t="array" ref="D191">IFERROR(INDEX(Data_Input!$10:$10,MATCH(1,(Data_Input!$7:$7=$F$3)*(Data_Input!$8:$8=$B191),0)),"")</f>
        <v/>
      </c>
      <c r="E191" s="29" t="str" cm="1">
        <f t="array" ref="E191">IFERROR(INDEX(Data_Input!$1:$100, 9, MATCH(1, (Data_Input!$7:$7=$F$3) * (Data_Input!$8:$8=$B191), 0)),"")</f>
        <v/>
      </c>
      <c r="F191" s="20" t="str" cm="1">
        <f t="array" ref="F191">IFERROR(INDEX(Data_Input!$A$1:$ZZ$502, MATCH("예수금", INDEX(Data_Input!$A$1:$ZZ$502, 0, MATCH(1, (Data_Input!$7:$7=$F$3)*(Data_Input!$8:$8=$B191), 0)), 0) + 1, MATCH(1, (Data_Input!$7:$7=$F$3)*(Data_Input!$8:$8=$B191), 0)),"")</f>
        <v/>
      </c>
      <c r="G191" s="20" t="str" cm="1">
        <f t="array" ref="G191">IFERROR(INDEX(Data_Input!$A$1:$ZZ$502, MATCH("총자산", INDEX(Data_Input!$A$1:$ZZ$502, 0, MATCH(1, (Data_Input!$7:$7=$F$3)*(Data_Input!$8:$8=$B191), 0)), 0) + 1, MATCH(1, (Data_Input!$7:$7=$F$3)*(Data_Input!$8:$8=$B191), 0)),"")</f>
        <v/>
      </c>
      <c r="H191" s="20" t="str" cm="1">
        <f t="array" ref="H191">IFERROR(INDEX(Data_Input!$A$1:$ZZ$502, MATCH("매입금액", INDEX(Data_Input!$A$1:$ZZ$502, 0, MATCH(1, (Data_Input!$7:$7=$F$3)*(Data_Input!$8:$8=$B191), 0)), 0) + 1, MATCH(1, (Data_Input!$7:$7=$F$3)*(Data_Input!$8:$8=$B191), 0)),"")</f>
        <v/>
      </c>
      <c r="I191" s="20" t="str" cm="1">
        <f t="array" ref="I191">IFERROR(INDEX(Data_Input!$A$1:$ZZ$502, MATCH("평가금액", INDEX(Data_Input!$A$1:$ZZ$502, 0, MATCH(1, (Data_Input!$7:$7=$F$3)*(Data_Input!$8:$8=$B191), 0)), 0) + 1, MATCH(1, (Data_Input!$7:$7=$F$3)*(Data_Input!$8:$8=$B191), 0)),"")</f>
        <v/>
      </c>
      <c r="J191" s="20" t="str" cm="1">
        <f t="array" ref="J191">IFERROR(INDEX(Data_Input!$A$1:$ZZ$502, MATCH("평가손익", INDEX(Data_Input!$A$1:$ZZ$502, 0, MATCH(1, (Data_Input!$7:$7=$F$3)*(Data_Input!$8:$8=$B191), 0)), 0) + 1, MATCH(1, (Data_Input!$7:$7=$F$3)*(Data_Input!$8:$8=$B191), 0)),"")</f>
        <v/>
      </c>
      <c r="K191" s="14" t="str" cm="1">
        <f t="array" ref="K191">IFERROR(INDEX(Data_Input!$A$1:$ZZ$502, MATCH("총수익률", INDEX(Data_Input!$A$1:$ZZ$502, 0, MATCH(1, (Data_Input!$7:$7=$F$3)*(Data_Input!$8:$8=$B191), 0)), 0) + 1, MATCH(1, (Data_Input!$7:$7=$F$3)*(Data_Input!$8:$8=$B191), 0)),"")</f>
        <v/>
      </c>
      <c r="L191" t="str" cm="1">
        <f t="array" ref="L191">IFERROR(_xlfn.LET(
    _xlpm.targetDate, B191,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92" spans="1:12" x14ac:dyDescent="0.3">
      <c r="A192" s="16" t="str">
        <f t="shared" si="4"/>
        <v/>
      </c>
      <c r="B192" s="19"/>
      <c r="C192" s="17" t="str">
        <f t="shared" si="5"/>
        <v/>
      </c>
      <c r="D192" s="29" t="str" cm="1">
        <f t="array" ref="D192">IFERROR(INDEX(Data_Input!$10:$10,MATCH(1,(Data_Input!$7:$7=$F$3)*(Data_Input!$8:$8=$B192),0)),"")</f>
        <v/>
      </c>
      <c r="E192" s="29" t="str" cm="1">
        <f t="array" ref="E192">IFERROR(INDEX(Data_Input!$1:$100, 9, MATCH(1, (Data_Input!$7:$7=$F$3) * (Data_Input!$8:$8=$B192), 0)),"")</f>
        <v/>
      </c>
      <c r="F192" s="20" t="str" cm="1">
        <f t="array" ref="F192">IFERROR(INDEX(Data_Input!$A$1:$ZZ$502, MATCH("예수금", INDEX(Data_Input!$A$1:$ZZ$502, 0, MATCH(1, (Data_Input!$7:$7=$F$3)*(Data_Input!$8:$8=$B192), 0)), 0) + 1, MATCH(1, (Data_Input!$7:$7=$F$3)*(Data_Input!$8:$8=$B192), 0)),"")</f>
        <v/>
      </c>
      <c r="G192" s="20" t="str" cm="1">
        <f t="array" ref="G192">IFERROR(INDEX(Data_Input!$A$1:$ZZ$502, MATCH("총자산", INDEX(Data_Input!$A$1:$ZZ$502, 0, MATCH(1, (Data_Input!$7:$7=$F$3)*(Data_Input!$8:$8=$B192), 0)), 0) + 1, MATCH(1, (Data_Input!$7:$7=$F$3)*(Data_Input!$8:$8=$B192), 0)),"")</f>
        <v/>
      </c>
      <c r="H192" s="20" t="str" cm="1">
        <f t="array" ref="H192">IFERROR(INDEX(Data_Input!$A$1:$ZZ$502, MATCH("매입금액", INDEX(Data_Input!$A$1:$ZZ$502, 0, MATCH(1, (Data_Input!$7:$7=$F$3)*(Data_Input!$8:$8=$B192), 0)), 0) + 1, MATCH(1, (Data_Input!$7:$7=$F$3)*(Data_Input!$8:$8=$B192), 0)),"")</f>
        <v/>
      </c>
      <c r="I192" s="20" t="str" cm="1">
        <f t="array" ref="I192">IFERROR(INDEX(Data_Input!$A$1:$ZZ$502, MATCH("평가금액", INDEX(Data_Input!$A$1:$ZZ$502, 0, MATCH(1, (Data_Input!$7:$7=$F$3)*(Data_Input!$8:$8=$B192), 0)), 0) + 1, MATCH(1, (Data_Input!$7:$7=$F$3)*(Data_Input!$8:$8=$B192), 0)),"")</f>
        <v/>
      </c>
      <c r="J192" s="20" t="str" cm="1">
        <f t="array" ref="J192">IFERROR(INDEX(Data_Input!$A$1:$ZZ$502, MATCH("평가손익", INDEX(Data_Input!$A$1:$ZZ$502, 0, MATCH(1, (Data_Input!$7:$7=$F$3)*(Data_Input!$8:$8=$B192), 0)), 0) + 1, MATCH(1, (Data_Input!$7:$7=$F$3)*(Data_Input!$8:$8=$B192), 0)),"")</f>
        <v/>
      </c>
      <c r="K192" s="14" t="str" cm="1">
        <f t="array" ref="K192">IFERROR(INDEX(Data_Input!$A$1:$ZZ$502, MATCH("총수익률", INDEX(Data_Input!$A$1:$ZZ$502, 0, MATCH(1, (Data_Input!$7:$7=$F$3)*(Data_Input!$8:$8=$B192), 0)), 0) + 1, MATCH(1, (Data_Input!$7:$7=$F$3)*(Data_Input!$8:$8=$B192), 0)),"")</f>
        <v/>
      </c>
      <c r="L192" t="str" cm="1">
        <f t="array" ref="L192">IFERROR(_xlfn.LET(
    _xlpm.targetDate, B192,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93" spans="1:12" x14ac:dyDescent="0.3">
      <c r="A193" s="16" t="str">
        <f t="shared" si="4"/>
        <v/>
      </c>
      <c r="B193" s="19"/>
      <c r="C193" s="17" t="str">
        <f t="shared" si="5"/>
        <v/>
      </c>
      <c r="D193" s="29" t="str" cm="1">
        <f t="array" ref="D193">IFERROR(INDEX(Data_Input!$10:$10,MATCH(1,(Data_Input!$7:$7=$F$3)*(Data_Input!$8:$8=$B193),0)),"")</f>
        <v/>
      </c>
      <c r="E193" s="29" t="str" cm="1">
        <f t="array" ref="E193">IFERROR(INDEX(Data_Input!$1:$100, 9, MATCH(1, (Data_Input!$7:$7=$F$3) * (Data_Input!$8:$8=$B193), 0)),"")</f>
        <v/>
      </c>
      <c r="F193" s="20" t="str" cm="1">
        <f t="array" ref="F193">IFERROR(INDEX(Data_Input!$A$1:$ZZ$502, MATCH("예수금", INDEX(Data_Input!$A$1:$ZZ$502, 0, MATCH(1, (Data_Input!$7:$7=$F$3)*(Data_Input!$8:$8=$B193), 0)), 0) + 1, MATCH(1, (Data_Input!$7:$7=$F$3)*(Data_Input!$8:$8=$B193), 0)),"")</f>
        <v/>
      </c>
      <c r="G193" s="20" t="str" cm="1">
        <f t="array" ref="G193">IFERROR(INDEX(Data_Input!$A$1:$ZZ$502, MATCH("총자산", INDEX(Data_Input!$A$1:$ZZ$502, 0, MATCH(1, (Data_Input!$7:$7=$F$3)*(Data_Input!$8:$8=$B193), 0)), 0) + 1, MATCH(1, (Data_Input!$7:$7=$F$3)*(Data_Input!$8:$8=$B193), 0)),"")</f>
        <v/>
      </c>
      <c r="H193" s="20" t="str" cm="1">
        <f t="array" ref="H193">IFERROR(INDEX(Data_Input!$A$1:$ZZ$502, MATCH("매입금액", INDEX(Data_Input!$A$1:$ZZ$502, 0, MATCH(1, (Data_Input!$7:$7=$F$3)*(Data_Input!$8:$8=$B193), 0)), 0) + 1, MATCH(1, (Data_Input!$7:$7=$F$3)*(Data_Input!$8:$8=$B193), 0)),"")</f>
        <v/>
      </c>
      <c r="I193" s="20" t="str" cm="1">
        <f t="array" ref="I193">IFERROR(INDEX(Data_Input!$A$1:$ZZ$502, MATCH("평가금액", INDEX(Data_Input!$A$1:$ZZ$502, 0, MATCH(1, (Data_Input!$7:$7=$F$3)*(Data_Input!$8:$8=$B193), 0)), 0) + 1, MATCH(1, (Data_Input!$7:$7=$F$3)*(Data_Input!$8:$8=$B193), 0)),"")</f>
        <v/>
      </c>
      <c r="J193" s="20" t="str" cm="1">
        <f t="array" ref="J193">IFERROR(INDEX(Data_Input!$A$1:$ZZ$502, MATCH("평가손익", INDEX(Data_Input!$A$1:$ZZ$502, 0, MATCH(1, (Data_Input!$7:$7=$F$3)*(Data_Input!$8:$8=$B193), 0)), 0) + 1, MATCH(1, (Data_Input!$7:$7=$F$3)*(Data_Input!$8:$8=$B193), 0)),"")</f>
        <v/>
      </c>
      <c r="K193" s="14" t="str" cm="1">
        <f t="array" ref="K193">IFERROR(INDEX(Data_Input!$A$1:$ZZ$502, MATCH("총수익률", INDEX(Data_Input!$A$1:$ZZ$502, 0, MATCH(1, (Data_Input!$7:$7=$F$3)*(Data_Input!$8:$8=$B193), 0)), 0) + 1, MATCH(1, (Data_Input!$7:$7=$F$3)*(Data_Input!$8:$8=$B193), 0)),"")</f>
        <v/>
      </c>
      <c r="L193" t="str" cm="1">
        <f t="array" ref="L193">IFERROR(_xlfn.LET(
    _xlpm.targetDate, B193,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94" spans="1:12" x14ac:dyDescent="0.3">
      <c r="A194" s="16" t="str">
        <f t="shared" si="4"/>
        <v/>
      </c>
      <c r="B194" s="19"/>
      <c r="C194" s="17" t="str">
        <f t="shared" si="5"/>
        <v/>
      </c>
      <c r="D194" s="29" t="str" cm="1">
        <f t="array" ref="D194">IFERROR(INDEX(Data_Input!$10:$10,MATCH(1,(Data_Input!$7:$7=$F$3)*(Data_Input!$8:$8=$B194),0)),"")</f>
        <v/>
      </c>
      <c r="E194" s="29" t="str" cm="1">
        <f t="array" ref="E194">IFERROR(INDEX(Data_Input!$1:$100, 9, MATCH(1, (Data_Input!$7:$7=$F$3) * (Data_Input!$8:$8=$B194), 0)),"")</f>
        <v/>
      </c>
      <c r="F194" s="20" t="str" cm="1">
        <f t="array" ref="F194">IFERROR(INDEX(Data_Input!$A$1:$ZZ$502, MATCH("예수금", INDEX(Data_Input!$A$1:$ZZ$502, 0, MATCH(1, (Data_Input!$7:$7=$F$3)*(Data_Input!$8:$8=$B194), 0)), 0) + 1, MATCH(1, (Data_Input!$7:$7=$F$3)*(Data_Input!$8:$8=$B194), 0)),"")</f>
        <v/>
      </c>
      <c r="G194" s="20" t="str" cm="1">
        <f t="array" ref="G194">IFERROR(INDEX(Data_Input!$A$1:$ZZ$502, MATCH("총자산", INDEX(Data_Input!$A$1:$ZZ$502, 0, MATCH(1, (Data_Input!$7:$7=$F$3)*(Data_Input!$8:$8=$B194), 0)), 0) + 1, MATCH(1, (Data_Input!$7:$7=$F$3)*(Data_Input!$8:$8=$B194), 0)),"")</f>
        <v/>
      </c>
      <c r="H194" s="20" t="str" cm="1">
        <f t="array" ref="H194">IFERROR(INDEX(Data_Input!$A$1:$ZZ$502, MATCH("매입금액", INDEX(Data_Input!$A$1:$ZZ$502, 0, MATCH(1, (Data_Input!$7:$7=$F$3)*(Data_Input!$8:$8=$B194), 0)), 0) + 1, MATCH(1, (Data_Input!$7:$7=$F$3)*(Data_Input!$8:$8=$B194), 0)),"")</f>
        <v/>
      </c>
      <c r="I194" s="20" t="str" cm="1">
        <f t="array" ref="I194">IFERROR(INDEX(Data_Input!$A$1:$ZZ$502, MATCH("평가금액", INDEX(Data_Input!$A$1:$ZZ$502, 0, MATCH(1, (Data_Input!$7:$7=$F$3)*(Data_Input!$8:$8=$B194), 0)), 0) + 1, MATCH(1, (Data_Input!$7:$7=$F$3)*(Data_Input!$8:$8=$B194), 0)),"")</f>
        <v/>
      </c>
      <c r="J194" s="20" t="str" cm="1">
        <f t="array" ref="J194">IFERROR(INDEX(Data_Input!$A$1:$ZZ$502, MATCH("평가손익", INDEX(Data_Input!$A$1:$ZZ$502, 0, MATCH(1, (Data_Input!$7:$7=$F$3)*(Data_Input!$8:$8=$B194), 0)), 0) + 1, MATCH(1, (Data_Input!$7:$7=$F$3)*(Data_Input!$8:$8=$B194), 0)),"")</f>
        <v/>
      </c>
      <c r="K194" s="14" t="str" cm="1">
        <f t="array" ref="K194">IFERROR(INDEX(Data_Input!$A$1:$ZZ$502, MATCH("총수익률", INDEX(Data_Input!$A$1:$ZZ$502, 0, MATCH(1, (Data_Input!$7:$7=$F$3)*(Data_Input!$8:$8=$B194), 0)), 0) + 1, MATCH(1, (Data_Input!$7:$7=$F$3)*(Data_Input!$8:$8=$B194), 0)),"")</f>
        <v/>
      </c>
      <c r="L194" t="str" cm="1">
        <f t="array" ref="L194">IFERROR(_xlfn.LET(
    _xlpm.targetDate, B194,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95" spans="1:12" x14ac:dyDescent="0.3">
      <c r="A195" s="16" t="str">
        <f t="shared" si="4"/>
        <v/>
      </c>
      <c r="B195" s="19"/>
      <c r="C195" s="17" t="str">
        <f t="shared" si="5"/>
        <v/>
      </c>
      <c r="D195" s="29" t="str" cm="1">
        <f t="array" ref="D195">IFERROR(INDEX(Data_Input!$10:$10,MATCH(1,(Data_Input!$7:$7=$F$3)*(Data_Input!$8:$8=$B195),0)),"")</f>
        <v/>
      </c>
      <c r="E195" s="29" t="str" cm="1">
        <f t="array" ref="E195">IFERROR(INDEX(Data_Input!$1:$100, 9, MATCH(1, (Data_Input!$7:$7=$F$3) * (Data_Input!$8:$8=$B195), 0)),"")</f>
        <v/>
      </c>
      <c r="F195" s="20" t="str" cm="1">
        <f t="array" ref="F195">IFERROR(INDEX(Data_Input!$A$1:$ZZ$502, MATCH("예수금", INDEX(Data_Input!$A$1:$ZZ$502, 0, MATCH(1, (Data_Input!$7:$7=$F$3)*(Data_Input!$8:$8=$B195), 0)), 0) + 1, MATCH(1, (Data_Input!$7:$7=$F$3)*(Data_Input!$8:$8=$B195), 0)),"")</f>
        <v/>
      </c>
      <c r="G195" s="20" t="str" cm="1">
        <f t="array" ref="G195">IFERROR(INDEX(Data_Input!$A$1:$ZZ$502, MATCH("총자산", INDEX(Data_Input!$A$1:$ZZ$502, 0, MATCH(1, (Data_Input!$7:$7=$F$3)*(Data_Input!$8:$8=$B195), 0)), 0) + 1, MATCH(1, (Data_Input!$7:$7=$F$3)*(Data_Input!$8:$8=$B195), 0)),"")</f>
        <v/>
      </c>
      <c r="H195" s="20" t="str" cm="1">
        <f t="array" ref="H195">IFERROR(INDEX(Data_Input!$A$1:$ZZ$502, MATCH("매입금액", INDEX(Data_Input!$A$1:$ZZ$502, 0, MATCH(1, (Data_Input!$7:$7=$F$3)*(Data_Input!$8:$8=$B195), 0)), 0) + 1, MATCH(1, (Data_Input!$7:$7=$F$3)*(Data_Input!$8:$8=$B195), 0)),"")</f>
        <v/>
      </c>
      <c r="I195" s="20" t="str" cm="1">
        <f t="array" ref="I195">IFERROR(INDEX(Data_Input!$A$1:$ZZ$502, MATCH("평가금액", INDEX(Data_Input!$A$1:$ZZ$502, 0, MATCH(1, (Data_Input!$7:$7=$F$3)*(Data_Input!$8:$8=$B195), 0)), 0) + 1, MATCH(1, (Data_Input!$7:$7=$F$3)*(Data_Input!$8:$8=$B195), 0)),"")</f>
        <v/>
      </c>
      <c r="J195" s="20" t="str" cm="1">
        <f t="array" ref="J195">IFERROR(INDEX(Data_Input!$A$1:$ZZ$502, MATCH("평가손익", INDEX(Data_Input!$A$1:$ZZ$502, 0, MATCH(1, (Data_Input!$7:$7=$F$3)*(Data_Input!$8:$8=$B195), 0)), 0) + 1, MATCH(1, (Data_Input!$7:$7=$F$3)*(Data_Input!$8:$8=$B195), 0)),"")</f>
        <v/>
      </c>
      <c r="K195" s="14" t="str" cm="1">
        <f t="array" ref="K195">IFERROR(INDEX(Data_Input!$A$1:$ZZ$502, MATCH("총수익률", INDEX(Data_Input!$A$1:$ZZ$502, 0, MATCH(1, (Data_Input!$7:$7=$F$3)*(Data_Input!$8:$8=$B195), 0)), 0) + 1, MATCH(1, (Data_Input!$7:$7=$F$3)*(Data_Input!$8:$8=$B195), 0)),"")</f>
        <v/>
      </c>
      <c r="L195" t="str" cm="1">
        <f t="array" ref="L195">IFERROR(_xlfn.LET(
    _xlpm.targetDate, B195,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96" spans="1:12" x14ac:dyDescent="0.3">
      <c r="A196" s="16" t="str">
        <f t="shared" si="4"/>
        <v/>
      </c>
      <c r="B196" s="19"/>
      <c r="C196" s="17" t="str">
        <f t="shared" si="5"/>
        <v/>
      </c>
      <c r="D196" s="29" t="str" cm="1">
        <f t="array" ref="D196">IFERROR(INDEX(Data_Input!$10:$10,MATCH(1,(Data_Input!$7:$7=$F$3)*(Data_Input!$8:$8=$B196),0)),"")</f>
        <v/>
      </c>
      <c r="E196" s="29" t="str" cm="1">
        <f t="array" ref="E196">IFERROR(INDEX(Data_Input!$1:$100, 9, MATCH(1, (Data_Input!$7:$7=$F$3) * (Data_Input!$8:$8=$B196), 0)),"")</f>
        <v/>
      </c>
      <c r="F196" s="20" t="str" cm="1">
        <f t="array" ref="F196">IFERROR(INDEX(Data_Input!$A$1:$ZZ$502, MATCH("예수금", INDEX(Data_Input!$A$1:$ZZ$502, 0, MATCH(1, (Data_Input!$7:$7=$F$3)*(Data_Input!$8:$8=$B196), 0)), 0) + 1, MATCH(1, (Data_Input!$7:$7=$F$3)*(Data_Input!$8:$8=$B196), 0)),"")</f>
        <v/>
      </c>
      <c r="G196" s="20" t="str" cm="1">
        <f t="array" ref="G196">IFERROR(INDEX(Data_Input!$A$1:$ZZ$502, MATCH("총자산", INDEX(Data_Input!$A$1:$ZZ$502, 0, MATCH(1, (Data_Input!$7:$7=$F$3)*(Data_Input!$8:$8=$B196), 0)), 0) + 1, MATCH(1, (Data_Input!$7:$7=$F$3)*(Data_Input!$8:$8=$B196), 0)),"")</f>
        <v/>
      </c>
      <c r="H196" s="20" t="str" cm="1">
        <f t="array" ref="H196">IFERROR(INDEX(Data_Input!$A$1:$ZZ$502, MATCH("매입금액", INDEX(Data_Input!$A$1:$ZZ$502, 0, MATCH(1, (Data_Input!$7:$7=$F$3)*(Data_Input!$8:$8=$B196), 0)), 0) + 1, MATCH(1, (Data_Input!$7:$7=$F$3)*(Data_Input!$8:$8=$B196), 0)),"")</f>
        <v/>
      </c>
      <c r="I196" s="20" t="str" cm="1">
        <f t="array" ref="I196">IFERROR(INDEX(Data_Input!$A$1:$ZZ$502, MATCH("평가금액", INDEX(Data_Input!$A$1:$ZZ$502, 0, MATCH(1, (Data_Input!$7:$7=$F$3)*(Data_Input!$8:$8=$B196), 0)), 0) + 1, MATCH(1, (Data_Input!$7:$7=$F$3)*(Data_Input!$8:$8=$B196), 0)),"")</f>
        <v/>
      </c>
      <c r="J196" s="20" t="str" cm="1">
        <f t="array" ref="J196">IFERROR(INDEX(Data_Input!$A$1:$ZZ$502, MATCH("평가손익", INDEX(Data_Input!$A$1:$ZZ$502, 0, MATCH(1, (Data_Input!$7:$7=$F$3)*(Data_Input!$8:$8=$B196), 0)), 0) + 1, MATCH(1, (Data_Input!$7:$7=$F$3)*(Data_Input!$8:$8=$B196), 0)),"")</f>
        <v/>
      </c>
      <c r="K196" s="14" t="str" cm="1">
        <f t="array" ref="K196">IFERROR(INDEX(Data_Input!$A$1:$ZZ$502, MATCH("총수익률", INDEX(Data_Input!$A$1:$ZZ$502, 0, MATCH(1, (Data_Input!$7:$7=$F$3)*(Data_Input!$8:$8=$B196), 0)), 0) + 1, MATCH(1, (Data_Input!$7:$7=$F$3)*(Data_Input!$8:$8=$B196), 0)),"")</f>
        <v/>
      </c>
      <c r="L196" t="str" cm="1">
        <f t="array" ref="L196">IFERROR(_xlfn.LET(
    _xlpm.targetDate, B196,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97" spans="1:12" x14ac:dyDescent="0.3">
      <c r="A197" s="16" t="str">
        <f t="shared" si="4"/>
        <v/>
      </c>
      <c r="B197" s="19"/>
      <c r="C197" s="17" t="str">
        <f t="shared" si="5"/>
        <v/>
      </c>
      <c r="D197" s="29" t="str" cm="1">
        <f t="array" ref="D197">IFERROR(INDEX(Data_Input!$10:$10,MATCH(1,(Data_Input!$7:$7=$F$3)*(Data_Input!$8:$8=$B197),0)),"")</f>
        <v/>
      </c>
      <c r="E197" s="29" t="str" cm="1">
        <f t="array" ref="E197">IFERROR(INDEX(Data_Input!$1:$100, 9, MATCH(1, (Data_Input!$7:$7=$F$3) * (Data_Input!$8:$8=$B197), 0)),"")</f>
        <v/>
      </c>
      <c r="F197" s="20" t="str" cm="1">
        <f t="array" ref="F197">IFERROR(INDEX(Data_Input!$A$1:$ZZ$502, MATCH("예수금", INDEX(Data_Input!$A$1:$ZZ$502, 0, MATCH(1, (Data_Input!$7:$7=$F$3)*(Data_Input!$8:$8=$B197), 0)), 0) + 1, MATCH(1, (Data_Input!$7:$7=$F$3)*(Data_Input!$8:$8=$B197), 0)),"")</f>
        <v/>
      </c>
      <c r="G197" s="20" t="str" cm="1">
        <f t="array" ref="G197">IFERROR(INDEX(Data_Input!$A$1:$ZZ$502, MATCH("총자산", INDEX(Data_Input!$A$1:$ZZ$502, 0, MATCH(1, (Data_Input!$7:$7=$F$3)*(Data_Input!$8:$8=$B197), 0)), 0) + 1, MATCH(1, (Data_Input!$7:$7=$F$3)*(Data_Input!$8:$8=$B197), 0)),"")</f>
        <v/>
      </c>
      <c r="H197" s="20" t="str" cm="1">
        <f t="array" ref="H197">IFERROR(INDEX(Data_Input!$A$1:$ZZ$502, MATCH("매입금액", INDEX(Data_Input!$A$1:$ZZ$502, 0, MATCH(1, (Data_Input!$7:$7=$F$3)*(Data_Input!$8:$8=$B197), 0)), 0) + 1, MATCH(1, (Data_Input!$7:$7=$F$3)*(Data_Input!$8:$8=$B197), 0)),"")</f>
        <v/>
      </c>
      <c r="I197" s="20" t="str" cm="1">
        <f t="array" ref="I197">IFERROR(INDEX(Data_Input!$A$1:$ZZ$502, MATCH("평가금액", INDEX(Data_Input!$A$1:$ZZ$502, 0, MATCH(1, (Data_Input!$7:$7=$F$3)*(Data_Input!$8:$8=$B197), 0)), 0) + 1, MATCH(1, (Data_Input!$7:$7=$F$3)*(Data_Input!$8:$8=$B197), 0)),"")</f>
        <v/>
      </c>
      <c r="J197" s="20" t="str" cm="1">
        <f t="array" ref="J197">IFERROR(INDEX(Data_Input!$A$1:$ZZ$502, MATCH("평가손익", INDEX(Data_Input!$A$1:$ZZ$502, 0, MATCH(1, (Data_Input!$7:$7=$F$3)*(Data_Input!$8:$8=$B197), 0)), 0) + 1, MATCH(1, (Data_Input!$7:$7=$F$3)*(Data_Input!$8:$8=$B197), 0)),"")</f>
        <v/>
      </c>
      <c r="K197" s="14" t="str" cm="1">
        <f t="array" ref="K197">IFERROR(INDEX(Data_Input!$A$1:$ZZ$502, MATCH("총수익률", INDEX(Data_Input!$A$1:$ZZ$502, 0, MATCH(1, (Data_Input!$7:$7=$F$3)*(Data_Input!$8:$8=$B197), 0)), 0) + 1, MATCH(1, (Data_Input!$7:$7=$F$3)*(Data_Input!$8:$8=$B197), 0)),"")</f>
        <v/>
      </c>
      <c r="L197" t="str" cm="1">
        <f t="array" ref="L197">IFERROR(_xlfn.LET(
    _xlpm.targetDate, B197,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98" spans="1:12" x14ac:dyDescent="0.3">
      <c r="A198" s="16" t="str">
        <f t="shared" si="4"/>
        <v/>
      </c>
      <c r="B198" s="19"/>
      <c r="C198" s="17" t="str">
        <f t="shared" si="5"/>
        <v/>
      </c>
      <c r="D198" s="29" t="str" cm="1">
        <f t="array" ref="D198">IFERROR(INDEX(Data_Input!$10:$10,MATCH(1,(Data_Input!$7:$7=$F$3)*(Data_Input!$8:$8=$B198),0)),"")</f>
        <v/>
      </c>
      <c r="E198" s="29" t="str" cm="1">
        <f t="array" ref="E198">IFERROR(INDEX(Data_Input!$1:$100, 9, MATCH(1, (Data_Input!$7:$7=$F$3) * (Data_Input!$8:$8=$B198), 0)),"")</f>
        <v/>
      </c>
      <c r="F198" s="20" t="str" cm="1">
        <f t="array" ref="F198">IFERROR(INDEX(Data_Input!$A$1:$ZZ$502, MATCH("예수금", INDEX(Data_Input!$A$1:$ZZ$502, 0, MATCH(1, (Data_Input!$7:$7=$F$3)*(Data_Input!$8:$8=$B198), 0)), 0) + 1, MATCH(1, (Data_Input!$7:$7=$F$3)*(Data_Input!$8:$8=$B198), 0)),"")</f>
        <v/>
      </c>
      <c r="G198" s="20" t="str" cm="1">
        <f t="array" ref="G198">IFERROR(INDEX(Data_Input!$A$1:$ZZ$502, MATCH("총자산", INDEX(Data_Input!$A$1:$ZZ$502, 0, MATCH(1, (Data_Input!$7:$7=$F$3)*(Data_Input!$8:$8=$B198), 0)), 0) + 1, MATCH(1, (Data_Input!$7:$7=$F$3)*(Data_Input!$8:$8=$B198), 0)),"")</f>
        <v/>
      </c>
      <c r="H198" s="20" t="str" cm="1">
        <f t="array" ref="H198">IFERROR(INDEX(Data_Input!$A$1:$ZZ$502, MATCH("매입금액", INDEX(Data_Input!$A$1:$ZZ$502, 0, MATCH(1, (Data_Input!$7:$7=$F$3)*(Data_Input!$8:$8=$B198), 0)), 0) + 1, MATCH(1, (Data_Input!$7:$7=$F$3)*(Data_Input!$8:$8=$B198), 0)),"")</f>
        <v/>
      </c>
      <c r="I198" s="20" t="str" cm="1">
        <f t="array" ref="I198">IFERROR(INDEX(Data_Input!$A$1:$ZZ$502, MATCH("평가금액", INDEX(Data_Input!$A$1:$ZZ$502, 0, MATCH(1, (Data_Input!$7:$7=$F$3)*(Data_Input!$8:$8=$B198), 0)), 0) + 1, MATCH(1, (Data_Input!$7:$7=$F$3)*(Data_Input!$8:$8=$B198), 0)),"")</f>
        <v/>
      </c>
      <c r="J198" s="20" t="str" cm="1">
        <f t="array" ref="J198">IFERROR(INDEX(Data_Input!$A$1:$ZZ$502, MATCH("평가손익", INDEX(Data_Input!$A$1:$ZZ$502, 0, MATCH(1, (Data_Input!$7:$7=$F$3)*(Data_Input!$8:$8=$B198), 0)), 0) + 1, MATCH(1, (Data_Input!$7:$7=$F$3)*(Data_Input!$8:$8=$B198), 0)),"")</f>
        <v/>
      </c>
      <c r="K198" s="14" t="str" cm="1">
        <f t="array" ref="K198">IFERROR(INDEX(Data_Input!$A$1:$ZZ$502, MATCH("총수익률", INDEX(Data_Input!$A$1:$ZZ$502, 0, MATCH(1, (Data_Input!$7:$7=$F$3)*(Data_Input!$8:$8=$B198), 0)), 0) + 1, MATCH(1, (Data_Input!$7:$7=$F$3)*(Data_Input!$8:$8=$B198), 0)),"")</f>
        <v/>
      </c>
      <c r="L198" t="str" cm="1">
        <f t="array" ref="L198">IFERROR(_xlfn.LET(
    _xlpm.targetDate, B198,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199" spans="1:12" x14ac:dyDescent="0.3">
      <c r="A199" s="16" t="str">
        <f t="shared" ref="A199:A262" si="6">IF(B199&gt;0,A198+1,"")</f>
        <v/>
      </c>
      <c r="B199" s="19"/>
      <c r="C199" s="17" t="str">
        <f t="shared" si="5"/>
        <v/>
      </c>
      <c r="D199" s="29" t="str" cm="1">
        <f t="array" ref="D199">IFERROR(INDEX(Data_Input!$10:$10,MATCH(1,(Data_Input!$7:$7=$F$3)*(Data_Input!$8:$8=$B199),0)),"")</f>
        <v/>
      </c>
      <c r="E199" s="29" t="str" cm="1">
        <f t="array" ref="E199">IFERROR(INDEX(Data_Input!$1:$100, 9, MATCH(1, (Data_Input!$7:$7=$F$3) * (Data_Input!$8:$8=$B199), 0)),"")</f>
        <v/>
      </c>
      <c r="F199" s="20" t="str" cm="1">
        <f t="array" ref="F199">IFERROR(INDEX(Data_Input!$A$1:$ZZ$502, MATCH("예수금", INDEX(Data_Input!$A$1:$ZZ$502, 0, MATCH(1, (Data_Input!$7:$7=$F$3)*(Data_Input!$8:$8=$B199), 0)), 0) + 1, MATCH(1, (Data_Input!$7:$7=$F$3)*(Data_Input!$8:$8=$B199), 0)),"")</f>
        <v/>
      </c>
      <c r="G199" s="20" t="str" cm="1">
        <f t="array" ref="G199">IFERROR(INDEX(Data_Input!$A$1:$ZZ$502, MATCH("총자산", INDEX(Data_Input!$A$1:$ZZ$502, 0, MATCH(1, (Data_Input!$7:$7=$F$3)*(Data_Input!$8:$8=$B199), 0)), 0) + 1, MATCH(1, (Data_Input!$7:$7=$F$3)*(Data_Input!$8:$8=$B199), 0)),"")</f>
        <v/>
      </c>
      <c r="H199" s="20" t="str" cm="1">
        <f t="array" ref="H199">IFERROR(INDEX(Data_Input!$A$1:$ZZ$502, MATCH("매입금액", INDEX(Data_Input!$A$1:$ZZ$502, 0, MATCH(1, (Data_Input!$7:$7=$F$3)*(Data_Input!$8:$8=$B199), 0)), 0) + 1, MATCH(1, (Data_Input!$7:$7=$F$3)*(Data_Input!$8:$8=$B199), 0)),"")</f>
        <v/>
      </c>
      <c r="I199" s="20" t="str" cm="1">
        <f t="array" ref="I199">IFERROR(INDEX(Data_Input!$A$1:$ZZ$502, MATCH("평가금액", INDEX(Data_Input!$A$1:$ZZ$502, 0, MATCH(1, (Data_Input!$7:$7=$F$3)*(Data_Input!$8:$8=$B199), 0)), 0) + 1, MATCH(1, (Data_Input!$7:$7=$F$3)*(Data_Input!$8:$8=$B199), 0)),"")</f>
        <v/>
      </c>
      <c r="J199" s="20" t="str" cm="1">
        <f t="array" ref="J199">IFERROR(INDEX(Data_Input!$A$1:$ZZ$502, MATCH("평가손익", INDEX(Data_Input!$A$1:$ZZ$502, 0, MATCH(1, (Data_Input!$7:$7=$F$3)*(Data_Input!$8:$8=$B199), 0)), 0) + 1, MATCH(1, (Data_Input!$7:$7=$F$3)*(Data_Input!$8:$8=$B199), 0)),"")</f>
        <v/>
      </c>
      <c r="K199" s="14" t="str" cm="1">
        <f t="array" ref="K199">IFERROR(INDEX(Data_Input!$A$1:$ZZ$502, MATCH("총수익률", INDEX(Data_Input!$A$1:$ZZ$502, 0, MATCH(1, (Data_Input!$7:$7=$F$3)*(Data_Input!$8:$8=$B199), 0)), 0) + 1, MATCH(1, (Data_Input!$7:$7=$F$3)*(Data_Input!$8:$8=$B199), 0)),"")</f>
        <v/>
      </c>
      <c r="L199" t="str" cm="1">
        <f t="array" ref="L199">IFERROR(_xlfn.LET(
    _xlpm.targetDate, B199,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00" spans="1:12" x14ac:dyDescent="0.3">
      <c r="A200" s="16" t="str">
        <f t="shared" si="6"/>
        <v/>
      </c>
      <c r="B200" s="19"/>
      <c r="C200" s="17" t="str">
        <f t="shared" ref="C200:C263" si="7">IF(B200&gt;0,C199,"")</f>
        <v/>
      </c>
      <c r="D200" s="29" t="str" cm="1">
        <f t="array" ref="D200">IFERROR(INDEX(Data_Input!$10:$10,MATCH(1,(Data_Input!$7:$7=$F$3)*(Data_Input!$8:$8=$B200),0)),"")</f>
        <v/>
      </c>
      <c r="E200" s="29" t="str" cm="1">
        <f t="array" ref="E200">IFERROR(INDEX(Data_Input!$1:$100, 9, MATCH(1, (Data_Input!$7:$7=$F$3) * (Data_Input!$8:$8=$B200), 0)),"")</f>
        <v/>
      </c>
      <c r="F200" s="20" t="str" cm="1">
        <f t="array" ref="F200">IFERROR(INDEX(Data_Input!$A$1:$ZZ$502, MATCH("예수금", INDEX(Data_Input!$A$1:$ZZ$502, 0, MATCH(1, (Data_Input!$7:$7=$F$3)*(Data_Input!$8:$8=$B200), 0)), 0) + 1, MATCH(1, (Data_Input!$7:$7=$F$3)*(Data_Input!$8:$8=$B200), 0)),"")</f>
        <v/>
      </c>
      <c r="G200" s="20" t="str" cm="1">
        <f t="array" ref="G200">IFERROR(INDEX(Data_Input!$A$1:$ZZ$502, MATCH("총자산", INDEX(Data_Input!$A$1:$ZZ$502, 0, MATCH(1, (Data_Input!$7:$7=$F$3)*(Data_Input!$8:$8=$B200), 0)), 0) + 1, MATCH(1, (Data_Input!$7:$7=$F$3)*(Data_Input!$8:$8=$B200), 0)),"")</f>
        <v/>
      </c>
      <c r="H200" s="20" t="str" cm="1">
        <f t="array" ref="H200">IFERROR(INDEX(Data_Input!$A$1:$ZZ$502, MATCH("매입금액", INDEX(Data_Input!$A$1:$ZZ$502, 0, MATCH(1, (Data_Input!$7:$7=$F$3)*(Data_Input!$8:$8=$B200), 0)), 0) + 1, MATCH(1, (Data_Input!$7:$7=$F$3)*(Data_Input!$8:$8=$B200), 0)),"")</f>
        <v/>
      </c>
      <c r="I200" s="20" t="str" cm="1">
        <f t="array" ref="I200">IFERROR(INDEX(Data_Input!$A$1:$ZZ$502, MATCH("평가금액", INDEX(Data_Input!$A$1:$ZZ$502, 0, MATCH(1, (Data_Input!$7:$7=$F$3)*(Data_Input!$8:$8=$B200), 0)), 0) + 1, MATCH(1, (Data_Input!$7:$7=$F$3)*(Data_Input!$8:$8=$B200), 0)),"")</f>
        <v/>
      </c>
      <c r="J200" s="20" t="str" cm="1">
        <f t="array" ref="J200">IFERROR(INDEX(Data_Input!$A$1:$ZZ$502, MATCH("평가손익", INDEX(Data_Input!$A$1:$ZZ$502, 0, MATCH(1, (Data_Input!$7:$7=$F$3)*(Data_Input!$8:$8=$B200), 0)), 0) + 1, MATCH(1, (Data_Input!$7:$7=$F$3)*(Data_Input!$8:$8=$B200), 0)),"")</f>
        <v/>
      </c>
      <c r="K200" s="14" t="str" cm="1">
        <f t="array" ref="K200">IFERROR(INDEX(Data_Input!$A$1:$ZZ$502, MATCH("총수익률", INDEX(Data_Input!$A$1:$ZZ$502, 0, MATCH(1, (Data_Input!$7:$7=$F$3)*(Data_Input!$8:$8=$B200), 0)), 0) + 1, MATCH(1, (Data_Input!$7:$7=$F$3)*(Data_Input!$8:$8=$B200), 0)),"")</f>
        <v/>
      </c>
      <c r="L200" t="str" cm="1">
        <f t="array" ref="L200">IFERROR(_xlfn.LET(
    _xlpm.targetDate, B200,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01" spans="1:12" x14ac:dyDescent="0.3">
      <c r="A201" s="16" t="str">
        <f t="shared" si="6"/>
        <v/>
      </c>
      <c r="B201" s="19"/>
      <c r="C201" s="17" t="str">
        <f t="shared" si="7"/>
        <v/>
      </c>
      <c r="D201" s="29" t="str" cm="1">
        <f t="array" ref="D201">IFERROR(INDEX(Data_Input!$10:$10,MATCH(1,(Data_Input!$7:$7=$F$3)*(Data_Input!$8:$8=$B201),0)),"")</f>
        <v/>
      </c>
      <c r="E201" s="29" t="str" cm="1">
        <f t="array" ref="E201">IFERROR(INDEX(Data_Input!$1:$100, 9, MATCH(1, (Data_Input!$7:$7=$F$3) * (Data_Input!$8:$8=$B201), 0)),"")</f>
        <v/>
      </c>
      <c r="F201" s="20" t="str" cm="1">
        <f t="array" ref="F201">IFERROR(INDEX(Data_Input!$A$1:$ZZ$502, MATCH("예수금", INDEX(Data_Input!$A$1:$ZZ$502, 0, MATCH(1, (Data_Input!$7:$7=$F$3)*(Data_Input!$8:$8=$B201), 0)), 0) + 1, MATCH(1, (Data_Input!$7:$7=$F$3)*(Data_Input!$8:$8=$B201), 0)),"")</f>
        <v/>
      </c>
      <c r="G201" s="20" t="str" cm="1">
        <f t="array" ref="G201">IFERROR(INDEX(Data_Input!$A$1:$ZZ$502, MATCH("총자산", INDEX(Data_Input!$A$1:$ZZ$502, 0, MATCH(1, (Data_Input!$7:$7=$F$3)*(Data_Input!$8:$8=$B201), 0)), 0) + 1, MATCH(1, (Data_Input!$7:$7=$F$3)*(Data_Input!$8:$8=$B201), 0)),"")</f>
        <v/>
      </c>
      <c r="H201" s="20" t="str" cm="1">
        <f t="array" ref="H201">IFERROR(INDEX(Data_Input!$A$1:$ZZ$502, MATCH("매입금액", INDEX(Data_Input!$A$1:$ZZ$502, 0, MATCH(1, (Data_Input!$7:$7=$F$3)*(Data_Input!$8:$8=$B201), 0)), 0) + 1, MATCH(1, (Data_Input!$7:$7=$F$3)*(Data_Input!$8:$8=$B201), 0)),"")</f>
        <v/>
      </c>
      <c r="I201" s="20" t="str" cm="1">
        <f t="array" ref="I201">IFERROR(INDEX(Data_Input!$A$1:$ZZ$502, MATCH("평가금액", INDEX(Data_Input!$A$1:$ZZ$502, 0, MATCH(1, (Data_Input!$7:$7=$F$3)*(Data_Input!$8:$8=$B201), 0)), 0) + 1, MATCH(1, (Data_Input!$7:$7=$F$3)*(Data_Input!$8:$8=$B201), 0)),"")</f>
        <v/>
      </c>
      <c r="J201" s="20" t="str" cm="1">
        <f t="array" ref="J201">IFERROR(INDEX(Data_Input!$A$1:$ZZ$502, MATCH("평가손익", INDEX(Data_Input!$A$1:$ZZ$502, 0, MATCH(1, (Data_Input!$7:$7=$F$3)*(Data_Input!$8:$8=$B201), 0)), 0) + 1, MATCH(1, (Data_Input!$7:$7=$F$3)*(Data_Input!$8:$8=$B201), 0)),"")</f>
        <v/>
      </c>
      <c r="K201" s="14" t="str" cm="1">
        <f t="array" ref="K201">IFERROR(INDEX(Data_Input!$A$1:$ZZ$502, MATCH("총수익률", INDEX(Data_Input!$A$1:$ZZ$502, 0, MATCH(1, (Data_Input!$7:$7=$F$3)*(Data_Input!$8:$8=$B201), 0)), 0) + 1, MATCH(1, (Data_Input!$7:$7=$F$3)*(Data_Input!$8:$8=$B201), 0)),"")</f>
        <v/>
      </c>
      <c r="L201" t="str" cm="1">
        <f t="array" ref="L201">IFERROR(_xlfn.LET(
    _xlpm.targetDate, B201,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02" spans="1:12" x14ac:dyDescent="0.3">
      <c r="A202" s="16" t="str">
        <f t="shared" si="6"/>
        <v/>
      </c>
      <c r="B202" s="19"/>
      <c r="C202" s="17" t="str">
        <f t="shared" si="7"/>
        <v/>
      </c>
      <c r="D202" s="29" t="str" cm="1">
        <f t="array" ref="D202">IFERROR(INDEX(Data_Input!$10:$10,MATCH(1,(Data_Input!$7:$7=$F$3)*(Data_Input!$8:$8=$B202),0)),"")</f>
        <v/>
      </c>
      <c r="E202" s="29" t="str" cm="1">
        <f t="array" ref="E202">IFERROR(INDEX(Data_Input!$1:$100, 9, MATCH(1, (Data_Input!$7:$7=$F$3) * (Data_Input!$8:$8=$B202), 0)),"")</f>
        <v/>
      </c>
      <c r="F202" s="20" t="str" cm="1">
        <f t="array" ref="F202">IFERROR(INDEX(Data_Input!$A$1:$ZZ$502, MATCH("예수금", INDEX(Data_Input!$A$1:$ZZ$502, 0, MATCH(1, (Data_Input!$7:$7=$F$3)*(Data_Input!$8:$8=$B202), 0)), 0) + 1, MATCH(1, (Data_Input!$7:$7=$F$3)*(Data_Input!$8:$8=$B202), 0)),"")</f>
        <v/>
      </c>
      <c r="G202" s="20" t="str" cm="1">
        <f t="array" ref="G202">IFERROR(INDEX(Data_Input!$A$1:$ZZ$502, MATCH("총자산", INDEX(Data_Input!$A$1:$ZZ$502, 0, MATCH(1, (Data_Input!$7:$7=$F$3)*(Data_Input!$8:$8=$B202), 0)), 0) + 1, MATCH(1, (Data_Input!$7:$7=$F$3)*(Data_Input!$8:$8=$B202), 0)),"")</f>
        <v/>
      </c>
      <c r="H202" s="20" t="str" cm="1">
        <f t="array" ref="H202">IFERROR(INDEX(Data_Input!$A$1:$ZZ$502, MATCH("매입금액", INDEX(Data_Input!$A$1:$ZZ$502, 0, MATCH(1, (Data_Input!$7:$7=$F$3)*(Data_Input!$8:$8=$B202), 0)), 0) + 1, MATCH(1, (Data_Input!$7:$7=$F$3)*(Data_Input!$8:$8=$B202), 0)),"")</f>
        <v/>
      </c>
      <c r="I202" s="20" t="str" cm="1">
        <f t="array" ref="I202">IFERROR(INDEX(Data_Input!$A$1:$ZZ$502, MATCH("평가금액", INDEX(Data_Input!$A$1:$ZZ$502, 0, MATCH(1, (Data_Input!$7:$7=$F$3)*(Data_Input!$8:$8=$B202), 0)), 0) + 1, MATCH(1, (Data_Input!$7:$7=$F$3)*(Data_Input!$8:$8=$B202), 0)),"")</f>
        <v/>
      </c>
      <c r="J202" s="20" t="str" cm="1">
        <f t="array" ref="J202">IFERROR(INDEX(Data_Input!$A$1:$ZZ$502, MATCH("평가손익", INDEX(Data_Input!$A$1:$ZZ$502, 0, MATCH(1, (Data_Input!$7:$7=$F$3)*(Data_Input!$8:$8=$B202), 0)), 0) + 1, MATCH(1, (Data_Input!$7:$7=$F$3)*(Data_Input!$8:$8=$B202), 0)),"")</f>
        <v/>
      </c>
      <c r="K202" s="14" t="str" cm="1">
        <f t="array" ref="K202">IFERROR(INDEX(Data_Input!$A$1:$ZZ$502, MATCH("총수익률", INDEX(Data_Input!$A$1:$ZZ$502, 0, MATCH(1, (Data_Input!$7:$7=$F$3)*(Data_Input!$8:$8=$B202), 0)), 0) + 1, MATCH(1, (Data_Input!$7:$7=$F$3)*(Data_Input!$8:$8=$B202), 0)),"")</f>
        <v/>
      </c>
      <c r="L202" t="str" cm="1">
        <f t="array" ref="L202">IFERROR(_xlfn.LET(
    _xlpm.targetDate, B202,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03" spans="1:12" x14ac:dyDescent="0.3">
      <c r="A203" s="16" t="str">
        <f t="shared" si="6"/>
        <v/>
      </c>
      <c r="B203" s="19"/>
      <c r="C203" s="17" t="str">
        <f t="shared" si="7"/>
        <v/>
      </c>
      <c r="D203" s="29" t="str" cm="1">
        <f t="array" ref="D203">IFERROR(INDEX(Data_Input!$10:$10,MATCH(1,(Data_Input!$7:$7=$F$3)*(Data_Input!$8:$8=$B203),0)),"")</f>
        <v/>
      </c>
      <c r="E203" s="29" t="str" cm="1">
        <f t="array" ref="E203">IFERROR(INDEX(Data_Input!$1:$100, 9, MATCH(1, (Data_Input!$7:$7=$F$3) * (Data_Input!$8:$8=$B203), 0)),"")</f>
        <v/>
      </c>
      <c r="F203" s="20" t="str" cm="1">
        <f t="array" ref="F203">IFERROR(INDEX(Data_Input!$A$1:$ZZ$502, MATCH("예수금", INDEX(Data_Input!$A$1:$ZZ$502, 0, MATCH(1, (Data_Input!$7:$7=$F$3)*(Data_Input!$8:$8=$B203), 0)), 0) + 1, MATCH(1, (Data_Input!$7:$7=$F$3)*(Data_Input!$8:$8=$B203), 0)),"")</f>
        <v/>
      </c>
      <c r="G203" s="20" t="str" cm="1">
        <f t="array" ref="G203">IFERROR(INDEX(Data_Input!$A$1:$ZZ$502, MATCH("총자산", INDEX(Data_Input!$A$1:$ZZ$502, 0, MATCH(1, (Data_Input!$7:$7=$F$3)*(Data_Input!$8:$8=$B203), 0)), 0) + 1, MATCH(1, (Data_Input!$7:$7=$F$3)*(Data_Input!$8:$8=$B203), 0)),"")</f>
        <v/>
      </c>
      <c r="H203" s="20" t="str" cm="1">
        <f t="array" ref="H203">IFERROR(INDEX(Data_Input!$A$1:$ZZ$502, MATCH("매입금액", INDEX(Data_Input!$A$1:$ZZ$502, 0, MATCH(1, (Data_Input!$7:$7=$F$3)*(Data_Input!$8:$8=$B203), 0)), 0) + 1, MATCH(1, (Data_Input!$7:$7=$F$3)*(Data_Input!$8:$8=$B203), 0)),"")</f>
        <v/>
      </c>
      <c r="I203" s="20" t="str" cm="1">
        <f t="array" ref="I203">IFERROR(INDEX(Data_Input!$A$1:$ZZ$502, MATCH("평가금액", INDEX(Data_Input!$A$1:$ZZ$502, 0, MATCH(1, (Data_Input!$7:$7=$F$3)*(Data_Input!$8:$8=$B203), 0)), 0) + 1, MATCH(1, (Data_Input!$7:$7=$F$3)*(Data_Input!$8:$8=$B203), 0)),"")</f>
        <v/>
      </c>
      <c r="J203" s="20" t="str" cm="1">
        <f t="array" ref="J203">IFERROR(INDEX(Data_Input!$A$1:$ZZ$502, MATCH("평가손익", INDEX(Data_Input!$A$1:$ZZ$502, 0, MATCH(1, (Data_Input!$7:$7=$F$3)*(Data_Input!$8:$8=$B203), 0)), 0) + 1, MATCH(1, (Data_Input!$7:$7=$F$3)*(Data_Input!$8:$8=$B203), 0)),"")</f>
        <v/>
      </c>
      <c r="K203" s="14" t="str" cm="1">
        <f t="array" ref="K203">IFERROR(INDEX(Data_Input!$A$1:$ZZ$502, MATCH("총수익률", INDEX(Data_Input!$A$1:$ZZ$502, 0, MATCH(1, (Data_Input!$7:$7=$F$3)*(Data_Input!$8:$8=$B203), 0)), 0) + 1, MATCH(1, (Data_Input!$7:$7=$F$3)*(Data_Input!$8:$8=$B203), 0)),"")</f>
        <v/>
      </c>
      <c r="L203" t="str" cm="1">
        <f t="array" ref="L203">IFERROR(_xlfn.LET(
    _xlpm.targetDate, B203,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04" spans="1:12" x14ac:dyDescent="0.3">
      <c r="A204" s="16" t="str">
        <f t="shared" si="6"/>
        <v/>
      </c>
      <c r="B204" s="19"/>
      <c r="C204" s="17" t="str">
        <f t="shared" si="7"/>
        <v/>
      </c>
      <c r="D204" s="29" t="str" cm="1">
        <f t="array" ref="D204">IFERROR(INDEX(Data_Input!$10:$10,MATCH(1,(Data_Input!$7:$7=$F$3)*(Data_Input!$8:$8=$B204),0)),"")</f>
        <v/>
      </c>
      <c r="E204" s="29" t="str" cm="1">
        <f t="array" ref="E204">IFERROR(INDEX(Data_Input!$1:$100, 9, MATCH(1, (Data_Input!$7:$7=$F$3) * (Data_Input!$8:$8=$B204), 0)),"")</f>
        <v/>
      </c>
      <c r="F204" s="20" t="str" cm="1">
        <f t="array" ref="F204">IFERROR(INDEX(Data_Input!$A$1:$ZZ$502, MATCH("예수금", INDEX(Data_Input!$A$1:$ZZ$502, 0, MATCH(1, (Data_Input!$7:$7=$F$3)*(Data_Input!$8:$8=$B204), 0)), 0) + 1, MATCH(1, (Data_Input!$7:$7=$F$3)*(Data_Input!$8:$8=$B204), 0)),"")</f>
        <v/>
      </c>
      <c r="G204" s="20" t="str" cm="1">
        <f t="array" ref="G204">IFERROR(INDEX(Data_Input!$A$1:$ZZ$502, MATCH("총자산", INDEX(Data_Input!$A$1:$ZZ$502, 0, MATCH(1, (Data_Input!$7:$7=$F$3)*(Data_Input!$8:$8=$B204), 0)), 0) + 1, MATCH(1, (Data_Input!$7:$7=$F$3)*(Data_Input!$8:$8=$B204), 0)),"")</f>
        <v/>
      </c>
      <c r="H204" s="20" t="str" cm="1">
        <f t="array" ref="H204">IFERROR(INDEX(Data_Input!$A$1:$ZZ$502, MATCH("매입금액", INDEX(Data_Input!$A$1:$ZZ$502, 0, MATCH(1, (Data_Input!$7:$7=$F$3)*(Data_Input!$8:$8=$B204), 0)), 0) + 1, MATCH(1, (Data_Input!$7:$7=$F$3)*(Data_Input!$8:$8=$B204), 0)),"")</f>
        <v/>
      </c>
      <c r="I204" s="20" t="str" cm="1">
        <f t="array" ref="I204">IFERROR(INDEX(Data_Input!$A$1:$ZZ$502, MATCH("평가금액", INDEX(Data_Input!$A$1:$ZZ$502, 0, MATCH(1, (Data_Input!$7:$7=$F$3)*(Data_Input!$8:$8=$B204), 0)), 0) + 1, MATCH(1, (Data_Input!$7:$7=$F$3)*(Data_Input!$8:$8=$B204), 0)),"")</f>
        <v/>
      </c>
      <c r="J204" s="20" t="str" cm="1">
        <f t="array" ref="J204">IFERROR(INDEX(Data_Input!$A$1:$ZZ$502, MATCH("평가손익", INDEX(Data_Input!$A$1:$ZZ$502, 0, MATCH(1, (Data_Input!$7:$7=$F$3)*(Data_Input!$8:$8=$B204), 0)), 0) + 1, MATCH(1, (Data_Input!$7:$7=$F$3)*(Data_Input!$8:$8=$B204), 0)),"")</f>
        <v/>
      </c>
      <c r="K204" s="14" t="str" cm="1">
        <f t="array" ref="K204">IFERROR(INDEX(Data_Input!$A$1:$ZZ$502, MATCH("총수익률", INDEX(Data_Input!$A$1:$ZZ$502, 0, MATCH(1, (Data_Input!$7:$7=$F$3)*(Data_Input!$8:$8=$B204), 0)), 0) + 1, MATCH(1, (Data_Input!$7:$7=$F$3)*(Data_Input!$8:$8=$B204), 0)),"")</f>
        <v/>
      </c>
      <c r="L204" t="str" cm="1">
        <f t="array" ref="L204">IFERROR(_xlfn.LET(
    _xlpm.targetDate, B204,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05" spans="1:12" x14ac:dyDescent="0.3">
      <c r="A205" s="16" t="str">
        <f t="shared" si="6"/>
        <v/>
      </c>
      <c r="B205" s="19"/>
      <c r="C205" s="17" t="str">
        <f t="shared" si="7"/>
        <v/>
      </c>
      <c r="D205" s="29" t="str" cm="1">
        <f t="array" ref="D205">IFERROR(INDEX(Data_Input!$10:$10,MATCH(1,(Data_Input!$7:$7=$F$3)*(Data_Input!$8:$8=$B205),0)),"")</f>
        <v/>
      </c>
      <c r="E205" s="29" t="str" cm="1">
        <f t="array" ref="E205">IFERROR(INDEX(Data_Input!$1:$100, 9, MATCH(1, (Data_Input!$7:$7=$F$3) * (Data_Input!$8:$8=$B205), 0)),"")</f>
        <v/>
      </c>
      <c r="F205" s="20" t="str" cm="1">
        <f t="array" ref="F205">IFERROR(INDEX(Data_Input!$A$1:$ZZ$502, MATCH("예수금", INDEX(Data_Input!$A$1:$ZZ$502, 0, MATCH(1, (Data_Input!$7:$7=$F$3)*(Data_Input!$8:$8=$B205), 0)), 0) + 1, MATCH(1, (Data_Input!$7:$7=$F$3)*(Data_Input!$8:$8=$B205), 0)),"")</f>
        <v/>
      </c>
      <c r="G205" s="20" t="str" cm="1">
        <f t="array" ref="G205">IFERROR(INDEX(Data_Input!$A$1:$ZZ$502, MATCH("총자산", INDEX(Data_Input!$A$1:$ZZ$502, 0, MATCH(1, (Data_Input!$7:$7=$F$3)*(Data_Input!$8:$8=$B205), 0)), 0) + 1, MATCH(1, (Data_Input!$7:$7=$F$3)*(Data_Input!$8:$8=$B205), 0)),"")</f>
        <v/>
      </c>
      <c r="H205" s="20" t="str" cm="1">
        <f t="array" ref="H205">IFERROR(INDEX(Data_Input!$A$1:$ZZ$502, MATCH("매입금액", INDEX(Data_Input!$A$1:$ZZ$502, 0, MATCH(1, (Data_Input!$7:$7=$F$3)*(Data_Input!$8:$8=$B205), 0)), 0) + 1, MATCH(1, (Data_Input!$7:$7=$F$3)*(Data_Input!$8:$8=$B205), 0)),"")</f>
        <v/>
      </c>
      <c r="I205" s="20" t="str" cm="1">
        <f t="array" ref="I205">IFERROR(INDEX(Data_Input!$A$1:$ZZ$502, MATCH("평가금액", INDEX(Data_Input!$A$1:$ZZ$502, 0, MATCH(1, (Data_Input!$7:$7=$F$3)*(Data_Input!$8:$8=$B205), 0)), 0) + 1, MATCH(1, (Data_Input!$7:$7=$F$3)*(Data_Input!$8:$8=$B205), 0)),"")</f>
        <v/>
      </c>
      <c r="J205" s="20" t="str" cm="1">
        <f t="array" ref="J205">IFERROR(INDEX(Data_Input!$A$1:$ZZ$502, MATCH("평가손익", INDEX(Data_Input!$A$1:$ZZ$502, 0, MATCH(1, (Data_Input!$7:$7=$F$3)*(Data_Input!$8:$8=$B205), 0)), 0) + 1, MATCH(1, (Data_Input!$7:$7=$F$3)*(Data_Input!$8:$8=$B205), 0)),"")</f>
        <v/>
      </c>
      <c r="K205" s="14" t="str" cm="1">
        <f t="array" ref="K205">IFERROR(INDEX(Data_Input!$A$1:$ZZ$502, MATCH("총수익률", INDEX(Data_Input!$A$1:$ZZ$502, 0, MATCH(1, (Data_Input!$7:$7=$F$3)*(Data_Input!$8:$8=$B205), 0)), 0) + 1, MATCH(1, (Data_Input!$7:$7=$F$3)*(Data_Input!$8:$8=$B205), 0)),"")</f>
        <v/>
      </c>
      <c r="L205" t="str" cm="1">
        <f t="array" ref="L205">IFERROR(_xlfn.LET(
    _xlpm.targetDate, B205,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06" spans="1:12" x14ac:dyDescent="0.3">
      <c r="A206" s="16" t="str">
        <f t="shared" si="6"/>
        <v/>
      </c>
      <c r="B206" s="19"/>
      <c r="C206" s="17" t="str">
        <f t="shared" si="7"/>
        <v/>
      </c>
      <c r="D206" s="29" t="str" cm="1">
        <f t="array" ref="D206">IFERROR(INDEX(Data_Input!$10:$10,MATCH(1,(Data_Input!$7:$7=$F$3)*(Data_Input!$8:$8=$B206),0)),"")</f>
        <v/>
      </c>
      <c r="E206" s="29" t="str" cm="1">
        <f t="array" ref="E206">IFERROR(INDEX(Data_Input!$1:$100, 9, MATCH(1, (Data_Input!$7:$7=$F$3) * (Data_Input!$8:$8=$B206), 0)),"")</f>
        <v/>
      </c>
      <c r="F206" s="20" t="str" cm="1">
        <f t="array" ref="F206">IFERROR(INDEX(Data_Input!$A$1:$ZZ$502, MATCH("예수금", INDEX(Data_Input!$A$1:$ZZ$502, 0, MATCH(1, (Data_Input!$7:$7=$F$3)*(Data_Input!$8:$8=$B206), 0)), 0) + 1, MATCH(1, (Data_Input!$7:$7=$F$3)*(Data_Input!$8:$8=$B206), 0)),"")</f>
        <v/>
      </c>
      <c r="G206" s="20" t="str" cm="1">
        <f t="array" ref="G206">IFERROR(INDEX(Data_Input!$A$1:$ZZ$502, MATCH("총자산", INDEX(Data_Input!$A$1:$ZZ$502, 0, MATCH(1, (Data_Input!$7:$7=$F$3)*(Data_Input!$8:$8=$B206), 0)), 0) + 1, MATCH(1, (Data_Input!$7:$7=$F$3)*(Data_Input!$8:$8=$B206), 0)),"")</f>
        <v/>
      </c>
      <c r="H206" s="20" t="str" cm="1">
        <f t="array" ref="H206">IFERROR(INDEX(Data_Input!$A$1:$ZZ$502, MATCH("매입금액", INDEX(Data_Input!$A$1:$ZZ$502, 0, MATCH(1, (Data_Input!$7:$7=$F$3)*(Data_Input!$8:$8=$B206), 0)), 0) + 1, MATCH(1, (Data_Input!$7:$7=$F$3)*(Data_Input!$8:$8=$B206), 0)),"")</f>
        <v/>
      </c>
      <c r="I206" s="20" t="str" cm="1">
        <f t="array" ref="I206">IFERROR(INDEX(Data_Input!$A$1:$ZZ$502, MATCH("평가금액", INDEX(Data_Input!$A$1:$ZZ$502, 0, MATCH(1, (Data_Input!$7:$7=$F$3)*(Data_Input!$8:$8=$B206), 0)), 0) + 1, MATCH(1, (Data_Input!$7:$7=$F$3)*(Data_Input!$8:$8=$B206), 0)),"")</f>
        <v/>
      </c>
      <c r="J206" s="20" t="str" cm="1">
        <f t="array" ref="J206">IFERROR(INDEX(Data_Input!$A$1:$ZZ$502, MATCH("평가손익", INDEX(Data_Input!$A$1:$ZZ$502, 0, MATCH(1, (Data_Input!$7:$7=$F$3)*(Data_Input!$8:$8=$B206), 0)), 0) + 1, MATCH(1, (Data_Input!$7:$7=$F$3)*(Data_Input!$8:$8=$B206), 0)),"")</f>
        <v/>
      </c>
      <c r="K206" s="14" t="str" cm="1">
        <f t="array" ref="K206">IFERROR(INDEX(Data_Input!$A$1:$ZZ$502, MATCH("총수익률", INDEX(Data_Input!$A$1:$ZZ$502, 0, MATCH(1, (Data_Input!$7:$7=$F$3)*(Data_Input!$8:$8=$B206), 0)), 0) + 1, MATCH(1, (Data_Input!$7:$7=$F$3)*(Data_Input!$8:$8=$B206), 0)),"")</f>
        <v/>
      </c>
      <c r="L206" t="str" cm="1">
        <f t="array" ref="L206">IFERROR(_xlfn.LET(
    _xlpm.targetDate, B206,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07" spans="1:12" x14ac:dyDescent="0.3">
      <c r="A207" s="16" t="str">
        <f t="shared" si="6"/>
        <v/>
      </c>
      <c r="B207" s="19"/>
      <c r="C207" s="17" t="str">
        <f t="shared" si="7"/>
        <v/>
      </c>
      <c r="D207" s="29" t="str" cm="1">
        <f t="array" ref="D207">IFERROR(INDEX(Data_Input!$10:$10,MATCH(1,(Data_Input!$7:$7=$F$3)*(Data_Input!$8:$8=$B207),0)),"")</f>
        <v/>
      </c>
      <c r="E207" s="29" t="str" cm="1">
        <f t="array" ref="E207">IFERROR(INDEX(Data_Input!$1:$100, 9, MATCH(1, (Data_Input!$7:$7=$F$3) * (Data_Input!$8:$8=$B207), 0)),"")</f>
        <v/>
      </c>
      <c r="F207" s="20" t="str" cm="1">
        <f t="array" ref="F207">IFERROR(INDEX(Data_Input!$A$1:$ZZ$502, MATCH("예수금", INDEX(Data_Input!$A$1:$ZZ$502, 0, MATCH(1, (Data_Input!$7:$7=$F$3)*(Data_Input!$8:$8=$B207), 0)), 0) + 1, MATCH(1, (Data_Input!$7:$7=$F$3)*(Data_Input!$8:$8=$B207), 0)),"")</f>
        <v/>
      </c>
      <c r="G207" s="20" t="str" cm="1">
        <f t="array" ref="G207">IFERROR(INDEX(Data_Input!$A$1:$ZZ$502, MATCH("총자산", INDEX(Data_Input!$A$1:$ZZ$502, 0, MATCH(1, (Data_Input!$7:$7=$F$3)*(Data_Input!$8:$8=$B207), 0)), 0) + 1, MATCH(1, (Data_Input!$7:$7=$F$3)*(Data_Input!$8:$8=$B207), 0)),"")</f>
        <v/>
      </c>
      <c r="H207" s="20" t="str" cm="1">
        <f t="array" ref="H207">IFERROR(INDEX(Data_Input!$A$1:$ZZ$502, MATCH("매입금액", INDEX(Data_Input!$A$1:$ZZ$502, 0, MATCH(1, (Data_Input!$7:$7=$F$3)*(Data_Input!$8:$8=$B207), 0)), 0) + 1, MATCH(1, (Data_Input!$7:$7=$F$3)*(Data_Input!$8:$8=$B207), 0)),"")</f>
        <v/>
      </c>
      <c r="I207" s="20" t="str" cm="1">
        <f t="array" ref="I207">IFERROR(INDEX(Data_Input!$A$1:$ZZ$502, MATCH("평가금액", INDEX(Data_Input!$A$1:$ZZ$502, 0, MATCH(1, (Data_Input!$7:$7=$F$3)*(Data_Input!$8:$8=$B207), 0)), 0) + 1, MATCH(1, (Data_Input!$7:$7=$F$3)*(Data_Input!$8:$8=$B207), 0)),"")</f>
        <v/>
      </c>
      <c r="J207" s="20" t="str" cm="1">
        <f t="array" ref="J207">IFERROR(INDEX(Data_Input!$A$1:$ZZ$502, MATCH("평가손익", INDEX(Data_Input!$A$1:$ZZ$502, 0, MATCH(1, (Data_Input!$7:$7=$F$3)*(Data_Input!$8:$8=$B207), 0)), 0) + 1, MATCH(1, (Data_Input!$7:$7=$F$3)*(Data_Input!$8:$8=$B207), 0)),"")</f>
        <v/>
      </c>
      <c r="K207" s="14" t="str" cm="1">
        <f t="array" ref="K207">IFERROR(INDEX(Data_Input!$A$1:$ZZ$502, MATCH("총수익률", INDEX(Data_Input!$A$1:$ZZ$502, 0, MATCH(1, (Data_Input!$7:$7=$F$3)*(Data_Input!$8:$8=$B207), 0)), 0) + 1, MATCH(1, (Data_Input!$7:$7=$F$3)*(Data_Input!$8:$8=$B207), 0)),"")</f>
        <v/>
      </c>
      <c r="L207" t="str" cm="1">
        <f t="array" ref="L207">IFERROR(_xlfn.LET(
    _xlpm.targetDate, B207,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08" spans="1:12" x14ac:dyDescent="0.3">
      <c r="A208" s="16" t="str">
        <f t="shared" si="6"/>
        <v/>
      </c>
      <c r="B208" s="19"/>
      <c r="C208" s="17" t="str">
        <f t="shared" si="7"/>
        <v/>
      </c>
      <c r="D208" s="29" t="str" cm="1">
        <f t="array" ref="D208">IFERROR(INDEX(Data_Input!$10:$10,MATCH(1,(Data_Input!$7:$7=$F$3)*(Data_Input!$8:$8=$B208),0)),"")</f>
        <v/>
      </c>
      <c r="E208" s="29" t="str" cm="1">
        <f t="array" ref="E208">IFERROR(INDEX(Data_Input!$1:$100, 9, MATCH(1, (Data_Input!$7:$7=$F$3) * (Data_Input!$8:$8=$B208), 0)),"")</f>
        <v/>
      </c>
      <c r="F208" s="20" t="str" cm="1">
        <f t="array" ref="F208">IFERROR(INDEX(Data_Input!$A$1:$ZZ$502, MATCH("예수금", INDEX(Data_Input!$A$1:$ZZ$502, 0, MATCH(1, (Data_Input!$7:$7=$F$3)*(Data_Input!$8:$8=$B208), 0)), 0) + 1, MATCH(1, (Data_Input!$7:$7=$F$3)*(Data_Input!$8:$8=$B208), 0)),"")</f>
        <v/>
      </c>
      <c r="G208" s="20" t="str" cm="1">
        <f t="array" ref="G208">IFERROR(INDEX(Data_Input!$A$1:$ZZ$502, MATCH("총자산", INDEX(Data_Input!$A$1:$ZZ$502, 0, MATCH(1, (Data_Input!$7:$7=$F$3)*(Data_Input!$8:$8=$B208), 0)), 0) + 1, MATCH(1, (Data_Input!$7:$7=$F$3)*(Data_Input!$8:$8=$B208), 0)),"")</f>
        <v/>
      </c>
      <c r="H208" s="20" t="str" cm="1">
        <f t="array" ref="H208">IFERROR(INDEX(Data_Input!$A$1:$ZZ$502, MATCH("매입금액", INDEX(Data_Input!$A$1:$ZZ$502, 0, MATCH(1, (Data_Input!$7:$7=$F$3)*(Data_Input!$8:$8=$B208), 0)), 0) + 1, MATCH(1, (Data_Input!$7:$7=$F$3)*(Data_Input!$8:$8=$B208), 0)),"")</f>
        <v/>
      </c>
      <c r="I208" s="20" t="str" cm="1">
        <f t="array" ref="I208">IFERROR(INDEX(Data_Input!$A$1:$ZZ$502, MATCH("평가금액", INDEX(Data_Input!$A$1:$ZZ$502, 0, MATCH(1, (Data_Input!$7:$7=$F$3)*(Data_Input!$8:$8=$B208), 0)), 0) + 1, MATCH(1, (Data_Input!$7:$7=$F$3)*(Data_Input!$8:$8=$B208), 0)),"")</f>
        <v/>
      </c>
      <c r="J208" s="20" t="str" cm="1">
        <f t="array" ref="J208">IFERROR(INDEX(Data_Input!$A$1:$ZZ$502, MATCH("평가손익", INDEX(Data_Input!$A$1:$ZZ$502, 0, MATCH(1, (Data_Input!$7:$7=$F$3)*(Data_Input!$8:$8=$B208), 0)), 0) + 1, MATCH(1, (Data_Input!$7:$7=$F$3)*(Data_Input!$8:$8=$B208), 0)),"")</f>
        <v/>
      </c>
      <c r="K208" s="14" t="str" cm="1">
        <f t="array" ref="K208">IFERROR(INDEX(Data_Input!$A$1:$ZZ$502, MATCH("총수익률", INDEX(Data_Input!$A$1:$ZZ$502, 0, MATCH(1, (Data_Input!$7:$7=$F$3)*(Data_Input!$8:$8=$B208), 0)), 0) + 1, MATCH(1, (Data_Input!$7:$7=$F$3)*(Data_Input!$8:$8=$B208), 0)),"")</f>
        <v/>
      </c>
      <c r="L208" t="str" cm="1">
        <f t="array" ref="L208">IFERROR(_xlfn.LET(
    _xlpm.targetDate, B208,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09" spans="1:12" x14ac:dyDescent="0.3">
      <c r="A209" s="16" t="str">
        <f t="shared" si="6"/>
        <v/>
      </c>
      <c r="B209" s="19"/>
      <c r="C209" s="17" t="str">
        <f t="shared" si="7"/>
        <v/>
      </c>
      <c r="D209" s="29" t="str" cm="1">
        <f t="array" ref="D209">IFERROR(INDEX(Data_Input!$10:$10,MATCH(1,(Data_Input!$7:$7=$F$3)*(Data_Input!$8:$8=$B209),0)),"")</f>
        <v/>
      </c>
      <c r="E209" s="29" t="str" cm="1">
        <f t="array" ref="E209">IFERROR(INDEX(Data_Input!$1:$100, 9, MATCH(1, (Data_Input!$7:$7=$F$3) * (Data_Input!$8:$8=$B209), 0)),"")</f>
        <v/>
      </c>
      <c r="F209" s="20" t="str" cm="1">
        <f t="array" ref="F209">IFERROR(INDEX(Data_Input!$A$1:$ZZ$502, MATCH("예수금", INDEX(Data_Input!$A$1:$ZZ$502, 0, MATCH(1, (Data_Input!$7:$7=$F$3)*(Data_Input!$8:$8=$B209), 0)), 0) + 1, MATCH(1, (Data_Input!$7:$7=$F$3)*(Data_Input!$8:$8=$B209), 0)),"")</f>
        <v/>
      </c>
      <c r="G209" s="20" t="str" cm="1">
        <f t="array" ref="G209">IFERROR(INDEX(Data_Input!$A$1:$ZZ$502, MATCH("총자산", INDEX(Data_Input!$A$1:$ZZ$502, 0, MATCH(1, (Data_Input!$7:$7=$F$3)*(Data_Input!$8:$8=$B209), 0)), 0) + 1, MATCH(1, (Data_Input!$7:$7=$F$3)*(Data_Input!$8:$8=$B209), 0)),"")</f>
        <v/>
      </c>
      <c r="H209" s="20" t="str" cm="1">
        <f t="array" ref="H209">IFERROR(INDEX(Data_Input!$A$1:$ZZ$502, MATCH("매입금액", INDEX(Data_Input!$A$1:$ZZ$502, 0, MATCH(1, (Data_Input!$7:$7=$F$3)*(Data_Input!$8:$8=$B209), 0)), 0) + 1, MATCH(1, (Data_Input!$7:$7=$F$3)*(Data_Input!$8:$8=$B209), 0)),"")</f>
        <v/>
      </c>
      <c r="I209" s="20" t="str" cm="1">
        <f t="array" ref="I209">IFERROR(INDEX(Data_Input!$A$1:$ZZ$502, MATCH("평가금액", INDEX(Data_Input!$A$1:$ZZ$502, 0, MATCH(1, (Data_Input!$7:$7=$F$3)*(Data_Input!$8:$8=$B209), 0)), 0) + 1, MATCH(1, (Data_Input!$7:$7=$F$3)*(Data_Input!$8:$8=$B209), 0)),"")</f>
        <v/>
      </c>
      <c r="J209" s="20" t="str" cm="1">
        <f t="array" ref="J209">IFERROR(INDEX(Data_Input!$A$1:$ZZ$502, MATCH("평가손익", INDEX(Data_Input!$A$1:$ZZ$502, 0, MATCH(1, (Data_Input!$7:$7=$F$3)*(Data_Input!$8:$8=$B209), 0)), 0) + 1, MATCH(1, (Data_Input!$7:$7=$F$3)*(Data_Input!$8:$8=$B209), 0)),"")</f>
        <v/>
      </c>
      <c r="K209" s="14" t="str" cm="1">
        <f t="array" ref="K209">IFERROR(INDEX(Data_Input!$A$1:$ZZ$502, MATCH("총수익률", INDEX(Data_Input!$A$1:$ZZ$502, 0, MATCH(1, (Data_Input!$7:$7=$F$3)*(Data_Input!$8:$8=$B209), 0)), 0) + 1, MATCH(1, (Data_Input!$7:$7=$F$3)*(Data_Input!$8:$8=$B209), 0)),"")</f>
        <v/>
      </c>
      <c r="L209" t="str" cm="1">
        <f t="array" ref="L209">IFERROR(_xlfn.LET(
    _xlpm.targetDate, B209,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10" spans="1:12" x14ac:dyDescent="0.3">
      <c r="A210" s="16" t="str">
        <f t="shared" si="6"/>
        <v/>
      </c>
      <c r="B210" s="19"/>
      <c r="C210" s="17" t="str">
        <f t="shared" si="7"/>
        <v/>
      </c>
      <c r="D210" s="29" t="str" cm="1">
        <f t="array" ref="D210">IFERROR(INDEX(Data_Input!$10:$10,MATCH(1,(Data_Input!$7:$7=$F$3)*(Data_Input!$8:$8=$B210),0)),"")</f>
        <v/>
      </c>
      <c r="E210" s="29" t="str" cm="1">
        <f t="array" ref="E210">IFERROR(INDEX(Data_Input!$1:$100, 9, MATCH(1, (Data_Input!$7:$7=$F$3) * (Data_Input!$8:$8=$B210), 0)),"")</f>
        <v/>
      </c>
      <c r="F210" s="20" t="str" cm="1">
        <f t="array" ref="F210">IFERROR(INDEX(Data_Input!$A$1:$ZZ$502, MATCH("예수금", INDEX(Data_Input!$A$1:$ZZ$502, 0, MATCH(1, (Data_Input!$7:$7=$F$3)*(Data_Input!$8:$8=$B210), 0)), 0) + 1, MATCH(1, (Data_Input!$7:$7=$F$3)*(Data_Input!$8:$8=$B210), 0)),"")</f>
        <v/>
      </c>
      <c r="G210" s="20" t="str" cm="1">
        <f t="array" ref="G210">IFERROR(INDEX(Data_Input!$A$1:$ZZ$502, MATCH("총자산", INDEX(Data_Input!$A$1:$ZZ$502, 0, MATCH(1, (Data_Input!$7:$7=$F$3)*(Data_Input!$8:$8=$B210), 0)), 0) + 1, MATCH(1, (Data_Input!$7:$7=$F$3)*(Data_Input!$8:$8=$B210), 0)),"")</f>
        <v/>
      </c>
      <c r="H210" s="20" t="str" cm="1">
        <f t="array" ref="H210">IFERROR(INDEX(Data_Input!$A$1:$ZZ$502, MATCH("매입금액", INDEX(Data_Input!$A$1:$ZZ$502, 0, MATCH(1, (Data_Input!$7:$7=$F$3)*(Data_Input!$8:$8=$B210), 0)), 0) + 1, MATCH(1, (Data_Input!$7:$7=$F$3)*(Data_Input!$8:$8=$B210), 0)),"")</f>
        <v/>
      </c>
      <c r="I210" s="20" t="str" cm="1">
        <f t="array" ref="I210">IFERROR(INDEX(Data_Input!$A$1:$ZZ$502, MATCH("평가금액", INDEX(Data_Input!$A$1:$ZZ$502, 0, MATCH(1, (Data_Input!$7:$7=$F$3)*(Data_Input!$8:$8=$B210), 0)), 0) + 1, MATCH(1, (Data_Input!$7:$7=$F$3)*(Data_Input!$8:$8=$B210), 0)),"")</f>
        <v/>
      </c>
      <c r="J210" s="20" t="str" cm="1">
        <f t="array" ref="J210">IFERROR(INDEX(Data_Input!$A$1:$ZZ$502, MATCH("평가손익", INDEX(Data_Input!$A$1:$ZZ$502, 0, MATCH(1, (Data_Input!$7:$7=$F$3)*(Data_Input!$8:$8=$B210), 0)), 0) + 1, MATCH(1, (Data_Input!$7:$7=$F$3)*(Data_Input!$8:$8=$B210), 0)),"")</f>
        <v/>
      </c>
      <c r="K210" s="14" t="str" cm="1">
        <f t="array" ref="K210">IFERROR(INDEX(Data_Input!$A$1:$ZZ$502, MATCH("총수익률", INDEX(Data_Input!$A$1:$ZZ$502, 0, MATCH(1, (Data_Input!$7:$7=$F$3)*(Data_Input!$8:$8=$B210), 0)), 0) + 1, MATCH(1, (Data_Input!$7:$7=$F$3)*(Data_Input!$8:$8=$B210), 0)),"")</f>
        <v/>
      </c>
      <c r="L210" t="str" cm="1">
        <f t="array" ref="L210">IFERROR(_xlfn.LET(
    _xlpm.targetDate, B210,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11" spans="1:12" x14ac:dyDescent="0.3">
      <c r="A211" s="16" t="str">
        <f t="shared" si="6"/>
        <v/>
      </c>
      <c r="B211" s="19"/>
      <c r="C211" s="17" t="str">
        <f t="shared" si="7"/>
        <v/>
      </c>
      <c r="D211" s="29" t="str" cm="1">
        <f t="array" ref="D211">IFERROR(INDEX(Data_Input!$10:$10,MATCH(1,(Data_Input!$7:$7=$F$3)*(Data_Input!$8:$8=$B211),0)),"")</f>
        <v/>
      </c>
      <c r="E211" s="29" t="str" cm="1">
        <f t="array" ref="E211">IFERROR(INDEX(Data_Input!$1:$100, 9, MATCH(1, (Data_Input!$7:$7=$F$3) * (Data_Input!$8:$8=$B211), 0)),"")</f>
        <v/>
      </c>
      <c r="F211" s="20" t="str" cm="1">
        <f t="array" ref="F211">IFERROR(INDEX(Data_Input!$A$1:$ZZ$502, MATCH("예수금", INDEX(Data_Input!$A$1:$ZZ$502, 0, MATCH(1, (Data_Input!$7:$7=$F$3)*(Data_Input!$8:$8=$B211), 0)), 0) + 1, MATCH(1, (Data_Input!$7:$7=$F$3)*(Data_Input!$8:$8=$B211), 0)),"")</f>
        <v/>
      </c>
      <c r="G211" s="20" t="str" cm="1">
        <f t="array" ref="G211">IFERROR(INDEX(Data_Input!$A$1:$ZZ$502, MATCH("총자산", INDEX(Data_Input!$A$1:$ZZ$502, 0, MATCH(1, (Data_Input!$7:$7=$F$3)*(Data_Input!$8:$8=$B211), 0)), 0) + 1, MATCH(1, (Data_Input!$7:$7=$F$3)*(Data_Input!$8:$8=$B211), 0)),"")</f>
        <v/>
      </c>
      <c r="H211" s="20" t="str" cm="1">
        <f t="array" ref="H211">IFERROR(INDEX(Data_Input!$A$1:$ZZ$502, MATCH("매입금액", INDEX(Data_Input!$A$1:$ZZ$502, 0, MATCH(1, (Data_Input!$7:$7=$F$3)*(Data_Input!$8:$8=$B211), 0)), 0) + 1, MATCH(1, (Data_Input!$7:$7=$F$3)*(Data_Input!$8:$8=$B211), 0)),"")</f>
        <v/>
      </c>
      <c r="I211" s="20" t="str" cm="1">
        <f t="array" ref="I211">IFERROR(INDEX(Data_Input!$A$1:$ZZ$502, MATCH("평가금액", INDEX(Data_Input!$A$1:$ZZ$502, 0, MATCH(1, (Data_Input!$7:$7=$F$3)*(Data_Input!$8:$8=$B211), 0)), 0) + 1, MATCH(1, (Data_Input!$7:$7=$F$3)*(Data_Input!$8:$8=$B211), 0)),"")</f>
        <v/>
      </c>
      <c r="J211" s="20" t="str" cm="1">
        <f t="array" ref="J211">IFERROR(INDEX(Data_Input!$A$1:$ZZ$502, MATCH("평가손익", INDEX(Data_Input!$A$1:$ZZ$502, 0, MATCH(1, (Data_Input!$7:$7=$F$3)*(Data_Input!$8:$8=$B211), 0)), 0) + 1, MATCH(1, (Data_Input!$7:$7=$F$3)*(Data_Input!$8:$8=$B211), 0)),"")</f>
        <v/>
      </c>
      <c r="K211" s="14" t="str" cm="1">
        <f t="array" ref="K211">IFERROR(INDEX(Data_Input!$A$1:$ZZ$502, MATCH("총수익률", INDEX(Data_Input!$A$1:$ZZ$502, 0, MATCH(1, (Data_Input!$7:$7=$F$3)*(Data_Input!$8:$8=$B211), 0)), 0) + 1, MATCH(1, (Data_Input!$7:$7=$F$3)*(Data_Input!$8:$8=$B211), 0)),"")</f>
        <v/>
      </c>
      <c r="L211" t="str" cm="1">
        <f t="array" ref="L211">IFERROR(_xlfn.LET(
    _xlpm.targetDate, B211,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12" spans="1:12" x14ac:dyDescent="0.3">
      <c r="A212" s="16" t="str">
        <f t="shared" si="6"/>
        <v/>
      </c>
      <c r="B212" s="19"/>
      <c r="C212" s="17" t="str">
        <f t="shared" si="7"/>
        <v/>
      </c>
      <c r="D212" s="29" t="str" cm="1">
        <f t="array" ref="D212">IFERROR(INDEX(Data_Input!$10:$10,MATCH(1,(Data_Input!$7:$7=$F$3)*(Data_Input!$8:$8=$B212),0)),"")</f>
        <v/>
      </c>
      <c r="E212" s="29" t="str" cm="1">
        <f t="array" ref="E212">IFERROR(INDEX(Data_Input!$1:$100, 9, MATCH(1, (Data_Input!$7:$7=$F$3) * (Data_Input!$8:$8=$B212), 0)),"")</f>
        <v/>
      </c>
      <c r="F212" s="20" t="str" cm="1">
        <f t="array" ref="F212">IFERROR(INDEX(Data_Input!$A$1:$ZZ$502, MATCH("예수금", INDEX(Data_Input!$A$1:$ZZ$502, 0, MATCH(1, (Data_Input!$7:$7=$F$3)*(Data_Input!$8:$8=$B212), 0)), 0) + 1, MATCH(1, (Data_Input!$7:$7=$F$3)*(Data_Input!$8:$8=$B212), 0)),"")</f>
        <v/>
      </c>
      <c r="G212" s="20" t="str" cm="1">
        <f t="array" ref="G212">IFERROR(INDEX(Data_Input!$A$1:$ZZ$502, MATCH("총자산", INDEX(Data_Input!$A$1:$ZZ$502, 0, MATCH(1, (Data_Input!$7:$7=$F$3)*(Data_Input!$8:$8=$B212), 0)), 0) + 1, MATCH(1, (Data_Input!$7:$7=$F$3)*(Data_Input!$8:$8=$B212), 0)),"")</f>
        <v/>
      </c>
      <c r="H212" s="20" t="str" cm="1">
        <f t="array" ref="H212">IFERROR(INDEX(Data_Input!$A$1:$ZZ$502, MATCH("매입금액", INDEX(Data_Input!$A$1:$ZZ$502, 0, MATCH(1, (Data_Input!$7:$7=$F$3)*(Data_Input!$8:$8=$B212), 0)), 0) + 1, MATCH(1, (Data_Input!$7:$7=$F$3)*(Data_Input!$8:$8=$B212), 0)),"")</f>
        <v/>
      </c>
      <c r="I212" s="20" t="str" cm="1">
        <f t="array" ref="I212">IFERROR(INDEX(Data_Input!$A$1:$ZZ$502, MATCH("평가금액", INDEX(Data_Input!$A$1:$ZZ$502, 0, MATCH(1, (Data_Input!$7:$7=$F$3)*(Data_Input!$8:$8=$B212), 0)), 0) + 1, MATCH(1, (Data_Input!$7:$7=$F$3)*(Data_Input!$8:$8=$B212), 0)),"")</f>
        <v/>
      </c>
      <c r="J212" s="20" t="str" cm="1">
        <f t="array" ref="J212">IFERROR(INDEX(Data_Input!$A$1:$ZZ$502, MATCH("평가손익", INDEX(Data_Input!$A$1:$ZZ$502, 0, MATCH(1, (Data_Input!$7:$7=$F$3)*(Data_Input!$8:$8=$B212), 0)), 0) + 1, MATCH(1, (Data_Input!$7:$7=$F$3)*(Data_Input!$8:$8=$B212), 0)),"")</f>
        <v/>
      </c>
      <c r="K212" s="14" t="str" cm="1">
        <f t="array" ref="K212">IFERROR(INDEX(Data_Input!$A$1:$ZZ$502, MATCH("총수익률", INDEX(Data_Input!$A$1:$ZZ$502, 0, MATCH(1, (Data_Input!$7:$7=$F$3)*(Data_Input!$8:$8=$B212), 0)), 0) + 1, MATCH(1, (Data_Input!$7:$7=$F$3)*(Data_Input!$8:$8=$B212), 0)),"")</f>
        <v/>
      </c>
      <c r="L212" t="str" cm="1">
        <f t="array" ref="L212">IFERROR(_xlfn.LET(
    _xlpm.targetDate, B212,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13" spans="1:12" x14ac:dyDescent="0.3">
      <c r="A213" s="16" t="str">
        <f t="shared" si="6"/>
        <v/>
      </c>
      <c r="B213" s="19"/>
      <c r="C213" s="17" t="str">
        <f t="shared" si="7"/>
        <v/>
      </c>
      <c r="D213" s="29" t="str" cm="1">
        <f t="array" ref="D213">IFERROR(INDEX(Data_Input!$10:$10,MATCH(1,(Data_Input!$7:$7=$F$3)*(Data_Input!$8:$8=$B213),0)),"")</f>
        <v/>
      </c>
      <c r="E213" s="29" t="str" cm="1">
        <f t="array" ref="E213">IFERROR(INDEX(Data_Input!$1:$100, 9, MATCH(1, (Data_Input!$7:$7=$F$3) * (Data_Input!$8:$8=$B213), 0)),"")</f>
        <v/>
      </c>
      <c r="F213" s="20" t="str" cm="1">
        <f t="array" ref="F213">IFERROR(INDEX(Data_Input!$A$1:$ZZ$502, MATCH("예수금", INDEX(Data_Input!$A$1:$ZZ$502, 0, MATCH(1, (Data_Input!$7:$7=$F$3)*(Data_Input!$8:$8=$B213), 0)), 0) + 1, MATCH(1, (Data_Input!$7:$7=$F$3)*(Data_Input!$8:$8=$B213), 0)),"")</f>
        <v/>
      </c>
      <c r="G213" s="20" t="str" cm="1">
        <f t="array" ref="G213">IFERROR(INDEX(Data_Input!$A$1:$ZZ$502, MATCH("총자산", INDEX(Data_Input!$A$1:$ZZ$502, 0, MATCH(1, (Data_Input!$7:$7=$F$3)*(Data_Input!$8:$8=$B213), 0)), 0) + 1, MATCH(1, (Data_Input!$7:$7=$F$3)*(Data_Input!$8:$8=$B213), 0)),"")</f>
        <v/>
      </c>
      <c r="H213" s="20" t="str" cm="1">
        <f t="array" ref="H213">IFERROR(INDEX(Data_Input!$A$1:$ZZ$502, MATCH("매입금액", INDEX(Data_Input!$A$1:$ZZ$502, 0, MATCH(1, (Data_Input!$7:$7=$F$3)*(Data_Input!$8:$8=$B213), 0)), 0) + 1, MATCH(1, (Data_Input!$7:$7=$F$3)*(Data_Input!$8:$8=$B213), 0)),"")</f>
        <v/>
      </c>
      <c r="I213" s="20" t="str" cm="1">
        <f t="array" ref="I213">IFERROR(INDEX(Data_Input!$A$1:$ZZ$502, MATCH("평가금액", INDEX(Data_Input!$A$1:$ZZ$502, 0, MATCH(1, (Data_Input!$7:$7=$F$3)*(Data_Input!$8:$8=$B213), 0)), 0) + 1, MATCH(1, (Data_Input!$7:$7=$F$3)*(Data_Input!$8:$8=$B213), 0)),"")</f>
        <v/>
      </c>
      <c r="J213" s="20" t="str" cm="1">
        <f t="array" ref="J213">IFERROR(INDEX(Data_Input!$A$1:$ZZ$502, MATCH("평가손익", INDEX(Data_Input!$A$1:$ZZ$502, 0, MATCH(1, (Data_Input!$7:$7=$F$3)*(Data_Input!$8:$8=$B213), 0)), 0) + 1, MATCH(1, (Data_Input!$7:$7=$F$3)*(Data_Input!$8:$8=$B213), 0)),"")</f>
        <v/>
      </c>
      <c r="K213" s="14" t="str" cm="1">
        <f t="array" ref="K213">IFERROR(INDEX(Data_Input!$A$1:$ZZ$502, MATCH("총수익률", INDEX(Data_Input!$A$1:$ZZ$502, 0, MATCH(1, (Data_Input!$7:$7=$F$3)*(Data_Input!$8:$8=$B213), 0)), 0) + 1, MATCH(1, (Data_Input!$7:$7=$F$3)*(Data_Input!$8:$8=$B213), 0)),"")</f>
        <v/>
      </c>
      <c r="L213" t="str" cm="1">
        <f t="array" ref="L213">IFERROR(_xlfn.LET(
    _xlpm.targetDate, B213,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14" spans="1:12" x14ac:dyDescent="0.3">
      <c r="A214" s="16" t="str">
        <f t="shared" si="6"/>
        <v/>
      </c>
      <c r="B214" s="19"/>
      <c r="C214" s="17" t="str">
        <f t="shared" si="7"/>
        <v/>
      </c>
      <c r="D214" s="29" t="str" cm="1">
        <f t="array" ref="D214">IFERROR(INDEX(Data_Input!$10:$10,MATCH(1,(Data_Input!$7:$7=$F$3)*(Data_Input!$8:$8=$B214),0)),"")</f>
        <v/>
      </c>
      <c r="E214" s="29" t="str" cm="1">
        <f t="array" ref="E214">IFERROR(INDEX(Data_Input!$1:$100, 9, MATCH(1, (Data_Input!$7:$7=$F$3) * (Data_Input!$8:$8=$B214), 0)),"")</f>
        <v/>
      </c>
      <c r="F214" s="20" t="str" cm="1">
        <f t="array" ref="F214">IFERROR(INDEX(Data_Input!$A$1:$ZZ$502, MATCH("예수금", INDEX(Data_Input!$A$1:$ZZ$502, 0, MATCH(1, (Data_Input!$7:$7=$F$3)*(Data_Input!$8:$8=$B214), 0)), 0) + 1, MATCH(1, (Data_Input!$7:$7=$F$3)*(Data_Input!$8:$8=$B214), 0)),"")</f>
        <v/>
      </c>
      <c r="G214" s="20" t="str" cm="1">
        <f t="array" ref="G214">IFERROR(INDEX(Data_Input!$A$1:$ZZ$502, MATCH("총자산", INDEX(Data_Input!$A$1:$ZZ$502, 0, MATCH(1, (Data_Input!$7:$7=$F$3)*(Data_Input!$8:$8=$B214), 0)), 0) + 1, MATCH(1, (Data_Input!$7:$7=$F$3)*(Data_Input!$8:$8=$B214), 0)),"")</f>
        <v/>
      </c>
      <c r="H214" s="20" t="str" cm="1">
        <f t="array" ref="H214">IFERROR(INDEX(Data_Input!$A$1:$ZZ$502, MATCH("매입금액", INDEX(Data_Input!$A$1:$ZZ$502, 0, MATCH(1, (Data_Input!$7:$7=$F$3)*(Data_Input!$8:$8=$B214), 0)), 0) + 1, MATCH(1, (Data_Input!$7:$7=$F$3)*(Data_Input!$8:$8=$B214), 0)),"")</f>
        <v/>
      </c>
      <c r="I214" s="20" t="str" cm="1">
        <f t="array" ref="I214">IFERROR(INDEX(Data_Input!$A$1:$ZZ$502, MATCH("평가금액", INDEX(Data_Input!$A$1:$ZZ$502, 0, MATCH(1, (Data_Input!$7:$7=$F$3)*(Data_Input!$8:$8=$B214), 0)), 0) + 1, MATCH(1, (Data_Input!$7:$7=$F$3)*(Data_Input!$8:$8=$B214), 0)),"")</f>
        <v/>
      </c>
      <c r="J214" s="20" t="str" cm="1">
        <f t="array" ref="J214">IFERROR(INDEX(Data_Input!$A$1:$ZZ$502, MATCH("평가손익", INDEX(Data_Input!$A$1:$ZZ$502, 0, MATCH(1, (Data_Input!$7:$7=$F$3)*(Data_Input!$8:$8=$B214), 0)), 0) + 1, MATCH(1, (Data_Input!$7:$7=$F$3)*(Data_Input!$8:$8=$B214), 0)),"")</f>
        <v/>
      </c>
      <c r="K214" s="14" t="str" cm="1">
        <f t="array" ref="K214">IFERROR(INDEX(Data_Input!$A$1:$ZZ$502, MATCH("총수익률", INDEX(Data_Input!$A$1:$ZZ$502, 0, MATCH(1, (Data_Input!$7:$7=$F$3)*(Data_Input!$8:$8=$B214), 0)), 0) + 1, MATCH(1, (Data_Input!$7:$7=$F$3)*(Data_Input!$8:$8=$B214), 0)),"")</f>
        <v/>
      </c>
      <c r="L214" t="str" cm="1">
        <f t="array" ref="L214">IFERROR(_xlfn.LET(
    _xlpm.targetDate, B214,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15" spans="1:12" x14ac:dyDescent="0.3">
      <c r="A215" s="16" t="str">
        <f t="shared" si="6"/>
        <v/>
      </c>
      <c r="B215" s="19"/>
      <c r="C215" s="17" t="str">
        <f t="shared" si="7"/>
        <v/>
      </c>
      <c r="D215" s="29" t="str" cm="1">
        <f t="array" ref="D215">IFERROR(INDEX(Data_Input!$10:$10,MATCH(1,(Data_Input!$7:$7=$F$3)*(Data_Input!$8:$8=$B215),0)),"")</f>
        <v/>
      </c>
      <c r="E215" s="29" t="str" cm="1">
        <f t="array" ref="E215">IFERROR(INDEX(Data_Input!$1:$100, 9, MATCH(1, (Data_Input!$7:$7=$F$3) * (Data_Input!$8:$8=$B215), 0)),"")</f>
        <v/>
      </c>
      <c r="F215" s="20" t="str" cm="1">
        <f t="array" ref="F215">IFERROR(INDEX(Data_Input!$A$1:$ZZ$502, MATCH("예수금", INDEX(Data_Input!$A$1:$ZZ$502, 0, MATCH(1, (Data_Input!$7:$7=$F$3)*(Data_Input!$8:$8=$B215), 0)), 0) + 1, MATCH(1, (Data_Input!$7:$7=$F$3)*(Data_Input!$8:$8=$B215), 0)),"")</f>
        <v/>
      </c>
      <c r="G215" s="20" t="str" cm="1">
        <f t="array" ref="G215">IFERROR(INDEX(Data_Input!$A$1:$ZZ$502, MATCH("총자산", INDEX(Data_Input!$A$1:$ZZ$502, 0, MATCH(1, (Data_Input!$7:$7=$F$3)*(Data_Input!$8:$8=$B215), 0)), 0) + 1, MATCH(1, (Data_Input!$7:$7=$F$3)*(Data_Input!$8:$8=$B215), 0)),"")</f>
        <v/>
      </c>
      <c r="H215" s="20" t="str" cm="1">
        <f t="array" ref="H215">IFERROR(INDEX(Data_Input!$A$1:$ZZ$502, MATCH("매입금액", INDEX(Data_Input!$A$1:$ZZ$502, 0, MATCH(1, (Data_Input!$7:$7=$F$3)*(Data_Input!$8:$8=$B215), 0)), 0) + 1, MATCH(1, (Data_Input!$7:$7=$F$3)*(Data_Input!$8:$8=$B215), 0)),"")</f>
        <v/>
      </c>
      <c r="I215" s="20" t="str" cm="1">
        <f t="array" ref="I215">IFERROR(INDEX(Data_Input!$A$1:$ZZ$502, MATCH("평가금액", INDEX(Data_Input!$A$1:$ZZ$502, 0, MATCH(1, (Data_Input!$7:$7=$F$3)*(Data_Input!$8:$8=$B215), 0)), 0) + 1, MATCH(1, (Data_Input!$7:$7=$F$3)*(Data_Input!$8:$8=$B215), 0)),"")</f>
        <v/>
      </c>
      <c r="J215" s="20" t="str" cm="1">
        <f t="array" ref="J215">IFERROR(INDEX(Data_Input!$A$1:$ZZ$502, MATCH("평가손익", INDEX(Data_Input!$A$1:$ZZ$502, 0, MATCH(1, (Data_Input!$7:$7=$F$3)*(Data_Input!$8:$8=$B215), 0)), 0) + 1, MATCH(1, (Data_Input!$7:$7=$F$3)*(Data_Input!$8:$8=$B215), 0)),"")</f>
        <v/>
      </c>
      <c r="K215" s="14" t="str" cm="1">
        <f t="array" ref="K215">IFERROR(INDEX(Data_Input!$A$1:$ZZ$502, MATCH("총수익률", INDEX(Data_Input!$A$1:$ZZ$502, 0, MATCH(1, (Data_Input!$7:$7=$F$3)*(Data_Input!$8:$8=$B215), 0)), 0) + 1, MATCH(1, (Data_Input!$7:$7=$F$3)*(Data_Input!$8:$8=$B215), 0)),"")</f>
        <v/>
      </c>
      <c r="L215" t="str" cm="1">
        <f t="array" ref="L215">IFERROR(_xlfn.LET(
    _xlpm.targetDate, B215,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16" spans="1:12" x14ac:dyDescent="0.3">
      <c r="A216" s="16" t="str">
        <f t="shared" si="6"/>
        <v/>
      </c>
      <c r="B216" s="19"/>
      <c r="C216" s="17" t="str">
        <f t="shared" si="7"/>
        <v/>
      </c>
      <c r="D216" s="29" t="str" cm="1">
        <f t="array" ref="D216">IFERROR(INDEX(Data_Input!$10:$10,MATCH(1,(Data_Input!$7:$7=$F$3)*(Data_Input!$8:$8=$B216),0)),"")</f>
        <v/>
      </c>
      <c r="E216" s="29" t="str" cm="1">
        <f t="array" ref="E216">IFERROR(INDEX(Data_Input!$1:$100, 9, MATCH(1, (Data_Input!$7:$7=$F$3) * (Data_Input!$8:$8=$B216), 0)),"")</f>
        <v/>
      </c>
      <c r="F216" s="20" t="str" cm="1">
        <f t="array" ref="F216">IFERROR(INDEX(Data_Input!$A$1:$ZZ$502, MATCH("예수금", INDEX(Data_Input!$A$1:$ZZ$502, 0, MATCH(1, (Data_Input!$7:$7=$F$3)*(Data_Input!$8:$8=$B216), 0)), 0) + 1, MATCH(1, (Data_Input!$7:$7=$F$3)*(Data_Input!$8:$8=$B216), 0)),"")</f>
        <v/>
      </c>
      <c r="G216" s="20" t="str" cm="1">
        <f t="array" ref="G216">IFERROR(INDEX(Data_Input!$A$1:$ZZ$502, MATCH("총자산", INDEX(Data_Input!$A$1:$ZZ$502, 0, MATCH(1, (Data_Input!$7:$7=$F$3)*(Data_Input!$8:$8=$B216), 0)), 0) + 1, MATCH(1, (Data_Input!$7:$7=$F$3)*(Data_Input!$8:$8=$B216), 0)),"")</f>
        <v/>
      </c>
      <c r="H216" s="20" t="str" cm="1">
        <f t="array" ref="H216">IFERROR(INDEX(Data_Input!$A$1:$ZZ$502, MATCH("매입금액", INDEX(Data_Input!$A$1:$ZZ$502, 0, MATCH(1, (Data_Input!$7:$7=$F$3)*(Data_Input!$8:$8=$B216), 0)), 0) + 1, MATCH(1, (Data_Input!$7:$7=$F$3)*(Data_Input!$8:$8=$B216), 0)),"")</f>
        <v/>
      </c>
      <c r="I216" s="20" t="str" cm="1">
        <f t="array" ref="I216">IFERROR(INDEX(Data_Input!$A$1:$ZZ$502, MATCH("평가금액", INDEX(Data_Input!$A$1:$ZZ$502, 0, MATCH(1, (Data_Input!$7:$7=$F$3)*(Data_Input!$8:$8=$B216), 0)), 0) + 1, MATCH(1, (Data_Input!$7:$7=$F$3)*(Data_Input!$8:$8=$B216), 0)),"")</f>
        <v/>
      </c>
      <c r="J216" s="20" t="str" cm="1">
        <f t="array" ref="J216">IFERROR(INDEX(Data_Input!$A$1:$ZZ$502, MATCH("평가손익", INDEX(Data_Input!$A$1:$ZZ$502, 0, MATCH(1, (Data_Input!$7:$7=$F$3)*(Data_Input!$8:$8=$B216), 0)), 0) + 1, MATCH(1, (Data_Input!$7:$7=$F$3)*(Data_Input!$8:$8=$B216), 0)),"")</f>
        <v/>
      </c>
      <c r="K216" s="14" t="str" cm="1">
        <f t="array" ref="K216">IFERROR(INDEX(Data_Input!$A$1:$ZZ$502, MATCH("총수익률", INDEX(Data_Input!$A$1:$ZZ$502, 0, MATCH(1, (Data_Input!$7:$7=$F$3)*(Data_Input!$8:$8=$B216), 0)), 0) + 1, MATCH(1, (Data_Input!$7:$7=$F$3)*(Data_Input!$8:$8=$B216), 0)),"")</f>
        <v/>
      </c>
      <c r="L216" t="str" cm="1">
        <f t="array" ref="L216">IFERROR(_xlfn.LET(
    _xlpm.targetDate, B216,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17" spans="1:12" x14ac:dyDescent="0.3">
      <c r="A217" s="16" t="str">
        <f t="shared" si="6"/>
        <v/>
      </c>
      <c r="B217" s="19"/>
      <c r="C217" s="17" t="str">
        <f t="shared" si="7"/>
        <v/>
      </c>
      <c r="D217" s="29" t="str" cm="1">
        <f t="array" ref="D217">IFERROR(INDEX(Data_Input!$10:$10,MATCH(1,(Data_Input!$7:$7=$F$3)*(Data_Input!$8:$8=$B217),0)),"")</f>
        <v/>
      </c>
      <c r="E217" s="29" t="str" cm="1">
        <f t="array" ref="E217">IFERROR(INDEX(Data_Input!$1:$100, 9, MATCH(1, (Data_Input!$7:$7=$F$3) * (Data_Input!$8:$8=$B217), 0)),"")</f>
        <v/>
      </c>
      <c r="F217" s="20" t="str" cm="1">
        <f t="array" ref="F217">IFERROR(INDEX(Data_Input!$A$1:$ZZ$502, MATCH("예수금", INDEX(Data_Input!$A$1:$ZZ$502, 0, MATCH(1, (Data_Input!$7:$7=$F$3)*(Data_Input!$8:$8=$B217), 0)), 0) + 1, MATCH(1, (Data_Input!$7:$7=$F$3)*(Data_Input!$8:$8=$B217), 0)),"")</f>
        <v/>
      </c>
      <c r="G217" s="20" t="str" cm="1">
        <f t="array" ref="G217">IFERROR(INDEX(Data_Input!$A$1:$ZZ$502, MATCH("총자산", INDEX(Data_Input!$A$1:$ZZ$502, 0, MATCH(1, (Data_Input!$7:$7=$F$3)*(Data_Input!$8:$8=$B217), 0)), 0) + 1, MATCH(1, (Data_Input!$7:$7=$F$3)*(Data_Input!$8:$8=$B217), 0)),"")</f>
        <v/>
      </c>
      <c r="H217" s="20" t="str" cm="1">
        <f t="array" ref="H217">IFERROR(INDEX(Data_Input!$A$1:$ZZ$502, MATCH("매입금액", INDEX(Data_Input!$A$1:$ZZ$502, 0, MATCH(1, (Data_Input!$7:$7=$F$3)*(Data_Input!$8:$8=$B217), 0)), 0) + 1, MATCH(1, (Data_Input!$7:$7=$F$3)*(Data_Input!$8:$8=$B217), 0)),"")</f>
        <v/>
      </c>
      <c r="I217" s="20" t="str" cm="1">
        <f t="array" ref="I217">IFERROR(INDEX(Data_Input!$A$1:$ZZ$502, MATCH("평가금액", INDEX(Data_Input!$A$1:$ZZ$502, 0, MATCH(1, (Data_Input!$7:$7=$F$3)*(Data_Input!$8:$8=$B217), 0)), 0) + 1, MATCH(1, (Data_Input!$7:$7=$F$3)*(Data_Input!$8:$8=$B217), 0)),"")</f>
        <v/>
      </c>
      <c r="J217" s="20" t="str" cm="1">
        <f t="array" ref="J217">IFERROR(INDEX(Data_Input!$A$1:$ZZ$502, MATCH("평가손익", INDEX(Data_Input!$A$1:$ZZ$502, 0, MATCH(1, (Data_Input!$7:$7=$F$3)*(Data_Input!$8:$8=$B217), 0)), 0) + 1, MATCH(1, (Data_Input!$7:$7=$F$3)*(Data_Input!$8:$8=$B217), 0)),"")</f>
        <v/>
      </c>
      <c r="K217" s="14" t="str" cm="1">
        <f t="array" ref="K217">IFERROR(INDEX(Data_Input!$A$1:$ZZ$502, MATCH("총수익률", INDEX(Data_Input!$A$1:$ZZ$502, 0, MATCH(1, (Data_Input!$7:$7=$F$3)*(Data_Input!$8:$8=$B217), 0)), 0) + 1, MATCH(1, (Data_Input!$7:$7=$F$3)*(Data_Input!$8:$8=$B217), 0)),"")</f>
        <v/>
      </c>
      <c r="L217" t="str" cm="1">
        <f t="array" ref="L217">IFERROR(_xlfn.LET(
    _xlpm.targetDate, B217,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18" spans="1:12" x14ac:dyDescent="0.3">
      <c r="A218" s="16" t="str">
        <f t="shared" si="6"/>
        <v/>
      </c>
      <c r="B218" s="19"/>
      <c r="C218" s="17" t="str">
        <f t="shared" si="7"/>
        <v/>
      </c>
      <c r="D218" s="29" t="str" cm="1">
        <f t="array" ref="D218">IFERROR(INDEX(Data_Input!$10:$10,MATCH(1,(Data_Input!$7:$7=$F$3)*(Data_Input!$8:$8=$B218),0)),"")</f>
        <v/>
      </c>
      <c r="E218" s="29" t="str" cm="1">
        <f t="array" ref="E218">IFERROR(INDEX(Data_Input!$1:$100, 9, MATCH(1, (Data_Input!$7:$7=$F$3) * (Data_Input!$8:$8=$B218), 0)),"")</f>
        <v/>
      </c>
      <c r="F218" s="20" t="str" cm="1">
        <f t="array" ref="F218">IFERROR(INDEX(Data_Input!$A$1:$ZZ$502, MATCH("예수금", INDEX(Data_Input!$A$1:$ZZ$502, 0, MATCH(1, (Data_Input!$7:$7=$F$3)*(Data_Input!$8:$8=$B218), 0)), 0) + 1, MATCH(1, (Data_Input!$7:$7=$F$3)*(Data_Input!$8:$8=$B218), 0)),"")</f>
        <v/>
      </c>
      <c r="G218" s="20" t="str" cm="1">
        <f t="array" ref="G218">IFERROR(INDEX(Data_Input!$A$1:$ZZ$502, MATCH("총자산", INDEX(Data_Input!$A$1:$ZZ$502, 0, MATCH(1, (Data_Input!$7:$7=$F$3)*(Data_Input!$8:$8=$B218), 0)), 0) + 1, MATCH(1, (Data_Input!$7:$7=$F$3)*(Data_Input!$8:$8=$B218), 0)),"")</f>
        <v/>
      </c>
      <c r="H218" s="20" t="str" cm="1">
        <f t="array" ref="H218">IFERROR(INDEX(Data_Input!$A$1:$ZZ$502, MATCH("매입금액", INDEX(Data_Input!$A$1:$ZZ$502, 0, MATCH(1, (Data_Input!$7:$7=$F$3)*(Data_Input!$8:$8=$B218), 0)), 0) + 1, MATCH(1, (Data_Input!$7:$7=$F$3)*(Data_Input!$8:$8=$B218), 0)),"")</f>
        <v/>
      </c>
      <c r="I218" s="20" t="str" cm="1">
        <f t="array" ref="I218">IFERROR(INDEX(Data_Input!$A$1:$ZZ$502, MATCH("평가금액", INDEX(Data_Input!$A$1:$ZZ$502, 0, MATCH(1, (Data_Input!$7:$7=$F$3)*(Data_Input!$8:$8=$B218), 0)), 0) + 1, MATCH(1, (Data_Input!$7:$7=$F$3)*(Data_Input!$8:$8=$B218), 0)),"")</f>
        <v/>
      </c>
      <c r="J218" s="20" t="str" cm="1">
        <f t="array" ref="J218">IFERROR(INDEX(Data_Input!$A$1:$ZZ$502, MATCH("평가손익", INDEX(Data_Input!$A$1:$ZZ$502, 0, MATCH(1, (Data_Input!$7:$7=$F$3)*(Data_Input!$8:$8=$B218), 0)), 0) + 1, MATCH(1, (Data_Input!$7:$7=$F$3)*(Data_Input!$8:$8=$B218), 0)),"")</f>
        <v/>
      </c>
      <c r="K218" s="14" t="str" cm="1">
        <f t="array" ref="K218">IFERROR(INDEX(Data_Input!$A$1:$ZZ$502, MATCH("총수익률", INDEX(Data_Input!$A$1:$ZZ$502, 0, MATCH(1, (Data_Input!$7:$7=$F$3)*(Data_Input!$8:$8=$B218), 0)), 0) + 1, MATCH(1, (Data_Input!$7:$7=$F$3)*(Data_Input!$8:$8=$B218), 0)),"")</f>
        <v/>
      </c>
      <c r="L218" t="str" cm="1">
        <f t="array" ref="L218">IFERROR(_xlfn.LET(
    _xlpm.targetDate, B218,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19" spans="1:12" x14ac:dyDescent="0.3">
      <c r="A219" s="16" t="str">
        <f t="shared" si="6"/>
        <v/>
      </c>
      <c r="B219" s="19"/>
      <c r="C219" s="17" t="str">
        <f t="shared" si="7"/>
        <v/>
      </c>
      <c r="D219" s="29" t="str" cm="1">
        <f t="array" ref="D219">IFERROR(INDEX(Data_Input!$10:$10,MATCH(1,(Data_Input!$7:$7=$F$3)*(Data_Input!$8:$8=$B219),0)),"")</f>
        <v/>
      </c>
      <c r="E219" s="29" t="str" cm="1">
        <f t="array" ref="E219">IFERROR(INDEX(Data_Input!$1:$100, 9, MATCH(1, (Data_Input!$7:$7=$F$3) * (Data_Input!$8:$8=$B219), 0)),"")</f>
        <v/>
      </c>
      <c r="F219" s="20" t="str" cm="1">
        <f t="array" ref="F219">IFERROR(INDEX(Data_Input!$A$1:$ZZ$502, MATCH("예수금", INDEX(Data_Input!$A$1:$ZZ$502, 0, MATCH(1, (Data_Input!$7:$7=$F$3)*(Data_Input!$8:$8=$B219), 0)), 0) + 1, MATCH(1, (Data_Input!$7:$7=$F$3)*(Data_Input!$8:$8=$B219), 0)),"")</f>
        <v/>
      </c>
      <c r="G219" s="20" t="str" cm="1">
        <f t="array" ref="G219">IFERROR(INDEX(Data_Input!$A$1:$ZZ$502, MATCH("총자산", INDEX(Data_Input!$A$1:$ZZ$502, 0, MATCH(1, (Data_Input!$7:$7=$F$3)*(Data_Input!$8:$8=$B219), 0)), 0) + 1, MATCH(1, (Data_Input!$7:$7=$F$3)*(Data_Input!$8:$8=$B219), 0)),"")</f>
        <v/>
      </c>
      <c r="H219" s="20" t="str" cm="1">
        <f t="array" ref="H219">IFERROR(INDEX(Data_Input!$A$1:$ZZ$502, MATCH("매입금액", INDEX(Data_Input!$A$1:$ZZ$502, 0, MATCH(1, (Data_Input!$7:$7=$F$3)*(Data_Input!$8:$8=$B219), 0)), 0) + 1, MATCH(1, (Data_Input!$7:$7=$F$3)*(Data_Input!$8:$8=$B219), 0)),"")</f>
        <v/>
      </c>
      <c r="I219" s="20" t="str" cm="1">
        <f t="array" ref="I219">IFERROR(INDEX(Data_Input!$A$1:$ZZ$502, MATCH("평가금액", INDEX(Data_Input!$A$1:$ZZ$502, 0, MATCH(1, (Data_Input!$7:$7=$F$3)*(Data_Input!$8:$8=$B219), 0)), 0) + 1, MATCH(1, (Data_Input!$7:$7=$F$3)*(Data_Input!$8:$8=$B219), 0)),"")</f>
        <v/>
      </c>
      <c r="J219" s="20" t="str" cm="1">
        <f t="array" ref="J219">IFERROR(INDEX(Data_Input!$A$1:$ZZ$502, MATCH("평가손익", INDEX(Data_Input!$A$1:$ZZ$502, 0, MATCH(1, (Data_Input!$7:$7=$F$3)*(Data_Input!$8:$8=$B219), 0)), 0) + 1, MATCH(1, (Data_Input!$7:$7=$F$3)*(Data_Input!$8:$8=$B219), 0)),"")</f>
        <v/>
      </c>
      <c r="K219" s="14" t="str" cm="1">
        <f t="array" ref="K219">IFERROR(INDEX(Data_Input!$A$1:$ZZ$502, MATCH("총수익률", INDEX(Data_Input!$A$1:$ZZ$502, 0, MATCH(1, (Data_Input!$7:$7=$F$3)*(Data_Input!$8:$8=$B219), 0)), 0) + 1, MATCH(1, (Data_Input!$7:$7=$F$3)*(Data_Input!$8:$8=$B219), 0)),"")</f>
        <v/>
      </c>
      <c r="L219" t="str" cm="1">
        <f t="array" ref="L219">IFERROR(_xlfn.LET(
    _xlpm.targetDate, B219,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20" spans="1:12" x14ac:dyDescent="0.3">
      <c r="A220" s="16" t="str">
        <f t="shared" si="6"/>
        <v/>
      </c>
      <c r="B220" s="19"/>
      <c r="C220" s="17" t="str">
        <f t="shared" si="7"/>
        <v/>
      </c>
      <c r="D220" s="29" t="str" cm="1">
        <f t="array" ref="D220">IFERROR(INDEX(Data_Input!$10:$10,MATCH(1,(Data_Input!$7:$7=$F$3)*(Data_Input!$8:$8=$B220),0)),"")</f>
        <v/>
      </c>
      <c r="E220" s="29" t="str" cm="1">
        <f t="array" ref="E220">IFERROR(INDEX(Data_Input!$1:$100, 9, MATCH(1, (Data_Input!$7:$7=$F$3) * (Data_Input!$8:$8=$B220), 0)),"")</f>
        <v/>
      </c>
      <c r="F220" s="20" t="str" cm="1">
        <f t="array" ref="F220">IFERROR(INDEX(Data_Input!$A$1:$ZZ$502, MATCH("예수금", INDEX(Data_Input!$A$1:$ZZ$502, 0, MATCH(1, (Data_Input!$7:$7=$F$3)*(Data_Input!$8:$8=$B220), 0)), 0) + 1, MATCH(1, (Data_Input!$7:$7=$F$3)*(Data_Input!$8:$8=$B220), 0)),"")</f>
        <v/>
      </c>
      <c r="G220" s="20" t="str" cm="1">
        <f t="array" ref="G220">IFERROR(INDEX(Data_Input!$A$1:$ZZ$502, MATCH("총자산", INDEX(Data_Input!$A$1:$ZZ$502, 0, MATCH(1, (Data_Input!$7:$7=$F$3)*(Data_Input!$8:$8=$B220), 0)), 0) + 1, MATCH(1, (Data_Input!$7:$7=$F$3)*(Data_Input!$8:$8=$B220), 0)),"")</f>
        <v/>
      </c>
      <c r="H220" s="20" t="str" cm="1">
        <f t="array" ref="H220">IFERROR(INDEX(Data_Input!$A$1:$ZZ$502, MATCH("매입금액", INDEX(Data_Input!$A$1:$ZZ$502, 0, MATCH(1, (Data_Input!$7:$7=$F$3)*(Data_Input!$8:$8=$B220), 0)), 0) + 1, MATCH(1, (Data_Input!$7:$7=$F$3)*(Data_Input!$8:$8=$B220), 0)),"")</f>
        <v/>
      </c>
      <c r="I220" s="20" t="str" cm="1">
        <f t="array" ref="I220">IFERROR(INDEX(Data_Input!$A$1:$ZZ$502, MATCH("평가금액", INDEX(Data_Input!$A$1:$ZZ$502, 0, MATCH(1, (Data_Input!$7:$7=$F$3)*(Data_Input!$8:$8=$B220), 0)), 0) + 1, MATCH(1, (Data_Input!$7:$7=$F$3)*(Data_Input!$8:$8=$B220), 0)),"")</f>
        <v/>
      </c>
      <c r="J220" s="20" t="str" cm="1">
        <f t="array" ref="J220">IFERROR(INDEX(Data_Input!$A$1:$ZZ$502, MATCH("평가손익", INDEX(Data_Input!$A$1:$ZZ$502, 0, MATCH(1, (Data_Input!$7:$7=$F$3)*(Data_Input!$8:$8=$B220), 0)), 0) + 1, MATCH(1, (Data_Input!$7:$7=$F$3)*(Data_Input!$8:$8=$B220), 0)),"")</f>
        <v/>
      </c>
      <c r="K220" s="14" t="str" cm="1">
        <f t="array" ref="K220">IFERROR(INDEX(Data_Input!$A$1:$ZZ$502, MATCH("총수익률", INDEX(Data_Input!$A$1:$ZZ$502, 0, MATCH(1, (Data_Input!$7:$7=$F$3)*(Data_Input!$8:$8=$B220), 0)), 0) + 1, MATCH(1, (Data_Input!$7:$7=$F$3)*(Data_Input!$8:$8=$B220), 0)),"")</f>
        <v/>
      </c>
      <c r="L220" t="str" cm="1">
        <f t="array" ref="L220">IFERROR(_xlfn.LET(
    _xlpm.targetDate, B220,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21" spans="1:12" x14ac:dyDescent="0.3">
      <c r="A221" s="16" t="str">
        <f t="shared" si="6"/>
        <v/>
      </c>
      <c r="B221" s="19"/>
      <c r="C221" s="17" t="str">
        <f t="shared" si="7"/>
        <v/>
      </c>
      <c r="D221" s="29" t="str" cm="1">
        <f t="array" ref="D221">IFERROR(INDEX(Data_Input!$10:$10,MATCH(1,(Data_Input!$7:$7=$F$3)*(Data_Input!$8:$8=$B221),0)),"")</f>
        <v/>
      </c>
      <c r="E221" s="29" t="str" cm="1">
        <f t="array" ref="E221">IFERROR(INDEX(Data_Input!$1:$100, 9, MATCH(1, (Data_Input!$7:$7=$F$3) * (Data_Input!$8:$8=$B221), 0)),"")</f>
        <v/>
      </c>
      <c r="F221" s="20" t="str" cm="1">
        <f t="array" ref="F221">IFERROR(INDEX(Data_Input!$A$1:$ZZ$502, MATCH("예수금", INDEX(Data_Input!$A$1:$ZZ$502, 0, MATCH(1, (Data_Input!$7:$7=$F$3)*(Data_Input!$8:$8=$B221), 0)), 0) + 1, MATCH(1, (Data_Input!$7:$7=$F$3)*(Data_Input!$8:$8=$B221), 0)),"")</f>
        <v/>
      </c>
      <c r="G221" s="20" t="str" cm="1">
        <f t="array" ref="G221">IFERROR(INDEX(Data_Input!$A$1:$ZZ$502, MATCH("총자산", INDEX(Data_Input!$A$1:$ZZ$502, 0, MATCH(1, (Data_Input!$7:$7=$F$3)*(Data_Input!$8:$8=$B221), 0)), 0) + 1, MATCH(1, (Data_Input!$7:$7=$F$3)*(Data_Input!$8:$8=$B221), 0)),"")</f>
        <v/>
      </c>
      <c r="H221" s="20" t="str" cm="1">
        <f t="array" ref="H221">IFERROR(INDEX(Data_Input!$A$1:$ZZ$502, MATCH("매입금액", INDEX(Data_Input!$A$1:$ZZ$502, 0, MATCH(1, (Data_Input!$7:$7=$F$3)*(Data_Input!$8:$8=$B221), 0)), 0) + 1, MATCH(1, (Data_Input!$7:$7=$F$3)*(Data_Input!$8:$8=$B221), 0)),"")</f>
        <v/>
      </c>
      <c r="I221" s="20" t="str" cm="1">
        <f t="array" ref="I221">IFERROR(INDEX(Data_Input!$A$1:$ZZ$502, MATCH("평가금액", INDEX(Data_Input!$A$1:$ZZ$502, 0, MATCH(1, (Data_Input!$7:$7=$F$3)*(Data_Input!$8:$8=$B221), 0)), 0) + 1, MATCH(1, (Data_Input!$7:$7=$F$3)*(Data_Input!$8:$8=$B221), 0)),"")</f>
        <v/>
      </c>
      <c r="J221" s="20" t="str" cm="1">
        <f t="array" ref="J221">IFERROR(INDEX(Data_Input!$A$1:$ZZ$502, MATCH("평가손익", INDEX(Data_Input!$A$1:$ZZ$502, 0, MATCH(1, (Data_Input!$7:$7=$F$3)*(Data_Input!$8:$8=$B221), 0)), 0) + 1, MATCH(1, (Data_Input!$7:$7=$F$3)*(Data_Input!$8:$8=$B221), 0)),"")</f>
        <v/>
      </c>
      <c r="K221" s="14" t="str" cm="1">
        <f t="array" ref="K221">IFERROR(INDEX(Data_Input!$A$1:$ZZ$502, MATCH("총수익률", INDEX(Data_Input!$A$1:$ZZ$502, 0, MATCH(1, (Data_Input!$7:$7=$F$3)*(Data_Input!$8:$8=$B221), 0)), 0) + 1, MATCH(1, (Data_Input!$7:$7=$F$3)*(Data_Input!$8:$8=$B221), 0)),"")</f>
        <v/>
      </c>
      <c r="L221" t="str" cm="1">
        <f t="array" ref="L221">IFERROR(_xlfn.LET(
    _xlpm.targetDate, B221,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22" spans="1:12" x14ac:dyDescent="0.3">
      <c r="A222" s="16" t="str">
        <f t="shared" si="6"/>
        <v/>
      </c>
      <c r="B222" s="19"/>
      <c r="C222" s="17" t="str">
        <f t="shared" si="7"/>
        <v/>
      </c>
      <c r="D222" s="29" t="str" cm="1">
        <f t="array" ref="D222">IFERROR(INDEX(Data_Input!$10:$10,MATCH(1,(Data_Input!$7:$7=$F$3)*(Data_Input!$8:$8=$B222),0)),"")</f>
        <v/>
      </c>
      <c r="E222" s="29" t="str" cm="1">
        <f t="array" ref="E222">IFERROR(INDEX(Data_Input!$1:$100, 9, MATCH(1, (Data_Input!$7:$7=$F$3) * (Data_Input!$8:$8=$B222), 0)),"")</f>
        <v/>
      </c>
      <c r="F222" s="20" t="str" cm="1">
        <f t="array" ref="F222">IFERROR(INDEX(Data_Input!$A$1:$ZZ$502, MATCH("예수금", INDEX(Data_Input!$A$1:$ZZ$502, 0, MATCH(1, (Data_Input!$7:$7=$F$3)*(Data_Input!$8:$8=$B222), 0)), 0) + 1, MATCH(1, (Data_Input!$7:$7=$F$3)*(Data_Input!$8:$8=$B222), 0)),"")</f>
        <v/>
      </c>
      <c r="G222" s="20" t="str" cm="1">
        <f t="array" ref="G222">IFERROR(INDEX(Data_Input!$A$1:$ZZ$502, MATCH("총자산", INDEX(Data_Input!$A$1:$ZZ$502, 0, MATCH(1, (Data_Input!$7:$7=$F$3)*(Data_Input!$8:$8=$B222), 0)), 0) + 1, MATCH(1, (Data_Input!$7:$7=$F$3)*(Data_Input!$8:$8=$B222), 0)),"")</f>
        <v/>
      </c>
      <c r="H222" s="20" t="str" cm="1">
        <f t="array" ref="H222">IFERROR(INDEX(Data_Input!$A$1:$ZZ$502, MATCH("매입금액", INDEX(Data_Input!$A$1:$ZZ$502, 0, MATCH(1, (Data_Input!$7:$7=$F$3)*(Data_Input!$8:$8=$B222), 0)), 0) + 1, MATCH(1, (Data_Input!$7:$7=$F$3)*(Data_Input!$8:$8=$B222), 0)),"")</f>
        <v/>
      </c>
      <c r="I222" s="20" t="str" cm="1">
        <f t="array" ref="I222">IFERROR(INDEX(Data_Input!$A$1:$ZZ$502, MATCH("평가금액", INDEX(Data_Input!$A$1:$ZZ$502, 0, MATCH(1, (Data_Input!$7:$7=$F$3)*(Data_Input!$8:$8=$B222), 0)), 0) + 1, MATCH(1, (Data_Input!$7:$7=$F$3)*(Data_Input!$8:$8=$B222), 0)),"")</f>
        <v/>
      </c>
      <c r="J222" s="20" t="str" cm="1">
        <f t="array" ref="J222">IFERROR(INDEX(Data_Input!$A$1:$ZZ$502, MATCH("평가손익", INDEX(Data_Input!$A$1:$ZZ$502, 0, MATCH(1, (Data_Input!$7:$7=$F$3)*(Data_Input!$8:$8=$B222), 0)), 0) + 1, MATCH(1, (Data_Input!$7:$7=$F$3)*(Data_Input!$8:$8=$B222), 0)),"")</f>
        <v/>
      </c>
      <c r="K222" s="14" t="str" cm="1">
        <f t="array" ref="K222">IFERROR(INDEX(Data_Input!$A$1:$ZZ$502, MATCH("총수익률", INDEX(Data_Input!$A$1:$ZZ$502, 0, MATCH(1, (Data_Input!$7:$7=$F$3)*(Data_Input!$8:$8=$B222), 0)), 0) + 1, MATCH(1, (Data_Input!$7:$7=$F$3)*(Data_Input!$8:$8=$B222), 0)),"")</f>
        <v/>
      </c>
      <c r="L222" t="str" cm="1">
        <f t="array" ref="L222">IFERROR(_xlfn.LET(
    _xlpm.targetDate, B222,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23" spans="1:12" x14ac:dyDescent="0.3">
      <c r="A223" s="16" t="str">
        <f t="shared" si="6"/>
        <v/>
      </c>
      <c r="B223" s="19"/>
      <c r="C223" s="17" t="str">
        <f t="shared" si="7"/>
        <v/>
      </c>
      <c r="D223" s="29" t="str" cm="1">
        <f t="array" ref="D223">IFERROR(INDEX(Data_Input!$10:$10,MATCH(1,(Data_Input!$7:$7=$F$3)*(Data_Input!$8:$8=$B223),0)),"")</f>
        <v/>
      </c>
      <c r="E223" s="29" t="str" cm="1">
        <f t="array" ref="E223">IFERROR(INDEX(Data_Input!$1:$100, 9, MATCH(1, (Data_Input!$7:$7=$F$3) * (Data_Input!$8:$8=$B223), 0)),"")</f>
        <v/>
      </c>
      <c r="F223" s="20" t="str" cm="1">
        <f t="array" ref="F223">IFERROR(INDEX(Data_Input!$A$1:$ZZ$502, MATCH("예수금", INDEX(Data_Input!$A$1:$ZZ$502, 0, MATCH(1, (Data_Input!$7:$7=$F$3)*(Data_Input!$8:$8=$B223), 0)), 0) + 1, MATCH(1, (Data_Input!$7:$7=$F$3)*(Data_Input!$8:$8=$B223), 0)),"")</f>
        <v/>
      </c>
      <c r="G223" s="20" t="str" cm="1">
        <f t="array" ref="G223">IFERROR(INDEX(Data_Input!$A$1:$ZZ$502, MATCH("총자산", INDEX(Data_Input!$A$1:$ZZ$502, 0, MATCH(1, (Data_Input!$7:$7=$F$3)*(Data_Input!$8:$8=$B223), 0)), 0) + 1, MATCH(1, (Data_Input!$7:$7=$F$3)*(Data_Input!$8:$8=$B223), 0)),"")</f>
        <v/>
      </c>
      <c r="H223" s="20" t="str" cm="1">
        <f t="array" ref="H223">IFERROR(INDEX(Data_Input!$A$1:$ZZ$502, MATCH("매입금액", INDEX(Data_Input!$A$1:$ZZ$502, 0, MATCH(1, (Data_Input!$7:$7=$F$3)*(Data_Input!$8:$8=$B223), 0)), 0) + 1, MATCH(1, (Data_Input!$7:$7=$F$3)*(Data_Input!$8:$8=$B223), 0)),"")</f>
        <v/>
      </c>
      <c r="I223" s="20" t="str" cm="1">
        <f t="array" ref="I223">IFERROR(INDEX(Data_Input!$A$1:$ZZ$502, MATCH("평가금액", INDEX(Data_Input!$A$1:$ZZ$502, 0, MATCH(1, (Data_Input!$7:$7=$F$3)*(Data_Input!$8:$8=$B223), 0)), 0) + 1, MATCH(1, (Data_Input!$7:$7=$F$3)*(Data_Input!$8:$8=$B223), 0)),"")</f>
        <v/>
      </c>
      <c r="J223" s="20" t="str" cm="1">
        <f t="array" ref="J223">IFERROR(INDEX(Data_Input!$A$1:$ZZ$502, MATCH("평가손익", INDEX(Data_Input!$A$1:$ZZ$502, 0, MATCH(1, (Data_Input!$7:$7=$F$3)*(Data_Input!$8:$8=$B223), 0)), 0) + 1, MATCH(1, (Data_Input!$7:$7=$F$3)*(Data_Input!$8:$8=$B223), 0)),"")</f>
        <v/>
      </c>
      <c r="K223" s="14" t="str" cm="1">
        <f t="array" ref="K223">IFERROR(INDEX(Data_Input!$A$1:$ZZ$502, MATCH("총수익률", INDEX(Data_Input!$A$1:$ZZ$502, 0, MATCH(1, (Data_Input!$7:$7=$F$3)*(Data_Input!$8:$8=$B223), 0)), 0) + 1, MATCH(1, (Data_Input!$7:$7=$F$3)*(Data_Input!$8:$8=$B223), 0)),"")</f>
        <v/>
      </c>
      <c r="L223" t="str" cm="1">
        <f t="array" ref="L223">IFERROR(_xlfn.LET(
    _xlpm.targetDate, B223,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24" spans="1:12" x14ac:dyDescent="0.3">
      <c r="A224" s="16" t="str">
        <f t="shared" si="6"/>
        <v/>
      </c>
      <c r="B224" s="19"/>
      <c r="C224" s="17" t="str">
        <f t="shared" si="7"/>
        <v/>
      </c>
      <c r="D224" s="29" t="str" cm="1">
        <f t="array" ref="D224">IFERROR(INDEX(Data_Input!$10:$10,MATCH(1,(Data_Input!$7:$7=$F$3)*(Data_Input!$8:$8=$B224),0)),"")</f>
        <v/>
      </c>
      <c r="E224" s="29" t="str" cm="1">
        <f t="array" ref="E224">IFERROR(INDEX(Data_Input!$1:$100, 9, MATCH(1, (Data_Input!$7:$7=$F$3) * (Data_Input!$8:$8=$B224), 0)),"")</f>
        <v/>
      </c>
      <c r="F224" s="20" t="str" cm="1">
        <f t="array" ref="F224">IFERROR(INDEX(Data_Input!$A$1:$ZZ$502, MATCH("예수금", INDEX(Data_Input!$A$1:$ZZ$502, 0, MATCH(1, (Data_Input!$7:$7=$F$3)*(Data_Input!$8:$8=$B224), 0)), 0) + 1, MATCH(1, (Data_Input!$7:$7=$F$3)*(Data_Input!$8:$8=$B224), 0)),"")</f>
        <v/>
      </c>
      <c r="G224" s="20" t="str" cm="1">
        <f t="array" ref="G224">IFERROR(INDEX(Data_Input!$A$1:$ZZ$502, MATCH("총자산", INDEX(Data_Input!$A$1:$ZZ$502, 0, MATCH(1, (Data_Input!$7:$7=$F$3)*(Data_Input!$8:$8=$B224), 0)), 0) + 1, MATCH(1, (Data_Input!$7:$7=$F$3)*(Data_Input!$8:$8=$B224), 0)),"")</f>
        <v/>
      </c>
      <c r="H224" s="20" t="str" cm="1">
        <f t="array" ref="H224">IFERROR(INDEX(Data_Input!$A$1:$ZZ$502, MATCH("매입금액", INDEX(Data_Input!$A$1:$ZZ$502, 0, MATCH(1, (Data_Input!$7:$7=$F$3)*(Data_Input!$8:$8=$B224), 0)), 0) + 1, MATCH(1, (Data_Input!$7:$7=$F$3)*(Data_Input!$8:$8=$B224), 0)),"")</f>
        <v/>
      </c>
      <c r="I224" s="20" t="str" cm="1">
        <f t="array" ref="I224">IFERROR(INDEX(Data_Input!$A$1:$ZZ$502, MATCH("평가금액", INDEX(Data_Input!$A$1:$ZZ$502, 0, MATCH(1, (Data_Input!$7:$7=$F$3)*(Data_Input!$8:$8=$B224), 0)), 0) + 1, MATCH(1, (Data_Input!$7:$7=$F$3)*(Data_Input!$8:$8=$B224), 0)),"")</f>
        <v/>
      </c>
      <c r="J224" s="20" t="str" cm="1">
        <f t="array" ref="J224">IFERROR(INDEX(Data_Input!$A$1:$ZZ$502, MATCH("평가손익", INDEX(Data_Input!$A$1:$ZZ$502, 0, MATCH(1, (Data_Input!$7:$7=$F$3)*(Data_Input!$8:$8=$B224), 0)), 0) + 1, MATCH(1, (Data_Input!$7:$7=$F$3)*(Data_Input!$8:$8=$B224), 0)),"")</f>
        <v/>
      </c>
      <c r="K224" s="14" t="str" cm="1">
        <f t="array" ref="K224">IFERROR(INDEX(Data_Input!$A$1:$ZZ$502, MATCH("총수익률", INDEX(Data_Input!$A$1:$ZZ$502, 0, MATCH(1, (Data_Input!$7:$7=$F$3)*(Data_Input!$8:$8=$B224), 0)), 0) + 1, MATCH(1, (Data_Input!$7:$7=$F$3)*(Data_Input!$8:$8=$B224), 0)),"")</f>
        <v/>
      </c>
      <c r="L224" t="str" cm="1">
        <f t="array" ref="L224">IFERROR(_xlfn.LET(
    _xlpm.targetDate, B224,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25" spans="1:12" x14ac:dyDescent="0.3">
      <c r="A225" s="16" t="str">
        <f t="shared" si="6"/>
        <v/>
      </c>
      <c r="B225" s="19"/>
      <c r="C225" s="17" t="str">
        <f t="shared" si="7"/>
        <v/>
      </c>
      <c r="D225" s="29" t="str" cm="1">
        <f t="array" ref="D225">IFERROR(INDEX(Data_Input!$10:$10,MATCH(1,(Data_Input!$7:$7=$F$3)*(Data_Input!$8:$8=$B225),0)),"")</f>
        <v/>
      </c>
      <c r="E225" s="29" t="str" cm="1">
        <f t="array" ref="E225">IFERROR(INDEX(Data_Input!$1:$100, 9, MATCH(1, (Data_Input!$7:$7=$F$3) * (Data_Input!$8:$8=$B225), 0)),"")</f>
        <v/>
      </c>
      <c r="F225" s="20" t="str" cm="1">
        <f t="array" ref="F225">IFERROR(INDEX(Data_Input!$A$1:$ZZ$502, MATCH("예수금", INDEX(Data_Input!$A$1:$ZZ$502, 0, MATCH(1, (Data_Input!$7:$7=$F$3)*(Data_Input!$8:$8=$B225), 0)), 0) + 1, MATCH(1, (Data_Input!$7:$7=$F$3)*(Data_Input!$8:$8=$B225), 0)),"")</f>
        <v/>
      </c>
      <c r="G225" s="20" t="str" cm="1">
        <f t="array" ref="G225">IFERROR(INDEX(Data_Input!$A$1:$ZZ$502, MATCH("총자산", INDEX(Data_Input!$A$1:$ZZ$502, 0, MATCH(1, (Data_Input!$7:$7=$F$3)*(Data_Input!$8:$8=$B225), 0)), 0) + 1, MATCH(1, (Data_Input!$7:$7=$F$3)*(Data_Input!$8:$8=$B225), 0)),"")</f>
        <v/>
      </c>
      <c r="H225" s="20" t="str" cm="1">
        <f t="array" ref="H225">IFERROR(INDEX(Data_Input!$A$1:$ZZ$502, MATCH("매입금액", INDEX(Data_Input!$A$1:$ZZ$502, 0, MATCH(1, (Data_Input!$7:$7=$F$3)*(Data_Input!$8:$8=$B225), 0)), 0) + 1, MATCH(1, (Data_Input!$7:$7=$F$3)*(Data_Input!$8:$8=$B225), 0)),"")</f>
        <v/>
      </c>
      <c r="I225" s="20" t="str" cm="1">
        <f t="array" ref="I225">IFERROR(INDEX(Data_Input!$A$1:$ZZ$502, MATCH("평가금액", INDEX(Data_Input!$A$1:$ZZ$502, 0, MATCH(1, (Data_Input!$7:$7=$F$3)*(Data_Input!$8:$8=$B225), 0)), 0) + 1, MATCH(1, (Data_Input!$7:$7=$F$3)*(Data_Input!$8:$8=$B225), 0)),"")</f>
        <v/>
      </c>
      <c r="J225" s="20" t="str" cm="1">
        <f t="array" ref="J225">IFERROR(INDEX(Data_Input!$A$1:$ZZ$502, MATCH("평가손익", INDEX(Data_Input!$A$1:$ZZ$502, 0, MATCH(1, (Data_Input!$7:$7=$F$3)*(Data_Input!$8:$8=$B225), 0)), 0) + 1, MATCH(1, (Data_Input!$7:$7=$F$3)*(Data_Input!$8:$8=$B225), 0)),"")</f>
        <v/>
      </c>
      <c r="K225" s="14" t="str" cm="1">
        <f t="array" ref="K225">IFERROR(INDEX(Data_Input!$A$1:$ZZ$502, MATCH("총수익률", INDEX(Data_Input!$A$1:$ZZ$502, 0, MATCH(1, (Data_Input!$7:$7=$F$3)*(Data_Input!$8:$8=$B225), 0)), 0) + 1, MATCH(1, (Data_Input!$7:$7=$F$3)*(Data_Input!$8:$8=$B225), 0)),"")</f>
        <v/>
      </c>
      <c r="L225" t="str" cm="1">
        <f t="array" ref="L225">IFERROR(_xlfn.LET(
    _xlpm.targetDate, B225,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26" spans="1:12" x14ac:dyDescent="0.3">
      <c r="A226" s="16" t="str">
        <f t="shared" si="6"/>
        <v/>
      </c>
      <c r="B226" s="19"/>
      <c r="C226" s="17" t="str">
        <f t="shared" si="7"/>
        <v/>
      </c>
      <c r="D226" s="29" t="str" cm="1">
        <f t="array" ref="D226">IFERROR(INDEX(Data_Input!$10:$10,MATCH(1,(Data_Input!$7:$7=$F$3)*(Data_Input!$8:$8=$B226),0)),"")</f>
        <v/>
      </c>
      <c r="E226" s="29" t="str" cm="1">
        <f t="array" ref="E226">IFERROR(INDEX(Data_Input!$1:$100, 9, MATCH(1, (Data_Input!$7:$7=$F$3) * (Data_Input!$8:$8=$B226), 0)),"")</f>
        <v/>
      </c>
      <c r="F226" s="20" t="str" cm="1">
        <f t="array" ref="F226">IFERROR(INDEX(Data_Input!$A$1:$ZZ$502, MATCH("예수금", INDEX(Data_Input!$A$1:$ZZ$502, 0, MATCH(1, (Data_Input!$7:$7=$F$3)*(Data_Input!$8:$8=$B226), 0)), 0) + 1, MATCH(1, (Data_Input!$7:$7=$F$3)*(Data_Input!$8:$8=$B226), 0)),"")</f>
        <v/>
      </c>
      <c r="G226" s="20" t="str" cm="1">
        <f t="array" ref="G226">IFERROR(INDEX(Data_Input!$A$1:$ZZ$502, MATCH("총자산", INDEX(Data_Input!$A$1:$ZZ$502, 0, MATCH(1, (Data_Input!$7:$7=$F$3)*(Data_Input!$8:$8=$B226), 0)), 0) + 1, MATCH(1, (Data_Input!$7:$7=$F$3)*(Data_Input!$8:$8=$B226), 0)),"")</f>
        <v/>
      </c>
      <c r="H226" s="20" t="str" cm="1">
        <f t="array" ref="H226">IFERROR(INDEX(Data_Input!$A$1:$ZZ$502, MATCH("매입금액", INDEX(Data_Input!$A$1:$ZZ$502, 0, MATCH(1, (Data_Input!$7:$7=$F$3)*(Data_Input!$8:$8=$B226), 0)), 0) + 1, MATCH(1, (Data_Input!$7:$7=$F$3)*(Data_Input!$8:$8=$B226), 0)),"")</f>
        <v/>
      </c>
      <c r="I226" s="20" t="str" cm="1">
        <f t="array" ref="I226">IFERROR(INDEX(Data_Input!$A$1:$ZZ$502, MATCH("평가금액", INDEX(Data_Input!$A$1:$ZZ$502, 0, MATCH(1, (Data_Input!$7:$7=$F$3)*(Data_Input!$8:$8=$B226), 0)), 0) + 1, MATCH(1, (Data_Input!$7:$7=$F$3)*(Data_Input!$8:$8=$B226), 0)),"")</f>
        <v/>
      </c>
      <c r="J226" s="20" t="str" cm="1">
        <f t="array" ref="J226">IFERROR(INDEX(Data_Input!$A$1:$ZZ$502, MATCH("평가손익", INDEX(Data_Input!$A$1:$ZZ$502, 0, MATCH(1, (Data_Input!$7:$7=$F$3)*(Data_Input!$8:$8=$B226), 0)), 0) + 1, MATCH(1, (Data_Input!$7:$7=$F$3)*(Data_Input!$8:$8=$B226), 0)),"")</f>
        <v/>
      </c>
      <c r="K226" s="14" t="str" cm="1">
        <f t="array" ref="K226">IFERROR(INDEX(Data_Input!$A$1:$ZZ$502, MATCH("총수익률", INDEX(Data_Input!$A$1:$ZZ$502, 0, MATCH(1, (Data_Input!$7:$7=$F$3)*(Data_Input!$8:$8=$B226), 0)), 0) + 1, MATCH(1, (Data_Input!$7:$7=$F$3)*(Data_Input!$8:$8=$B226), 0)),"")</f>
        <v/>
      </c>
      <c r="L226" t="str" cm="1">
        <f t="array" ref="L226">IFERROR(_xlfn.LET(
    _xlpm.targetDate, B226,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27" spans="1:12" x14ac:dyDescent="0.3">
      <c r="A227" s="16" t="str">
        <f t="shared" si="6"/>
        <v/>
      </c>
      <c r="B227" s="19"/>
      <c r="C227" s="17" t="str">
        <f t="shared" si="7"/>
        <v/>
      </c>
      <c r="D227" s="29" t="str" cm="1">
        <f t="array" ref="D227">IFERROR(INDEX(Data_Input!$10:$10,MATCH(1,(Data_Input!$7:$7=$F$3)*(Data_Input!$8:$8=$B227),0)),"")</f>
        <v/>
      </c>
      <c r="E227" s="29" t="str" cm="1">
        <f t="array" ref="E227">IFERROR(INDEX(Data_Input!$1:$100, 9, MATCH(1, (Data_Input!$7:$7=$F$3) * (Data_Input!$8:$8=$B227), 0)),"")</f>
        <v/>
      </c>
      <c r="F227" s="20" t="str" cm="1">
        <f t="array" ref="F227">IFERROR(INDEX(Data_Input!$A$1:$ZZ$502, MATCH("예수금", INDEX(Data_Input!$A$1:$ZZ$502, 0, MATCH(1, (Data_Input!$7:$7=$F$3)*(Data_Input!$8:$8=$B227), 0)), 0) + 1, MATCH(1, (Data_Input!$7:$7=$F$3)*(Data_Input!$8:$8=$B227), 0)),"")</f>
        <v/>
      </c>
      <c r="G227" s="20" t="str" cm="1">
        <f t="array" ref="G227">IFERROR(INDEX(Data_Input!$A$1:$ZZ$502, MATCH("총자산", INDEX(Data_Input!$A$1:$ZZ$502, 0, MATCH(1, (Data_Input!$7:$7=$F$3)*(Data_Input!$8:$8=$B227), 0)), 0) + 1, MATCH(1, (Data_Input!$7:$7=$F$3)*(Data_Input!$8:$8=$B227), 0)),"")</f>
        <v/>
      </c>
      <c r="H227" s="20" t="str" cm="1">
        <f t="array" ref="H227">IFERROR(INDEX(Data_Input!$A$1:$ZZ$502, MATCH("매입금액", INDEX(Data_Input!$A$1:$ZZ$502, 0, MATCH(1, (Data_Input!$7:$7=$F$3)*(Data_Input!$8:$8=$B227), 0)), 0) + 1, MATCH(1, (Data_Input!$7:$7=$F$3)*(Data_Input!$8:$8=$B227), 0)),"")</f>
        <v/>
      </c>
      <c r="I227" s="20" t="str" cm="1">
        <f t="array" ref="I227">IFERROR(INDEX(Data_Input!$A$1:$ZZ$502, MATCH("평가금액", INDEX(Data_Input!$A$1:$ZZ$502, 0, MATCH(1, (Data_Input!$7:$7=$F$3)*(Data_Input!$8:$8=$B227), 0)), 0) + 1, MATCH(1, (Data_Input!$7:$7=$F$3)*(Data_Input!$8:$8=$B227), 0)),"")</f>
        <v/>
      </c>
      <c r="J227" s="20" t="str" cm="1">
        <f t="array" ref="J227">IFERROR(INDEX(Data_Input!$A$1:$ZZ$502, MATCH("평가손익", INDEX(Data_Input!$A$1:$ZZ$502, 0, MATCH(1, (Data_Input!$7:$7=$F$3)*(Data_Input!$8:$8=$B227), 0)), 0) + 1, MATCH(1, (Data_Input!$7:$7=$F$3)*(Data_Input!$8:$8=$B227), 0)),"")</f>
        <v/>
      </c>
      <c r="K227" s="14" t="str" cm="1">
        <f t="array" ref="K227">IFERROR(INDEX(Data_Input!$A$1:$ZZ$502, MATCH("총수익률", INDEX(Data_Input!$A$1:$ZZ$502, 0, MATCH(1, (Data_Input!$7:$7=$F$3)*(Data_Input!$8:$8=$B227), 0)), 0) + 1, MATCH(1, (Data_Input!$7:$7=$F$3)*(Data_Input!$8:$8=$B227), 0)),"")</f>
        <v/>
      </c>
      <c r="L227" t="str" cm="1">
        <f t="array" ref="L227">IFERROR(_xlfn.LET(
    _xlpm.targetDate, B227,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28" spans="1:12" x14ac:dyDescent="0.3">
      <c r="A228" s="16" t="str">
        <f t="shared" si="6"/>
        <v/>
      </c>
      <c r="B228" s="19"/>
      <c r="C228" s="17" t="str">
        <f t="shared" si="7"/>
        <v/>
      </c>
      <c r="D228" s="29" t="str" cm="1">
        <f t="array" ref="D228">IFERROR(INDEX(Data_Input!$10:$10,MATCH(1,(Data_Input!$7:$7=$F$3)*(Data_Input!$8:$8=$B228),0)),"")</f>
        <v/>
      </c>
      <c r="E228" s="29" t="str" cm="1">
        <f t="array" ref="E228">IFERROR(INDEX(Data_Input!$1:$100, 9, MATCH(1, (Data_Input!$7:$7=$F$3) * (Data_Input!$8:$8=$B228), 0)),"")</f>
        <v/>
      </c>
      <c r="F228" s="20" t="str" cm="1">
        <f t="array" ref="F228">IFERROR(INDEX(Data_Input!$A$1:$ZZ$502, MATCH("예수금", INDEX(Data_Input!$A$1:$ZZ$502, 0, MATCH(1, (Data_Input!$7:$7=$F$3)*(Data_Input!$8:$8=$B228), 0)), 0) + 1, MATCH(1, (Data_Input!$7:$7=$F$3)*(Data_Input!$8:$8=$B228), 0)),"")</f>
        <v/>
      </c>
      <c r="G228" s="20" t="str" cm="1">
        <f t="array" ref="G228">IFERROR(INDEX(Data_Input!$A$1:$ZZ$502, MATCH("총자산", INDEX(Data_Input!$A$1:$ZZ$502, 0, MATCH(1, (Data_Input!$7:$7=$F$3)*(Data_Input!$8:$8=$B228), 0)), 0) + 1, MATCH(1, (Data_Input!$7:$7=$F$3)*(Data_Input!$8:$8=$B228), 0)),"")</f>
        <v/>
      </c>
      <c r="H228" s="20" t="str" cm="1">
        <f t="array" ref="H228">IFERROR(INDEX(Data_Input!$A$1:$ZZ$502, MATCH("매입금액", INDEX(Data_Input!$A$1:$ZZ$502, 0, MATCH(1, (Data_Input!$7:$7=$F$3)*(Data_Input!$8:$8=$B228), 0)), 0) + 1, MATCH(1, (Data_Input!$7:$7=$F$3)*(Data_Input!$8:$8=$B228), 0)),"")</f>
        <v/>
      </c>
      <c r="I228" s="20" t="str" cm="1">
        <f t="array" ref="I228">IFERROR(INDEX(Data_Input!$A$1:$ZZ$502, MATCH("평가금액", INDEX(Data_Input!$A$1:$ZZ$502, 0, MATCH(1, (Data_Input!$7:$7=$F$3)*(Data_Input!$8:$8=$B228), 0)), 0) + 1, MATCH(1, (Data_Input!$7:$7=$F$3)*(Data_Input!$8:$8=$B228), 0)),"")</f>
        <v/>
      </c>
      <c r="J228" s="20" t="str" cm="1">
        <f t="array" ref="J228">IFERROR(INDEX(Data_Input!$A$1:$ZZ$502, MATCH("평가손익", INDEX(Data_Input!$A$1:$ZZ$502, 0, MATCH(1, (Data_Input!$7:$7=$F$3)*(Data_Input!$8:$8=$B228), 0)), 0) + 1, MATCH(1, (Data_Input!$7:$7=$F$3)*(Data_Input!$8:$8=$B228), 0)),"")</f>
        <v/>
      </c>
      <c r="K228" s="14" t="str" cm="1">
        <f t="array" ref="K228">IFERROR(INDEX(Data_Input!$A$1:$ZZ$502, MATCH("총수익률", INDEX(Data_Input!$A$1:$ZZ$502, 0, MATCH(1, (Data_Input!$7:$7=$F$3)*(Data_Input!$8:$8=$B228), 0)), 0) + 1, MATCH(1, (Data_Input!$7:$7=$F$3)*(Data_Input!$8:$8=$B228), 0)),"")</f>
        <v/>
      </c>
      <c r="L228" t="str" cm="1">
        <f t="array" ref="L228">IFERROR(_xlfn.LET(
    _xlpm.targetDate, B228,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29" spans="1:12" x14ac:dyDescent="0.3">
      <c r="A229" s="16" t="str">
        <f t="shared" si="6"/>
        <v/>
      </c>
      <c r="B229" s="19"/>
      <c r="C229" s="17" t="str">
        <f t="shared" si="7"/>
        <v/>
      </c>
      <c r="D229" s="29" t="str" cm="1">
        <f t="array" ref="D229">IFERROR(INDEX(Data_Input!$10:$10,MATCH(1,(Data_Input!$7:$7=$F$3)*(Data_Input!$8:$8=$B229),0)),"")</f>
        <v/>
      </c>
      <c r="E229" s="29" t="str" cm="1">
        <f t="array" ref="E229">IFERROR(INDEX(Data_Input!$1:$100, 9, MATCH(1, (Data_Input!$7:$7=$F$3) * (Data_Input!$8:$8=$B229), 0)),"")</f>
        <v/>
      </c>
      <c r="F229" s="20" t="str" cm="1">
        <f t="array" ref="F229">IFERROR(INDEX(Data_Input!$A$1:$ZZ$502, MATCH("예수금", INDEX(Data_Input!$A$1:$ZZ$502, 0, MATCH(1, (Data_Input!$7:$7=$F$3)*(Data_Input!$8:$8=$B229), 0)), 0) + 1, MATCH(1, (Data_Input!$7:$7=$F$3)*(Data_Input!$8:$8=$B229), 0)),"")</f>
        <v/>
      </c>
      <c r="G229" s="20" t="str" cm="1">
        <f t="array" ref="G229">IFERROR(INDEX(Data_Input!$A$1:$ZZ$502, MATCH("총자산", INDEX(Data_Input!$A$1:$ZZ$502, 0, MATCH(1, (Data_Input!$7:$7=$F$3)*(Data_Input!$8:$8=$B229), 0)), 0) + 1, MATCH(1, (Data_Input!$7:$7=$F$3)*(Data_Input!$8:$8=$B229), 0)),"")</f>
        <v/>
      </c>
      <c r="H229" s="20" t="str" cm="1">
        <f t="array" ref="H229">IFERROR(INDEX(Data_Input!$A$1:$ZZ$502, MATCH("매입금액", INDEX(Data_Input!$A$1:$ZZ$502, 0, MATCH(1, (Data_Input!$7:$7=$F$3)*(Data_Input!$8:$8=$B229), 0)), 0) + 1, MATCH(1, (Data_Input!$7:$7=$F$3)*(Data_Input!$8:$8=$B229), 0)),"")</f>
        <v/>
      </c>
      <c r="I229" s="20" t="str" cm="1">
        <f t="array" ref="I229">IFERROR(INDEX(Data_Input!$A$1:$ZZ$502, MATCH("평가금액", INDEX(Data_Input!$A$1:$ZZ$502, 0, MATCH(1, (Data_Input!$7:$7=$F$3)*(Data_Input!$8:$8=$B229), 0)), 0) + 1, MATCH(1, (Data_Input!$7:$7=$F$3)*(Data_Input!$8:$8=$B229), 0)),"")</f>
        <v/>
      </c>
      <c r="J229" s="20" t="str" cm="1">
        <f t="array" ref="J229">IFERROR(INDEX(Data_Input!$A$1:$ZZ$502, MATCH("평가손익", INDEX(Data_Input!$A$1:$ZZ$502, 0, MATCH(1, (Data_Input!$7:$7=$F$3)*(Data_Input!$8:$8=$B229), 0)), 0) + 1, MATCH(1, (Data_Input!$7:$7=$F$3)*(Data_Input!$8:$8=$B229), 0)),"")</f>
        <v/>
      </c>
      <c r="K229" s="14" t="str" cm="1">
        <f t="array" ref="K229">IFERROR(INDEX(Data_Input!$A$1:$ZZ$502, MATCH("총수익률", INDEX(Data_Input!$A$1:$ZZ$502, 0, MATCH(1, (Data_Input!$7:$7=$F$3)*(Data_Input!$8:$8=$B229), 0)), 0) + 1, MATCH(1, (Data_Input!$7:$7=$F$3)*(Data_Input!$8:$8=$B229), 0)),"")</f>
        <v/>
      </c>
      <c r="L229" t="str" cm="1">
        <f t="array" ref="L229">IFERROR(_xlfn.LET(
    _xlpm.targetDate, B229,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30" spans="1:12" x14ac:dyDescent="0.3">
      <c r="A230" s="16" t="str">
        <f t="shared" si="6"/>
        <v/>
      </c>
      <c r="B230" s="19"/>
      <c r="C230" s="17" t="str">
        <f t="shared" si="7"/>
        <v/>
      </c>
      <c r="D230" s="29" t="str" cm="1">
        <f t="array" ref="D230">IFERROR(INDEX(Data_Input!$10:$10,MATCH(1,(Data_Input!$7:$7=$F$3)*(Data_Input!$8:$8=$B230),0)),"")</f>
        <v/>
      </c>
      <c r="E230" s="29" t="str" cm="1">
        <f t="array" ref="E230">IFERROR(INDEX(Data_Input!$1:$100, 9, MATCH(1, (Data_Input!$7:$7=$F$3) * (Data_Input!$8:$8=$B230), 0)),"")</f>
        <v/>
      </c>
      <c r="F230" s="20" t="str" cm="1">
        <f t="array" ref="F230">IFERROR(INDEX(Data_Input!$A$1:$ZZ$502, MATCH("예수금", INDEX(Data_Input!$A$1:$ZZ$502, 0, MATCH(1, (Data_Input!$7:$7=$F$3)*(Data_Input!$8:$8=$B230), 0)), 0) + 1, MATCH(1, (Data_Input!$7:$7=$F$3)*(Data_Input!$8:$8=$B230), 0)),"")</f>
        <v/>
      </c>
      <c r="G230" s="20" t="str" cm="1">
        <f t="array" ref="G230">IFERROR(INDEX(Data_Input!$A$1:$ZZ$502, MATCH("총자산", INDEX(Data_Input!$A$1:$ZZ$502, 0, MATCH(1, (Data_Input!$7:$7=$F$3)*(Data_Input!$8:$8=$B230), 0)), 0) + 1, MATCH(1, (Data_Input!$7:$7=$F$3)*(Data_Input!$8:$8=$B230), 0)),"")</f>
        <v/>
      </c>
      <c r="H230" s="20" t="str" cm="1">
        <f t="array" ref="H230">IFERROR(INDEX(Data_Input!$A$1:$ZZ$502, MATCH("매입금액", INDEX(Data_Input!$A$1:$ZZ$502, 0, MATCH(1, (Data_Input!$7:$7=$F$3)*(Data_Input!$8:$8=$B230), 0)), 0) + 1, MATCH(1, (Data_Input!$7:$7=$F$3)*(Data_Input!$8:$8=$B230), 0)),"")</f>
        <v/>
      </c>
      <c r="I230" s="20" t="str" cm="1">
        <f t="array" ref="I230">IFERROR(INDEX(Data_Input!$A$1:$ZZ$502, MATCH("평가금액", INDEX(Data_Input!$A$1:$ZZ$502, 0, MATCH(1, (Data_Input!$7:$7=$F$3)*(Data_Input!$8:$8=$B230), 0)), 0) + 1, MATCH(1, (Data_Input!$7:$7=$F$3)*(Data_Input!$8:$8=$B230), 0)),"")</f>
        <v/>
      </c>
      <c r="J230" s="20" t="str" cm="1">
        <f t="array" ref="J230">IFERROR(INDEX(Data_Input!$A$1:$ZZ$502, MATCH("평가손익", INDEX(Data_Input!$A$1:$ZZ$502, 0, MATCH(1, (Data_Input!$7:$7=$F$3)*(Data_Input!$8:$8=$B230), 0)), 0) + 1, MATCH(1, (Data_Input!$7:$7=$F$3)*(Data_Input!$8:$8=$B230), 0)),"")</f>
        <v/>
      </c>
      <c r="K230" s="14" t="str" cm="1">
        <f t="array" ref="K230">IFERROR(INDEX(Data_Input!$A$1:$ZZ$502, MATCH("총수익률", INDEX(Data_Input!$A$1:$ZZ$502, 0, MATCH(1, (Data_Input!$7:$7=$F$3)*(Data_Input!$8:$8=$B230), 0)), 0) + 1, MATCH(1, (Data_Input!$7:$7=$F$3)*(Data_Input!$8:$8=$B230), 0)),"")</f>
        <v/>
      </c>
      <c r="L230" t="str" cm="1">
        <f t="array" ref="L230">IFERROR(_xlfn.LET(
    _xlpm.targetDate, B230,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31" spans="1:12" x14ac:dyDescent="0.3">
      <c r="A231" s="16" t="str">
        <f t="shared" si="6"/>
        <v/>
      </c>
      <c r="B231" s="19"/>
      <c r="C231" s="17" t="str">
        <f t="shared" si="7"/>
        <v/>
      </c>
      <c r="D231" s="29" t="str" cm="1">
        <f t="array" ref="D231">IFERROR(INDEX(Data_Input!$10:$10,MATCH(1,(Data_Input!$7:$7=$F$3)*(Data_Input!$8:$8=$B231),0)),"")</f>
        <v/>
      </c>
      <c r="E231" s="29" t="str" cm="1">
        <f t="array" ref="E231">IFERROR(INDEX(Data_Input!$1:$100, 9, MATCH(1, (Data_Input!$7:$7=$F$3) * (Data_Input!$8:$8=$B231), 0)),"")</f>
        <v/>
      </c>
      <c r="F231" s="20" t="str" cm="1">
        <f t="array" ref="F231">IFERROR(INDEX(Data_Input!$A$1:$ZZ$502, MATCH("예수금", INDEX(Data_Input!$A$1:$ZZ$502, 0, MATCH(1, (Data_Input!$7:$7=$F$3)*(Data_Input!$8:$8=$B231), 0)), 0) + 1, MATCH(1, (Data_Input!$7:$7=$F$3)*(Data_Input!$8:$8=$B231), 0)),"")</f>
        <v/>
      </c>
      <c r="G231" s="20" t="str" cm="1">
        <f t="array" ref="G231">IFERROR(INDEX(Data_Input!$A$1:$ZZ$502, MATCH("총자산", INDEX(Data_Input!$A$1:$ZZ$502, 0, MATCH(1, (Data_Input!$7:$7=$F$3)*(Data_Input!$8:$8=$B231), 0)), 0) + 1, MATCH(1, (Data_Input!$7:$7=$F$3)*(Data_Input!$8:$8=$B231), 0)),"")</f>
        <v/>
      </c>
      <c r="H231" s="20" t="str" cm="1">
        <f t="array" ref="H231">IFERROR(INDEX(Data_Input!$A$1:$ZZ$502, MATCH("매입금액", INDEX(Data_Input!$A$1:$ZZ$502, 0, MATCH(1, (Data_Input!$7:$7=$F$3)*(Data_Input!$8:$8=$B231), 0)), 0) + 1, MATCH(1, (Data_Input!$7:$7=$F$3)*(Data_Input!$8:$8=$B231), 0)),"")</f>
        <v/>
      </c>
      <c r="I231" s="20" t="str" cm="1">
        <f t="array" ref="I231">IFERROR(INDEX(Data_Input!$A$1:$ZZ$502, MATCH("평가금액", INDEX(Data_Input!$A$1:$ZZ$502, 0, MATCH(1, (Data_Input!$7:$7=$F$3)*(Data_Input!$8:$8=$B231), 0)), 0) + 1, MATCH(1, (Data_Input!$7:$7=$F$3)*(Data_Input!$8:$8=$B231), 0)),"")</f>
        <v/>
      </c>
      <c r="J231" s="20" t="str" cm="1">
        <f t="array" ref="J231">IFERROR(INDEX(Data_Input!$A$1:$ZZ$502, MATCH("평가손익", INDEX(Data_Input!$A$1:$ZZ$502, 0, MATCH(1, (Data_Input!$7:$7=$F$3)*(Data_Input!$8:$8=$B231), 0)), 0) + 1, MATCH(1, (Data_Input!$7:$7=$F$3)*(Data_Input!$8:$8=$B231), 0)),"")</f>
        <v/>
      </c>
      <c r="K231" s="14" t="str" cm="1">
        <f t="array" ref="K231">IFERROR(INDEX(Data_Input!$A$1:$ZZ$502, MATCH("총수익률", INDEX(Data_Input!$A$1:$ZZ$502, 0, MATCH(1, (Data_Input!$7:$7=$F$3)*(Data_Input!$8:$8=$B231), 0)), 0) + 1, MATCH(1, (Data_Input!$7:$7=$F$3)*(Data_Input!$8:$8=$B231), 0)),"")</f>
        <v/>
      </c>
      <c r="L231" t="str" cm="1">
        <f t="array" ref="L231">IFERROR(_xlfn.LET(
    _xlpm.targetDate, B231,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32" spans="1:12" x14ac:dyDescent="0.3">
      <c r="A232" s="16" t="str">
        <f t="shared" si="6"/>
        <v/>
      </c>
      <c r="B232" s="19"/>
      <c r="C232" s="17" t="str">
        <f t="shared" si="7"/>
        <v/>
      </c>
      <c r="D232" s="29" t="str" cm="1">
        <f t="array" ref="D232">IFERROR(INDEX(Data_Input!$10:$10,MATCH(1,(Data_Input!$7:$7=$F$3)*(Data_Input!$8:$8=$B232),0)),"")</f>
        <v/>
      </c>
      <c r="E232" s="29" t="str" cm="1">
        <f t="array" ref="E232">IFERROR(INDEX(Data_Input!$1:$100, 9, MATCH(1, (Data_Input!$7:$7=$F$3) * (Data_Input!$8:$8=$B232), 0)),"")</f>
        <v/>
      </c>
      <c r="F232" s="20" t="str" cm="1">
        <f t="array" ref="F232">IFERROR(INDEX(Data_Input!$A$1:$ZZ$502, MATCH("예수금", INDEX(Data_Input!$A$1:$ZZ$502, 0, MATCH(1, (Data_Input!$7:$7=$F$3)*(Data_Input!$8:$8=$B232), 0)), 0) + 1, MATCH(1, (Data_Input!$7:$7=$F$3)*(Data_Input!$8:$8=$B232), 0)),"")</f>
        <v/>
      </c>
      <c r="G232" s="20" t="str" cm="1">
        <f t="array" ref="G232">IFERROR(INDEX(Data_Input!$A$1:$ZZ$502, MATCH("총자산", INDEX(Data_Input!$A$1:$ZZ$502, 0, MATCH(1, (Data_Input!$7:$7=$F$3)*(Data_Input!$8:$8=$B232), 0)), 0) + 1, MATCH(1, (Data_Input!$7:$7=$F$3)*(Data_Input!$8:$8=$B232), 0)),"")</f>
        <v/>
      </c>
      <c r="H232" s="20" t="str" cm="1">
        <f t="array" ref="H232">IFERROR(INDEX(Data_Input!$A$1:$ZZ$502, MATCH("매입금액", INDEX(Data_Input!$A$1:$ZZ$502, 0, MATCH(1, (Data_Input!$7:$7=$F$3)*(Data_Input!$8:$8=$B232), 0)), 0) + 1, MATCH(1, (Data_Input!$7:$7=$F$3)*(Data_Input!$8:$8=$B232), 0)),"")</f>
        <v/>
      </c>
      <c r="I232" s="20" t="str" cm="1">
        <f t="array" ref="I232">IFERROR(INDEX(Data_Input!$A$1:$ZZ$502, MATCH("평가금액", INDEX(Data_Input!$A$1:$ZZ$502, 0, MATCH(1, (Data_Input!$7:$7=$F$3)*(Data_Input!$8:$8=$B232), 0)), 0) + 1, MATCH(1, (Data_Input!$7:$7=$F$3)*(Data_Input!$8:$8=$B232), 0)),"")</f>
        <v/>
      </c>
      <c r="J232" s="20" t="str" cm="1">
        <f t="array" ref="J232">IFERROR(INDEX(Data_Input!$A$1:$ZZ$502, MATCH("평가손익", INDEX(Data_Input!$A$1:$ZZ$502, 0, MATCH(1, (Data_Input!$7:$7=$F$3)*(Data_Input!$8:$8=$B232), 0)), 0) + 1, MATCH(1, (Data_Input!$7:$7=$F$3)*(Data_Input!$8:$8=$B232), 0)),"")</f>
        <v/>
      </c>
      <c r="K232" s="14" t="str" cm="1">
        <f t="array" ref="K232">IFERROR(INDEX(Data_Input!$A$1:$ZZ$502, MATCH("총수익률", INDEX(Data_Input!$A$1:$ZZ$502, 0, MATCH(1, (Data_Input!$7:$7=$F$3)*(Data_Input!$8:$8=$B232), 0)), 0) + 1, MATCH(1, (Data_Input!$7:$7=$F$3)*(Data_Input!$8:$8=$B232), 0)),"")</f>
        <v/>
      </c>
      <c r="L232" t="str" cm="1">
        <f t="array" ref="L232">IFERROR(_xlfn.LET(
    _xlpm.targetDate, B232,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33" spans="1:12" x14ac:dyDescent="0.3">
      <c r="A233" s="16" t="str">
        <f t="shared" si="6"/>
        <v/>
      </c>
      <c r="B233" s="19"/>
      <c r="C233" s="17" t="str">
        <f t="shared" si="7"/>
        <v/>
      </c>
      <c r="D233" s="29" t="str" cm="1">
        <f t="array" ref="D233">IFERROR(INDEX(Data_Input!$10:$10,MATCH(1,(Data_Input!$7:$7=$F$3)*(Data_Input!$8:$8=$B233),0)),"")</f>
        <v/>
      </c>
      <c r="E233" s="29" t="str" cm="1">
        <f t="array" ref="E233">IFERROR(INDEX(Data_Input!$1:$100, 9, MATCH(1, (Data_Input!$7:$7=$F$3) * (Data_Input!$8:$8=$B233), 0)),"")</f>
        <v/>
      </c>
      <c r="F233" s="20" t="str" cm="1">
        <f t="array" ref="F233">IFERROR(INDEX(Data_Input!$A$1:$ZZ$502, MATCH("예수금", INDEX(Data_Input!$A$1:$ZZ$502, 0, MATCH(1, (Data_Input!$7:$7=$F$3)*(Data_Input!$8:$8=$B233), 0)), 0) + 1, MATCH(1, (Data_Input!$7:$7=$F$3)*(Data_Input!$8:$8=$B233), 0)),"")</f>
        <v/>
      </c>
      <c r="G233" s="20" t="str" cm="1">
        <f t="array" ref="G233">IFERROR(INDEX(Data_Input!$A$1:$ZZ$502, MATCH("총자산", INDEX(Data_Input!$A$1:$ZZ$502, 0, MATCH(1, (Data_Input!$7:$7=$F$3)*(Data_Input!$8:$8=$B233), 0)), 0) + 1, MATCH(1, (Data_Input!$7:$7=$F$3)*(Data_Input!$8:$8=$B233), 0)),"")</f>
        <v/>
      </c>
      <c r="H233" s="20" t="str" cm="1">
        <f t="array" ref="H233">IFERROR(INDEX(Data_Input!$A$1:$ZZ$502, MATCH("매입금액", INDEX(Data_Input!$A$1:$ZZ$502, 0, MATCH(1, (Data_Input!$7:$7=$F$3)*(Data_Input!$8:$8=$B233), 0)), 0) + 1, MATCH(1, (Data_Input!$7:$7=$F$3)*(Data_Input!$8:$8=$B233), 0)),"")</f>
        <v/>
      </c>
      <c r="I233" s="20" t="str" cm="1">
        <f t="array" ref="I233">IFERROR(INDEX(Data_Input!$A$1:$ZZ$502, MATCH("평가금액", INDEX(Data_Input!$A$1:$ZZ$502, 0, MATCH(1, (Data_Input!$7:$7=$F$3)*(Data_Input!$8:$8=$B233), 0)), 0) + 1, MATCH(1, (Data_Input!$7:$7=$F$3)*(Data_Input!$8:$8=$B233), 0)),"")</f>
        <v/>
      </c>
      <c r="J233" s="20" t="str" cm="1">
        <f t="array" ref="J233">IFERROR(INDEX(Data_Input!$A$1:$ZZ$502, MATCH("평가손익", INDEX(Data_Input!$A$1:$ZZ$502, 0, MATCH(1, (Data_Input!$7:$7=$F$3)*(Data_Input!$8:$8=$B233), 0)), 0) + 1, MATCH(1, (Data_Input!$7:$7=$F$3)*(Data_Input!$8:$8=$B233), 0)),"")</f>
        <v/>
      </c>
      <c r="K233" s="14" t="str" cm="1">
        <f t="array" ref="K233">IFERROR(INDEX(Data_Input!$A$1:$ZZ$502, MATCH("총수익률", INDEX(Data_Input!$A$1:$ZZ$502, 0, MATCH(1, (Data_Input!$7:$7=$F$3)*(Data_Input!$8:$8=$B233), 0)), 0) + 1, MATCH(1, (Data_Input!$7:$7=$F$3)*(Data_Input!$8:$8=$B233), 0)),"")</f>
        <v/>
      </c>
      <c r="L233" t="str" cm="1">
        <f t="array" ref="L233">IFERROR(_xlfn.LET(
    _xlpm.targetDate, B233,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34" spans="1:12" x14ac:dyDescent="0.3">
      <c r="A234" s="16" t="str">
        <f t="shared" si="6"/>
        <v/>
      </c>
      <c r="B234" s="19"/>
      <c r="C234" s="17" t="str">
        <f t="shared" si="7"/>
        <v/>
      </c>
      <c r="D234" s="29" t="str" cm="1">
        <f t="array" ref="D234">IFERROR(INDEX(Data_Input!$10:$10,MATCH(1,(Data_Input!$7:$7=$F$3)*(Data_Input!$8:$8=$B234),0)),"")</f>
        <v/>
      </c>
      <c r="E234" s="29" t="str" cm="1">
        <f t="array" ref="E234">IFERROR(INDEX(Data_Input!$1:$100, 9, MATCH(1, (Data_Input!$7:$7=$F$3) * (Data_Input!$8:$8=$B234), 0)),"")</f>
        <v/>
      </c>
      <c r="F234" s="20" t="str" cm="1">
        <f t="array" ref="F234">IFERROR(INDEX(Data_Input!$A$1:$ZZ$502, MATCH("예수금", INDEX(Data_Input!$A$1:$ZZ$502, 0, MATCH(1, (Data_Input!$7:$7=$F$3)*(Data_Input!$8:$8=$B234), 0)), 0) + 1, MATCH(1, (Data_Input!$7:$7=$F$3)*(Data_Input!$8:$8=$B234), 0)),"")</f>
        <v/>
      </c>
      <c r="G234" s="20" t="str" cm="1">
        <f t="array" ref="G234">IFERROR(INDEX(Data_Input!$A$1:$ZZ$502, MATCH("총자산", INDEX(Data_Input!$A$1:$ZZ$502, 0, MATCH(1, (Data_Input!$7:$7=$F$3)*(Data_Input!$8:$8=$B234), 0)), 0) + 1, MATCH(1, (Data_Input!$7:$7=$F$3)*(Data_Input!$8:$8=$B234), 0)),"")</f>
        <v/>
      </c>
      <c r="H234" s="20" t="str" cm="1">
        <f t="array" ref="H234">IFERROR(INDEX(Data_Input!$A$1:$ZZ$502, MATCH("매입금액", INDEX(Data_Input!$A$1:$ZZ$502, 0, MATCH(1, (Data_Input!$7:$7=$F$3)*(Data_Input!$8:$8=$B234), 0)), 0) + 1, MATCH(1, (Data_Input!$7:$7=$F$3)*(Data_Input!$8:$8=$B234), 0)),"")</f>
        <v/>
      </c>
      <c r="I234" s="20" t="str" cm="1">
        <f t="array" ref="I234">IFERROR(INDEX(Data_Input!$A$1:$ZZ$502, MATCH("평가금액", INDEX(Data_Input!$A$1:$ZZ$502, 0, MATCH(1, (Data_Input!$7:$7=$F$3)*(Data_Input!$8:$8=$B234), 0)), 0) + 1, MATCH(1, (Data_Input!$7:$7=$F$3)*(Data_Input!$8:$8=$B234), 0)),"")</f>
        <v/>
      </c>
      <c r="J234" s="20" t="str" cm="1">
        <f t="array" ref="J234">IFERROR(INDEX(Data_Input!$A$1:$ZZ$502, MATCH("평가손익", INDEX(Data_Input!$A$1:$ZZ$502, 0, MATCH(1, (Data_Input!$7:$7=$F$3)*(Data_Input!$8:$8=$B234), 0)), 0) + 1, MATCH(1, (Data_Input!$7:$7=$F$3)*(Data_Input!$8:$8=$B234), 0)),"")</f>
        <v/>
      </c>
      <c r="K234" s="14" t="str" cm="1">
        <f t="array" ref="K234">IFERROR(INDEX(Data_Input!$A$1:$ZZ$502, MATCH("총수익률", INDEX(Data_Input!$A$1:$ZZ$502, 0, MATCH(1, (Data_Input!$7:$7=$F$3)*(Data_Input!$8:$8=$B234), 0)), 0) + 1, MATCH(1, (Data_Input!$7:$7=$F$3)*(Data_Input!$8:$8=$B234), 0)),"")</f>
        <v/>
      </c>
      <c r="L234" t="str" cm="1">
        <f t="array" ref="L234">IFERROR(_xlfn.LET(
    _xlpm.targetDate, B234,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35" spans="1:12" x14ac:dyDescent="0.3">
      <c r="A235" s="16" t="str">
        <f t="shared" si="6"/>
        <v/>
      </c>
      <c r="B235" s="19"/>
      <c r="C235" s="17" t="str">
        <f t="shared" si="7"/>
        <v/>
      </c>
      <c r="D235" s="29" t="str" cm="1">
        <f t="array" ref="D235">IFERROR(INDEX(Data_Input!$10:$10,MATCH(1,(Data_Input!$7:$7=$F$3)*(Data_Input!$8:$8=$B235),0)),"")</f>
        <v/>
      </c>
      <c r="E235" s="29" t="str" cm="1">
        <f t="array" ref="E235">IFERROR(INDEX(Data_Input!$1:$100, 9, MATCH(1, (Data_Input!$7:$7=$F$3) * (Data_Input!$8:$8=$B235), 0)),"")</f>
        <v/>
      </c>
      <c r="F235" s="20" t="str" cm="1">
        <f t="array" ref="F235">IFERROR(INDEX(Data_Input!$A$1:$ZZ$502, MATCH("예수금", INDEX(Data_Input!$A$1:$ZZ$502, 0, MATCH(1, (Data_Input!$7:$7=$F$3)*(Data_Input!$8:$8=$B235), 0)), 0) + 1, MATCH(1, (Data_Input!$7:$7=$F$3)*(Data_Input!$8:$8=$B235), 0)),"")</f>
        <v/>
      </c>
      <c r="G235" s="20" t="str" cm="1">
        <f t="array" ref="G235">IFERROR(INDEX(Data_Input!$A$1:$ZZ$502, MATCH("총자산", INDEX(Data_Input!$A$1:$ZZ$502, 0, MATCH(1, (Data_Input!$7:$7=$F$3)*(Data_Input!$8:$8=$B235), 0)), 0) + 1, MATCH(1, (Data_Input!$7:$7=$F$3)*(Data_Input!$8:$8=$B235), 0)),"")</f>
        <v/>
      </c>
      <c r="H235" s="20" t="str" cm="1">
        <f t="array" ref="H235">IFERROR(INDEX(Data_Input!$A$1:$ZZ$502, MATCH("매입금액", INDEX(Data_Input!$A$1:$ZZ$502, 0, MATCH(1, (Data_Input!$7:$7=$F$3)*(Data_Input!$8:$8=$B235), 0)), 0) + 1, MATCH(1, (Data_Input!$7:$7=$F$3)*(Data_Input!$8:$8=$B235), 0)),"")</f>
        <v/>
      </c>
      <c r="I235" s="20" t="str" cm="1">
        <f t="array" ref="I235">IFERROR(INDEX(Data_Input!$A$1:$ZZ$502, MATCH("평가금액", INDEX(Data_Input!$A$1:$ZZ$502, 0, MATCH(1, (Data_Input!$7:$7=$F$3)*(Data_Input!$8:$8=$B235), 0)), 0) + 1, MATCH(1, (Data_Input!$7:$7=$F$3)*(Data_Input!$8:$8=$B235), 0)),"")</f>
        <v/>
      </c>
      <c r="J235" s="20" t="str" cm="1">
        <f t="array" ref="J235">IFERROR(INDEX(Data_Input!$A$1:$ZZ$502, MATCH("평가손익", INDEX(Data_Input!$A$1:$ZZ$502, 0, MATCH(1, (Data_Input!$7:$7=$F$3)*(Data_Input!$8:$8=$B235), 0)), 0) + 1, MATCH(1, (Data_Input!$7:$7=$F$3)*(Data_Input!$8:$8=$B235), 0)),"")</f>
        <v/>
      </c>
      <c r="K235" s="14" t="str" cm="1">
        <f t="array" ref="K235">IFERROR(INDEX(Data_Input!$A$1:$ZZ$502, MATCH("총수익률", INDEX(Data_Input!$A$1:$ZZ$502, 0, MATCH(1, (Data_Input!$7:$7=$F$3)*(Data_Input!$8:$8=$B235), 0)), 0) + 1, MATCH(1, (Data_Input!$7:$7=$F$3)*(Data_Input!$8:$8=$B235), 0)),"")</f>
        <v/>
      </c>
      <c r="L235" t="str" cm="1">
        <f t="array" ref="L235">IFERROR(_xlfn.LET(
    _xlpm.targetDate, B235,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36" spans="1:12" x14ac:dyDescent="0.3">
      <c r="A236" s="16" t="str">
        <f t="shared" si="6"/>
        <v/>
      </c>
      <c r="B236" s="19"/>
      <c r="C236" s="17" t="str">
        <f t="shared" si="7"/>
        <v/>
      </c>
      <c r="D236" s="29" t="str" cm="1">
        <f t="array" ref="D236">IFERROR(INDEX(Data_Input!$10:$10,MATCH(1,(Data_Input!$7:$7=$F$3)*(Data_Input!$8:$8=$B236),0)),"")</f>
        <v/>
      </c>
      <c r="E236" s="29" t="str" cm="1">
        <f t="array" ref="E236">IFERROR(INDEX(Data_Input!$1:$100, 9, MATCH(1, (Data_Input!$7:$7=$F$3) * (Data_Input!$8:$8=$B236), 0)),"")</f>
        <v/>
      </c>
      <c r="F236" s="20" t="str" cm="1">
        <f t="array" ref="F236">IFERROR(INDEX(Data_Input!$A$1:$ZZ$502, MATCH("예수금", INDEX(Data_Input!$A$1:$ZZ$502, 0, MATCH(1, (Data_Input!$7:$7=$F$3)*(Data_Input!$8:$8=$B236), 0)), 0) + 1, MATCH(1, (Data_Input!$7:$7=$F$3)*(Data_Input!$8:$8=$B236), 0)),"")</f>
        <v/>
      </c>
      <c r="G236" s="20" t="str" cm="1">
        <f t="array" ref="G236">IFERROR(INDEX(Data_Input!$A$1:$ZZ$502, MATCH("총자산", INDEX(Data_Input!$A$1:$ZZ$502, 0, MATCH(1, (Data_Input!$7:$7=$F$3)*(Data_Input!$8:$8=$B236), 0)), 0) + 1, MATCH(1, (Data_Input!$7:$7=$F$3)*(Data_Input!$8:$8=$B236), 0)),"")</f>
        <v/>
      </c>
      <c r="H236" s="20" t="str" cm="1">
        <f t="array" ref="H236">IFERROR(INDEX(Data_Input!$A$1:$ZZ$502, MATCH("매입금액", INDEX(Data_Input!$A$1:$ZZ$502, 0, MATCH(1, (Data_Input!$7:$7=$F$3)*(Data_Input!$8:$8=$B236), 0)), 0) + 1, MATCH(1, (Data_Input!$7:$7=$F$3)*(Data_Input!$8:$8=$B236), 0)),"")</f>
        <v/>
      </c>
      <c r="I236" s="20" t="str" cm="1">
        <f t="array" ref="I236">IFERROR(INDEX(Data_Input!$A$1:$ZZ$502, MATCH("평가금액", INDEX(Data_Input!$A$1:$ZZ$502, 0, MATCH(1, (Data_Input!$7:$7=$F$3)*(Data_Input!$8:$8=$B236), 0)), 0) + 1, MATCH(1, (Data_Input!$7:$7=$F$3)*(Data_Input!$8:$8=$B236), 0)),"")</f>
        <v/>
      </c>
      <c r="J236" s="20" t="str" cm="1">
        <f t="array" ref="J236">IFERROR(INDEX(Data_Input!$A$1:$ZZ$502, MATCH("평가손익", INDEX(Data_Input!$A$1:$ZZ$502, 0, MATCH(1, (Data_Input!$7:$7=$F$3)*(Data_Input!$8:$8=$B236), 0)), 0) + 1, MATCH(1, (Data_Input!$7:$7=$F$3)*(Data_Input!$8:$8=$B236), 0)),"")</f>
        <v/>
      </c>
      <c r="K236" s="14" t="str" cm="1">
        <f t="array" ref="K236">IFERROR(INDEX(Data_Input!$A$1:$ZZ$502, MATCH("총수익률", INDEX(Data_Input!$A$1:$ZZ$502, 0, MATCH(1, (Data_Input!$7:$7=$F$3)*(Data_Input!$8:$8=$B236), 0)), 0) + 1, MATCH(1, (Data_Input!$7:$7=$F$3)*(Data_Input!$8:$8=$B236), 0)),"")</f>
        <v/>
      </c>
      <c r="L236" t="str" cm="1">
        <f t="array" ref="L236">IFERROR(_xlfn.LET(
    _xlpm.targetDate, B236,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37" spans="1:12" x14ac:dyDescent="0.3">
      <c r="A237" s="16" t="str">
        <f t="shared" si="6"/>
        <v/>
      </c>
      <c r="B237" s="19"/>
      <c r="C237" s="17" t="str">
        <f t="shared" si="7"/>
        <v/>
      </c>
      <c r="D237" s="29" t="str" cm="1">
        <f t="array" ref="D237">IFERROR(INDEX(Data_Input!$10:$10,MATCH(1,(Data_Input!$7:$7=$F$3)*(Data_Input!$8:$8=$B237),0)),"")</f>
        <v/>
      </c>
      <c r="E237" s="29" t="str" cm="1">
        <f t="array" ref="E237">IFERROR(INDEX(Data_Input!$1:$100, 9, MATCH(1, (Data_Input!$7:$7=$F$3) * (Data_Input!$8:$8=$B237), 0)),"")</f>
        <v/>
      </c>
      <c r="F237" s="20" t="str" cm="1">
        <f t="array" ref="F237">IFERROR(INDEX(Data_Input!$A$1:$ZZ$502, MATCH("예수금", INDEX(Data_Input!$A$1:$ZZ$502, 0, MATCH(1, (Data_Input!$7:$7=$F$3)*(Data_Input!$8:$8=$B237), 0)), 0) + 1, MATCH(1, (Data_Input!$7:$7=$F$3)*(Data_Input!$8:$8=$B237), 0)),"")</f>
        <v/>
      </c>
      <c r="G237" s="20" t="str" cm="1">
        <f t="array" ref="G237">IFERROR(INDEX(Data_Input!$A$1:$ZZ$502, MATCH("총자산", INDEX(Data_Input!$A$1:$ZZ$502, 0, MATCH(1, (Data_Input!$7:$7=$F$3)*(Data_Input!$8:$8=$B237), 0)), 0) + 1, MATCH(1, (Data_Input!$7:$7=$F$3)*(Data_Input!$8:$8=$B237), 0)),"")</f>
        <v/>
      </c>
      <c r="H237" s="20" t="str" cm="1">
        <f t="array" ref="H237">IFERROR(INDEX(Data_Input!$A$1:$ZZ$502, MATCH("매입금액", INDEX(Data_Input!$A$1:$ZZ$502, 0, MATCH(1, (Data_Input!$7:$7=$F$3)*(Data_Input!$8:$8=$B237), 0)), 0) + 1, MATCH(1, (Data_Input!$7:$7=$F$3)*(Data_Input!$8:$8=$B237), 0)),"")</f>
        <v/>
      </c>
      <c r="I237" s="20" t="str" cm="1">
        <f t="array" ref="I237">IFERROR(INDEX(Data_Input!$A$1:$ZZ$502, MATCH("평가금액", INDEX(Data_Input!$A$1:$ZZ$502, 0, MATCH(1, (Data_Input!$7:$7=$F$3)*(Data_Input!$8:$8=$B237), 0)), 0) + 1, MATCH(1, (Data_Input!$7:$7=$F$3)*(Data_Input!$8:$8=$B237), 0)),"")</f>
        <v/>
      </c>
      <c r="J237" s="20" t="str" cm="1">
        <f t="array" ref="J237">IFERROR(INDEX(Data_Input!$A$1:$ZZ$502, MATCH("평가손익", INDEX(Data_Input!$A$1:$ZZ$502, 0, MATCH(1, (Data_Input!$7:$7=$F$3)*(Data_Input!$8:$8=$B237), 0)), 0) + 1, MATCH(1, (Data_Input!$7:$7=$F$3)*(Data_Input!$8:$8=$B237), 0)),"")</f>
        <v/>
      </c>
      <c r="K237" s="14" t="str" cm="1">
        <f t="array" ref="K237">IFERROR(INDEX(Data_Input!$A$1:$ZZ$502, MATCH("총수익률", INDEX(Data_Input!$A$1:$ZZ$502, 0, MATCH(1, (Data_Input!$7:$7=$F$3)*(Data_Input!$8:$8=$B237), 0)), 0) + 1, MATCH(1, (Data_Input!$7:$7=$F$3)*(Data_Input!$8:$8=$B237), 0)),"")</f>
        <v/>
      </c>
      <c r="L237" t="str" cm="1">
        <f t="array" ref="L237">IFERROR(_xlfn.LET(
    _xlpm.targetDate, B237,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38" spans="1:12" x14ac:dyDescent="0.3">
      <c r="A238" s="16" t="str">
        <f t="shared" si="6"/>
        <v/>
      </c>
      <c r="B238" s="19"/>
      <c r="C238" s="17" t="str">
        <f t="shared" si="7"/>
        <v/>
      </c>
      <c r="D238" s="29" t="str" cm="1">
        <f t="array" ref="D238">IFERROR(INDEX(Data_Input!$10:$10,MATCH(1,(Data_Input!$7:$7=$F$3)*(Data_Input!$8:$8=$B238),0)),"")</f>
        <v/>
      </c>
      <c r="E238" s="29" t="str" cm="1">
        <f t="array" ref="E238">IFERROR(INDEX(Data_Input!$1:$100, 9, MATCH(1, (Data_Input!$7:$7=$F$3) * (Data_Input!$8:$8=$B238), 0)),"")</f>
        <v/>
      </c>
      <c r="F238" s="20" t="str" cm="1">
        <f t="array" ref="F238">IFERROR(INDEX(Data_Input!$A$1:$ZZ$502, MATCH("예수금", INDEX(Data_Input!$A$1:$ZZ$502, 0, MATCH(1, (Data_Input!$7:$7=$F$3)*(Data_Input!$8:$8=$B238), 0)), 0) + 1, MATCH(1, (Data_Input!$7:$7=$F$3)*(Data_Input!$8:$8=$B238), 0)),"")</f>
        <v/>
      </c>
      <c r="G238" s="20" t="str" cm="1">
        <f t="array" ref="G238">IFERROR(INDEX(Data_Input!$A$1:$ZZ$502, MATCH("총자산", INDEX(Data_Input!$A$1:$ZZ$502, 0, MATCH(1, (Data_Input!$7:$7=$F$3)*(Data_Input!$8:$8=$B238), 0)), 0) + 1, MATCH(1, (Data_Input!$7:$7=$F$3)*(Data_Input!$8:$8=$B238), 0)),"")</f>
        <v/>
      </c>
      <c r="H238" s="20" t="str" cm="1">
        <f t="array" ref="H238">IFERROR(INDEX(Data_Input!$A$1:$ZZ$502, MATCH("매입금액", INDEX(Data_Input!$A$1:$ZZ$502, 0, MATCH(1, (Data_Input!$7:$7=$F$3)*(Data_Input!$8:$8=$B238), 0)), 0) + 1, MATCH(1, (Data_Input!$7:$7=$F$3)*(Data_Input!$8:$8=$B238), 0)),"")</f>
        <v/>
      </c>
      <c r="I238" s="20" t="str" cm="1">
        <f t="array" ref="I238">IFERROR(INDEX(Data_Input!$A$1:$ZZ$502, MATCH("평가금액", INDEX(Data_Input!$A$1:$ZZ$502, 0, MATCH(1, (Data_Input!$7:$7=$F$3)*(Data_Input!$8:$8=$B238), 0)), 0) + 1, MATCH(1, (Data_Input!$7:$7=$F$3)*(Data_Input!$8:$8=$B238), 0)),"")</f>
        <v/>
      </c>
      <c r="J238" s="20" t="str" cm="1">
        <f t="array" ref="J238">IFERROR(INDEX(Data_Input!$A$1:$ZZ$502, MATCH("평가손익", INDEX(Data_Input!$A$1:$ZZ$502, 0, MATCH(1, (Data_Input!$7:$7=$F$3)*(Data_Input!$8:$8=$B238), 0)), 0) + 1, MATCH(1, (Data_Input!$7:$7=$F$3)*(Data_Input!$8:$8=$B238), 0)),"")</f>
        <v/>
      </c>
      <c r="K238" s="14" t="str" cm="1">
        <f t="array" ref="K238">IFERROR(INDEX(Data_Input!$A$1:$ZZ$502, MATCH("총수익률", INDEX(Data_Input!$A$1:$ZZ$502, 0, MATCH(1, (Data_Input!$7:$7=$F$3)*(Data_Input!$8:$8=$B238), 0)), 0) + 1, MATCH(1, (Data_Input!$7:$7=$F$3)*(Data_Input!$8:$8=$B238), 0)),"")</f>
        <v/>
      </c>
      <c r="L238" t="str" cm="1">
        <f t="array" ref="L238">IFERROR(_xlfn.LET(
    _xlpm.targetDate, B238,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39" spans="1:12" x14ac:dyDescent="0.3">
      <c r="A239" s="16" t="str">
        <f t="shared" si="6"/>
        <v/>
      </c>
      <c r="B239" s="19"/>
      <c r="C239" s="17" t="str">
        <f t="shared" si="7"/>
        <v/>
      </c>
      <c r="D239" s="29" t="str" cm="1">
        <f t="array" ref="D239">IFERROR(INDEX(Data_Input!$10:$10,MATCH(1,(Data_Input!$7:$7=$F$3)*(Data_Input!$8:$8=$B239),0)),"")</f>
        <v/>
      </c>
      <c r="E239" s="29" t="str" cm="1">
        <f t="array" ref="E239">IFERROR(INDEX(Data_Input!$1:$100, 9, MATCH(1, (Data_Input!$7:$7=$F$3) * (Data_Input!$8:$8=$B239), 0)),"")</f>
        <v/>
      </c>
      <c r="F239" s="20" t="str" cm="1">
        <f t="array" ref="F239">IFERROR(INDEX(Data_Input!$A$1:$ZZ$502, MATCH("예수금", INDEX(Data_Input!$A$1:$ZZ$502, 0, MATCH(1, (Data_Input!$7:$7=$F$3)*(Data_Input!$8:$8=$B239), 0)), 0) + 1, MATCH(1, (Data_Input!$7:$7=$F$3)*(Data_Input!$8:$8=$B239), 0)),"")</f>
        <v/>
      </c>
      <c r="G239" s="20" t="str" cm="1">
        <f t="array" ref="G239">IFERROR(INDEX(Data_Input!$A$1:$ZZ$502, MATCH("총자산", INDEX(Data_Input!$A$1:$ZZ$502, 0, MATCH(1, (Data_Input!$7:$7=$F$3)*(Data_Input!$8:$8=$B239), 0)), 0) + 1, MATCH(1, (Data_Input!$7:$7=$F$3)*(Data_Input!$8:$8=$B239), 0)),"")</f>
        <v/>
      </c>
      <c r="H239" s="20" t="str" cm="1">
        <f t="array" ref="H239">IFERROR(INDEX(Data_Input!$A$1:$ZZ$502, MATCH("매입금액", INDEX(Data_Input!$A$1:$ZZ$502, 0, MATCH(1, (Data_Input!$7:$7=$F$3)*(Data_Input!$8:$8=$B239), 0)), 0) + 1, MATCH(1, (Data_Input!$7:$7=$F$3)*(Data_Input!$8:$8=$B239), 0)),"")</f>
        <v/>
      </c>
      <c r="I239" s="20" t="str" cm="1">
        <f t="array" ref="I239">IFERROR(INDEX(Data_Input!$A$1:$ZZ$502, MATCH("평가금액", INDEX(Data_Input!$A$1:$ZZ$502, 0, MATCH(1, (Data_Input!$7:$7=$F$3)*(Data_Input!$8:$8=$B239), 0)), 0) + 1, MATCH(1, (Data_Input!$7:$7=$F$3)*(Data_Input!$8:$8=$B239), 0)),"")</f>
        <v/>
      </c>
      <c r="J239" s="20" t="str" cm="1">
        <f t="array" ref="J239">IFERROR(INDEX(Data_Input!$A$1:$ZZ$502, MATCH("평가손익", INDEX(Data_Input!$A$1:$ZZ$502, 0, MATCH(1, (Data_Input!$7:$7=$F$3)*(Data_Input!$8:$8=$B239), 0)), 0) + 1, MATCH(1, (Data_Input!$7:$7=$F$3)*(Data_Input!$8:$8=$B239), 0)),"")</f>
        <v/>
      </c>
      <c r="K239" s="14" t="str" cm="1">
        <f t="array" ref="K239">IFERROR(INDEX(Data_Input!$A$1:$ZZ$502, MATCH("총수익률", INDEX(Data_Input!$A$1:$ZZ$502, 0, MATCH(1, (Data_Input!$7:$7=$F$3)*(Data_Input!$8:$8=$B239), 0)), 0) + 1, MATCH(1, (Data_Input!$7:$7=$F$3)*(Data_Input!$8:$8=$B239), 0)),"")</f>
        <v/>
      </c>
      <c r="L239" t="str" cm="1">
        <f t="array" ref="L239">IFERROR(_xlfn.LET(
    _xlpm.targetDate, B239,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40" spans="1:12" x14ac:dyDescent="0.3">
      <c r="A240" s="16" t="str">
        <f t="shared" si="6"/>
        <v/>
      </c>
      <c r="B240" s="19"/>
      <c r="C240" s="17" t="str">
        <f t="shared" si="7"/>
        <v/>
      </c>
      <c r="D240" s="29" t="str" cm="1">
        <f t="array" ref="D240">IFERROR(INDEX(Data_Input!$10:$10,MATCH(1,(Data_Input!$7:$7=$F$3)*(Data_Input!$8:$8=$B240),0)),"")</f>
        <v/>
      </c>
      <c r="E240" s="29" t="str" cm="1">
        <f t="array" ref="E240">IFERROR(INDEX(Data_Input!$1:$100, 9, MATCH(1, (Data_Input!$7:$7=$F$3) * (Data_Input!$8:$8=$B240), 0)),"")</f>
        <v/>
      </c>
      <c r="F240" s="20" t="str" cm="1">
        <f t="array" ref="F240">IFERROR(INDEX(Data_Input!$A$1:$ZZ$502, MATCH("예수금", INDEX(Data_Input!$A$1:$ZZ$502, 0, MATCH(1, (Data_Input!$7:$7=$F$3)*(Data_Input!$8:$8=$B240), 0)), 0) + 1, MATCH(1, (Data_Input!$7:$7=$F$3)*(Data_Input!$8:$8=$B240), 0)),"")</f>
        <v/>
      </c>
      <c r="G240" s="20" t="str" cm="1">
        <f t="array" ref="G240">IFERROR(INDEX(Data_Input!$A$1:$ZZ$502, MATCH("총자산", INDEX(Data_Input!$A$1:$ZZ$502, 0, MATCH(1, (Data_Input!$7:$7=$F$3)*(Data_Input!$8:$8=$B240), 0)), 0) + 1, MATCH(1, (Data_Input!$7:$7=$F$3)*(Data_Input!$8:$8=$B240), 0)),"")</f>
        <v/>
      </c>
      <c r="H240" s="20" t="str" cm="1">
        <f t="array" ref="H240">IFERROR(INDEX(Data_Input!$A$1:$ZZ$502, MATCH("매입금액", INDEX(Data_Input!$A$1:$ZZ$502, 0, MATCH(1, (Data_Input!$7:$7=$F$3)*(Data_Input!$8:$8=$B240), 0)), 0) + 1, MATCH(1, (Data_Input!$7:$7=$F$3)*(Data_Input!$8:$8=$B240), 0)),"")</f>
        <v/>
      </c>
      <c r="I240" s="20" t="str" cm="1">
        <f t="array" ref="I240">IFERROR(INDEX(Data_Input!$A$1:$ZZ$502, MATCH("평가금액", INDEX(Data_Input!$A$1:$ZZ$502, 0, MATCH(1, (Data_Input!$7:$7=$F$3)*(Data_Input!$8:$8=$B240), 0)), 0) + 1, MATCH(1, (Data_Input!$7:$7=$F$3)*(Data_Input!$8:$8=$B240), 0)),"")</f>
        <v/>
      </c>
      <c r="J240" s="20" t="str" cm="1">
        <f t="array" ref="J240">IFERROR(INDEX(Data_Input!$A$1:$ZZ$502, MATCH("평가손익", INDEX(Data_Input!$A$1:$ZZ$502, 0, MATCH(1, (Data_Input!$7:$7=$F$3)*(Data_Input!$8:$8=$B240), 0)), 0) + 1, MATCH(1, (Data_Input!$7:$7=$F$3)*(Data_Input!$8:$8=$B240), 0)),"")</f>
        <v/>
      </c>
      <c r="K240" s="14" t="str" cm="1">
        <f t="array" ref="K240">IFERROR(INDEX(Data_Input!$A$1:$ZZ$502, MATCH("총수익률", INDEX(Data_Input!$A$1:$ZZ$502, 0, MATCH(1, (Data_Input!$7:$7=$F$3)*(Data_Input!$8:$8=$B240), 0)), 0) + 1, MATCH(1, (Data_Input!$7:$7=$F$3)*(Data_Input!$8:$8=$B240), 0)),"")</f>
        <v/>
      </c>
      <c r="L240" t="str" cm="1">
        <f t="array" ref="L240">IFERROR(_xlfn.LET(
    _xlpm.targetDate, B240,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41" spans="1:12" x14ac:dyDescent="0.3">
      <c r="A241" s="16" t="str">
        <f t="shared" si="6"/>
        <v/>
      </c>
      <c r="B241" s="19"/>
      <c r="C241" s="17" t="str">
        <f t="shared" si="7"/>
        <v/>
      </c>
      <c r="D241" s="29" t="str" cm="1">
        <f t="array" ref="D241">IFERROR(INDEX(Data_Input!$10:$10,MATCH(1,(Data_Input!$7:$7=$F$3)*(Data_Input!$8:$8=$B241),0)),"")</f>
        <v/>
      </c>
      <c r="E241" s="29" t="str" cm="1">
        <f t="array" ref="E241">IFERROR(INDEX(Data_Input!$1:$100, 9, MATCH(1, (Data_Input!$7:$7=$F$3) * (Data_Input!$8:$8=$B241), 0)),"")</f>
        <v/>
      </c>
      <c r="F241" s="20" t="str" cm="1">
        <f t="array" ref="F241">IFERROR(INDEX(Data_Input!$A$1:$ZZ$502, MATCH("예수금", INDEX(Data_Input!$A$1:$ZZ$502, 0, MATCH(1, (Data_Input!$7:$7=$F$3)*(Data_Input!$8:$8=$B241), 0)), 0) + 1, MATCH(1, (Data_Input!$7:$7=$F$3)*(Data_Input!$8:$8=$B241), 0)),"")</f>
        <v/>
      </c>
      <c r="G241" s="20" t="str" cm="1">
        <f t="array" ref="G241">IFERROR(INDEX(Data_Input!$A$1:$ZZ$502, MATCH("총자산", INDEX(Data_Input!$A$1:$ZZ$502, 0, MATCH(1, (Data_Input!$7:$7=$F$3)*(Data_Input!$8:$8=$B241), 0)), 0) + 1, MATCH(1, (Data_Input!$7:$7=$F$3)*(Data_Input!$8:$8=$B241), 0)),"")</f>
        <v/>
      </c>
      <c r="H241" s="20" t="str" cm="1">
        <f t="array" ref="H241">IFERROR(INDEX(Data_Input!$A$1:$ZZ$502, MATCH("매입금액", INDEX(Data_Input!$A$1:$ZZ$502, 0, MATCH(1, (Data_Input!$7:$7=$F$3)*(Data_Input!$8:$8=$B241), 0)), 0) + 1, MATCH(1, (Data_Input!$7:$7=$F$3)*(Data_Input!$8:$8=$B241), 0)),"")</f>
        <v/>
      </c>
      <c r="I241" s="20" t="str" cm="1">
        <f t="array" ref="I241">IFERROR(INDEX(Data_Input!$A$1:$ZZ$502, MATCH("평가금액", INDEX(Data_Input!$A$1:$ZZ$502, 0, MATCH(1, (Data_Input!$7:$7=$F$3)*(Data_Input!$8:$8=$B241), 0)), 0) + 1, MATCH(1, (Data_Input!$7:$7=$F$3)*(Data_Input!$8:$8=$B241), 0)),"")</f>
        <v/>
      </c>
      <c r="J241" s="20" t="str" cm="1">
        <f t="array" ref="J241">IFERROR(INDEX(Data_Input!$A$1:$ZZ$502, MATCH("평가손익", INDEX(Data_Input!$A$1:$ZZ$502, 0, MATCH(1, (Data_Input!$7:$7=$F$3)*(Data_Input!$8:$8=$B241), 0)), 0) + 1, MATCH(1, (Data_Input!$7:$7=$F$3)*(Data_Input!$8:$8=$B241), 0)),"")</f>
        <v/>
      </c>
      <c r="K241" s="14" t="str" cm="1">
        <f t="array" ref="K241">IFERROR(INDEX(Data_Input!$A$1:$ZZ$502, MATCH("총수익률", INDEX(Data_Input!$A$1:$ZZ$502, 0, MATCH(1, (Data_Input!$7:$7=$F$3)*(Data_Input!$8:$8=$B241), 0)), 0) + 1, MATCH(1, (Data_Input!$7:$7=$F$3)*(Data_Input!$8:$8=$B241), 0)),"")</f>
        <v/>
      </c>
      <c r="L241" t="str" cm="1">
        <f t="array" ref="L241">IFERROR(_xlfn.LET(
    _xlpm.targetDate, B241,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42" spans="1:12" x14ac:dyDescent="0.3">
      <c r="A242" s="16" t="str">
        <f t="shared" si="6"/>
        <v/>
      </c>
      <c r="B242" s="19"/>
      <c r="C242" s="17" t="str">
        <f t="shared" si="7"/>
        <v/>
      </c>
      <c r="D242" s="29" t="str" cm="1">
        <f t="array" ref="D242">IFERROR(INDEX(Data_Input!$10:$10,MATCH(1,(Data_Input!$7:$7=$F$3)*(Data_Input!$8:$8=$B242),0)),"")</f>
        <v/>
      </c>
      <c r="E242" s="29" t="str" cm="1">
        <f t="array" ref="E242">IFERROR(INDEX(Data_Input!$1:$100, 9, MATCH(1, (Data_Input!$7:$7=$F$3) * (Data_Input!$8:$8=$B242), 0)),"")</f>
        <v/>
      </c>
      <c r="F242" s="20" t="str" cm="1">
        <f t="array" ref="F242">IFERROR(INDEX(Data_Input!$A$1:$ZZ$502, MATCH("예수금", INDEX(Data_Input!$A$1:$ZZ$502, 0, MATCH(1, (Data_Input!$7:$7=$F$3)*(Data_Input!$8:$8=$B242), 0)), 0) + 1, MATCH(1, (Data_Input!$7:$7=$F$3)*(Data_Input!$8:$8=$B242), 0)),"")</f>
        <v/>
      </c>
      <c r="G242" s="20" t="str" cm="1">
        <f t="array" ref="G242">IFERROR(INDEX(Data_Input!$A$1:$ZZ$502, MATCH("총자산", INDEX(Data_Input!$A$1:$ZZ$502, 0, MATCH(1, (Data_Input!$7:$7=$F$3)*(Data_Input!$8:$8=$B242), 0)), 0) + 1, MATCH(1, (Data_Input!$7:$7=$F$3)*(Data_Input!$8:$8=$B242), 0)),"")</f>
        <v/>
      </c>
      <c r="H242" s="20" t="str" cm="1">
        <f t="array" ref="H242">IFERROR(INDEX(Data_Input!$A$1:$ZZ$502, MATCH("매입금액", INDEX(Data_Input!$A$1:$ZZ$502, 0, MATCH(1, (Data_Input!$7:$7=$F$3)*(Data_Input!$8:$8=$B242), 0)), 0) + 1, MATCH(1, (Data_Input!$7:$7=$F$3)*(Data_Input!$8:$8=$B242), 0)),"")</f>
        <v/>
      </c>
      <c r="I242" s="20" t="str" cm="1">
        <f t="array" ref="I242">IFERROR(INDEX(Data_Input!$A$1:$ZZ$502, MATCH("평가금액", INDEX(Data_Input!$A$1:$ZZ$502, 0, MATCH(1, (Data_Input!$7:$7=$F$3)*(Data_Input!$8:$8=$B242), 0)), 0) + 1, MATCH(1, (Data_Input!$7:$7=$F$3)*(Data_Input!$8:$8=$B242), 0)),"")</f>
        <v/>
      </c>
      <c r="J242" s="20" t="str" cm="1">
        <f t="array" ref="J242">IFERROR(INDEX(Data_Input!$A$1:$ZZ$502, MATCH("평가손익", INDEX(Data_Input!$A$1:$ZZ$502, 0, MATCH(1, (Data_Input!$7:$7=$F$3)*(Data_Input!$8:$8=$B242), 0)), 0) + 1, MATCH(1, (Data_Input!$7:$7=$F$3)*(Data_Input!$8:$8=$B242), 0)),"")</f>
        <v/>
      </c>
      <c r="K242" s="14" t="str" cm="1">
        <f t="array" ref="K242">IFERROR(INDEX(Data_Input!$A$1:$ZZ$502, MATCH("총수익률", INDEX(Data_Input!$A$1:$ZZ$502, 0, MATCH(1, (Data_Input!$7:$7=$F$3)*(Data_Input!$8:$8=$B242), 0)), 0) + 1, MATCH(1, (Data_Input!$7:$7=$F$3)*(Data_Input!$8:$8=$B242), 0)),"")</f>
        <v/>
      </c>
      <c r="L242" t="str" cm="1">
        <f t="array" ref="L242">IFERROR(_xlfn.LET(
    _xlpm.targetDate, B242,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43" spans="1:12" x14ac:dyDescent="0.3">
      <c r="A243" s="16" t="str">
        <f t="shared" si="6"/>
        <v/>
      </c>
      <c r="B243" s="19"/>
      <c r="C243" s="17" t="str">
        <f t="shared" si="7"/>
        <v/>
      </c>
      <c r="D243" s="29" t="str" cm="1">
        <f t="array" ref="D243">IFERROR(INDEX(Data_Input!$10:$10,MATCH(1,(Data_Input!$7:$7=$F$3)*(Data_Input!$8:$8=$B243),0)),"")</f>
        <v/>
      </c>
      <c r="E243" s="29" t="str" cm="1">
        <f t="array" ref="E243">IFERROR(INDEX(Data_Input!$1:$100, 9, MATCH(1, (Data_Input!$7:$7=$F$3) * (Data_Input!$8:$8=$B243), 0)),"")</f>
        <v/>
      </c>
      <c r="F243" s="20" t="str" cm="1">
        <f t="array" ref="F243">IFERROR(INDEX(Data_Input!$A$1:$ZZ$502, MATCH("예수금", INDEX(Data_Input!$A$1:$ZZ$502, 0, MATCH(1, (Data_Input!$7:$7=$F$3)*(Data_Input!$8:$8=$B243), 0)), 0) + 1, MATCH(1, (Data_Input!$7:$7=$F$3)*(Data_Input!$8:$8=$B243), 0)),"")</f>
        <v/>
      </c>
      <c r="G243" s="20" t="str" cm="1">
        <f t="array" ref="G243">IFERROR(INDEX(Data_Input!$A$1:$ZZ$502, MATCH("총자산", INDEX(Data_Input!$A$1:$ZZ$502, 0, MATCH(1, (Data_Input!$7:$7=$F$3)*(Data_Input!$8:$8=$B243), 0)), 0) + 1, MATCH(1, (Data_Input!$7:$7=$F$3)*(Data_Input!$8:$8=$B243), 0)),"")</f>
        <v/>
      </c>
      <c r="H243" s="20" t="str" cm="1">
        <f t="array" ref="H243">IFERROR(INDEX(Data_Input!$A$1:$ZZ$502, MATCH("매입금액", INDEX(Data_Input!$A$1:$ZZ$502, 0, MATCH(1, (Data_Input!$7:$7=$F$3)*(Data_Input!$8:$8=$B243), 0)), 0) + 1, MATCH(1, (Data_Input!$7:$7=$F$3)*(Data_Input!$8:$8=$B243), 0)),"")</f>
        <v/>
      </c>
      <c r="I243" s="20" t="str" cm="1">
        <f t="array" ref="I243">IFERROR(INDEX(Data_Input!$A$1:$ZZ$502, MATCH("평가금액", INDEX(Data_Input!$A$1:$ZZ$502, 0, MATCH(1, (Data_Input!$7:$7=$F$3)*(Data_Input!$8:$8=$B243), 0)), 0) + 1, MATCH(1, (Data_Input!$7:$7=$F$3)*(Data_Input!$8:$8=$B243), 0)),"")</f>
        <v/>
      </c>
      <c r="J243" s="20" t="str" cm="1">
        <f t="array" ref="J243">IFERROR(INDEX(Data_Input!$A$1:$ZZ$502, MATCH("평가손익", INDEX(Data_Input!$A$1:$ZZ$502, 0, MATCH(1, (Data_Input!$7:$7=$F$3)*(Data_Input!$8:$8=$B243), 0)), 0) + 1, MATCH(1, (Data_Input!$7:$7=$F$3)*(Data_Input!$8:$8=$B243), 0)),"")</f>
        <v/>
      </c>
      <c r="K243" s="14" t="str" cm="1">
        <f t="array" ref="K243">IFERROR(INDEX(Data_Input!$A$1:$ZZ$502, MATCH("총수익률", INDEX(Data_Input!$A$1:$ZZ$502, 0, MATCH(1, (Data_Input!$7:$7=$F$3)*(Data_Input!$8:$8=$B243), 0)), 0) + 1, MATCH(1, (Data_Input!$7:$7=$F$3)*(Data_Input!$8:$8=$B243), 0)),"")</f>
        <v/>
      </c>
      <c r="L243" t="str" cm="1">
        <f t="array" ref="L243">IFERROR(_xlfn.LET(
    _xlpm.targetDate, B243,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44" spans="1:12" x14ac:dyDescent="0.3">
      <c r="A244" s="16" t="str">
        <f t="shared" si="6"/>
        <v/>
      </c>
      <c r="B244" s="19"/>
      <c r="C244" s="17" t="str">
        <f t="shared" si="7"/>
        <v/>
      </c>
      <c r="D244" s="29" t="str" cm="1">
        <f t="array" ref="D244">IFERROR(INDEX(Data_Input!$10:$10,MATCH(1,(Data_Input!$7:$7=$F$3)*(Data_Input!$8:$8=$B244),0)),"")</f>
        <v/>
      </c>
      <c r="E244" s="29" t="str" cm="1">
        <f t="array" ref="E244">IFERROR(INDEX(Data_Input!$1:$100, 9, MATCH(1, (Data_Input!$7:$7=$F$3) * (Data_Input!$8:$8=$B244), 0)),"")</f>
        <v/>
      </c>
      <c r="F244" s="20" t="str" cm="1">
        <f t="array" ref="F244">IFERROR(INDEX(Data_Input!$A$1:$ZZ$502, MATCH("예수금", INDEX(Data_Input!$A$1:$ZZ$502, 0, MATCH(1, (Data_Input!$7:$7=$F$3)*(Data_Input!$8:$8=$B244), 0)), 0) + 1, MATCH(1, (Data_Input!$7:$7=$F$3)*(Data_Input!$8:$8=$B244), 0)),"")</f>
        <v/>
      </c>
      <c r="G244" s="20" t="str" cm="1">
        <f t="array" ref="G244">IFERROR(INDEX(Data_Input!$A$1:$ZZ$502, MATCH("총자산", INDEX(Data_Input!$A$1:$ZZ$502, 0, MATCH(1, (Data_Input!$7:$7=$F$3)*(Data_Input!$8:$8=$B244), 0)), 0) + 1, MATCH(1, (Data_Input!$7:$7=$F$3)*(Data_Input!$8:$8=$B244), 0)),"")</f>
        <v/>
      </c>
      <c r="H244" s="20" t="str" cm="1">
        <f t="array" ref="H244">IFERROR(INDEX(Data_Input!$A$1:$ZZ$502, MATCH("매입금액", INDEX(Data_Input!$A$1:$ZZ$502, 0, MATCH(1, (Data_Input!$7:$7=$F$3)*(Data_Input!$8:$8=$B244), 0)), 0) + 1, MATCH(1, (Data_Input!$7:$7=$F$3)*(Data_Input!$8:$8=$B244), 0)),"")</f>
        <v/>
      </c>
      <c r="I244" s="20" t="str" cm="1">
        <f t="array" ref="I244">IFERROR(INDEX(Data_Input!$A$1:$ZZ$502, MATCH("평가금액", INDEX(Data_Input!$A$1:$ZZ$502, 0, MATCH(1, (Data_Input!$7:$7=$F$3)*(Data_Input!$8:$8=$B244), 0)), 0) + 1, MATCH(1, (Data_Input!$7:$7=$F$3)*(Data_Input!$8:$8=$B244), 0)),"")</f>
        <v/>
      </c>
      <c r="J244" s="20" t="str" cm="1">
        <f t="array" ref="J244">IFERROR(INDEX(Data_Input!$A$1:$ZZ$502, MATCH("평가손익", INDEX(Data_Input!$A$1:$ZZ$502, 0, MATCH(1, (Data_Input!$7:$7=$F$3)*(Data_Input!$8:$8=$B244), 0)), 0) + 1, MATCH(1, (Data_Input!$7:$7=$F$3)*(Data_Input!$8:$8=$B244), 0)),"")</f>
        <v/>
      </c>
      <c r="K244" s="14" t="str" cm="1">
        <f t="array" ref="K244">IFERROR(INDEX(Data_Input!$A$1:$ZZ$502, MATCH("총수익률", INDEX(Data_Input!$A$1:$ZZ$502, 0, MATCH(1, (Data_Input!$7:$7=$F$3)*(Data_Input!$8:$8=$B244), 0)), 0) + 1, MATCH(1, (Data_Input!$7:$7=$F$3)*(Data_Input!$8:$8=$B244), 0)),"")</f>
        <v/>
      </c>
      <c r="L244" t="str" cm="1">
        <f t="array" ref="L244">IFERROR(_xlfn.LET(
    _xlpm.targetDate, B244,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45" spans="1:12" x14ac:dyDescent="0.3">
      <c r="A245" s="16" t="str">
        <f t="shared" si="6"/>
        <v/>
      </c>
      <c r="B245" s="19"/>
      <c r="C245" s="17" t="str">
        <f t="shared" si="7"/>
        <v/>
      </c>
      <c r="D245" s="29" t="str" cm="1">
        <f t="array" ref="D245">IFERROR(INDEX(Data_Input!$10:$10,MATCH(1,(Data_Input!$7:$7=$F$3)*(Data_Input!$8:$8=$B245),0)),"")</f>
        <v/>
      </c>
      <c r="E245" s="29" t="str" cm="1">
        <f t="array" ref="E245">IFERROR(INDEX(Data_Input!$1:$100, 9, MATCH(1, (Data_Input!$7:$7=$F$3) * (Data_Input!$8:$8=$B245), 0)),"")</f>
        <v/>
      </c>
      <c r="F245" s="20" t="str" cm="1">
        <f t="array" ref="F245">IFERROR(INDEX(Data_Input!$A$1:$ZZ$502, MATCH("예수금", INDEX(Data_Input!$A$1:$ZZ$502, 0, MATCH(1, (Data_Input!$7:$7=$F$3)*(Data_Input!$8:$8=$B245), 0)), 0) + 1, MATCH(1, (Data_Input!$7:$7=$F$3)*(Data_Input!$8:$8=$B245), 0)),"")</f>
        <v/>
      </c>
      <c r="G245" s="20" t="str" cm="1">
        <f t="array" ref="G245">IFERROR(INDEX(Data_Input!$A$1:$ZZ$502, MATCH("총자산", INDEX(Data_Input!$A$1:$ZZ$502, 0, MATCH(1, (Data_Input!$7:$7=$F$3)*(Data_Input!$8:$8=$B245), 0)), 0) + 1, MATCH(1, (Data_Input!$7:$7=$F$3)*(Data_Input!$8:$8=$B245), 0)),"")</f>
        <v/>
      </c>
      <c r="H245" s="20" t="str" cm="1">
        <f t="array" ref="H245">IFERROR(INDEX(Data_Input!$A$1:$ZZ$502, MATCH("매입금액", INDEX(Data_Input!$A$1:$ZZ$502, 0, MATCH(1, (Data_Input!$7:$7=$F$3)*(Data_Input!$8:$8=$B245), 0)), 0) + 1, MATCH(1, (Data_Input!$7:$7=$F$3)*(Data_Input!$8:$8=$B245), 0)),"")</f>
        <v/>
      </c>
      <c r="I245" s="20" t="str" cm="1">
        <f t="array" ref="I245">IFERROR(INDEX(Data_Input!$A$1:$ZZ$502, MATCH("평가금액", INDEX(Data_Input!$A$1:$ZZ$502, 0, MATCH(1, (Data_Input!$7:$7=$F$3)*(Data_Input!$8:$8=$B245), 0)), 0) + 1, MATCH(1, (Data_Input!$7:$7=$F$3)*(Data_Input!$8:$8=$B245), 0)),"")</f>
        <v/>
      </c>
      <c r="J245" s="20" t="str" cm="1">
        <f t="array" ref="J245">IFERROR(INDEX(Data_Input!$A$1:$ZZ$502, MATCH("평가손익", INDEX(Data_Input!$A$1:$ZZ$502, 0, MATCH(1, (Data_Input!$7:$7=$F$3)*(Data_Input!$8:$8=$B245), 0)), 0) + 1, MATCH(1, (Data_Input!$7:$7=$F$3)*(Data_Input!$8:$8=$B245), 0)),"")</f>
        <v/>
      </c>
      <c r="K245" s="14" t="str" cm="1">
        <f t="array" ref="K245">IFERROR(INDEX(Data_Input!$A$1:$ZZ$502, MATCH("총수익률", INDEX(Data_Input!$A$1:$ZZ$502, 0, MATCH(1, (Data_Input!$7:$7=$F$3)*(Data_Input!$8:$8=$B245), 0)), 0) + 1, MATCH(1, (Data_Input!$7:$7=$F$3)*(Data_Input!$8:$8=$B245), 0)),"")</f>
        <v/>
      </c>
      <c r="L245" t="str" cm="1">
        <f t="array" ref="L245">IFERROR(_xlfn.LET(
    _xlpm.targetDate, B245,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46" spans="1:12" x14ac:dyDescent="0.3">
      <c r="A246" s="16" t="str">
        <f t="shared" si="6"/>
        <v/>
      </c>
      <c r="B246" s="19"/>
      <c r="C246" s="17" t="str">
        <f t="shared" si="7"/>
        <v/>
      </c>
      <c r="D246" s="29" t="str" cm="1">
        <f t="array" ref="D246">IFERROR(INDEX(Data_Input!$10:$10,MATCH(1,(Data_Input!$7:$7=$F$3)*(Data_Input!$8:$8=$B246),0)),"")</f>
        <v/>
      </c>
      <c r="E246" s="29" t="str" cm="1">
        <f t="array" ref="E246">IFERROR(INDEX(Data_Input!$1:$100, 9, MATCH(1, (Data_Input!$7:$7=$F$3) * (Data_Input!$8:$8=$B246), 0)),"")</f>
        <v/>
      </c>
      <c r="F246" s="20" t="str" cm="1">
        <f t="array" ref="F246">IFERROR(INDEX(Data_Input!$A$1:$ZZ$502, MATCH("예수금", INDEX(Data_Input!$A$1:$ZZ$502, 0, MATCH(1, (Data_Input!$7:$7=$F$3)*(Data_Input!$8:$8=$B246), 0)), 0) + 1, MATCH(1, (Data_Input!$7:$7=$F$3)*(Data_Input!$8:$8=$B246), 0)),"")</f>
        <v/>
      </c>
      <c r="G246" s="20" t="str" cm="1">
        <f t="array" ref="G246">IFERROR(INDEX(Data_Input!$A$1:$ZZ$502, MATCH("총자산", INDEX(Data_Input!$A$1:$ZZ$502, 0, MATCH(1, (Data_Input!$7:$7=$F$3)*(Data_Input!$8:$8=$B246), 0)), 0) + 1, MATCH(1, (Data_Input!$7:$7=$F$3)*(Data_Input!$8:$8=$B246), 0)),"")</f>
        <v/>
      </c>
      <c r="H246" s="20" t="str" cm="1">
        <f t="array" ref="H246">IFERROR(INDEX(Data_Input!$A$1:$ZZ$502, MATCH("매입금액", INDEX(Data_Input!$A$1:$ZZ$502, 0, MATCH(1, (Data_Input!$7:$7=$F$3)*(Data_Input!$8:$8=$B246), 0)), 0) + 1, MATCH(1, (Data_Input!$7:$7=$F$3)*(Data_Input!$8:$8=$B246), 0)),"")</f>
        <v/>
      </c>
      <c r="I246" s="20" t="str" cm="1">
        <f t="array" ref="I246">IFERROR(INDEX(Data_Input!$A$1:$ZZ$502, MATCH("평가금액", INDEX(Data_Input!$A$1:$ZZ$502, 0, MATCH(1, (Data_Input!$7:$7=$F$3)*(Data_Input!$8:$8=$B246), 0)), 0) + 1, MATCH(1, (Data_Input!$7:$7=$F$3)*(Data_Input!$8:$8=$B246), 0)),"")</f>
        <v/>
      </c>
      <c r="J246" s="20" t="str" cm="1">
        <f t="array" ref="J246">IFERROR(INDEX(Data_Input!$A$1:$ZZ$502, MATCH("평가손익", INDEX(Data_Input!$A$1:$ZZ$502, 0, MATCH(1, (Data_Input!$7:$7=$F$3)*(Data_Input!$8:$8=$B246), 0)), 0) + 1, MATCH(1, (Data_Input!$7:$7=$F$3)*(Data_Input!$8:$8=$B246), 0)),"")</f>
        <v/>
      </c>
      <c r="K246" s="14" t="str" cm="1">
        <f t="array" ref="K246">IFERROR(INDEX(Data_Input!$A$1:$ZZ$502, MATCH("총수익률", INDEX(Data_Input!$A$1:$ZZ$502, 0, MATCH(1, (Data_Input!$7:$7=$F$3)*(Data_Input!$8:$8=$B246), 0)), 0) + 1, MATCH(1, (Data_Input!$7:$7=$F$3)*(Data_Input!$8:$8=$B246), 0)),"")</f>
        <v/>
      </c>
      <c r="L246" t="str" cm="1">
        <f t="array" ref="L246">IFERROR(_xlfn.LET(
    _xlpm.targetDate, B246,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47" spans="1:12" x14ac:dyDescent="0.3">
      <c r="A247" s="16" t="str">
        <f t="shared" si="6"/>
        <v/>
      </c>
      <c r="B247" s="19"/>
      <c r="C247" s="17" t="str">
        <f t="shared" si="7"/>
        <v/>
      </c>
      <c r="D247" s="29" t="str" cm="1">
        <f t="array" ref="D247">IFERROR(INDEX(Data_Input!$10:$10,MATCH(1,(Data_Input!$7:$7=$F$3)*(Data_Input!$8:$8=$B247),0)),"")</f>
        <v/>
      </c>
      <c r="E247" s="29" t="str" cm="1">
        <f t="array" ref="E247">IFERROR(INDEX(Data_Input!$1:$100, 9, MATCH(1, (Data_Input!$7:$7=$F$3) * (Data_Input!$8:$8=$B247), 0)),"")</f>
        <v/>
      </c>
      <c r="F247" s="20" t="str" cm="1">
        <f t="array" ref="F247">IFERROR(INDEX(Data_Input!$A$1:$ZZ$502, MATCH("예수금", INDEX(Data_Input!$A$1:$ZZ$502, 0, MATCH(1, (Data_Input!$7:$7=$F$3)*(Data_Input!$8:$8=$B247), 0)), 0) + 1, MATCH(1, (Data_Input!$7:$7=$F$3)*(Data_Input!$8:$8=$B247), 0)),"")</f>
        <v/>
      </c>
      <c r="G247" s="20" t="str" cm="1">
        <f t="array" ref="G247">IFERROR(INDEX(Data_Input!$A$1:$ZZ$502, MATCH("총자산", INDEX(Data_Input!$A$1:$ZZ$502, 0, MATCH(1, (Data_Input!$7:$7=$F$3)*(Data_Input!$8:$8=$B247), 0)), 0) + 1, MATCH(1, (Data_Input!$7:$7=$F$3)*(Data_Input!$8:$8=$B247), 0)),"")</f>
        <v/>
      </c>
      <c r="H247" s="20" t="str" cm="1">
        <f t="array" ref="H247">IFERROR(INDEX(Data_Input!$A$1:$ZZ$502, MATCH("매입금액", INDEX(Data_Input!$A$1:$ZZ$502, 0, MATCH(1, (Data_Input!$7:$7=$F$3)*(Data_Input!$8:$8=$B247), 0)), 0) + 1, MATCH(1, (Data_Input!$7:$7=$F$3)*(Data_Input!$8:$8=$B247), 0)),"")</f>
        <v/>
      </c>
      <c r="I247" s="20" t="str" cm="1">
        <f t="array" ref="I247">IFERROR(INDEX(Data_Input!$A$1:$ZZ$502, MATCH("평가금액", INDEX(Data_Input!$A$1:$ZZ$502, 0, MATCH(1, (Data_Input!$7:$7=$F$3)*(Data_Input!$8:$8=$B247), 0)), 0) + 1, MATCH(1, (Data_Input!$7:$7=$F$3)*(Data_Input!$8:$8=$B247), 0)),"")</f>
        <v/>
      </c>
      <c r="J247" s="20" t="str" cm="1">
        <f t="array" ref="J247">IFERROR(INDEX(Data_Input!$A$1:$ZZ$502, MATCH("평가손익", INDEX(Data_Input!$A$1:$ZZ$502, 0, MATCH(1, (Data_Input!$7:$7=$F$3)*(Data_Input!$8:$8=$B247), 0)), 0) + 1, MATCH(1, (Data_Input!$7:$7=$F$3)*(Data_Input!$8:$8=$B247), 0)),"")</f>
        <v/>
      </c>
      <c r="K247" s="14" t="str" cm="1">
        <f t="array" ref="K247">IFERROR(INDEX(Data_Input!$A$1:$ZZ$502, MATCH("총수익률", INDEX(Data_Input!$A$1:$ZZ$502, 0, MATCH(1, (Data_Input!$7:$7=$F$3)*(Data_Input!$8:$8=$B247), 0)), 0) + 1, MATCH(1, (Data_Input!$7:$7=$F$3)*(Data_Input!$8:$8=$B247), 0)),"")</f>
        <v/>
      </c>
      <c r="L247" t="str" cm="1">
        <f t="array" ref="L247">IFERROR(_xlfn.LET(
    _xlpm.targetDate, B247,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48" spans="1:12" x14ac:dyDescent="0.3">
      <c r="A248" s="16" t="str">
        <f t="shared" si="6"/>
        <v/>
      </c>
      <c r="B248" s="19"/>
      <c r="C248" s="17" t="str">
        <f t="shared" si="7"/>
        <v/>
      </c>
      <c r="D248" s="29" t="str" cm="1">
        <f t="array" ref="D248">IFERROR(INDEX(Data_Input!$10:$10,MATCH(1,(Data_Input!$7:$7=$F$3)*(Data_Input!$8:$8=$B248),0)),"")</f>
        <v/>
      </c>
      <c r="E248" s="29" t="str" cm="1">
        <f t="array" ref="E248">IFERROR(INDEX(Data_Input!$1:$100, 9, MATCH(1, (Data_Input!$7:$7=$F$3) * (Data_Input!$8:$8=$B248), 0)),"")</f>
        <v/>
      </c>
      <c r="F248" s="20" t="str" cm="1">
        <f t="array" ref="F248">IFERROR(INDEX(Data_Input!$A$1:$ZZ$502, MATCH("예수금", INDEX(Data_Input!$A$1:$ZZ$502, 0, MATCH(1, (Data_Input!$7:$7=$F$3)*(Data_Input!$8:$8=$B248), 0)), 0) + 1, MATCH(1, (Data_Input!$7:$7=$F$3)*(Data_Input!$8:$8=$B248), 0)),"")</f>
        <v/>
      </c>
      <c r="G248" s="20" t="str" cm="1">
        <f t="array" ref="G248">IFERROR(INDEX(Data_Input!$A$1:$ZZ$502, MATCH("총자산", INDEX(Data_Input!$A$1:$ZZ$502, 0, MATCH(1, (Data_Input!$7:$7=$F$3)*(Data_Input!$8:$8=$B248), 0)), 0) + 1, MATCH(1, (Data_Input!$7:$7=$F$3)*(Data_Input!$8:$8=$B248), 0)),"")</f>
        <v/>
      </c>
      <c r="H248" s="20" t="str" cm="1">
        <f t="array" ref="H248">IFERROR(INDEX(Data_Input!$A$1:$ZZ$502, MATCH("매입금액", INDEX(Data_Input!$A$1:$ZZ$502, 0, MATCH(1, (Data_Input!$7:$7=$F$3)*(Data_Input!$8:$8=$B248), 0)), 0) + 1, MATCH(1, (Data_Input!$7:$7=$F$3)*(Data_Input!$8:$8=$B248), 0)),"")</f>
        <v/>
      </c>
      <c r="I248" s="20" t="str" cm="1">
        <f t="array" ref="I248">IFERROR(INDEX(Data_Input!$A$1:$ZZ$502, MATCH("평가금액", INDEX(Data_Input!$A$1:$ZZ$502, 0, MATCH(1, (Data_Input!$7:$7=$F$3)*(Data_Input!$8:$8=$B248), 0)), 0) + 1, MATCH(1, (Data_Input!$7:$7=$F$3)*(Data_Input!$8:$8=$B248), 0)),"")</f>
        <v/>
      </c>
      <c r="J248" s="20" t="str" cm="1">
        <f t="array" ref="J248">IFERROR(INDEX(Data_Input!$A$1:$ZZ$502, MATCH("평가손익", INDEX(Data_Input!$A$1:$ZZ$502, 0, MATCH(1, (Data_Input!$7:$7=$F$3)*(Data_Input!$8:$8=$B248), 0)), 0) + 1, MATCH(1, (Data_Input!$7:$7=$F$3)*(Data_Input!$8:$8=$B248), 0)),"")</f>
        <v/>
      </c>
      <c r="K248" s="14" t="str" cm="1">
        <f t="array" ref="K248">IFERROR(INDEX(Data_Input!$A$1:$ZZ$502, MATCH("총수익률", INDEX(Data_Input!$A$1:$ZZ$502, 0, MATCH(1, (Data_Input!$7:$7=$F$3)*(Data_Input!$8:$8=$B248), 0)), 0) + 1, MATCH(1, (Data_Input!$7:$7=$F$3)*(Data_Input!$8:$8=$B248), 0)),"")</f>
        <v/>
      </c>
      <c r="L248" t="str" cm="1">
        <f t="array" ref="L248">IFERROR(_xlfn.LET(
    _xlpm.targetDate, B248,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49" spans="1:12" x14ac:dyDescent="0.3">
      <c r="A249" s="16" t="str">
        <f t="shared" si="6"/>
        <v/>
      </c>
      <c r="B249" s="19"/>
      <c r="C249" s="17" t="str">
        <f t="shared" si="7"/>
        <v/>
      </c>
      <c r="D249" s="29" t="str" cm="1">
        <f t="array" ref="D249">IFERROR(INDEX(Data_Input!$10:$10,MATCH(1,(Data_Input!$7:$7=$F$3)*(Data_Input!$8:$8=$B249),0)),"")</f>
        <v/>
      </c>
      <c r="E249" s="29" t="str" cm="1">
        <f t="array" ref="E249">IFERROR(INDEX(Data_Input!$1:$100, 9, MATCH(1, (Data_Input!$7:$7=$F$3) * (Data_Input!$8:$8=$B249), 0)),"")</f>
        <v/>
      </c>
      <c r="F249" s="20" t="str" cm="1">
        <f t="array" ref="F249">IFERROR(INDEX(Data_Input!$A$1:$ZZ$502, MATCH("예수금", INDEX(Data_Input!$A$1:$ZZ$502, 0, MATCH(1, (Data_Input!$7:$7=$F$3)*(Data_Input!$8:$8=$B249), 0)), 0) + 1, MATCH(1, (Data_Input!$7:$7=$F$3)*(Data_Input!$8:$8=$B249), 0)),"")</f>
        <v/>
      </c>
      <c r="G249" s="20" t="str" cm="1">
        <f t="array" ref="G249">IFERROR(INDEX(Data_Input!$A$1:$ZZ$502, MATCH("총자산", INDEX(Data_Input!$A$1:$ZZ$502, 0, MATCH(1, (Data_Input!$7:$7=$F$3)*(Data_Input!$8:$8=$B249), 0)), 0) + 1, MATCH(1, (Data_Input!$7:$7=$F$3)*(Data_Input!$8:$8=$B249), 0)),"")</f>
        <v/>
      </c>
      <c r="H249" s="20" t="str" cm="1">
        <f t="array" ref="H249">IFERROR(INDEX(Data_Input!$A$1:$ZZ$502, MATCH("매입금액", INDEX(Data_Input!$A$1:$ZZ$502, 0, MATCH(1, (Data_Input!$7:$7=$F$3)*(Data_Input!$8:$8=$B249), 0)), 0) + 1, MATCH(1, (Data_Input!$7:$7=$F$3)*(Data_Input!$8:$8=$B249), 0)),"")</f>
        <v/>
      </c>
      <c r="I249" s="20" t="str" cm="1">
        <f t="array" ref="I249">IFERROR(INDEX(Data_Input!$A$1:$ZZ$502, MATCH("평가금액", INDEX(Data_Input!$A$1:$ZZ$502, 0, MATCH(1, (Data_Input!$7:$7=$F$3)*(Data_Input!$8:$8=$B249), 0)), 0) + 1, MATCH(1, (Data_Input!$7:$7=$F$3)*(Data_Input!$8:$8=$B249), 0)),"")</f>
        <v/>
      </c>
      <c r="J249" s="20" t="str" cm="1">
        <f t="array" ref="J249">IFERROR(INDEX(Data_Input!$A$1:$ZZ$502, MATCH("평가손익", INDEX(Data_Input!$A$1:$ZZ$502, 0, MATCH(1, (Data_Input!$7:$7=$F$3)*(Data_Input!$8:$8=$B249), 0)), 0) + 1, MATCH(1, (Data_Input!$7:$7=$F$3)*(Data_Input!$8:$8=$B249), 0)),"")</f>
        <v/>
      </c>
      <c r="K249" s="14" t="str" cm="1">
        <f t="array" ref="K249">IFERROR(INDEX(Data_Input!$A$1:$ZZ$502, MATCH("총수익률", INDEX(Data_Input!$A$1:$ZZ$502, 0, MATCH(1, (Data_Input!$7:$7=$F$3)*(Data_Input!$8:$8=$B249), 0)), 0) + 1, MATCH(1, (Data_Input!$7:$7=$F$3)*(Data_Input!$8:$8=$B249), 0)),"")</f>
        <v/>
      </c>
      <c r="L249" t="str" cm="1">
        <f t="array" ref="L249">IFERROR(_xlfn.LET(
    _xlpm.targetDate, B249,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50" spans="1:12" x14ac:dyDescent="0.3">
      <c r="A250" s="16" t="str">
        <f t="shared" si="6"/>
        <v/>
      </c>
      <c r="B250" s="19"/>
      <c r="C250" s="17" t="str">
        <f t="shared" si="7"/>
        <v/>
      </c>
      <c r="D250" s="29" t="str" cm="1">
        <f t="array" ref="D250">IFERROR(INDEX(Data_Input!$10:$10,MATCH(1,(Data_Input!$7:$7=$F$3)*(Data_Input!$8:$8=$B250),0)),"")</f>
        <v/>
      </c>
      <c r="E250" s="29" t="str" cm="1">
        <f t="array" ref="E250">IFERROR(INDEX(Data_Input!$1:$100, 9, MATCH(1, (Data_Input!$7:$7=$F$3) * (Data_Input!$8:$8=$B250), 0)),"")</f>
        <v/>
      </c>
      <c r="F250" s="20" t="str" cm="1">
        <f t="array" ref="F250">IFERROR(INDEX(Data_Input!$A$1:$ZZ$502, MATCH("예수금", INDEX(Data_Input!$A$1:$ZZ$502, 0, MATCH(1, (Data_Input!$7:$7=$F$3)*(Data_Input!$8:$8=$B250), 0)), 0) + 1, MATCH(1, (Data_Input!$7:$7=$F$3)*(Data_Input!$8:$8=$B250), 0)),"")</f>
        <v/>
      </c>
      <c r="G250" s="20" t="str" cm="1">
        <f t="array" ref="G250">IFERROR(INDEX(Data_Input!$A$1:$ZZ$502, MATCH("총자산", INDEX(Data_Input!$A$1:$ZZ$502, 0, MATCH(1, (Data_Input!$7:$7=$F$3)*(Data_Input!$8:$8=$B250), 0)), 0) + 1, MATCH(1, (Data_Input!$7:$7=$F$3)*(Data_Input!$8:$8=$B250), 0)),"")</f>
        <v/>
      </c>
      <c r="H250" s="20" t="str" cm="1">
        <f t="array" ref="H250">IFERROR(INDEX(Data_Input!$A$1:$ZZ$502, MATCH("매입금액", INDEX(Data_Input!$A$1:$ZZ$502, 0, MATCH(1, (Data_Input!$7:$7=$F$3)*(Data_Input!$8:$8=$B250), 0)), 0) + 1, MATCH(1, (Data_Input!$7:$7=$F$3)*(Data_Input!$8:$8=$B250), 0)),"")</f>
        <v/>
      </c>
      <c r="I250" s="20" t="str" cm="1">
        <f t="array" ref="I250">IFERROR(INDEX(Data_Input!$A$1:$ZZ$502, MATCH("평가금액", INDEX(Data_Input!$A$1:$ZZ$502, 0, MATCH(1, (Data_Input!$7:$7=$F$3)*(Data_Input!$8:$8=$B250), 0)), 0) + 1, MATCH(1, (Data_Input!$7:$7=$F$3)*(Data_Input!$8:$8=$B250), 0)),"")</f>
        <v/>
      </c>
      <c r="J250" s="20" t="str" cm="1">
        <f t="array" ref="J250">IFERROR(INDEX(Data_Input!$A$1:$ZZ$502, MATCH("평가손익", INDEX(Data_Input!$A$1:$ZZ$502, 0, MATCH(1, (Data_Input!$7:$7=$F$3)*(Data_Input!$8:$8=$B250), 0)), 0) + 1, MATCH(1, (Data_Input!$7:$7=$F$3)*(Data_Input!$8:$8=$B250), 0)),"")</f>
        <v/>
      </c>
      <c r="K250" s="14" t="str" cm="1">
        <f t="array" ref="K250">IFERROR(INDEX(Data_Input!$A$1:$ZZ$502, MATCH("총수익률", INDEX(Data_Input!$A$1:$ZZ$502, 0, MATCH(1, (Data_Input!$7:$7=$F$3)*(Data_Input!$8:$8=$B250), 0)), 0) + 1, MATCH(1, (Data_Input!$7:$7=$F$3)*(Data_Input!$8:$8=$B250), 0)),"")</f>
        <v/>
      </c>
      <c r="L250" t="str" cm="1">
        <f t="array" ref="L250">IFERROR(_xlfn.LET(
    _xlpm.targetDate, B250,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51" spans="1:12" x14ac:dyDescent="0.3">
      <c r="A251" s="16" t="str">
        <f t="shared" si="6"/>
        <v/>
      </c>
      <c r="B251" s="19"/>
      <c r="C251" s="17" t="str">
        <f t="shared" si="7"/>
        <v/>
      </c>
      <c r="D251" s="29" t="str" cm="1">
        <f t="array" ref="D251">IFERROR(INDEX(Data_Input!$10:$10,MATCH(1,(Data_Input!$7:$7=$F$3)*(Data_Input!$8:$8=$B251),0)),"")</f>
        <v/>
      </c>
      <c r="E251" s="29" t="str" cm="1">
        <f t="array" ref="E251">IFERROR(INDEX(Data_Input!$1:$100, 9, MATCH(1, (Data_Input!$7:$7=$F$3) * (Data_Input!$8:$8=$B251), 0)),"")</f>
        <v/>
      </c>
      <c r="F251" s="20" t="str" cm="1">
        <f t="array" ref="F251">IFERROR(INDEX(Data_Input!$A$1:$ZZ$502, MATCH("예수금", INDEX(Data_Input!$A$1:$ZZ$502, 0, MATCH(1, (Data_Input!$7:$7=$F$3)*(Data_Input!$8:$8=$B251), 0)), 0) + 1, MATCH(1, (Data_Input!$7:$7=$F$3)*(Data_Input!$8:$8=$B251), 0)),"")</f>
        <v/>
      </c>
      <c r="G251" s="20" t="str" cm="1">
        <f t="array" ref="G251">IFERROR(INDEX(Data_Input!$A$1:$ZZ$502, MATCH("총자산", INDEX(Data_Input!$A$1:$ZZ$502, 0, MATCH(1, (Data_Input!$7:$7=$F$3)*(Data_Input!$8:$8=$B251), 0)), 0) + 1, MATCH(1, (Data_Input!$7:$7=$F$3)*(Data_Input!$8:$8=$B251), 0)),"")</f>
        <v/>
      </c>
      <c r="H251" s="20" t="str" cm="1">
        <f t="array" ref="H251">IFERROR(INDEX(Data_Input!$A$1:$ZZ$502, MATCH("매입금액", INDEX(Data_Input!$A$1:$ZZ$502, 0, MATCH(1, (Data_Input!$7:$7=$F$3)*(Data_Input!$8:$8=$B251), 0)), 0) + 1, MATCH(1, (Data_Input!$7:$7=$F$3)*(Data_Input!$8:$8=$B251), 0)),"")</f>
        <v/>
      </c>
      <c r="I251" s="20" t="str" cm="1">
        <f t="array" ref="I251">IFERROR(INDEX(Data_Input!$A$1:$ZZ$502, MATCH("평가금액", INDEX(Data_Input!$A$1:$ZZ$502, 0, MATCH(1, (Data_Input!$7:$7=$F$3)*(Data_Input!$8:$8=$B251), 0)), 0) + 1, MATCH(1, (Data_Input!$7:$7=$F$3)*(Data_Input!$8:$8=$B251), 0)),"")</f>
        <v/>
      </c>
      <c r="J251" s="20" t="str" cm="1">
        <f t="array" ref="J251">IFERROR(INDEX(Data_Input!$A$1:$ZZ$502, MATCH("평가손익", INDEX(Data_Input!$A$1:$ZZ$502, 0, MATCH(1, (Data_Input!$7:$7=$F$3)*(Data_Input!$8:$8=$B251), 0)), 0) + 1, MATCH(1, (Data_Input!$7:$7=$F$3)*(Data_Input!$8:$8=$B251), 0)),"")</f>
        <v/>
      </c>
      <c r="K251" s="14" t="str" cm="1">
        <f t="array" ref="K251">IFERROR(INDEX(Data_Input!$A$1:$ZZ$502, MATCH("총수익률", INDEX(Data_Input!$A$1:$ZZ$502, 0, MATCH(1, (Data_Input!$7:$7=$F$3)*(Data_Input!$8:$8=$B251), 0)), 0) + 1, MATCH(1, (Data_Input!$7:$7=$F$3)*(Data_Input!$8:$8=$B251), 0)),"")</f>
        <v/>
      </c>
      <c r="L251" t="str" cm="1">
        <f t="array" ref="L251">IFERROR(_xlfn.LET(
    _xlpm.targetDate, B251,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52" spans="1:12" x14ac:dyDescent="0.3">
      <c r="A252" s="16" t="str">
        <f t="shared" si="6"/>
        <v/>
      </c>
      <c r="B252" s="19"/>
      <c r="C252" s="17" t="str">
        <f t="shared" si="7"/>
        <v/>
      </c>
      <c r="D252" s="29" t="str" cm="1">
        <f t="array" ref="D252">IFERROR(INDEX(Data_Input!$10:$10,MATCH(1,(Data_Input!$7:$7=$F$3)*(Data_Input!$8:$8=$B252),0)),"")</f>
        <v/>
      </c>
      <c r="E252" s="29" t="str" cm="1">
        <f t="array" ref="E252">IFERROR(INDEX(Data_Input!$1:$100, 9, MATCH(1, (Data_Input!$7:$7=$F$3) * (Data_Input!$8:$8=$B252), 0)),"")</f>
        <v/>
      </c>
      <c r="F252" s="20" t="str" cm="1">
        <f t="array" ref="F252">IFERROR(INDEX(Data_Input!$A$1:$ZZ$502, MATCH("예수금", INDEX(Data_Input!$A$1:$ZZ$502, 0, MATCH(1, (Data_Input!$7:$7=$F$3)*(Data_Input!$8:$8=$B252), 0)), 0) + 1, MATCH(1, (Data_Input!$7:$7=$F$3)*(Data_Input!$8:$8=$B252), 0)),"")</f>
        <v/>
      </c>
      <c r="G252" s="20" t="str" cm="1">
        <f t="array" ref="G252">IFERROR(INDEX(Data_Input!$A$1:$ZZ$502, MATCH("총자산", INDEX(Data_Input!$A$1:$ZZ$502, 0, MATCH(1, (Data_Input!$7:$7=$F$3)*(Data_Input!$8:$8=$B252), 0)), 0) + 1, MATCH(1, (Data_Input!$7:$7=$F$3)*(Data_Input!$8:$8=$B252), 0)),"")</f>
        <v/>
      </c>
      <c r="H252" s="20" t="str" cm="1">
        <f t="array" ref="H252">IFERROR(INDEX(Data_Input!$A$1:$ZZ$502, MATCH("매입금액", INDEX(Data_Input!$A$1:$ZZ$502, 0, MATCH(1, (Data_Input!$7:$7=$F$3)*(Data_Input!$8:$8=$B252), 0)), 0) + 1, MATCH(1, (Data_Input!$7:$7=$F$3)*(Data_Input!$8:$8=$B252), 0)),"")</f>
        <v/>
      </c>
      <c r="I252" s="20" t="str" cm="1">
        <f t="array" ref="I252">IFERROR(INDEX(Data_Input!$A$1:$ZZ$502, MATCH("평가금액", INDEX(Data_Input!$A$1:$ZZ$502, 0, MATCH(1, (Data_Input!$7:$7=$F$3)*(Data_Input!$8:$8=$B252), 0)), 0) + 1, MATCH(1, (Data_Input!$7:$7=$F$3)*(Data_Input!$8:$8=$B252), 0)),"")</f>
        <v/>
      </c>
      <c r="J252" s="20" t="str" cm="1">
        <f t="array" ref="J252">IFERROR(INDEX(Data_Input!$A$1:$ZZ$502, MATCH("평가손익", INDEX(Data_Input!$A$1:$ZZ$502, 0, MATCH(1, (Data_Input!$7:$7=$F$3)*(Data_Input!$8:$8=$B252), 0)), 0) + 1, MATCH(1, (Data_Input!$7:$7=$F$3)*(Data_Input!$8:$8=$B252), 0)),"")</f>
        <v/>
      </c>
      <c r="K252" s="14" t="str" cm="1">
        <f t="array" ref="K252">IFERROR(INDEX(Data_Input!$A$1:$ZZ$502, MATCH("총수익률", INDEX(Data_Input!$A$1:$ZZ$502, 0, MATCH(1, (Data_Input!$7:$7=$F$3)*(Data_Input!$8:$8=$B252), 0)), 0) + 1, MATCH(1, (Data_Input!$7:$7=$F$3)*(Data_Input!$8:$8=$B252), 0)),"")</f>
        <v/>
      </c>
      <c r="L252" t="str" cm="1">
        <f t="array" ref="L252">IFERROR(_xlfn.LET(
    _xlpm.targetDate, B252,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53" spans="1:12" x14ac:dyDescent="0.3">
      <c r="A253" s="16" t="str">
        <f t="shared" si="6"/>
        <v/>
      </c>
      <c r="B253" s="19"/>
      <c r="C253" s="17" t="str">
        <f t="shared" si="7"/>
        <v/>
      </c>
      <c r="D253" s="29" t="str" cm="1">
        <f t="array" ref="D253">IFERROR(INDEX(Data_Input!$10:$10,MATCH(1,(Data_Input!$7:$7=$F$3)*(Data_Input!$8:$8=$B253),0)),"")</f>
        <v/>
      </c>
      <c r="E253" s="29" t="str" cm="1">
        <f t="array" ref="E253">IFERROR(INDEX(Data_Input!$1:$100, 9, MATCH(1, (Data_Input!$7:$7=$F$3) * (Data_Input!$8:$8=$B253), 0)),"")</f>
        <v/>
      </c>
      <c r="F253" s="20" t="str" cm="1">
        <f t="array" ref="F253">IFERROR(INDEX(Data_Input!$A$1:$ZZ$502, MATCH("예수금", INDEX(Data_Input!$A$1:$ZZ$502, 0, MATCH(1, (Data_Input!$7:$7=$F$3)*(Data_Input!$8:$8=$B253), 0)), 0) + 1, MATCH(1, (Data_Input!$7:$7=$F$3)*(Data_Input!$8:$8=$B253), 0)),"")</f>
        <v/>
      </c>
      <c r="G253" s="20" t="str" cm="1">
        <f t="array" ref="G253">IFERROR(INDEX(Data_Input!$A$1:$ZZ$502, MATCH("총자산", INDEX(Data_Input!$A$1:$ZZ$502, 0, MATCH(1, (Data_Input!$7:$7=$F$3)*(Data_Input!$8:$8=$B253), 0)), 0) + 1, MATCH(1, (Data_Input!$7:$7=$F$3)*(Data_Input!$8:$8=$B253), 0)),"")</f>
        <v/>
      </c>
      <c r="H253" s="20" t="str" cm="1">
        <f t="array" ref="H253">IFERROR(INDEX(Data_Input!$A$1:$ZZ$502, MATCH("매입금액", INDEX(Data_Input!$A$1:$ZZ$502, 0, MATCH(1, (Data_Input!$7:$7=$F$3)*(Data_Input!$8:$8=$B253), 0)), 0) + 1, MATCH(1, (Data_Input!$7:$7=$F$3)*(Data_Input!$8:$8=$B253), 0)),"")</f>
        <v/>
      </c>
      <c r="I253" s="20" t="str" cm="1">
        <f t="array" ref="I253">IFERROR(INDEX(Data_Input!$A$1:$ZZ$502, MATCH("평가금액", INDEX(Data_Input!$A$1:$ZZ$502, 0, MATCH(1, (Data_Input!$7:$7=$F$3)*(Data_Input!$8:$8=$B253), 0)), 0) + 1, MATCH(1, (Data_Input!$7:$7=$F$3)*(Data_Input!$8:$8=$B253), 0)),"")</f>
        <v/>
      </c>
      <c r="J253" s="20" t="str" cm="1">
        <f t="array" ref="J253">IFERROR(INDEX(Data_Input!$A$1:$ZZ$502, MATCH("평가손익", INDEX(Data_Input!$A$1:$ZZ$502, 0, MATCH(1, (Data_Input!$7:$7=$F$3)*(Data_Input!$8:$8=$B253), 0)), 0) + 1, MATCH(1, (Data_Input!$7:$7=$F$3)*(Data_Input!$8:$8=$B253), 0)),"")</f>
        <v/>
      </c>
      <c r="K253" s="14" t="str" cm="1">
        <f t="array" ref="K253">IFERROR(INDEX(Data_Input!$A$1:$ZZ$502, MATCH("총수익률", INDEX(Data_Input!$A$1:$ZZ$502, 0, MATCH(1, (Data_Input!$7:$7=$F$3)*(Data_Input!$8:$8=$B253), 0)), 0) + 1, MATCH(1, (Data_Input!$7:$7=$F$3)*(Data_Input!$8:$8=$B253), 0)),"")</f>
        <v/>
      </c>
      <c r="L253" t="str" cm="1">
        <f t="array" ref="L253">IFERROR(_xlfn.LET(
    _xlpm.targetDate, B253,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54" spans="1:12" x14ac:dyDescent="0.3">
      <c r="A254" s="16" t="str">
        <f t="shared" si="6"/>
        <v/>
      </c>
      <c r="B254" s="19"/>
      <c r="C254" s="17" t="str">
        <f t="shared" si="7"/>
        <v/>
      </c>
      <c r="D254" s="29" t="str" cm="1">
        <f t="array" ref="D254">IFERROR(INDEX(Data_Input!$10:$10,MATCH(1,(Data_Input!$7:$7=$F$3)*(Data_Input!$8:$8=$B254),0)),"")</f>
        <v/>
      </c>
      <c r="E254" s="29" t="str" cm="1">
        <f t="array" ref="E254">IFERROR(INDEX(Data_Input!$1:$100, 9, MATCH(1, (Data_Input!$7:$7=$F$3) * (Data_Input!$8:$8=$B254), 0)),"")</f>
        <v/>
      </c>
      <c r="F254" s="20" t="str" cm="1">
        <f t="array" ref="F254">IFERROR(INDEX(Data_Input!$A$1:$ZZ$502, MATCH("예수금", INDEX(Data_Input!$A$1:$ZZ$502, 0, MATCH(1, (Data_Input!$7:$7=$F$3)*(Data_Input!$8:$8=$B254), 0)), 0) + 1, MATCH(1, (Data_Input!$7:$7=$F$3)*(Data_Input!$8:$8=$B254), 0)),"")</f>
        <v/>
      </c>
      <c r="G254" s="20" t="str" cm="1">
        <f t="array" ref="G254">IFERROR(INDEX(Data_Input!$A$1:$ZZ$502, MATCH("총자산", INDEX(Data_Input!$A$1:$ZZ$502, 0, MATCH(1, (Data_Input!$7:$7=$F$3)*(Data_Input!$8:$8=$B254), 0)), 0) + 1, MATCH(1, (Data_Input!$7:$7=$F$3)*(Data_Input!$8:$8=$B254), 0)),"")</f>
        <v/>
      </c>
      <c r="H254" s="20" t="str" cm="1">
        <f t="array" ref="H254">IFERROR(INDEX(Data_Input!$A$1:$ZZ$502, MATCH("매입금액", INDEX(Data_Input!$A$1:$ZZ$502, 0, MATCH(1, (Data_Input!$7:$7=$F$3)*(Data_Input!$8:$8=$B254), 0)), 0) + 1, MATCH(1, (Data_Input!$7:$7=$F$3)*(Data_Input!$8:$8=$B254), 0)),"")</f>
        <v/>
      </c>
      <c r="I254" s="20" t="str" cm="1">
        <f t="array" ref="I254">IFERROR(INDEX(Data_Input!$A$1:$ZZ$502, MATCH("평가금액", INDEX(Data_Input!$A$1:$ZZ$502, 0, MATCH(1, (Data_Input!$7:$7=$F$3)*(Data_Input!$8:$8=$B254), 0)), 0) + 1, MATCH(1, (Data_Input!$7:$7=$F$3)*(Data_Input!$8:$8=$B254), 0)),"")</f>
        <v/>
      </c>
      <c r="J254" s="20" t="str" cm="1">
        <f t="array" ref="J254">IFERROR(INDEX(Data_Input!$A$1:$ZZ$502, MATCH("평가손익", INDEX(Data_Input!$A$1:$ZZ$502, 0, MATCH(1, (Data_Input!$7:$7=$F$3)*(Data_Input!$8:$8=$B254), 0)), 0) + 1, MATCH(1, (Data_Input!$7:$7=$F$3)*(Data_Input!$8:$8=$B254), 0)),"")</f>
        <v/>
      </c>
      <c r="K254" s="14" t="str" cm="1">
        <f t="array" ref="K254">IFERROR(INDEX(Data_Input!$A$1:$ZZ$502, MATCH("총수익률", INDEX(Data_Input!$A$1:$ZZ$502, 0, MATCH(1, (Data_Input!$7:$7=$F$3)*(Data_Input!$8:$8=$B254), 0)), 0) + 1, MATCH(1, (Data_Input!$7:$7=$F$3)*(Data_Input!$8:$8=$B254), 0)),"")</f>
        <v/>
      </c>
      <c r="L254" t="str" cm="1">
        <f t="array" ref="L254">IFERROR(_xlfn.LET(
    _xlpm.targetDate, B254,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55" spans="1:12" x14ac:dyDescent="0.3">
      <c r="A255" s="16" t="str">
        <f t="shared" si="6"/>
        <v/>
      </c>
      <c r="B255" s="19"/>
      <c r="C255" s="17" t="str">
        <f t="shared" si="7"/>
        <v/>
      </c>
      <c r="D255" s="29" t="str" cm="1">
        <f t="array" ref="D255">IFERROR(INDEX(Data_Input!$10:$10,MATCH(1,(Data_Input!$7:$7=$F$3)*(Data_Input!$8:$8=$B255),0)),"")</f>
        <v/>
      </c>
      <c r="E255" s="29" t="str" cm="1">
        <f t="array" ref="E255">IFERROR(INDEX(Data_Input!$1:$100, 9, MATCH(1, (Data_Input!$7:$7=$F$3) * (Data_Input!$8:$8=$B255), 0)),"")</f>
        <v/>
      </c>
      <c r="F255" s="20" t="str" cm="1">
        <f t="array" ref="F255">IFERROR(INDEX(Data_Input!$A$1:$ZZ$502, MATCH("예수금", INDEX(Data_Input!$A$1:$ZZ$502, 0, MATCH(1, (Data_Input!$7:$7=$F$3)*(Data_Input!$8:$8=$B255), 0)), 0) + 1, MATCH(1, (Data_Input!$7:$7=$F$3)*(Data_Input!$8:$8=$B255), 0)),"")</f>
        <v/>
      </c>
      <c r="G255" s="20" t="str" cm="1">
        <f t="array" ref="G255">IFERROR(INDEX(Data_Input!$A$1:$ZZ$502, MATCH("총자산", INDEX(Data_Input!$A$1:$ZZ$502, 0, MATCH(1, (Data_Input!$7:$7=$F$3)*(Data_Input!$8:$8=$B255), 0)), 0) + 1, MATCH(1, (Data_Input!$7:$7=$F$3)*(Data_Input!$8:$8=$B255), 0)),"")</f>
        <v/>
      </c>
      <c r="H255" s="20" t="str" cm="1">
        <f t="array" ref="H255">IFERROR(INDEX(Data_Input!$A$1:$ZZ$502, MATCH("매입금액", INDEX(Data_Input!$A$1:$ZZ$502, 0, MATCH(1, (Data_Input!$7:$7=$F$3)*(Data_Input!$8:$8=$B255), 0)), 0) + 1, MATCH(1, (Data_Input!$7:$7=$F$3)*(Data_Input!$8:$8=$B255), 0)),"")</f>
        <v/>
      </c>
      <c r="I255" s="20" t="str" cm="1">
        <f t="array" ref="I255">IFERROR(INDEX(Data_Input!$A$1:$ZZ$502, MATCH("평가금액", INDEX(Data_Input!$A$1:$ZZ$502, 0, MATCH(1, (Data_Input!$7:$7=$F$3)*(Data_Input!$8:$8=$B255), 0)), 0) + 1, MATCH(1, (Data_Input!$7:$7=$F$3)*(Data_Input!$8:$8=$B255), 0)),"")</f>
        <v/>
      </c>
      <c r="J255" s="20" t="str" cm="1">
        <f t="array" ref="J255">IFERROR(INDEX(Data_Input!$A$1:$ZZ$502, MATCH("평가손익", INDEX(Data_Input!$A$1:$ZZ$502, 0, MATCH(1, (Data_Input!$7:$7=$F$3)*(Data_Input!$8:$8=$B255), 0)), 0) + 1, MATCH(1, (Data_Input!$7:$7=$F$3)*(Data_Input!$8:$8=$B255), 0)),"")</f>
        <v/>
      </c>
      <c r="K255" s="14" t="str" cm="1">
        <f t="array" ref="K255">IFERROR(INDEX(Data_Input!$A$1:$ZZ$502, MATCH("총수익률", INDEX(Data_Input!$A$1:$ZZ$502, 0, MATCH(1, (Data_Input!$7:$7=$F$3)*(Data_Input!$8:$8=$B255), 0)), 0) + 1, MATCH(1, (Data_Input!$7:$7=$F$3)*(Data_Input!$8:$8=$B255), 0)),"")</f>
        <v/>
      </c>
      <c r="L255" t="str" cm="1">
        <f t="array" ref="L255">IFERROR(_xlfn.LET(
    _xlpm.targetDate, B255,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56" spans="1:12" x14ac:dyDescent="0.3">
      <c r="A256" s="16" t="str">
        <f t="shared" si="6"/>
        <v/>
      </c>
      <c r="B256" s="19"/>
      <c r="C256" s="17" t="str">
        <f t="shared" si="7"/>
        <v/>
      </c>
      <c r="D256" s="29" t="str" cm="1">
        <f t="array" ref="D256">IFERROR(INDEX(Data_Input!$10:$10,MATCH(1,(Data_Input!$7:$7=$F$3)*(Data_Input!$8:$8=$B256),0)),"")</f>
        <v/>
      </c>
      <c r="E256" s="29" t="str" cm="1">
        <f t="array" ref="E256">IFERROR(INDEX(Data_Input!$1:$100, 9, MATCH(1, (Data_Input!$7:$7=$F$3) * (Data_Input!$8:$8=$B256), 0)),"")</f>
        <v/>
      </c>
      <c r="F256" s="20" t="str" cm="1">
        <f t="array" ref="F256">IFERROR(INDEX(Data_Input!$A$1:$ZZ$502, MATCH("예수금", INDEX(Data_Input!$A$1:$ZZ$502, 0, MATCH(1, (Data_Input!$7:$7=$F$3)*(Data_Input!$8:$8=$B256), 0)), 0) + 1, MATCH(1, (Data_Input!$7:$7=$F$3)*(Data_Input!$8:$8=$B256), 0)),"")</f>
        <v/>
      </c>
      <c r="G256" s="20" t="str" cm="1">
        <f t="array" ref="G256">IFERROR(INDEX(Data_Input!$A$1:$ZZ$502, MATCH("총자산", INDEX(Data_Input!$A$1:$ZZ$502, 0, MATCH(1, (Data_Input!$7:$7=$F$3)*(Data_Input!$8:$8=$B256), 0)), 0) + 1, MATCH(1, (Data_Input!$7:$7=$F$3)*(Data_Input!$8:$8=$B256), 0)),"")</f>
        <v/>
      </c>
      <c r="H256" s="20" t="str" cm="1">
        <f t="array" ref="H256">IFERROR(INDEX(Data_Input!$A$1:$ZZ$502, MATCH("매입금액", INDEX(Data_Input!$A$1:$ZZ$502, 0, MATCH(1, (Data_Input!$7:$7=$F$3)*(Data_Input!$8:$8=$B256), 0)), 0) + 1, MATCH(1, (Data_Input!$7:$7=$F$3)*(Data_Input!$8:$8=$B256), 0)),"")</f>
        <v/>
      </c>
      <c r="I256" s="20" t="str" cm="1">
        <f t="array" ref="I256">IFERROR(INDEX(Data_Input!$A$1:$ZZ$502, MATCH("평가금액", INDEX(Data_Input!$A$1:$ZZ$502, 0, MATCH(1, (Data_Input!$7:$7=$F$3)*(Data_Input!$8:$8=$B256), 0)), 0) + 1, MATCH(1, (Data_Input!$7:$7=$F$3)*(Data_Input!$8:$8=$B256), 0)),"")</f>
        <v/>
      </c>
      <c r="J256" s="20" t="str" cm="1">
        <f t="array" ref="J256">IFERROR(INDEX(Data_Input!$A$1:$ZZ$502, MATCH("평가손익", INDEX(Data_Input!$A$1:$ZZ$502, 0, MATCH(1, (Data_Input!$7:$7=$F$3)*(Data_Input!$8:$8=$B256), 0)), 0) + 1, MATCH(1, (Data_Input!$7:$7=$F$3)*(Data_Input!$8:$8=$B256), 0)),"")</f>
        <v/>
      </c>
      <c r="K256" s="14" t="str" cm="1">
        <f t="array" ref="K256">IFERROR(INDEX(Data_Input!$A$1:$ZZ$502, MATCH("총수익률", INDEX(Data_Input!$A$1:$ZZ$502, 0, MATCH(1, (Data_Input!$7:$7=$F$3)*(Data_Input!$8:$8=$B256), 0)), 0) + 1, MATCH(1, (Data_Input!$7:$7=$F$3)*(Data_Input!$8:$8=$B256), 0)),"")</f>
        <v/>
      </c>
      <c r="L256" t="str" cm="1">
        <f t="array" ref="L256">IFERROR(_xlfn.LET(
    _xlpm.targetDate, B256,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57" spans="1:12" x14ac:dyDescent="0.3">
      <c r="A257" s="16" t="str">
        <f t="shared" si="6"/>
        <v/>
      </c>
      <c r="B257" s="19"/>
      <c r="C257" s="17" t="str">
        <f t="shared" si="7"/>
        <v/>
      </c>
      <c r="D257" s="29" t="str" cm="1">
        <f t="array" ref="D257">IFERROR(INDEX(Data_Input!$10:$10,MATCH(1,(Data_Input!$7:$7=$F$3)*(Data_Input!$8:$8=$B257),0)),"")</f>
        <v/>
      </c>
      <c r="E257" s="29" t="str" cm="1">
        <f t="array" ref="E257">IFERROR(INDEX(Data_Input!$1:$100, 9, MATCH(1, (Data_Input!$7:$7=$F$3) * (Data_Input!$8:$8=$B257), 0)),"")</f>
        <v/>
      </c>
      <c r="F257" s="20" t="str" cm="1">
        <f t="array" ref="F257">IFERROR(INDEX(Data_Input!$A$1:$ZZ$502, MATCH("예수금", INDEX(Data_Input!$A$1:$ZZ$502, 0, MATCH(1, (Data_Input!$7:$7=$F$3)*(Data_Input!$8:$8=$B257), 0)), 0) + 1, MATCH(1, (Data_Input!$7:$7=$F$3)*(Data_Input!$8:$8=$B257), 0)),"")</f>
        <v/>
      </c>
      <c r="G257" s="20" t="str" cm="1">
        <f t="array" ref="G257">IFERROR(INDEX(Data_Input!$A$1:$ZZ$502, MATCH("총자산", INDEX(Data_Input!$A$1:$ZZ$502, 0, MATCH(1, (Data_Input!$7:$7=$F$3)*(Data_Input!$8:$8=$B257), 0)), 0) + 1, MATCH(1, (Data_Input!$7:$7=$F$3)*(Data_Input!$8:$8=$B257), 0)),"")</f>
        <v/>
      </c>
      <c r="H257" s="20" t="str" cm="1">
        <f t="array" ref="H257">IFERROR(INDEX(Data_Input!$A$1:$ZZ$502, MATCH("매입금액", INDEX(Data_Input!$A$1:$ZZ$502, 0, MATCH(1, (Data_Input!$7:$7=$F$3)*(Data_Input!$8:$8=$B257), 0)), 0) + 1, MATCH(1, (Data_Input!$7:$7=$F$3)*(Data_Input!$8:$8=$B257), 0)),"")</f>
        <v/>
      </c>
      <c r="I257" s="20" t="str" cm="1">
        <f t="array" ref="I257">IFERROR(INDEX(Data_Input!$A$1:$ZZ$502, MATCH("평가금액", INDEX(Data_Input!$A$1:$ZZ$502, 0, MATCH(1, (Data_Input!$7:$7=$F$3)*(Data_Input!$8:$8=$B257), 0)), 0) + 1, MATCH(1, (Data_Input!$7:$7=$F$3)*(Data_Input!$8:$8=$B257), 0)),"")</f>
        <v/>
      </c>
      <c r="J257" s="20" t="str" cm="1">
        <f t="array" ref="J257">IFERROR(INDEX(Data_Input!$A$1:$ZZ$502, MATCH("평가손익", INDEX(Data_Input!$A$1:$ZZ$502, 0, MATCH(1, (Data_Input!$7:$7=$F$3)*(Data_Input!$8:$8=$B257), 0)), 0) + 1, MATCH(1, (Data_Input!$7:$7=$F$3)*(Data_Input!$8:$8=$B257), 0)),"")</f>
        <v/>
      </c>
      <c r="K257" s="14" t="str" cm="1">
        <f t="array" ref="K257">IFERROR(INDEX(Data_Input!$A$1:$ZZ$502, MATCH("총수익률", INDEX(Data_Input!$A$1:$ZZ$502, 0, MATCH(1, (Data_Input!$7:$7=$F$3)*(Data_Input!$8:$8=$B257), 0)), 0) + 1, MATCH(1, (Data_Input!$7:$7=$F$3)*(Data_Input!$8:$8=$B257), 0)),"")</f>
        <v/>
      </c>
      <c r="L257" t="str" cm="1">
        <f t="array" ref="L257">IFERROR(_xlfn.LET(
    _xlpm.targetDate, B257,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58" spans="1:12" x14ac:dyDescent="0.3">
      <c r="A258" s="16" t="str">
        <f t="shared" si="6"/>
        <v/>
      </c>
      <c r="B258" s="19"/>
      <c r="C258" s="17" t="str">
        <f t="shared" si="7"/>
        <v/>
      </c>
      <c r="D258" s="29" t="str" cm="1">
        <f t="array" ref="D258">IFERROR(INDEX(Data_Input!$10:$10,MATCH(1,(Data_Input!$7:$7=$F$3)*(Data_Input!$8:$8=$B258),0)),"")</f>
        <v/>
      </c>
      <c r="E258" s="29" t="str" cm="1">
        <f t="array" ref="E258">IFERROR(INDEX(Data_Input!$1:$100, 9, MATCH(1, (Data_Input!$7:$7=$F$3) * (Data_Input!$8:$8=$B258), 0)),"")</f>
        <v/>
      </c>
      <c r="F258" s="20" t="str" cm="1">
        <f t="array" ref="F258">IFERROR(INDEX(Data_Input!$A$1:$ZZ$502, MATCH("예수금", INDEX(Data_Input!$A$1:$ZZ$502, 0, MATCH(1, (Data_Input!$7:$7=$F$3)*(Data_Input!$8:$8=$B258), 0)), 0) + 1, MATCH(1, (Data_Input!$7:$7=$F$3)*(Data_Input!$8:$8=$B258), 0)),"")</f>
        <v/>
      </c>
      <c r="G258" s="20" t="str" cm="1">
        <f t="array" ref="G258">IFERROR(INDEX(Data_Input!$A$1:$ZZ$502, MATCH("총자산", INDEX(Data_Input!$A$1:$ZZ$502, 0, MATCH(1, (Data_Input!$7:$7=$F$3)*(Data_Input!$8:$8=$B258), 0)), 0) + 1, MATCH(1, (Data_Input!$7:$7=$F$3)*(Data_Input!$8:$8=$B258), 0)),"")</f>
        <v/>
      </c>
      <c r="H258" s="20" t="str" cm="1">
        <f t="array" ref="H258">IFERROR(INDEX(Data_Input!$A$1:$ZZ$502, MATCH("매입금액", INDEX(Data_Input!$A$1:$ZZ$502, 0, MATCH(1, (Data_Input!$7:$7=$F$3)*(Data_Input!$8:$8=$B258), 0)), 0) + 1, MATCH(1, (Data_Input!$7:$7=$F$3)*(Data_Input!$8:$8=$B258), 0)),"")</f>
        <v/>
      </c>
      <c r="I258" s="20" t="str" cm="1">
        <f t="array" ref="I258">IFERROR(INDEX(Data_Input!$A$1:$ZZ$502, MATCH("평가금액", INDEX(Data_Input!$A$1:$ZZ$502, 0, MATCH(1, (Data_Input!$7:$7=$F$3)*(Data_Input!$8:$8=$B258), 0)), 0) + 1, MATCH(1, (Data_Input!$7:$7=$F$3)*(Data_Input!$8:$8=$B258), 0)),"")</f>
        <v/>
      </c>
      <c r="J258" s="20" t="str" cm="1">
        <f t="array" ref="J258">IFERROR(INDEX(Data_Input!$A$1:$ZZ$502, MATCH("평가손익", INDEX(Data_Input!$A$1:$ZZ$502, 0, MATCH(1, (Data_Input!$7:$7=$F$3)*(Data_Input!$8:$8=$B258), 0)), 0) + 1, MATCH(1, (Data_Input!$7:$7=$F$3)*(Data_Input!$8:$8=$B258), 0)),"")</f>
        <v/>
      </c>
      <c r="K258" s="14" t="str" cm="1">
        <f t="array" ref="K258">IFERROR(INDEX(Data_Input!$A$1:$ZZ$502, MATCH("총수익률", INDEX(Data_Input!$A$1:$ZZ$502, 0, MATCH(1, (Data_Input!$7:$7=$F$3)*(Data_Input!$8:$8=$B258), 0)), 0) + 1, MATCH(1, (Data_Input!$7:$7=$F$3)*(Data_Input!$8:$8=$B258), 0)),"")</f>
        <v/>
      </c>
      <c r="L258" t="str" cm="1">
        <f t="array" ref="L258">IFERROR(_xlfn.LET(
    _xlpm.targetDate, B258,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59" spans="1:12" x14ac:dyDescent="0.3">
      <c r="A259" s="16" t="str">
        <f t="shared" si="6"/>
        <v/>
      </c>
      <c r="B259" s="19"/>
      <c r="C259" s="17" t="str">
        <f t="shared" si="7"/>
        <v/>
      </c>
      <c r="D259" s="29" t="str" cm="1">
        <f t="array" ref="D259">IFERROR(INDEX(Data_Input!$10:$10,MATCH(1,(Data_Input!$7:$7=$F$3)*(Data_Input!$8:$8=$B259),0)),"")</f>
        <v/>
      </c>
      <c r="E259" s="29" t="str" cm="1">
        <f t="array" ref="E259">IFERROR(INDEX(Data_Input!$1:$100, 9, MATCH(1, (Data_Input!$7:$7=$F$3) * (Data_Input!$8:$8=$B259), 0)),"")</f>
        <v/>
      </c>
      <c r="F259" s="20" t="str" cm="1">
        <f t="array" ref="F259">IFERROR(INDEX(Data_Input!$A$1:$ZZ$502, MATCH("예수금", INDEX(Data_Input!$A$1:$ZZ$502, 0, MATCH(1, (Data_Input!$7:$7=$F$3)*(Data_Input!$8:$8=$B259), 0)), 0) + 1, MATCH(1, (Data_Input!$7:$7=$F$3)*(Data_Input!$8:$8=$B259), 0)),"")</f>
        <v/>
      </c>
      <c r="G259" s="20" t="str" cm="1">
        <f t="array" ref="G259">IFERROR(INDEX(Data_Input!$A$1:$ZZ$502, MATCH("총자산", INDEX(Data_Input!$A$1:$ZZ$502, 0, MATCH(1, (Data_Input!$7:$7=$F$3)*(Data_Input!$8:$8=$B259), 0)), 0) + 1, MATCH(1, (Data_Input!$7:$7=$F$3)*(Data_Input!$8:$8=$B259), 0)),"")</f>
        <v/>
      </c>
      <c r="H259" s="20" t="str" cm="1">
        <f t="array" ref="H259">IFERROR(INDEX(Data_Input!$A$1:$ZZ$502, MATCH("매입금액", INDEX(Data_Input!$A$1:$ZZ$502, 0, MATCH(1, (Data_Input!$7:$7=$F$3)*(Data_Input!$8:$8=$B259), 0)), 0) + 1, MATCH(1, (Data_Input!$7:$7=$F$3)*(Data_Input!$8:$8=$B259), 0)),"")</f>
        <v/>
      </c>
      <c r="I259" s="20" t="str" cm="1">
        <f t="array" ref="I259">IFERROR(INDEX(Data_Input!$A$1:$ZZ$502, MATCH("평가금액", INDEX(Data_Input!$A$1:$ZZ$502, 0, MATCH(1, (Data_Input!$7:$7=$F$3)*(Data_Input!$8:$8=$B259), 0)), 0) + 1, MATCH(1, (Data_Input!$7:$7=$F$3)*(Data_Input!$8:$8=$B259), 0)),"")</f>
        <v/>
      </c>
      <c r="J259" s="20" t="str" cm="1">
        <f t="array" ref="J259">IFERROR(INDEX(Data_Input!$A$1:$ZZ$502, MATCH("평가손익", INDEX(Data_Input!$A$1:$ZZ$502, 0, MATCH(1, (Data_Input!$7:$7=$F$3)*(Data_Input!$8:$8=$B259), 0)), 0) + 1, MATCH(1, (Data_Input!$7:$7=$F$3)*(Data_Input!$8:$8=$B259), 0)),"")</f>
        <v/>
      </c>
      <c r="K259" s="14" t="str" cm="1">
        <f t="array" ref="K259">IFERROR(INDEX(Data_Input!$A$1:$ZZ$502, MATCH("총수익률", INDEX(Data_Input!$A$1:$ZZ$502, 0, MATCH(1, (Data_Input!$7:$7=$F$3)*(Data_Input!$8:$8=$B259), 0)), 0) + 1, MATCH(1, (Data_Input!$7:$7=$F$3)*(Data_Input!$8:$8=$B259), 0)),"")</f>
        <v/>
      </c>
      <c r="L259" t="str" cm="1">
        <f t="array" ref="L259">IFERROR(_xlfn.LET(
    _xlpm.targetDate, B259,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60" spans="1:12" x14ac:dyDescent="0.3">
      <c r="A260" s="16" t="str">
        <f t="shared" si="6"/>
        <v/>
      </c>
      <c r="B260" s="19"/>
      <c r="C260" s="17" t="str">
        <f t="shared" si="7"/>
        <v/>
      </c>
      <c r="D260" s="29" t="str" cm="1">
        <f t="array" ref="D260">IFERROR(INDEX(Data_Input!$10:$10,MATCH(1,(Data_Input!$7:$7=$F$3)*(Data_Input!$8:$8=$B260),0)),"")</f>
        <v/>
      </c>
      <c r="E260" s="29" t="str" cm="1">
        <f t="array" ref="E260">IFERROR(INDEX(Data_Input!$1:$100, 9, MATCH(1, (Data_Input!$7:$7=$F$3) * (Data_Input!$8:$8=$B260), 0)),"")</f>
        <v/>
      </c>
      <c r="F260" s="20" t="str" cm="1">
        <f t="array" ref="F260">IFERROR(INDEX(Data_Input!$A$1:$ZZ$502, MATCH("예수금", INDEX(Data_Input!$A$1:$ZZ$502, 0, MATCH(1, (Data_Input!$7:$7=$F$3)*(Data_Input!$8:$8=$B260), 0)), 0) + 1, MATCH(1, (Data_Input!$7:$7=$F$3)*(Data_Input!$8:$8=$B260), 0)),"")</f>
        <v/>
      </c>
      <c r="G260" s="20" t="str" cm="1">
        <f t="array" ref="G260">IFERROR(INDEX(Data_Input!$A$1:$ZZ$502, MATCH("총자산", INDEX(Data_Input!$A$1:$ZZ$502, 0, MATCH(1, (Data_Input!$7:$7=$F$3)*(Data_Input!$8:$8=$B260), 0)), 0) + 1, MATCH(1, (Data_Input!$7:$7=$F$3)*(Data_Input!$8:$8=$B260), 0)),"")</f>
        <v/>
      </c>
      <c r="H260" s="20" t="str" cm="1">
        <f t="array" ref="H260">IFERROR(INDEX(Data_Input!$A$1:$ZZ$502, MATCH("매입금액", INDEX(Data_Input!$A$1:$ZZ$502, 0, MATCH(1, (Data_Input!$7:$7=$F$3)*(Data_Input!$8:$8=$B260), 0)), 0) + 1, MATCH(1, (Data_Input!$7:$7=$F$3)*(Data_Input!$8:$8=$B260), 0)),"")</f>
        <v/>
      </c>
      <c r="I260" s="20" t="str" cm="1">
        <f t="array" ref="I260">IFERROR(INDEX(Data_Input!$A$1:$ZZ$502, MATCH("평가금액", INDEX(Data_Input!$A$1:$ZZ$502, 0, MATCH(1, (Data_Input!$7:$7=$F$3)*(Data_Input!$8:$8=$B260), 0)), 0) + 1, MATCH(1, (Data_Input!$7:$7=$F$3)*(Data_Input!$8:$8=$B260), 0)),"")</f>
        <v/>
      </c>
      <c r="J260" s="20" t="str" cm="1">
        <f t="array" ref="J260">IFERROR(INDEX(Data_Input!$A$1:$ZZ$502, MATCH("평가손익", INDEX(Data_Input!$A$1:$ZZ$502, 0, MATCH(1, (Data_Input!$7:$7=$F$3)*(Data_Input!$8:$8=$B260), 0)), 0) + 1, MATCH(1, (Data_Input!$7:$7=$F$3)*(Data_Input!$8:$8=$B260), 0)),"")</f>
        <v/>
      </c>
      <c r="K260" s="14" t="str" cm="1">
        <f t="array" ref="K260">IFERROR(INDEX(Data_Input!$A$1:$ZZ$502, MATCH("총수익률", INDEX(Data_Input!$A$1:$ZZ$502, 0, MATCH(1, (Data_Input!$7:$7=$F$3)*(Data_Input!$8:$8=$B260), 0)), 0) + 1, MATCH(1, (Data_Input!$7:$7=$F$3)*(Data_Input!$8:$8=$B260), 0)),"")</f>
        <v/>
      </c>
      <c r="L260" t="str" cm="1">
        <f t="array" ref="L260">IFERROR(_xlfn.LET(
    _xlpm.targetDate, B260,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61" spans="1:12" x14ac:dyDescent="0.3">
      <c r="A261" s="16" t="str">
        <f t="shared" si="6"/>
        <v/>
      </c>
      <c r="B261" s="19"/>
      <c r="C261" s="17" t="str">
        <f t="shared" si="7"/>
        <v/>
      </c>
      <c r="D261" s="29" t="str" cm="1">
        <f t="array" ref="D261">IFERROR(INDEX(Data_Input!$10:$10,MATCH(1,(Data_Input!$7:$7=$F$3)*(Data_Input!$8:$8=$B261),0)),"")</f>
        <v/>
      </c>
      <c r="E261" s="29" t="str" cm="1">
        <f t="array" ref="E261">IFERROR(INDEX(Data_Input!$1:$100, 9, MATCH(1, (Data_Input!$7:$7=$F$3) * (Data_Input!$8:$8=$B261), 0)),"")</f>
        <v/>
      </c>
      <c r="F261" s="20" t="str" cm="1">
        <f t="array" ref="F261">IFERROR(INDEX(Data_Input!$A$1:$ZZ$502, MATCH("예수금", INDEX(Data_Input!$A$1:$ZZ$502, 0, MATCH(1, (Data_Input!$7:$7=$F$3)*(Data_Input!$8:$8=$B261), 0)), 0) + 1, MATCH(1, (Data_Input!$7:$7=$F$3)*(Data_Input!$8:$8=$B261), 0)),"")</f>
        <v/>
      </c>
      <c r="G261" s="20" t="str" cm="1">
        <f t="array" ref="G261">IFERROR(INDEX(Data_Input!$A$1:$ZZ$502, MATCH("총자산", INDEX(Data_Input!$A$1:$ZZ$502, 0, MATCH(1, (Data_Input!$7:$7=$F$3)*(Data_Input!$8:$8=$B261), 0)), 0) + 1, MATCH(1, (Data_Input!$7:$7=$F$3)*(Data_Input!$8:$8=$B261), 0)),"")</f>
        <v/>
      </c>
      <c r="H261" s="20" t="str" cm="1">
        <f t="array" ref="H261">IFERROR(INDEX(Data_Input!$A$1:$ZZ$502, MATCH("매입금액", INDEX(Data_Input!$A$1:$ZZ$502, 0, MATCH(1, (Data_Input!$7:$7=$F$3)*(Data_Input!$8:$8=$B261), 0)), 0) + 1, MATCH(1, (Data_Input!$7:$7=$F$3)*(Data_Input!$8:$8=$B261), 0)),"")</f>
        <v/>
      </c>
      <c r="I261" s="20" t="str" cm="1">
        <f t="array" ref="I261">IFERROR(INDEX(Data_Input!$A$1:$ZZ$502, MATCH("평가금액", INDEX(Data_Input!$A$1:$ZZ$502, 0, MATCH(1, (Data_Input!$7:$7=$F$3)*(Data_Input!$8:$8=$B261), 0)), 0) + 1, MATCH(1, (Data_Input!$7:$7=$F$3)*(Data_Input!$8:$8=$B261), 0)),"")</f>
        <v/>
      </c>
      <c r="J261" s="20" t="str" cm="1">
        <f t="array" ref="J261">IFERROR(INDEX(Data_Input!$A$1:$ZZ$502, MATCH("평가손익", INDEX(Data_Input!$A$1:$ZZ$502, 0, MATCH(1, (Data_Input!$7:$7=$F$3)*(Data_Input!$8:$8=$B261), 0)), 0) + 1, MATCH(1, (Data_Input!$7:$7=$F$3)*(Data_Input!$8:$8=$B261), 0)),"")</f>
        <v/>
      </c>
      <c r="K261" s="14" t="str" cm="1">
        <f t="array" ref="K261">IFERROR(INDEX(Data_Input!$A$1:$ZZ$502, MATCH("총수익률", INDEX(Data_Input!$A$1:$ZZ$502, 0, MATCH(1, (Data_Input!$7:$7=$F$3)*(Data_Input!$8:$8=$B261), 0)), 0) + 1, MATCH(1, (Data_Input!$7:$7=$F$3)*(Data_Input!$8:$8=$B261), 0)),"")</f>
        <v/>
      </c>
      <c r="L261" t="str" cm="1">
        <f t="array" ref="L261">IFERROR(_xlfn.LET(
    _xlpm.targetDate, B261,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62" spans="1:12" x14ac:dyDescent="0.3">
      <c r="A262" s="16" t="str">
        <f t="shared" si="6"/>
        <v/>
      </c>
      <c r="B262" s="19"/>
      <c r="C262" s="17" t="str">
        <f t="shared" si="7"/>
        <v/>
      </c>
      <c r="D262" s="29" t="str" cm="1">
        <f t="array" ref="D262">IFERROR(INDEX(Data_Input!$10:$10,MATCH(1,(Data_Input!$7:$7=$F$3)*(Data_Input!$8:$8=$B262),0)),"")</f>
        <v/>
      </c>
      <c r="E262" s="29" t="str" cm="1">
        <f t="array" ref="E262">IFERROR(INDEX(Data_Input!$1:$100, 9, MATCH(1, (Data_Input!$7:$7=$F$3) * (Data_Input!$8:$8=$B262), 0)),"")</f>
        <v/>
      </c>
      <c r="F262" s="20" t="str" cm="1">
        <f t="array" ref="F262">IFERROR(INDEX(Data_Input!$A$1:$ZZ$502, MATCH("예수금", INDEX(Data_Input!$A$1:$ZZ$502, 0, MATCH(1, (Data_Input!$7:$7=$F$3)*(Data_Input!$8:$8=$B262), 0)), 0) + 1, MATCH(1, (Data_Input!$7:$7=$F$3)*(Data_Input!$8:$8=$B262), 0)),"")</f>
        <v/>
      </c>
      <c r="G262" s="20" t="str" cm="1">
        <f t="array" ref="G262">IFERROR(INDEX(Data_Input!$A$1:$ZZ$502, MATCH("총자산", INDEX(Data_Input!$A$1:$ZZ$502, 0, MATCH(1, (Data_Input!$7:$7=$F$3)*(Data_Input!$8:$8=$B262), 0)), 0) + 1, MATCH(1, (Data_Input!$7:$7=$F$3)*(Data_Input!$8:$8=$B262), 0)),"")</f>
        <v/>
      </c>
      <c r="H262" s="20" t="str" cm="1">
        <f t="array" ref="H262">IFERROR(INDEX(Data_Input!$A$1:$ZZ$502, MATCH("매입금액", INDEX(Data_Input!$A$1:$ZZ$502, 0, MATCH(1, (Data_Input!$7:$7=$F$3)*(Data_Input!$8:$8=$B262), 0)), 0) + 1, MATCH(1, (Data_Input!$7:$7=$F$3)*(Data_Input!$8:$8=$B262), 0)),"")</f>
        <v/>
      </c>
      <c r="I262" s="20" t="str" cm="1">
        <f t="array" ref="I262">IFERROR(INDEX(Data_Input!$A$1:$ZZ$502, MATCH("평가금액", INDEX(Data_Input!$A$1:$ZZ$502, 0, MATCH(1, (Data_Input!$7:$7=$F$3)*(Data_Input!$8:$8=$B262), 0)), 0) + 1, MATCH(1, (Data_Input!$7:$7=$F$3)*(Data_Input!$8:$8=$B262), 0)),"")</f>
        <v/>
      </c>
      <c r="J262" s="20" t="str" cm="1">
        <f t="array" ref="J262">IFERROR(INDEX(Data_Input!$A$1:$ZZ$502, MATCH("평가손익", INDEX(Data_Input!$A$1:$ZZ$502, 0, MATCH(1, (Data_Input!$7:$7=$F$3)*(Data_Input!$8:$8=$B262), 0)), 0) + 1, MATCH(1, (Data_Input!$7:$7=$F$3)*(Data_Input!$8:$8=$B262), 0)),"")</f>
        <v/>
      </c>
      <c r="K262" s="14" t="str" cm="1">
        <f t="array" ref="K262">IFERROR(INDEX(Data_Input!$A$1:$ZZ$502, MATCH("총수익률", INDEX(Data_Input!$A$1:$ZZ$502, 0, MATCH(1, (Data_Input!$7:$7=$F$3)*(Data_Input!$8:$8=$B262), 0)), 0) + 1, MATCH(1, (Data_Input!$7:$7=$F$3)*(Data_Input!$8:$8=$B262), 0)),"")</f>
        <v/>
      </c>
      <c r="L262" t="str" cm="1">
        <f t="array" ref="L262">IFERROR(_xlfn.LET(
    _xlpm.targetDate, B262,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63" spans="1:12" x14ac:dyDescent="0.3">
      <c r="A263" s="16" t="str">
        <f t="shared" ref="A263:A326" si="8">IF(B263&gt;0,A262+1,"")</f>
        <v/>
      </c>
      <c r="B263" s="19"/>
      <c r="C263" s="17" t="str">
        <f t="shared" si="7"/>
        <v/>
      </c>
      <c r="D263" s="29" t="str" cm="1">
        <f t="array" ref="D263">IFERROR(INDEX(Data_Input!$10:$10,MATCH(1,(Data_Input!$7:$7=$F$3)*(Data_Input!$8:$8=$B263),0)),"")</f>
        <v/>
      </c>
      <c r="E263" s="29" t="str" cm="1">
        <f t="array" ref="E263">IFERROR(INDEX(Data_Input!$1:$100, 9, MATCH(1, (Data_Input!$7:$7=$F$3) * (Data_Input!$8:$8=$B263), 0)),"")</f>
        <v/>
      </c>
      <c r="F263" s="20" t="str" cm="1">
        <f t="array" ref="F263">IFERROR(INDEX(Data_Input!$A$1:$ZZ$502, MATCH("예수금", INDEX(Data_Input!$A$1:$ZZ$502, 0, MATCH(1, (Data_Input!$7:$7=$F$3)*(Data_Input!$8:$8=$B263), 0)), 0) + 1, MATCH(1, (Data_Input!$7:$7=$F$3)*(Data_Input!$8:$8=$B263), 0)),"")</f>
        <v/>
      </c>
      <c r="G263" s="20" t="str" cm="1">
        <f t="array" ref="G263">IFERROR(INDEX(Data_Input!$A$1:$ZZ$502, MATCH("총자산", INDEX(Data_Input!$A$1:$ZZ$502, 0, MATCH(1, (Data_Input!$7:$7=$F$3)*(Data_Input!$8:$8=$B263), 0)), 0) + 1, MATCH(1, (Data_Input!$7:$7=$F$3)*(Data_Input!$8:$8=$B263), 0)),"")</f>
        <v/>
      </c>
      <c r="H263" s="20" t="str" cm="1">
        <f t="array" ref="H263">IFERROR(INDEX(Data_Input!$A$1:$ZZ$502, MATCH("매입금액", INDEX(Data_Input!$A$1:$ZZ$502, 0, MATCH(1, (Data_Input!$7:$7=$F$3)*(Data_Input!$8:$8=$B263), 0)), 0) + 1, MATCH(1, (Data_Input!$7:$7=$F$3)*(Data_Input!$8:$8=$B263), 0)),"")</f>
        <v/>
      </c>
      <c r="I263" s="20" t="str" cm="1">
        <f t="array" ref="I263">IFERROR(INDEX(Data_Input!$A$1:$ZZ$502, MATCH("평가금액", INDEX(Data_Input!$A$1:$ZZ$502, 0, MATCH(1, (Data_Input!$7:$7=$F$3)*(Data_Input!$8:$8=$B263), 0)), 0) + 1, MATCH(1, (Data_Input!$7:$7=$F$3)*(Data_Input!$8:$8=$B263), 0)),"")</f>
        <v/>
      </c>
      <c r="J263" s="20" t="str" cm="1">
        <f t="array" ref="J263">IFERROR(INDEX(Data_Input!$A$1:$ZZ$502, MATCH("평가손익", INDEX(Data_Input!$A$1:$ZZ$502, 0, MATCH(1, (Data_Input!$7:$7=$F$3)*(Data_Input!$8:$8=$B263), 0)), 0) + 1, MATCH(1, (Data_Input!$7:$7=$F$3)*(Data_Input!$8:$8=$B263), 0)),"")</f>
        <v/>
      </c>
      <c r="K263" s="14" t="str" cm="1">
        <f t="array" ref="K263">IFERROR(INDEX(Data_Input!$A$1:$ZZ$502, MATCH("총수익률", INDEX(Data_Input!$A$1:$ZZ$502, 0, MATCH(1, (Data_Input!$7:$7=$F$3)*(Data_Input!$8:$8=$B263), 0)), 0) + 1, MATCH(1, (Data_Input!$7:$7=$F$3)*(Data_Input!$8:$8=$B263), 0)),"")</f>
        <v/>
      </c>
      <c r="L263" t="str" cm="1">
        <f t="array" ref="L263">IFERROR(_xlfn.LET(
    _xlpm.targetDate, B263,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64" spans="1:12" x14ac:dyDescent="0.3">
      <c r="A264" s="16" t="str">
        <f t="shared" si="8"/>
        <v/>
      </c>
      <c r="B264" s="19"/>
      <c r="C264" s="17" t="str">
        <f t="shared" ref="C264:C327" si="9">IF(B264&gt;0,C263,"")</f>
        <v/>
      </c>
      <c r="D264" s="29" t="str" cm="1">
        <f t="array" ref="D264">IFERROR(INDEX(Data_Input!$10:$10,MATCH(1,(Data_Input!$7:$7=$F$3)*(Data_Input!$8:$8=$B264),0)),"")</f>
        <v/>
      </c>
      <c r="E264" s="29" t="str" cm="1">
        <f t="array" ref="E264">IFERROR(INDEX(Data_Input!$1:$100, 9, MATCH(1, (Data_Input!$7:$7=$F$3) * (Data_Input!$8:$8=$B264), 0)),"")</f>
        <v/>
      </c>
      <c r="F264" s="20" t="str" cm="1">
        <f t="array" ref="F264">IFERROR(INDEX(Data_Input!$A$1:$ZZ$502, MATCH("예수금", INDEX(Data_Input!$A$1:$ZZ$502, 0, MATCH(1, (Data_Input!$7:$7=$F$3)*(Data_Input!$8:$8=$B264), 0)), 0) + 1, MATCH(1, (Data_Input!$7:$7=$F$3)*(Data_Input!$8:$8=$B264), 0)),"")</f>
        <v/>
      </c>
      <c r="G264" s="20" t="str" cm="1">
        <f t="array" ref="G264">IFERROR(INDEX(Data_Input!$A$1:$ZZ$502, MATCH("총자산", INDEX(Data_Input!$A$1:$ZZ$502, 0, MATCH(1, (Data_Input!$7:$7=$F$3)*(Data_Input!$8:$8=$B264), 0)), 0) + 1, MATCH(1, (Data_Input!$7:$7=$F$3)*(Data_Input!$8:$8=$B264), 0)),"")</f>
        <v/>
      </c>
      <c r="H264" s="20" t="str" cm="1">
        <f t="array" ref="H264">IFERROR(INDEX(Data_Input!$A$1:$ZZ$502, MATCH("매입금액", INDEX(Data_Input!$A$1:$ZZ$502, 0, MATCH(1, (Data_Input!$7:$7=$F$3)*(Data_Input!$8:$8=$B264), 0)), 0) + 1, MATCH(1, (Data_Input!$7:$7=$F$3)*(Data_Input!$8:$8=$B264), 0)),"")</f>
        <v/>
      </c>
      <c r="I264" s="20" t="str" cm="1">
        <f t="array" ref="I264">IFERROR(INDEX(Data_Input!$A$1:$ZZ$502, MATCH("평가금액", INDEX(Data_Input!$A$1:$ZZ$502, 0, MATCH(1, (Data_Input!$7:$7=$F$3)*(Data_Input!$8:$8=$B264), 0)), 0) + 1, MATCH(1, (Data_Input!$7:$7=$F$3)*(Data_Input!$8:$8=$B264), 0)),"")</f>
        <v/>
      </c>
      <c r="J264" s="20" t="str" cm="1">
        <f t="array" ref="J264">IFERROR(INDEX(Data_Input!$A$1:$ZZ$502, MATCH("평가손익", INDEX(Data_Input!$A$1:$ZZ$502, 0, MATCH(1, (Data_Input!$7:$7=$F$3)*(Data_Input!$8:$8=$B264), 0)), 0) + 1, MATCH(1, (Data_Input!$7:$7=$F$3)*(Data_Input!$8:$8=$B264), 0)),"")</f>
        <v/>
      </c>
      <c r="K264" s="14" t="str" cm="1">
        <f t="array" ref="K264">IFERROR(INDEX(Data_Input!$A$1:$ZZ$502, MATCH("총수익률", INDEX(Data_Input!$A$1:$ZZ$502, 0, MATCH(1, (Data_Input!$7:$7=$F$3)*(Data_Input!$8:$8=$B264), 0)), 0) + 1, MATCH(1, (Data_Input!$7:$7=$F$3)*(Data_Input!$8:$8=$B264), 0)),"")</f>
        <v/>
      </c>
      <c r="L264" t="str" cm="1">
        <f t="array" ref="L264">IFERROR(_xlfn.LET(
    _xlpm.targetDate, B264,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65" spans="1:12" x14ac:dyDescent="0.3">
      <c r="A265" s="16" t="str">
        <f t="shared" si="8"/>
        <v/>
      </c>
      <c r="B265" s="19"/>
      <c r="C265" s="17" t="str">
        <f t="shared" si="9"/>
        <v/>
      </c>
      <c r="D265" s="29" t="str" cm="1">
        <f t="array" ref="D265">IFERROR(INDEX(Data_Input!$10:$10,MATCH(1,(Data_Input!$7:$7=$F$3)*(Data_Input!$8:$8=$B265),0)),"")</f>
        <v/>
      </c>
      <c r="E265" s="29" t="str" cm="1">
        <f t="array" ref="E265">IFERROR(INDEX(Data_Input!$1:$100, 9, MATCH(1, (Data_Input!$7:$7=$F$3) * (Data_Input!$8:$8=$B265), 0)),"")</f>
        <v/>
      </c>
      <c r="F265" s="20" t="str" cm="1">
        <f t="array" ref="F265">IFERROR(INDEX(Data_Input!$A$1:$ZZ$502, MATCH("예수금", INDEX(Data_Input!$A$1:$ZZ$502, 0, MATCH(1, (Data_Input!$7:$7=$F$3)*(Data_Input!$8:$8=$B265), 0)), 0) + 1, MATCH(1, (Data_Input!$7:$7=$F$3)*(Data_Input!$8:$8=$B265), 0)),"")</f>
        <v/>
      </c>
      <c r="G265" s="20" t="str" cm="1">
        <f t="array" ref="G265">IFERROR(INDEX(Data_Input!$A$1:$ZZ$502, MATCH("총자산", INDEX(Data_Input!$A$1:$ZZ$502, 0, MATCH(1, (Data_Input!$7:$7=$F$3)*(Data_Input!$8:$8=$B265), 0)), 0) + 1, MATCH(1, (Data_Input!$7:$7=$F$3)*(Data_Input!$8:$8=$B265), 0)),"")</f>
        <v/>
      </c>
      <c r="H265" s="20" t="str" cm="1">
        <f t="array" ref="H265">IFERROR(INDEX(Data_Input!$A$1:$ZZ$502, MATCH("매입금액", INDEX(Data_Input!$A$1:$ZZ$502, 0, MATCH(1, (Data_Input!$7:$7=$F$3)*(Data_Input!$8:$8=$B265), 0)), 0) + 1, MATCH(1, (Data_Input!$7:$7=$F$3)*(Data_Input!$8:$8=$B265), 0)),"")</f>
        <v/>
      </c>
      <c r="I265" s="20" t="str" cm="1">
        <f t="array" ref="I265">IFERROR(INDEX(Data_Input!$A$1:$ZZ$502, MATCH("평가금액", INDEX(Data_Input!$A$1:$ZZ$502, 0, MATCH(1, (Data_Input!$7:$7=$F$3)*(Data_Input!$8:$8=$B265), 0)), 0) + 1, MATCH(1, (Data_Input!$7:$7=$F$3)*(Data_Input!$8:$8=$B265), 0)),"")</f>
        <v/>
      </c>
      <c r="J265" s="20" t="str" cm="1">
        <f t="array" ref="J265">IFERROR(INDEX(Data_Input!$A$1:$ZZ$502, MATCH("평가손익", INDEX(Data_Input!$A$1:$ZZ$502, 0, MATCH(1, (Data_Input!$7:$7=$F$3)*(Data_Input!$8:$8=$B265), 0)), 0) + 1, MATCH(1, (Data_Input!$7:$7=$F$3)*(Data_Input!$8:$8=$B265), 0)),"")</f>
        <v/>
      </c>
      <c r="K265" s="14" t="str" cm="1">
        <f t="array" ref="K265">IFERROR(INDEX(Data_Input!$A$1:$ZZ$502, MATCH("총수익률", INDEX(Data_Input!$A$1:$ZZ$502, 0, MATCH(1, (Data_Input!$7:$7=$F$3)*(Data_Input!$8:$8=$B265), 0)), 0) + 1, MATCH(1, (Data_Input!$7:$7=$F$3)*(Data_Input!$8:$8=$B265), 0)),"")</f>
        <v/>
      </c>
      <c r="L265" t="str" cm="1">
        <f t="array" ref="L265">IFERROR(_xlfn.LET(
    _xlpm.targetDate, B265,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66" spans="1:12" x14ac:dyDescent="0.3">
      <c r="A266" s="16" t="str">
        <f t="shared" si="8"/>
        <v/>
      </c>
      <c r="B266" s="19"/>
      <c r="C266" s="17" t="str">
        <f t="shared" si="9"/>
        <v/>
      </c>
      <c r="D266" s="29" t="str" cm="1">
        <f t="array" ref="D266">IFERROR(INDEX(Data_Input!$10:$10,MATCH(1,(Data_Input!$7:$7=$F$3)*(Data_Input!$8:$8=$B266),0)),"")</f>
        <v/>
      </c>
      <c r="E266" s="29" t="str" cm="1">
        <f t="array" ref="E266">IFERROR(INDEX(Data_Input!$1:$100, 9, MATCH(1, (Data_Input!$7:$7=$F$3) * (Data_Input!$8:$8=$B266), 0)),"")</f>
        <v/>
      </c>
      <c r="F266" s="20" t="str" cm="1">
        <f t="array" ref="F266">IFERROR(INDEX(Data_Input!$A$1:$ZZ$502, MATCH("예수금", INDEX(Data_Input!$A$1:$ZZ$502, 0, MATCH(1, (Data_Input!$7:$7=$F$3)*(Data_Input!$8:$8=$B266), 0)), 0) + 1, MATCH(1, (Data_Input!$7:$7=$F$3)*(Data_Input!$8:$8=$B266), 0)),"")</f>
        <v/>
      </c>
      <c r="G266" s="20" t="str" cm="1">
        <f t="array" ref="G266">IFERROR(INDEX(Data_Input!$A$1:$ZZ$502, MATCH("총자산", INDEX(Data_Input!$A$1:$ZZ$502, 0, MATCH(1, (Data_Input!$7:$7=$F$3)*(Data_Input!$8:$8=$B266), 0)), 0) + 1, MATCH(1, (Data_Input!$7:$7=$F$3)*(Data_Input!$8:$8=$B266), 0)),"")</f>
        <v/>
      </c>
      <c r="H266" s="20" t="str" cm="1">
        <f t="array" ref="H266">IFERROR(INDEX(Data_Input!$A$1:$ZZ$502, MATCH("매입금액", INDEX(Data_Input!$A$1:$ZZ$502, 0, MATCH(1, (Data_Input!$7:$7=$F$3)*(Data_Input!$8:$8=$B266), 0)), 0) + 1, MATCH(1, (Data_Input!$7:$7=$F$3)*(Data_Input!$8:$8=$B266), 0)),"")</f>
        <v/>
      </c>
      <c r="I266" s="20" t="str" cm="1">
        <f t="array" ref="I266">IFERROR(INDEX(Data_Input!$A$1:$ZZ$502, MATCH("평가금액", INDEX(Data_Input!$A$1:$ZZ$502, 0, MATCH(1, (Data_Input!$7:$7=$F$3)*(Data_Input!$8:$8=$B266), 0)), 0) + 1, MATCH(1, (Data_Input!$7:$7=$F$3)*(Data_Input!$8:$8=$B266), 0)),"")</f>
        <v/>
      </c>
      <c r="J266" s="20" t="str" cm="1">
        <f t="array" ref="J266">IFERROR(INDEX(Data_Input!$A$1:$ZZ$502, MATCH("평가손익", INDEX(Data_Input!$A$1:$ZZ$502, 0, MATCH(1, (Data_Input!$7:$7=$F$3)*(Data_Input!$8:$8=$B266), 0)), 0) + 1, MATCH(1, (Data_Input!$7:$7=$F$3)*(Data_Input!$8:$8=$B266), 0)),"")</f>
        <v/>
      </c>
      <c r="K266" s="14" t="str" cm="1">
        <f t="array" ref="K266">IFERROR(INDEX(Data_Input!$A$1:$ZZ$502, MATCH("총수익률", INDEX(Data_Input!$A$1:$ZZ$502, 0, MATCH(1, (Data_Input!$7:$7=$F$3)*(Data_Input!$8:$8=$B266), 0)), 0) + 1, MATCH(1, (Data_Input!$7:$7=$F$3)*(Data_Input!$8:$8=$B266), 0)),"")</f>
        <v/>
      </c>
      <c r="L266" t="str" cm="1">
        <f t="array" ref="L266">IFERROR(_xlfn.LET(
    _xlpm.targetDate, B266,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67" spans="1:12" x14ac:dyDescent="0.3">
      <c r="A267" s="16" t="str">
        <f t="shared" si="8"/>
        <v/>
      </c>
      <c r="B267" s="19"/>
      <c r="C267" s="17" t="str">
        <f t="shared" si="9"/>
        <v/>
      </c>
      <c r="D267" s="29" t="str" cm="1">
        <f t="array" ref="D267">IFERROR(INDEX(Data_Input!$10:$10,MATCH(1,(Data_Input!$7:$7=$F$3)*(Data_Input!$8:$8=$B267),0)),"")</f>
        <v/>
      </c>
      <c r="E267" s="29" t="str" cm="1">
        <f t="array" ref="E267">IFERROR(INDEX(Data_Input!$1:$100, 9, MATCH(1, (Data_Input!$7:$7=$F$3) * (Data_Input!$8:$8=$B267), 0)),"")</f>
        <v/>
      </c>
      <c r="F267" s="20" t="str" cm="1">
        <f t="array" ref="F267">IFERROR(INDEX(Data_Input!$A$1:$ZZ$502, MATCH("예수금", INDEX(Data_Input!$A$1:$ZZ$502, 0, MATCH(1, (Data_Input!$7:$7=$F$3)*(Data_Input!$8:$8=$B267), 0)), 0) + 1, MATCH(1, (Data_Input!$7:$7=$F$3)*(Data_Input!$8:$8=$B267), 0)),"")</f>
        <v/>
      </c>
      <c r="G267" s="20" t="str" cm="1">
        <f t="array" ref="G267">IFERROR(INDEX(Data_Input!$A$1:$ZZ$502, MATCH("총자산", INDEX(Data_Input!$A$1:$ZZ$502, 0, MATCH(1, (Data_Input!$7:$7=$F$3)*(Data_Input!$8:$8=$B267), 0)), 0) + 1, MATCH(1, (Data_Input!$7:$7=$F$3)*(Data_Input!$8:$8=$B267), 0)),"")</f>
        <v/>
      </c>
      <c r="H267" s="20" t="str" cm="1">
        <f t="array" ref="H267">IFERROR(INDEX(Data_Input!$A$1:$ZZ$502, MATCH("매입금액", INDEX(Data_Input!$A$1:$ZZ$502, 0, MATCH(1, (Data_Input!$7:$7=$F$3)*(Data_Input!$8:$8=$B267), 0)), 0) + 1, MATCH(1, (Data_Input!$7:$7=$F$3)*(Data_Input!$8:$8=$B267), 0)),"")</f>
        <v/>
      </c>
      <c r="I267" s="20" t="str" cm="1">
        <f t="array" ref="I267">IFERROR(INDEX(Data_Input!$A$1:$ZZ$502, MATCH("평가금액", INDEX(Data_Input!$A$1:$ZZ$502, 0, MATCH(1, (Data_Input!$7:$7=$F$3)*(Data_Input!$8:$8=$B267), 0)), 0) + 1, MATCH(1, (Data_Input!$7:$7=$F$3)*(Data_Input!$8:$8=$B267), 0)),"")</f>
        <v/>
      </c>
      <c r="J267" s="20" t="str" cm="1">
        <f t="array" ref="J267">IFERROR(INDEX(Data_Input!$A$1:$ZZ$502, MATCH("평가손익", INDEX(Data_Input!$A$1:$ZZ$502, 0, MATCH(1, (Data_Input!$7:$7=$F$3)*(Data_Input!$8:$8=$B267), 0)), 0) + 1, MATCH(1, (Data_Input!$7:$7=$F$3)*(Data_Input!$8:$8=$B267), 0)),"")</f>
        <v/>
      </c>
      <c r="K267" s="14" t="str" cm="1">
        <f t="array" ref="K267">IFERROR(INDEX(Data_Input!$A$1:$ZZ$502, MATCH("총수익률", INDEX(Data_Input!$A$1:$ZZ$502, 0, MATCH(1, (Data_Input!$7:$7=$F$3)*(Data_Input!$8:$8=$B267), 0)), 0) + 1, MATCH(1, (Data_Input!$7:$7=$F$3)*(Data_Input!$8:$8=$B267), 0)),"")</f>
        <v/>
      </c>
      <c r="L267" t="str" cm="1">
        <f t="array" ref="L267">IFERROR(_xlfn.LET(
    _xlpm.targetDate, B267,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68" spans="1:12" x14ac:dyDescent="0.3">
      <c r="A268" s="16" t="str">
        <f t="shared" si="8"/>
        <v/>
      </c>
      <c r="B268" s="19"/>
      <c r="C268" s="17" t="str">
        <f t="shared" si="9"/>
        <v/>
      </c>
      <c r="D268" s="29" t="str" cm="1">
        <f t="array" ref="D268">IFERROR(INDEX(Data_Input!$10:$10,MATCH(1,(Data_Input!$7:$7=$F$3)*(Data_Input!$8:$8=$B268),0)),"")</f>
        <v/>
      </c>
      <c r="E268" s="29" t="str" cm="1">
        <f t="array" ref="E268">IFERROR(INDEX(Data_Input!$1:$100, 9, MATCH(1, (Data_Input!$7:$7=$F$3) * (Data_Input!$8:$8=$B268), 0)),"")</f>
        <v/>
      </c>
      <c r="F268" s="20" t="str" cm="1">
        <f t="array" ref="F268">IFERROR(INDEX(Data_Input!$A$1:$ZZ$502, MATCH("예수금", INDEX(Data_Input!$A$1:$ZZ$502, 0, MATCH(1, (Data_Input!$7:$7=$F$3)*(Data_Input!$8:$8=$B268), 0)), 0) + 1, MATCH(1, (Data_Input!$7:$7=$F$3)*(Data_Input!$8:$8=$B268), 0)),"")</f>
        <v/>
      </c>
      <c r="G268" s="20" t="str" cm="1">
        <f t="array" ref="G268">IFERROR(INDEX(Data_Input!$A$1:$ZZ$502, MATCH("총자산", INDEX(Data_Input!$A$1:$ZZ$502, 0, MATCH(1, (Data_Input!$7:$7=$F$3)*(Data_Input!$8:$8=$B268), 0)), 0) + 1, MATCH(1, (Data_Input!$7:$7=$F$3)*(Data_Input!$8:$8=$B268), 0)),"")</f>
        <v/>
      </c>
      <c r="H268" s="20" t="str" cm="1">
        <f t="array" ref="H268">IFERROR(INDEX(Data_Input!$A$1:$ZZ$502, MATCH("매입금액", INDEX(Data_Input!$A$1:$ZZ$502, 0, MATCH(1, (Data_Input!$7:$7=$F$3)*(Data_Input!$8:$8=$B268), 0)), 0) + 1, MATCH(1, (Data_Input!$7:$7=$F$3)*(Data_Input!$8:$8=$B268), 0)),"")</f>
        <v/>
      </c>
      <c r="I268" s="20" t="str" cm="1">
        <f t="array" ref="I268">IFERROR(INDEX(Data_Input!$A$1:$ZZ$502, MATCH("평가금액", INDEX(Data_Input!$A$1:$ZZ$502, 0, MATCH(1, (Data_Input!$7:$7=$F$3)*(Data_Input!$8:$8=$B268), 0)), 0) + 1, MATCH(1, (Data_Input!$7:$7=$F$3)*(Data_Input!$8:$8=$B268), 0)),"")</f>
        <v/>
      </c>
      <c r="J268" s="20" t="str" cm="1">
        <f t="array" ref="J268">IFERROR(INDEX(Data_Input!$A$1:$ZZ$502, MATCH("평가손익", INDEX(Data_Input!$A$1:$ZZ$502, 0, MATCH(1, (Data_Input!$7:$7=$F$3)*(Data_Input!$8:$8=$B268), 0)), 0) + 1, MATCH(1, (Data_Input!$7:$7=$F$3)*(Data_Input!$8:$8=$B268), 0)),"")</f>
        <v/>
      </c>
      <c r="K268" s="14" t="str" cm="1">
        <f t="array" ref="K268">IFERROR(INDEX(Data_Input!$A$1:$ZZ$502, MATCH("총수익률", INDEX(Data_Input!$A$1:$ZZ$502, 0, MATCH(1, (Data_Input!$7:$7=$F$3)*(Data_Input!$8:$8=$B268), 0)), 0) + 1, MATCH(1, (Data_Input!$7:$7=$F$3)*(Data_Input!$8:$8=$B268), 0)),"")</f>
        <v/>
      </c>
      <c r="L268" t="str" cm="1">
        <f t="array" ref="L268">IFERROR(_xlfn.LET(
    _xlpm.targetDate, B268,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69" spans="1:12" x14ac:dyDescent="0.3">
      <c r="A269" s="16" t="str">
        <f t="shared" si="8"/>
        <v/>
      </c>
      <c r="B269" s="19"/>
      <c r="C269" s="17" t="str">
        <f t="shared" si="9"/>
        <v/>
      </c>
      <c r="D269" s="29" t="str" cm="1">
        <f t="array" ref="D269">IFERROR(INDEX(Data_Input!$10:$10,MATCH(1,(Data_Input!$7:$7=$F$3)*(Data_Input!$8:$8=$B269),0)),"")</f>
        <v/>
      </c>
      <c r="E269" s="29" t="str" cm="1">
        <f t="array" ref="E269">IFERROR(INDEX(Data_Input!$1:$100, 9, MATCH(1, (Data_Input!$7:$7=$F$3) * (Data_Input!$8:$8=$B269), 0)),"")</f>
        <v/>
      </c>
      <c r="F269" s="20" t="str" cm="1">
        <f t="array" ref="F269">IFERROR(INDEX(Data_Input!$A$1:$ZZ$502, MATCH("예수금", INDEX(Data_Input!$A$1:$ZZ$502, 0, MATCH(1, (Data_Input!$7:$7=$F$3)*(Data_Input!$8:$8=$B269), 0)), 0) + 1, MATCH(1, (Data_Input!$7:$7=$F$3)*(Data_Input!$8:$8=$B269), 0)),"")</f>
        <v/>
      </c>
      <c r="G269" s="20" t="str" cm="1">
        <f t="array" ref="G269">IFERROR(INDEX(Data_Input!$A$1:$ZZ$502, MATCH("총자산", INDEX(Data_Input!$A$1:$ZZ$502, 0, MATCH(1, (Data_Input!$7:$7=$F$3)*(Data_Input!$8:$8=$B269), 0)), 0) + 1, MATCH(1, (Data_Input!$7:$7=$F$3)*(Data_Input!$8:$8=$B269), 0)),"")</f>
        <v/>
      </c>
      <c r="H269" s="20" t="str" cm="1">
        <f t="array" ref="H269">IFERROR(INDEX(Data_Input!$A$1:$ZZ$502, MATCH("매입금액", INDEX(Data_Input!$A$1:$ZZ$502, 0, MATCH(1, (Data_Input!$7:$7=$F$3)*(Data_Input!$8:$8=$B269), 0)), 0) + 1, MATCH(1, (Data_Input!$7:$7=$F$3)*(Data_Input!$8:$8=$B269), 0)),"")</f>
        <v/>
      </c>
      <c r="I269" s="20" t="str" cm="1">
        <f t="array" ref="I269">IFERROR(INDEX(Data_Input!$A$1:$ZZ$502, MATCH("평가금액", INDEX(Data_Input!$A$1:$ZZ$502, 0, MATCH(1, (Data_Input!$7:$7=$F$3)*(Data_Input!$8:$8=$B269), 0)), 0) + 1, MATCH(1, (Data_Input!$7:$7=$F$3)*(Data_Input!$8:$8=$B269), 0)),"")</f>
        <v/>
      </c>
      <c r="J269" s="20" t="str" cm="1">
        <f t="array" ref="J269">IFERROR(INDEX(Data_Input!$A$1:$ZZ$502, MATCH("평가손익", INDEX(Data_Input!$A$1:$ZZ$502, 0, MATCH(1, (Data_Input!$7:$7=$F$3)*(Data_Input!$8:$8=$B269), 0)), 0) + 1, MATCH(1, (Data_Input!$7:$7=$F$3)*(Data_Input!$8:$8=$B269), 0)),"")</f>
        <v/>
      </c>
      <c r="K269" s="14" t="str" cm="1">
        <f t="array" ref="K269">IFERROR(INDEX(Data_Input!$A$1:$ZZ$502, MATCH("총수익률", INDEX(Data_Input!$A$1:$ZZ$502, 0, MATCH(1, (Data_Input!$7:$7=$F$3)*(Data_Input!$8:$8=$B269), 0)), 0) + 1, MATCH(1, (Data_Input!$7:$7=$F$3)*(Data_Input!$8:$8=$B269), 0)),"")</f>
        <v/>
      </c>
      <c r="L269" t="str" cm="1">
        <f t="array" ref="L269">IFERROR(_xlfn.LET(
    _xlpm.targetDate, B269,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70" spans="1:12" x14ac:dyDescent="0.3">
      <c r="A270" s="16" t="str">
        <f t="shared" si="8"/>
        <v/>
      </c>
      <c r="B270" s="19"/>
      <c r="C270" s="17" t="str">
        <f t="shared" si="9"/>
        <v/>
      </c>
      <c r="D270" s="29" t="str" cm="1">
        <f t="array" ref="D270">IFERROR(INDEX(Data_Input!$10:$10,MATCH(1,(Data_Input!$7:$7=$F$3)*(Data_Input!$8:$8=$B270),0)),"")</f>
        <v/>
      </c>
      <c r="E270" s="29" t="str" cm="1">
        <f t="array" ref="E270">IFERROR(INDEX(Data_Input!$1:$100, 9, MATCH(1, (Data_Input!$7:$7=$F$3) * (Data_Input!$8:$8=$B270), 0)),"")</f>
        <v/>
      </c>
      <c r="F270" s="20" t="str" cm="1">
        <f t="array" ref="F270">IFERROR(INDEX(Data_Input!$A$1:$ZZ$502, MATCH("예수금", INDEX(Data_Input!$A$1:$ZZ$502, 0, MATCH(1, (Data_Input!$7:$7=$F$3)*(Data_Input!$8:$8=$B270), 0)), 0) + 1, MATCH(1, (Data_Input!$7:$7=$F$3)*(Data_Input!$8:$8=$B270), 0)),"")</f>
        <v/>
      </c>
      <c r="G270" s="20" t="str" cm="1">
        <f t="array" ref="G270">IFERROR(INDEX(Data_Input!$A$1:$ZZ$502, MATCH("총자산", INDEX(Data_Input!$A$1:$ZZ$502, 0, MATCH(1, (Data_Input!$7:$7=$F$3)*(Data_Input!$8:$8=$B270), 0)), 0) + 1, MATCH(1, (Data_Input!$7:$7=$F$3)*(Data_Input!$8:$8=$B270), 0)),"")</f>
        <v/>
      </c>
      <c r="H270" s="20" t="str" cm="1">
        <f t="array" ref="H270">IFERROR(INDEX(Data_Input!$A$1:$ZZ$502, MATCH("매입금액", INDEX(Data_Input!$A$1:$ZZ$502, 0, MATCH(1, (Data_Input!$7:$7=$F$3)*(Data_Input!$8:$8=$B270), 0)), 0) + 1, MATCH(1, (Data_Input!$7:$7=$F$3)*(Data_Input!$8:$8=$B270), 0)),"")</f>
        <v/>
      </c>
      <c r="I270" s="20" t="str" cm="1">
        <f t="array" ref="I270">IFERROR(INDEX(Data_Input!$A$1:$ZZ$502, MATCH("평가금액", INDEX(Data_Input!$A$1:$ZZ$502, 0, MATCH(1, (Data_Input!$7:$7=$F$3)*(Data_Input!$8:$8=$B270), 0)), 0) + 1, MATCH(1, (Data_Input!$7:$7=$F$3)*(Data_Input!$8:$8=$B270), 0)),"")</f>
        <v/>
      </c>
      <c r="J270" s="20" t="str" cm="1">
        <f t="array" ref="J270">IFERROR(INDEX(Data_Input!$A$1:$ZZ$502, MATCH("평가손익", INDEX(Data_Input!$A$1:$ZZ$502, 0, MATCH(1, (Data_Input!$7:$7=$F$3)*(Data_Input!$8:$8=$B270), 0)), 0) + 1, MATCH(1, (Data_Input!$7:$7=$F$3)*(Data_Input!$8:$8=$B270), 0)),"")</f>
        <v/>
      </c>
      <c r="K270" s="14" t="str" cm="1">
        <f t="array" ref="K270">IFERROR(INDEX(Data_Input!$A$1:$ZZ$502, MATCH("총수익률", INDEX(Data_Input!$A$1:$ZZ$502, 0, MATCH(1, (Data_Input!$7:$7=$F$3)*(Data_Input!$8:$8=$B270), 0)), 0) + 1, MATCH(1, (Data_Input!$7:$7=$F$3)*(Data_Input!$8:$8=$B270), 0)),"")</f>
        <v/>
      </c>
      <c r="L270" t="str" cm="1">
        <f t="array" ref="L270">IFERROR(_xlfn.LET(
    _xlpm.targetDate, B270,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71" spans="1:12" x14ac:dyDescent="0.3">
      <c r="A271" s="16" t="str">
        <f t="shared" si="8"/>
        <v/>
      </c>
      <c r="B271" s="19"/>
      <c r="C271" s="17" t="str">
        <f t="shared" si="9"/>
        <v/>
      </c>
      <c r="D271" s="29" t="str" cm="1">
        <f t="array" ref="D271">IFERROR(INDEX(Data_Input!$10:$10,MATCH(1,(Data_Input!$7:$7=$F$3)*(Data_Input!$8:$8=$B271),0)),"")</f>
        <v/>
      </c>
      <c r="E271" s="29" t="str" cm="1">
        <f t="array" ref="E271">IFERROR(INDEX(Data_Input!$1:$100, 9, MATCH(1, (Data_Input!$7:$7=$F$3) * (Data_Input!$8:$8=$B271), 0)),"")</f>
        <v/>
      </c>
      <c r="F271" s="20" t="str" cm="1">
        <f t="array" ref="F271">IFERROR(INDEX(Data_Input!$A$1:$ZZ$502, MATCH("예수금", INDEX(Data_Input!$A$1:$ZZ$502, 0, MATCH(1, (Data_Input!$7:$7=$F$3)*(Data_Input!$8:$8=$B271), 0)), 0) + 1, MATCH(1, (Data_Input!$7:$7=$F$3)*(Data_Input!$8:$8=$B271), 0)),"")</f>
        <v/>
      </c>
      <c r="G271" s="20" t="str" cm="1">
        <f t="array" ref="G271">IFERROR(INDEX(Data_Input!$A$1:$ZZ$502, MATCH("총자산", INDEX(Data_Input!$A$1:$ZZ$502, 0, MATCH(1, (Data_Input!$7:$7=$F$3)*(Data_Input!$8:$8=$B271), 0)), 0) + 1, MATCH(1, (Data_Input!$7:$7=$F$3)*(Data_Input!$8:$8=$B271), 0)),"")</f>
        <v/>
      </c>
      <c r="H271" s="20" t="str" cm="1">
        <f t="array" ref="H271">IFERROR(INDEX(Data_Input!$A$1:$ZZ$502, MATCH("매입금액", INDEX(Data_Input!$A$1:$ZZ$502, 0, MATCH(1, (Data_Input!$7:$7=$F$3)*(Data_Input!$8:$8=$B271), 0)), 0) + 1, MATCH(1, (Data_Input!$7:$7=$F$3)*(Data_Input!$8:$8=$B271), 0)),"")</f>
        <v/>
      </c>
      <c r="I271" s="20" t="str" cm="1">
        <f t="array" ref="I271">IFERROR(INDEX(Data_Input!$A$1:$ZZ$502, MATCH("평가금액", INDEX(Data_Input!$A$1:$ZZ$502, 0, MATCH(1, (Data_Input!$7:$7=$F$3)*(Data_Input!$8:$8=$B271), 0)), 0) + 1, MATCH(1, (Data_Input!$7:$7=$F$3)*(Data_Input!$8:$8=$B271), 0)),"")</f>
        <v/>
      </c>
      <c r="J271" s="20" t="str" cm="1">
        <f t="array" ref="J271">IFERROR(INDEX(Data_Input!$A$1:$ZZ$502, MATCH("평가손익", INDEX(Data_Input!$A$1:$ZZ$502, 0, MATCH(1, (Data_Input!$7:$7=$F$3)*(Data_Input!$8:$8=$B271), 0)), 0) + 1, MATCH(1, (Data_Input!$7:$7=$F$3)*(Data_Input!$8:$8=$B271), 0)),"")</f>
        <v/>
      </c>
      <c r="K271" s="14" t="str" cm="1">
        <f t="array" ref="K271">IFERROR(INDEX(Data_Input!$A$1:$ZZ$502, MATCH("총수익률", INDEX(Data_Input!$A$1:$ZZ$502, 0, MATCH(1, (Data_Input!$7:$7=$F$3)*(Data_Input!$8:$8=$B271), 0)), 0) + 1, MATCH(1, (Data_Input!$7:$7=$F$3)*(Data_Input!$8:$8=$B271), 0)),"")</f>
        <v/>
      </c>
      <c r="L271" t="str" cm="1">
        <f t="array" ref="L271">IFERROR(_xlfn.LET(
    _xlpm.targetDate, B271,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72" spans="1:12" x14ac:dyDescent="0.3">
      <c r="A272" s="16" t="str">
        <f t="shared" si="8"/>
        <v/>
      </c>
      <c r="B272" s="19"/>
      <c r="C272" s="17" t="str">
        <f t="shared" si="9"/>
        <v/>
      </c>
      <c r="D272" s="29" t="str" cm="1">
        <f t="array" ref="D272">IFERROR(INDEX(Data_Input!$10:$10,MATCH(1,(Data_Input!$7:$7=$F$3)*(Data_Input!$8:$8=$B272),0)),"")</f>
        <v/>
      </c>
      <c r="E272" s="29" t="str" cm="1">
        <f t="array" ref="E272">IFERROR(INDEX(Data_Input!$1:$100, 9, MATCH(1, (Data_Input!$7:$7=$F$3) * (Data_Input!$8:$8=$B272), 0)),"")</f>
        <v/>
      </c>
      <c r="F272" s="20" t="str" cm="1">
        <f t="array" ref="F272">IFERROR(INDEX(Data_Input!$A$1:$ZZ$502, MATCH("예수금", INDEX(Data_Input!$A$1:$ZZ$502, 0, MATCH(1, (Data_Input!$7:$7=$F$3)*(Data_Input!$8:$8=$B272), 0)), 0) + 1, MATCH(1, (Data_Input!$7:$7=$F$3)*(Data_Input!$8:$8=$B272), 0)),"")</f>
        <v/>
      </c>
      <c r="G272" s="20" t="str" cm="1">
        <f t="array" ref="G272">IFERROR(INDEX(Data_Input!$A$1:$ZZ$502, MATCH("총자산", INDEX(Data_Input!$A$1:$ZZ$502, 0, MATCH(1, (Data_Input!$7:$7=$F$3)*(Data_Input!$8:$8=$B272), 0)), 0) + 1, MATCH(1, (Data_Input!$7:$7=$F$3)*(Data_Input!$8:$8=$B272), 0)),"")</f>
        <v/>
      </c>
      <c r="H272" s="20" t="str" cm="1">
        <f t="array" ref="H272">IFERROR(INDEX(Data_Input!$A$1:$ZZ$502, MATCH("매입금액", INDEX(Data_Input!$A$1:$ZZ$502, 0, MATCH(1, (Data_Input!$7:$7=$F$3)*(Data_Input!$8:$8=$B272), 0)), 0) + 1, MATCH(1, (Data_Input!$7:$7=$F$3)*(Data_Input!$8:$8=$B272), 0)),"")</f>
        <v/>
      </c>
      <c r="I272" s="20" t="str" cm="1">
        <f t="array" ref="I272">IFERROR(INDEX(Data_Input!$A$1:$ZZ$502, MATCH("평가금액", INDEX(Data_Input!$A$1:$ZZ$502, 0, MATCH(1, (Data_Input!$7:$7=$F$3)*(Data_Input!$8:$8=$B272), 0)), 0) + 1, MATCH(1, (Data_Input!$7:$7=$F$3)*(Data_Input!$8:$8=$B272), 0)),"")</f>
        <v/>
      </c>
      <c r="J272" s="20" t="str" cm="1">
        <f t="array" ref="J272">IFERROR(INDEX(Data_Input!$A$1:$ZZ$502, MATCH("평가손익", INDEX(Data_Input!$A$1:$ZZ$502, 0, MATCH(1, (Data_Input!$7:$7=$F$3)*(Data_Input!$8:$8=$B272), 0)), 0) + 1, MATCH(1, (Data_Input!$7:$7=$F$3)*(Data_Input!$8:$8=$B272), 0)),"")</f>
        <v/>
      </c>
      <c r="K272" s="14" t="str" cm="1">
        <f t="array" ref="K272">IFERROR(INDEX(Data_Input!$A$1:$ZZ$502, MATCH("총수익률", INDEX(Data_Input!$A$1:$ZZ$502, 0, MATCH(1, (Data_Input!$7:$7=$F$3)*(Data_Input!$8:$8=$B272), 0)), 0) + 1, MATCH(1, (Data_Input!$7:$7=$F$3)*(Data_Input!$8:$8=$B272), 0)),"")</f>
        <v/>
      </c>
      <c r="L272" t="str" cm="1">
        <f t="array" ref="L272">IFERROR(_xlfn.LET(
    _xlpm.targetDate, B272,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73" spans="1:12" x14ac:dyDescent="0.3">
      <c r="A273" s="16" t="str">
        <f t="shared" si="8"/>
        <v/>
      </c>
      <c r="B273" s="19"/>
      <c r="C273" s="17" t="str">
        <f t="shared" si="9"/>
        <v/>
      </c>
      <c r="D273" s="29" t="str" cm="1">
        <f t="array" ref="D273">IFERROR(INDEX(Data_Input!$10:$10,MATCH(1,(Data_Input!$7:$7=$F$3)*(Data_Input!$8:$8=$B273),0)),"")</f>
        <v/>
      </c>
      <c r="E273" s="29" t="str" cm="1">
        <f t="array" ref="E273">IFERROR(INDEX(Data_Input!$1:$100, 9, MATCH(1, (Data_Input!$7:$7=$F$3) * (Data_Input!$8:$8=$B273), 0)),"")</f>
        <v/>
      </c>
      <c r="F273" s="20" t="str" cm="1">
        <f t="array" ref="F273">IFERROR(INDEX(Data_Input!$A$1:$ZZ$502, MATCH("예수금", INDEX(Data_Input!$A$1:$ZZ$502, 0, MATCH(1, (Data_Input!$7:$7=$F$3)*(Data_Input!$8:$8=$B273), 0)), 0) + 1, MATCH(1, (Data_Input!$7:$7=$F$3)*(Data_Input!$8:$8=$B273), 0)),"")</f>
        <v/>
      </c>
      <c r="G273" s="20" t="str" cm="1">
        <f t="array" ref="G273">IFERROR(INDEX(Data_Input!$A$1:$ZZ$502, MATCH("총자산", INDEX(Data_Input!$A$1:$ZZ$502, 0, MATCH(1, (Data_Input!$7:$7=$F$3)*(Data_Input!$8:$8=$B273), 0)), 0) + 1, MATCH(1, (Data_Input!$7:$7=$F$3)*(Data_Input!$8:$8=$B273), 0)),"")</f>
        <v/>
      </c>
      <c r="H273" s="20" t="str" cm="1">
        <f t="array" ref="H273">IFERROR(INDEX(Data_Input!$A$1:$ZZ$502, MATCH("매입금액", INDEX(Data_Input!$A$1:$ZZ$502, 0, MATCH(1, (Data_Input!$7:$7=$F$3)*(Data_Input!$8:$8=$B273), 0)), 0) + 1, MATCH(1, (Data_Input!$7:$7=$F$3)*(Data_Input!$8:$8=$B273), 0)),"")</f>
        <v/>
      </c>
      <c r="I273" s="20" t="str" cm="1">
        <f t="array" ref="I273">IFERROR(INDEX(Data_Input!$A$1:$ZZ$502, MATCH("평가금액", INDEX(Data_Input!$A$1:$ZZ$502, 0, MATCH(1, (Data_Input!$7:$7=$F$3)*(Data_Input!$8:$8=$B273), 0)), 0) + 1, MATCH(1, (Data_Input!$7:$7=$F$3)*(Data_Input!$8:$8=$B273), 0)),"")</f>
        <v/>
      </c>
      <c r="J273" s="20" t="str" cm="1">
        <f t="array" ref="J273">IFERROR(INDEX(Data_Input!$A$1:$ZZ$502, MATCH("평가손익", INDEX(Data_Input!$A$1:$ZZ$502, 0, MATCH(1, (Data_Input!$7:$7=$F$3)*(Data_Input!$8:$8=$B273), 0)), 0) + 1, MATCH(1, (Data_Input!$7:$7=$F$3)*(Data_Input!$8:$8=$B273), 0)),"")</f>
        <v/>
      </c>
      <c r="K273" s="14" t="str" cm="1">
        <f t="array" ref="K273">IFERROR(INDEX(Data_Input!$A$1:$ZZ$502, MATCH("총수익률", INDEX(Data_Input!$A$1:$ZZ$502, 0, MATCH(1, (Data_Input!$7:$7=$F$3)*(Data_Input!$8:$8=$B273), 0)), 0) + 1, MATCH(1, (Data_Input!$7:$7=$F$3)*(Data_Input!$8:$8=$B273), 0)),"")</f>
        <v/>
      </c>
      <c r="L273" t="str" cm="1">
        <f t="array" ref="L273">IFERROR(_xlfn.LET(
    _xlpm.targetDate, B273,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74" spans="1:12" x14ac:dyDescent="0.3">
      <c r="A274" s="16" t="str">
        <f t="shared" si="8"/>
        <v/>
      </c>
      <c r="B274" s="19"/>
      <c r="C274" s="17" t="str">
        <f t="shared" si="9"/>
        <v/>
      </c>
      <c r="D274" s="29" t="str" cm="1">
        <f t="array" ref="D274">IFERROR(INDEX(Data_Input!$10:$10,MATCH(1,(Data_Input!$7:$7=$F$3)*(Data_Input!$8:$8=$B274),0)),"")</f>
        <v/>
      </c>
      <c r="E274" s="29" t="str" cm="1">
        <f t="array" ref="E274">IFERROR(INDEX(Data_Input!$1:$100, 9, MATCH(1, (Data_Input!$7:$7=$F$3) * (Data_Input!$8:$8=$B274), 0)),"")</f>
        <v/>
      </c>
      <c r="F274" s="20" t="str" cm="1">
        <f t="array" ref="F274">IFERROR(INDEX(Data_Input!$A$1:$ZZ$502, MATCH("예수금", INDEX(Data_Input!$A$1:$ZZ$502, 0, MATCH(1, (Data_Input!$7:$7=$F$3)*(Data_Input!$8:$8=$B274), 0)), 0) + 1, MATCH(1, (Data_Input!$7:$7=$F$3)*(Data_Input!$8:$8=$B274), 0)),"")</f>
        <v/>
      </c>
      <c r="G274" s="20" t="str" cm="1">
        <f t="array" ref="G274">IFERROR(INDEX(Data_Input!$A$1:$ZZ$502, MATCH("총자산", INDEX(Data_Input!$A$1:$ZZ$502, 0, MATCH(1, (Data_Input!$7:$7=$F$3)*(Data_Input!$8:$8=$B274), 0)), 0) + 1, MATCH(1, (Data_Input!$7:$7=$F$3)*(Data_Input!$8:$8=$B274), 0)),"")</f>
        <v/>
      </c>
      <c r="H274" s="20" t="str" cm="1">
        <f t="array" ref="H274">IFERROR(INDEX(Data_Input!$A$1:$ZZ$502, MATCH("매입금액", INDEX(Data_Input!$A$1:$ZZ$502, 0, MATCH(1, (Data_Input!$7:$7=$F$3)*(Data_Input!$8:$8=$B274), 0)), 0) + 1, MATCH(1, (Data_Input!$7:$7=$F$3)*(Data_Input!$8:$8=$B274), 0)),"")</f>
        <v/>
      </c>
      <c r="I274" s="20" t="str" cm="1">
        <f t="array" ref="I274">IFERROR(INDEX(Data_Input!$A$1:$ZZ$502, MATCH("평가금액", INDEX(Data_Input!$A$1:$ZZ$502, 0, MATCH(1, (Data_Input!$7:$7=$F$3)*(Data_Input!$8:$8=$B274), 0)), 0) + 1, MATCH(1, (Data_Input!$7:$7=$F$3)*(Data_Input!$8:$8=$B274), 0)),"")</f>
        <v/>
      </c>
      <c r="J274" s="20" t="str" cm="1">
        <f t="array" ref="J274">IFERROR(INDEX(Data_Input!$A$1:$ZZ$502, MATCH("평가손익", INDEX(Data_Input!$A$1:$ZZ$502, 0, MATCH(1, (Data_Input!$7:$7=$F$3)*(Data_Input!$8:$8=$B274), 0)), 0) + 1, MATCH(1, (Data_Input!$7:$7=$F$3)*(Data_Input!$8:$8=$B274), 0)),"")</f>
        <v/>
      </c>
      <c r="K274" s="14" t="str" cm="1">
        <f t="array" ref="K274">IFERROR(INDEX(Data_Input!$A$1:$ZZ$502, MATCH("총수익률", INDEX(Data_Input!$A$1:$ZZ$502, 0, MATCH(1, (Data_Input!$7:$7=$F$3)*(Data_Input!$8:$8=$B274), 0)), 0) + 1, MATCH(1, (Data_Input!$7:$7=$F$3)*(Data_Input!$8:$8=$B274), 0)),"")</f>
        <v/>
      </c>
      <c r="L274" t="str" cm="1">
        <f t="array" ref="L274">IFERROR(_xlfn.LET(
    _xlpm.targetDate, B274,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75" spans="1:12" x14ac:dyDescent="0.3">
      <c r="A275" s="16" t="str">
        <f t="shared" si="8"/>
        <v/>
      </c>
      <c r="B275" s="19"/>
      <c r="C275" s="17" t="str">
        <f t="shared" si="9"/>
        <v/>
      </c>
      <c r="D275" s="29" t="str" cm="1">
        <f t="array" ref="D275">IFERROR(INDEX(Data_Input!$10:$10,MATCH(1,(Data_Input!$7:$7=$F$3)*(Data_Input!$8:$8=$B275),0)),"")</f>
        <v/>
      </c>
      <c r="E275" s="29" t="str" cm="1">
        <f t="array" ref="E275">IFERROR(INDEX(Data_Input!$1:$100, 9, MATCH(1, (Data_Input!$7:$7=$F$3) * (Data_Input!$8:$8=$B275), 0)),"")</f>
        <v/>
      </c>
      <c r="F275" s="20" t="str" cm="1">
        <f t="array" ref="F275">IFERROR(INDEX(Data_Input!$A$1:$ZZ$502, MATCH("예수금", INDEX(Data_Input!$A$1:$ZZ$502, 0, MATCH(1, (Data_Input!$7:$7=$F$3)*(Data_Input!$8:$8=$B275), 0)), 0) + 1, MATCH(1, (Data_Input!$7:$7=$F$3)*(Data_Input!$8:$8=$B275), 0)),"")</f>
        <v/>
      </c>
      <c r="G275" s="20" t="str" cm="1">
        <f t="array" ref="G275">IFERROR(INDEX(Data_Input!$A$1:$ZZ$502, MATCH("총자산", INDEX(Data_Input!$A$1:$ZZ$502, 0, MATCH(1, (Data_Input!$7:$7=$F$3)*(Data_Input!$8:$8=$B275), 0)), 0) + 1, MATCH(1, (Data_Input!$7:$7=$F$3)*(Data_Input!$8:$8=$B275), 0)),"")</f>
        <v/>
      </c>
      <c r="H275" s="20" t="str" cm="1">
        <f t="array" ref="H275">IFERROR(INDEX(Data_Input!$A$1:$ZZ$502, MATCH("매입금액", INDEX(Data_Input!$A$1:$ZZ$502, 0, MATCH(1, (Data_Input!$7:$7=$F$3)*(Data_Input!$8:$8=$B275), 0)), 0) + 1, MATCH(1, (Data_Input!$7:$7=$F$3)*(Data_Input!$8:$8=$B275), 0)),"")</f>
        <v/>
      </c>
      <c r="I275" s="20" t="str" cm="1">
        <f t="array" ref="I275">IFERROR(INDEX(Data_Input!$A$1:$ZZ$502, MATCH("평가금액", INDEX(Data_Input!$A$1:$ZZ$502, 0, MATCH(1, (Data_Input!$7:$7=$F$3)*(Data_Input!$8:$8=$B275), 0)), 0) + 1, MATCH(1, (Data_Input!$7:$7=$F$3)*(Data_Input!$8:$8=$B275), 0)),"")</f>
        <v/>
      </c>
      <c r="J275" s="20" t="str" cm="1">
        <f t="array" ref="J275">IFERROR(INDEX(Data_Input!$A$1:$ZZ$502, MATCH("평가손익", INDEX(Data_Input!$A$1:$ZZ$502, 0, MATCH(1, (Data_Input!$7:$7=$F$3)*(Data_Input!$8:$8=$B275), 0)), 0) + 1, MATCH(1, (Data_Input!$7:$7=$F$3)*(Data_Input!$8:$8=$B275), 0)),"")</f>
        <v/>
      </c>
      <c r="K275" s="14" t="str" cm="1">
        <f t="array" ref="K275">IFERROR(INDEX(Data_Input!$A$1:$ZZ$502, MATCH("총수익률", INDEX(Data_Input!$A$1:$ZZ$502, 0, MATCH(1, (Data_Input!$7:$7=$F$3)*(Data_Input!$8:$8=$B275), 0)), 0) + 1, MATCH(1, (Data_Input!$7:$7=$F$3)*(Data_Input!$8:$8=$B275), 0)),"")</f>
        <v/>
      </c>
      <c r="L275" t="str" cm="1">
        <f t="array" ref="L275">IFERROR(_xlfn.LET(
    _xlpm.targetDate, B275,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76" spans="1:12" x14ac:dyDescent="0.3">
      <c r="A276" s="16" t="str">
        <f t="shared" si="8"/>
        <v/>
      </c>
      <c r="B276" s="19"/>
      <c r="C276" s="17" t="str">
        <f t="shared" si="9"/>
        <v/>
      </c>
      <c r="D276" s="29" t="str" cm="1">
        <f t="array" ref="D276">IFERROR(INDEX(Data_Input!$10:$10,MATCH(1,(Data_Input!$7:$7=$F$3)*(Data_Input!$8:$8=$B276),0)),"")</f>
        <v/>
      </c>
      <c r="E276" s="29" t="str" cm="1">
        <f t="array" ref="E276">IFERROR(INDEX(Data_Input!$1:$100, 9, MATCH(1, (Data_Input!$7:$7=$F$3) * (Data_Input!$8:$8=$B276), 0)),"")</f>
        <v/>
      </c>
      <c r="F276" s="20" t="str" cm="1">
        <f t="array" ref="F276">IFERROR(INDEX(Data_Input!$A$1:$ZZ$502, MATCH("예수금", INDEX(Data_Input!$A$1:$ZZ$502, 0, MATCH(1, (Data_Input!$7:$7=$F$3)*(Data_Input!$8:$8=$B276), 0)), 0) + 1, MATCH(1, (Data_Input!$7:$7=$F$3)*(Data_Input!$8:$8=$B276), 0)),"")</f>
        <v/>
      </c>
      <c r="G276" s="20" t="str" cm="1">
        <f t="array" ref="G276">IFERROR(INDEX(Data_Input!$A$1:$ZZ$502, MATCH("총자산", INDEX(Data_Input!$A$1:$ZZ$502, 0, MATCH(1, (Data_Input!$7:$7=$F$3)*(Data_Input!$8:$8=$B276), 0)), 0) + 1, MATCH(1, (Data_Input!$7:$7=$F$3)*(Data_Input!$8:$8=$B276), 0)),"")</f>
        <v/>
      </c>
      <c r="H276" s="20" t="str" cm="1">
        <f t="array" ref="H276">IFERROR(INDEX(Data_Input!$A$1:$ZZ$502, MATCH("매입금액", INDEX(Data_Input!$A$1:$ZZ$502, 0, MATCH(1, (Data_Input!$7:$7=$F$3)*(Data_Input!$8:$8=$B276), 0)), 0) + 1, MATCH(1, (Data_Input!$7:$7=$F$3)*(Data_Input!$8:$8=$B276), 0)),"")</f>
        <v/>
      </c>
      <c r="I276" s="20" t="str" cm="1">
        <f t="array" ref="I276">IFERROR(INDEX(Data_Input!$A$1:$ZZ$502, MATCH("평가금액", INDEX(Data_Input!$A$1:$ZZ$502, 0, MATCH(1, (Data_Input!$7:$7=$F$3)*(Data_Input!$8:$8=$B276), 0)), 0) + 1, MATCH(1, (Data_Input!$7:$7=$F$3)*(Data_Input!$8:$8=$B276), 0)),"")</f>
        <v/>
      </c>
      <c r="J276" s="20" t="str" cm="1">
        <f t="array" ref="J276">IFERROR(INDEX(Data_Input!$A$1:$ZZ$502, MATCH("평가손익", INDEX(Data_Input!$A$1:$ZZ$502, 0, MATCH(1, (Data_Input!$7:$7=$F$3)*(Data_Input!$8:$8=$B276), 0)), 0) + 1, MATCH(1, (Data_Input!$7:$7=$F$3)*(Data_Input!$8:$8=$B276), 0)),"")</f>
        <v/>
      </c>
      <c r="K276" s="14" t="str" cm="1">
        <f t="array" ref="K276">IFERROR(INDEX(Data_Input!$A$1:$ZZ$502, MATCH("총수익률", INDEX(Data_Input!$A$1:$ZZ$502, 0, MATCH(1, (Data_Input!$7:$7=$F$3)*(Data_Input!$8:$8=$B276), 0)), 0) + 1, MATCH(1, (Data_Input!$7:$7=$F$3)*(Data_Input!$8:$8=$B276), 0)),"")</f>
        <v/>
      </c>
      <c r="L276" t="str" cm="1">
        <f t="array" ref="L276">IFERROR(_xlfn.LET(
    _xlpm.targetDate, B276,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77" spans="1:12" x14ac:dyDescent="0.3">
      <c r="A277" s="16" t="str">
        <f t="shared" si="8"/>
        <v/>
      </c>
      <c r="B277" s="19"/>
      <c r="C277" s="17" t="str">
        <f t="shared" si="9"/>
        <v/>
      </c>
      <c r="D277" s="29" t="str" cm="1">
        <f t="array" ref="D277">IFERROR(INDEX(Data_Input!$10:$10,MATCH(1,(Data_Input!$7:$7=$F$3)*(Data_Input!$8:$8=$B277),0)),"")</f>
        <v/>
      </c>
      <c r="E277" s="29" t="str" cm="1">
        <f t="array" ref="E277">IFERROR(INDEX(Data_Input!$1:$100, 9, MATCH(1, (Data_Input!$7:$7=$F$3) * (Data_Input!$8:$8=$B277), 0)),"")</f>
        <v/>
      </c>
      <c r="F277" s="20" t="str" cm="1">
        <f t="array" ref="F277">IFERROR(INDEX(Data_Input!$A$1:$ZZ$502, MATCH("예수금", INDEX(Data_Input!$A$1:$ZZ$502, 0, MATCH(1, (Data_Input!$7:$7=$F$3)*(Data_Input!$8:$8=$B277), 0)), 0) + 1, MATCH(1, (Data_Input!$7:$7=$F$3)*(Data_Input!$8:$8=$B277), 0)),"")</f>
        <v/>
      </c>
      <c r="G277" s="20" t="str" cm="1">
        <f t="array" ref="G277">IFERROR(INDEX(Data_Input!$A$1:$ZZ$502, MATCH("총자산", INDEX(Data_Input!$A$1:$ZZ$502, 0, MATCH(1, (Data_Input!$7:$7=$F$3)*(Data_Input!$8:$8=$B277), 0)), 0) + 1, MATCH(1, (Data_Input!$7:$7=$F$3)*(Data_Input!$8:$8=$B277), 0)),"")</f>
        <v/>
      </c>
      <c r="H277" s="20" t="str" cm="1">
        <f t="array" ref="H277">IFERROR(INDEX(Data_Input!$A$1:$ZZ$502, MATCH("매입금액", INDEX(Data_Input!$A$1:$ZZ$502, 0, MATCH(1, (Data_Input!$7:$7=$F$3)*(Data_Input!$8:$8=$B277), 0)), 0) + 1, MATCH(1, (Data_Input!$7:$7=$F$3)*(Data_Input!$8:$8=$B277), 0)),"")</f>
        <v/>
      </c>
      <c r="I277" s="20" t="str" cm="1">
        <f t="array" ref="I277">IFERROR(INDEX(Data_Input!$A$1:$ZZ$502, MATCH("평가금액", INDEX(Data_Input!$A$1:$ZZ$502, 0, MATCH(1, (Data_Input!$7:$7=$F$3)*(Data_Input!$8:$8=$B277), 0)), 0) + 1, MATCH(1, (Data_Input!$7:$7=$F$3)*(Data_Input!$8:$8=$B277), 0)),"")</f>
        <v/>
      </c>
      <c r="J277" s="20" t="str" cm="1">
        <f t="array" ref="J277">IFERROR(INDEX(Data_Input!$A$1:$ZZ$502, MATCH("평가손익", INDEX(Data_Input!$A$1:$ZZ$502, 0, MATCH(1, (Data_Input!$7:$7=$F$3)*(Data_Input!$8:$8=$B277), 0)), 0) + 1, MATCH(1, (Data_Input!$7:$7=$F$3)*(Data_Input!$8:$8=$B277), 0)),"")</f>
        <v/>
      </c>
      <c r="K277" s="14" t="str" cm="1">
        <f t="array" ref="K277">IFERROR(INDEX(Data_Input!$A$1:$ZZ$502, MATCH("총수익률", INDEX(Data_Input!$A$1:$ZZ$502, 0, MATCH(1, (Data_Input!$7:$7=$F$3)*(Data_Input!$8:$8=$B277), 0)), 0) + 1, MATCH(1, (Data_Input!$7:$7=$F$3)*(Data_Input!$8:$8=$B277), 0)),"")</f>
        <v/>
      </c>
      <c r="L277" t="str" cm="1">
        <f t="array" ref="L277">IFERROR(_xlfn.LET(
    _xlpm.targetDate, B277,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78" spans="1:12" x14ac:dyDescent="0.3">
      <c r="A278" s="16" t="str">
        <f t="shared" si="8"/>
        <v/>
      </c>
      <c r="B278" s="19"/>
      <c r="C278" s="17" t="str">
        <f t="shared" si="9"/>
        <v/>
      </c>
      <c r="D278" s="29" t="str" cm="1">
        <f t="array" ref="D278">IFERROR(INDEX(Data_Input!$10:$10,MATCH(1,(Data_Input!$7:$7=$F$3)*(Data_Input!$8:$8=$B278),0)),"")</f>
        <v/>
      </c>
      <c r="E278" s="29" t="str" cm="1">
        <f t="array" ref="E278">IFERROR(INDEX(Data_Input!$1:$100, 9, MATCH(1, (Data_Input!$7:$7=$F$3) * (Data_Input!$8:$8=$B278), 0)),"")</f>
        <v/>
      </c>
      <c r="F278" s="20" t="str" cm="1">
        <f t="array" ref="F278">IFERROR(INDEX(Data_Input!$A$1:$ZZ$502, MATCH("예수금", INDEX(Data_Input!$A$1:$ZZ$502, 0, MATCH(1, (Data_Input!$7:$7=$F$3)*(Data_Input!$8:$8=$B278), 0)), 0) + 1, MATCH(1, (Data_Input!$7:$7=$F$3)*(Data_Input!$8:$8=$B278), 0)),"")</f>
        <v/>
      </c>
      <c r="G278" s="20" t="str" cm="1">
        <f t="array" ref="G278">IFERROR(INDEX(Data_Input!$A$1:$ZZ$502, MATCH("총자산", INDEX(Data_Input!$A$1:$ZZ$502, 0, MATCH(1, (Data_Input!$7:$7=$F$3)*(Data_Input!$8:$8=$B278), 0)), 0) + 1, MATCH(1, (Data_Input!$7:$7=$F$3)*(Data_Input!$8:$8=$B278), 0)),"")</f>
        <v/>
      </c>
      <c r="H278" s="20" t="str" cm="1">
        <f t="array" ref="H278">IFERROR(INDEX(Data_Input!$A$1:$ZZ$502, MATCH("매입금액", INDEX(Data_Input!$A$1:$ZZ$502, 0, MATCH(1, (Data_Input!$7:$7=$F$3)*(Data_Input!$8:$8=$B278), 0)), 0) + 1, MATCH(1, (Data_Input!$7:$7=$F$3)*(Data_Input!$8:$8=$B278), 0)),"")</f>
        <v/>
      </c>
      <c r="I278" s="20" t="str" cm="1">
        <f t="array" ref="I278">IFERROR(INDEX(Data_Input!$A$1:$ZZ$502, MATCH("평가금액", INDEX(Data_Input!$A$1:$ZZ$502, 0, MATCH(1, (Data_Input!$7:$7=$F$3)*(Data_Input!$8:$8=$B278), 0)), 0) + 1, MATCH(1, (Data_Input!$7:$7=$F$3)*(Data_Input!$8:$8=$B278), 0)),"")</f>
        <v/>
      </c>
      <c r="J278" s="20" t="str" cm="1">
        <f t="array" ref="J278">IFERROR(INDEX(Data_Input!$A$1:$ZZ$502, MATCH("평가손익", INDEX(Data_Input!$A$1:$ZZ$502, 0, MATCH(1, (Data_Input!$7:$7=$F$3)*(Data_Input!$8:$8=$B278), 0)), 0) + 1, MATCH(1, (Data_Input!$7:$7=$F$3)*(Data_Input!$8:$8=$B278), 0)),"")</f>
        <v/>
      </c>
      <c r="K278" s="14" t="str" cm="1">
        <f t="array" ref="K278">IFERROR(INDEX(Data_Input!$A$1:$ZZ$502, MATCH("총수익률", INDEX(Data_Input!$A$1:$ZZ$502, 0, MATCH(1, (Data_Input!$7:$7=$F$3)*(Data_Input!$8:$8=$B278), 0)), 0) + 1, MATCH(1, (Data_Input!$7:$7=$F$3)*(Data_Input!$8:$8=$B278), 0)),"")</f>
        <v/>
      </c>
      <c r="L278" t="str" cm="1">
        <f t="array" ref="L278">IFERROR(_xlfn.LET(
    _xlpm.targetDate, B278,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79" spans="1:12" x14ac:dyDescent="0.3">
      <c r="A279" s="16" t="str">
        <f t="shared" si="8"/>
        <v/>
      </c>
      <c r="B279" s="19"/>
      <c r="C279" s="17" t="str">
        <f t="shared" si="9"/>
        <v/>
      </c>
      <c r="D279" s="29" t="str" cm="1">
        <f t="array" ref="D279">IFERROR(INDEX(Data_Input!$10:$10,MATCH(1,(Data_Input!$7:$7=$F$3)*(Data_Input!$8:$8=$B279),0)),"")</f>
        <v/>
      </c>
      <c r="E279" s="29" t="str" cm="1">
        <f t="array" ref="E279">IFERROR(INDEX(Data_Input!$1:$100, 9, MATCH(1, (Data_Input!$7:$7=$F$3) * (Data_Input!$8:$8=$B279), 0)),"")</f>
        <v/>
      </c>
      <c r="F279" s="20" t="str" cm="1">
        <f t="array" ref="F279">IFERROR(INDEX(Data_Input!$A$1:$ZZ$502, MATCH("예수금", INDEX(Data_Input!$A$1:$ZZ$502, 0, MATCH(1, (Data_Input!$7:$7=$F$3)*(Data_Input!$8:$8=$B279), 0)), 0) + 1, MATCH(1, (Data_Input!$7:$7=$F$3)*(Data_Input!$8:$8=$B279), 0)),"")</f>
        <v/>
      </c>
      <c r="G279" s="20" t="str" cm="1">
        <f t="array" ref="G279">IFERROR(INDEX(Data_Input!$A$1:$ZZ$502, MATCH("총자산", INDEX(Data_Input!$A$1:$ZZ$502, 0, MATCH(1, (Data_Input!$7:$7=$F$3)*(Data_Input!$8:$8=$B279), 0)), 0) + 1, MATCH(1, (Data_Input!$7:$7=$F$3)*(Data_Input!$8:$8=$B279), 0)),"")</f>
        <v/>
      </c>
      <c r="H279" s="20" t="str" cm="1">
        <f t="array" ref="H279">IFERROR(INDEX(Data_Input!$A$1:$ZZ$502, MATCH("매입금액", INDEX(Data_Input!$A$1:$ZZ$502, 0, MATCH(1, (Data_Input!$7:$7=$F$3)*(Data_Input!$8:$8=$B279), 0)), 0) + 1, MATCH(1, (Data_Input!$7:$7=$F$3)*(Data_Input!$8:$8=$B279), 0)),"")</f>
        <v/>
      </c>
      <c r="I279" s="20" t="str" cm="1">
        <f t="array" ref="I279">IFERROR(INDEX(Data_Input!$A$1:$ZZ$502, MATCH("평가금액", INDEX(Data_Input!$A$1:$ZZ$502, 0, MATCH(1, (Data_Input!$7:$7=$F$3)*(Data_Input!$8:$8=$B279), 0)), 0) + 1, MATCH(1, (Data_Input!$7:$7=$F$3)*(Data_Input!$8:$8=$B279), 0)),"")</f>
        <v/>
      </c>
      <c r="J279" s="20" t="str" cm="1">
        <f t="array" ref="J279">IFERROR(INDEX(Data_Input!$A$1:$ZZ$502, MATCH("평가손익", INDEX(Data_Input!$A$1:$ZZ$502, 0, MATCH(1, (Data_Input!$7:$7=$F$3)*(Data_Input!$8:$8=$B279), 0)), 0) + 1, MATCH(1, (Data_Input!$7:$7=$F$3)*(Data_Input!$8:$8=$B279), 0)),"")</f>
        <v/>
      </c>
      <c r="K279" s="14" t="str" cm="1">
        <f t="array" ref="K279">IFERROR(INDEX(Data_Input!$A$1:$ZZ$502, MATCH("총수익률", INDEX(Data_Input!$A$1:$ZZ$502, 0, MATCH(1, (Data_Input!$7:$7=$F$3)*(Data_Input!$8:$8=$B279), 0)), 0) + 1, MATCH(1, (Data_Input!$7:$7=$F$3)*(Data_Input!$8:$8=$B279), 0)),"")</f>
        <v/>
      </c>
      <c r="L279" t="str" cm="1">
        <f t="array" ref="L279">IFERROR(_xlfn.LET(
    _xlpm.targetDate, B279,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80" spans="1:12" x14ac:dyDescent="0.3">
      <c r="A280" s="16" t="str">
        <f t="shared" si="8"/>
        <v/>
      </c>
      <c r="B280" s="19"/>
      <c r="C280" s="17" t="str">
        <f t="shared" si="9"/>
        <v/>
      </c>
      <c r="D280" s="29" t="str" cm="1">
        <f t="array" ref="D280">IFERROR(INDEX(Data_Input!$10:$10,MATCH(1,(Data_Input!$7:$7=$F$3)*(Data_Input!$8:$8=$B280),0)),"")</f>
        <v/>
      </c>
      <c r="E280" s="29" t="str" cm="1">
        <f t="array" ref="E280">IFERROR(INDEX(Data_Input!$1:$100, 9, MATCH(1, (Data_Input!$7:$7=$F$3) * (Data_Input!$8:$8=$B280), 0)),"")</f>
        <v/>
      </c>
      <c r="F280" s="20" t="str" cm="1">
        <f t="array" ref="F280">IFERROR(INDEX(Data_Input!$A$1:$ZZ$502, MATCH("예수금", INDEX(Data_Input!$A$1:$ZZ$502, 0, MATCH(1, (Data_Input!$7:$7=$F$3)*(Data_Input!$8:$8=$B280), 0)), 0) + 1, MATCH(1, (Data_Input!$7:$7=$F$3)*(Data_Input!$8:$8=$B280), 0)),"")</f>
        <v/>
      </c>
      <c r="G280" s="20" t="str" cm="1">
        <f t="array" ref="G280">IFERROR(INDEX(Data_Input!$A$1:$ZZ$502, MATCH("총자산", INDEX(Data_Input!$A$1:$ZZ$502, 0, MATCH(1, (Data_Input!$7:$7=$F$3)*(Data_Input!$8:$8=$B280), 0)), 0) + 1, MATCH(1, (Data_Input!$7:$7=$F$3)*(Data_Input!$8:$8=$B280), 0)),"")</f>
        <v/>
      </c>
      <c r="H280" s="20" t="str" cm="1">
        <f t="array" ref="H280">IFERROR(INDEX(Data_Input!$A$1:$ZZ$502, MATCH("매입금액", INDEX(Data_Input!$A$1:$ZZ$502, 0, MATCH(1, (Data_Input!$7:$7=$F$3)*(Data_Input!$8:$8=$B280), 0)), 0) + 1, MATCH(1, (Data_Input!$7:$7=$F$3)*(Data_Input!$8:$8=$B280), 0)),"")</f>
        <v/>
      </c>
      <c r="I280" s="20" t="str" cm="1">
        <f t="array" ref="I280">IFERROR(INDEX(Data_Input!$A$1:$ZZ$502, MATCH("평가금액", INDEX(Data_Input!$A$1:$ZZ$502, 0, MATCH(1, (Data_Input!$7:$7=$F$3)*(Data_Input!$8:$8=$B280), 0)), 0) + 1, MATCH(1, (Data_Input!$7:$7=$F$3)*(Data_Input!$8:$8=$B280), 0)),"")</f>
        <v/>
      </c>
      <c r="J280" s="20" t="str" cm="1">
        <f t="array" ref="J280">IFERROR(INDEX(Data_Input!$A$1:$ZZ$502, MATCH("평가손익", INDEX(Data_Input!$A$1:$ZZ$502, 0, MATCH(1, (Data_Input!$7:$7=$F$3)*(Data_Input!$8:$8=$B280), 0)), 0) + 1, MATCH(1, (Data_Input!$7:$7=$F$3)*(Data_Input!$8:$8=$B280), 0)),"")</f>
        <v/>
      </c>
      <c r="K280" s="14" t="str" cm="1">
        <f t="array" ref="K280">IFERROR(INDEX(Data_Input!$A$1:$ZZ$502, MATCH("총수익률", INDEX(Data_Input!$A$1:$ZZ$502, 0, MATCH(1, (Data_Input!$7:$7=$F$3)*(Data_Input!$8:$8=$B280), 0)), 0) + 1, MATCH(1, (Data_Input!$7:$7=$F$3)*(Data_Input!$8:$8=$B280), 0)),"")</f>
        <v/>
      </c>
      <c r="L280" t="str" cm="1">
        <f t="array" ref="L280">IFERROR(_xlfn.LET(
    _xlpm.targetDate, B280,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81" spans="1:12" x14ac:dyDescent="0.3">
      <c r="A281" s="16" t="str">
        <f t="shared" si="8"/>
        <v/>
      </c>
      <c r="B281" s="19"/>
      <c r="C281" s="17" t="str">
        <f t="shared" si="9"/>
        <v/>
      </c>
      <c r="D281" s="29" t="str" cm="1">
        <f t="array" ref="D281">IFERROR(INDEX(Data_Input!$10:$10,MATCH(1,(Data_Input!$7:$7=$F$3)*(Data_Input!$8:$8=$B281),0)),"")</f>
        <v/>
      </c>
      <c r="E281" s="29" t="str" cm="1">
        <f t="array" ref="E281">IFERROR(INDEX(Data_Input!$1:$100, 9, MATCH(1, (Data_Input!$7:$7=$F$3) * (Data_Input!$8:$8=$B281), 0)),"")</f>
        <v/>
      </c>
      <c r="F281" s="20" t="str" cm="1">
        <f t="array" ref="F281">IFERROR(INDEX(Data_Input!$A$1:$ZZ$502, MATCH("예수금", INDEX(Data_Input!$A$1:$ZZ$502, 0, MATCH(1, (Data_Input!$7:$7=$F$3)*(Data_Input!$8:$8=$B281), 0)), 0) + 1, MATCH(1, (Data_Input!$7:$7=$F$3)*(Data_Input!$8:$8=$B281), 0)),"")</f>
        <v/>
      </c>
      <c r="G281" s="20" t="str" cm="1">
        <f t="array" ref="G281">IFERROR(INDEX(Data_Input!$A$1:$ZZ$502, MATCH("총자산", INDEX(Data_Input!$A$1:$ZZ$502, 0, MATCH(1, (Data_Input!$7:$7=$F$3)*(Data_Input!$8:$8=$B281), 0)), 0) + 1, MATCH(1, (Data_Input!$7:$7=$F$3)*(Data_Input!$8:$8=$B281), 0)),"")</f>
        <v/>
      </c>
      <c r="H281" s="20" t="str" cm="1">
        <f t="array" ref="H281">IFERROR(INDEX(Data_Input!$A$1:$ZZ$502, MATCH("매입금액", INDEX(Data_Input!$A$1:$ZZ$502, 0, MATCH(1, (Data_Input!$7:$7=$F$3)*(Data_Input!$8:$8=$B281), 0)), 0) + 1, MATCH(1, (Data_Input!$7:$7=$F$3)*(Data_Input!$8:$8=$B281), 0)),"")</f>
        <v/>
      </c>
      <c r="I281" s="20" t="str" cm="1">
        <f t="array" ref="I281">IFERROR(INDEX(Data_Input!$A$1:$ZZ$502, MATCH("평가금액", INDEX(Data_Input!$A$1:$ZZ$502, 0, MATCH(1, (Data_Input!$7:$7=$F$3)*(Data_Input!$8:$8=$B281), 0)), 0) + 1, MATCH(1, (Data_Input!$7:$7=$F$3)*(Data_Input!$8:$8=$B281), 0)),"")</f>
        <v/>
      </c>
      <c r="J281" s="20" t="str" cm="1">
        <f t="array" ref="J281">IFERROR(INDEX(Data_Input!$A$1:$ZZ$502, MATCH("평가손익", INDEX(Data_Input!$A$1:$ZZ$502, 0, MATCH(1, (Data_Input!$7:$7=$F$3)*(Data_Input!$8:$8=$B281), 0)), 0) + 1, MATCH(1, (Data_Input!$7:$7=$F$3)*(Data_Input!$8:$8=$B281), 0)),"")</f>
        <v/>
      </c>
      <c r="K281" s="14" t="str" cm="1">
        <f t="array" ref="K281">IFERROR(INDEX(Data_Input!$A$1:$ZZ$502, MATCH("총수익률", INDEX(Data_Input!$A$1:$ZZ$502, 0, MATCH(1, (Data_Input!$7:$7=$F$3)*(Data_Input!$8:$8=$B281), 0)), 0) + 1, MATCH(1, (Data_Input!$7:$7=$F$3)*(Data_Input!$8:$8=$B281), 0)),"")</f>
        <v/>
      </c>
      <c r="L281" t="str" cm="1">
        <f t="array" ref="L281">IFERROR(_xlfn.LET(
    _xlpm.targetDate, B281,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82" spans="1:12" x14ac:dyDescent="0.3">
      <c r="A282" s="16" t="str">
        <f t="shared" si="8"/>
        <v/>
      </c>
      <c r="B282" s="19"/>
      <c r="C282" s="17" t="str">
        <f t="shared" si="9"/>
        <v/>
      </c>
      <c r="D282" s="29" t="str" cm="1">
        <f t="array" ref="D282">IFERROR(INDEX(Data_Input!$10:$10,MATCH(1,(Data_Input!$7:$7=$F$3)*(Data_Input!$8:$8=$B282),0)),"")</f>
        <v/>
      </c>
      <c r="E282" s="29" t="str" cm="1">
        <f t="array" ref="E282">IFERROR(INDEX(Data_Input!$1:$100, 9, MATCH(1, (Data_Input!$7:$7=$F$3) * (Data_Input!$8:$8=$B282), 0)),"")</f>
        <v/>
      </c>
      <c r="F282" s="20" t="str" cm="1">
        <f t="array" ref="F282">IFERROR(INDEX(Data_Input!$A$1:$ZZ$502, MATCH("예수금", INDEX(Data_Input!$A$1:$ZZ$502, 0, MATCH(1, (Data_Input!$7:$7=$F$3)*(Data_Input!$8:$8=$B282), 0)), 0) + 1, MATCH(1, (Data_Input!$7:$7=$F$3)*(Data_Input!$8:$8=$B282), 0)),"")</f>
        <v/>
      </c>
      <c r="G282" s="20" t="str" cm="1">
        <f t="array" ref="G282">IFERROR(INDEX(Data_Input!$A$1:$ZZ$502, MATCH("총자산", INDEX(Data_Input!$A$1:$ZZ$502, 0, MATCH(1, (Data_Input!$7:$7=$F$3)*(Data_Input!$8:$8=$B282), 0)), 0) + 1, MATCH(1, (Data_Input!$7:$7=$F$3)*(Data_Input!$8:$8=$B282), 0)),"")</f>
        <v/>
      </c>
      <c r="H282" s="20" t="str" cm="1">
        <f t="array" ref="H282">IFERROR(INDEX(Data_Input!$A$1:$ZZ$502, MATCH("매입금액", INDEX(Data_Input!$A$1:$ZZ$502, 0, MATCH(1, (Data_Input!$7:$7=$F$3)*(Data_Input!$8:$8=$B282), 0)), 0) + 1, MATCH(1, (Data_Input!$7:$7=$F$3)*(Data_Input!$8:$8=$B282), 0)),"")</f>
        <v/>
      </c>
      <c r="I282" s="20" t="str" cm="1">
        <f t="array" ref="I282">IFERROR(INDEX(Data_Input!$A$1:$ZZ$502, MATCH("평가금액", INDEX(Data_Input!$A$1:$ZZ$502, 0, MATCH(1, (Data_Input!$7:$7=$F$3)*(Data_Input!$8:$8=$B282), 0)), 0) + 1, MATCH(1, (Data_Input!$7:$7=$F$3)*(Data_Input!$8:$8=$B282), 0)),"")</f>
        <v/>
      </c>
      <c r="J282" s="20" t="str" cm="1">
        <f t="array" ref="J282">IFERROR(INDEX(Data_Input!$A$1:$ZZ$502, MATCH("평가손익", INDEX(Data_Input!$A$1:$ZZ$502, 0, MATCH(1, (Data_Input!$7:$7=$F$3)*(Data_Input!$8:$8=$B282), 0)), 0) + 1, MATCH(1, (Data_Input!$7:$7=$F$3)*(Data_Input!$8:$8=$B282), 0)),"")</f>
        <v/>
      </c>
      <c r="K282" s="14" t="str" cm="1">
        <f t="array" ref="K282">IFERROR(INDEX(Data_Input!$A$1:$ZZ$502, MATCH("총수익률", INDEX(Data_Input!$A$1:$ZZ$502, 0, MATCH(1, (Data_Input!$7:$7=$F$3)*(Data_Input!$8:$8=$B282), 0)), 0) + 1, MATCH(1, (Data_Input!$7:$7=$F$3)*(Data_Input!$8:$8=$B282), 0)),"")</f>
        <v/>
      </c>
      <c r="L282" t="str" cm="1">
        <f t="array" ref="L282">IFERROR(_xlfn.LET(
    _xlpm.targetDate, B282,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83" spans="1:12" x14ac:dyDescent="0.3">
      <c r="A283" s="16" t="str">
        <f t="shared" si="8"/>
        <v/>
      </c>
      <c r="B283" s="19"/>
      <c r="C283" s="17" t="str">
        <f t="shared" si="9"/>
        <v/>
      </c>
      <c r="D283" s="29" t="str" cm="1">
        <f t="array" ref="D283">IFERROR(INDEX(Data_Input!$10:$10,MATCH(1,(Data_Input!$7:$7=$F$3)*(Data_Input!$8:$8=$B283),0)),"")</f>
        <v/>
      </c>
      <c r="E283" s="29" t="str" cm="1">
        <f t="array" ref="E283">IFERROR(INDEX(Data_Input!$1:$100, 9, MATCH(1, (Data_Input!$7:$7=$F$3) * (Data_Input!$8:$8=$B283), 0)),"")</f>
        <v/>
      </c>
      <c r="F283" s="20" t="str" cm="1">
        <f t="array" ref="F283">IFERROR(INDEX(Data_Input!$A$1:$ZZ$502, MATCH("예수금", INDEX(Data_Input!$A$1:$ZZ$502, 0, MATCH(1, (Data_Input!$7:$7=$F$3)*(Data_Input!$8:$8=$B283), 0)), 0) + 1, MATCH(1, (Data_Input!$7:$7=$F$3)*(Data_Input!$8:$8=$B283), 0)),"")</f>
        <v/>
      </c>
      <c r="G283" s="20" t="str" cm="1">
        <f t="array" ref="G283">IFERROR(INDEX(Data_Input!$A$1:$ZZ$502, MATCH("총자산", INDEX(Data_Input!$A$1:$ZZ$502, 0, MATCH(1, (Data_Input!$7:$7=$F$3)*(Data_Input!$8:$8=$B283), 0)), 0) + 1, MATCH(1, (Data_Input!$7:$7=$F$3)*(Data_Input!$8:$8=$B283), 0)),"")</f>
        <v/>
      </c>
      <c r="H283" s="20" t="str" cm="1">
        <f t="array" ref="H283">IFERROR(INDEX(Data_Input!$A$1:$ZZ$502, MATCH("매입금액", INDEX(Data_Input!$A$1:$ZZ$502, 0, MATCH(1, (Data_Input!$7:$7=$F$3)*(Data_Input!$8:$8=$B283), 0)), 0) + 1, MATCH(1, (Data_Input!$7:$7=$F$3)*(Data_Input!$8:$8=$B283), 0)),"")</f>
        <v/>
      </c>
      <c r="I283" s="20" t="str" cm="1">
        <f t="array" ref="I283">IFERROR(INDEX(Data_Input!$A$1:$ZZ$502, MATCH("평가금액", INDEX(Data_Input!$A$1:$ZZ$502, 0, MATCH(1, (Data_Input!$7:$7=$F$3)*(Data_Input!$8:$8=$B283), 0)), 0) + 1, MATCH(1, (Data_Input!$7:$7=$F$3)*(Data_Input!$8:$8=$B283), 0)),"")</f>
        <v/>
      </c>
      <c r="J283" s="20" t="str" cm="1">
        <f t="array" ref="J283">IFERROR(INDEX(Data_Input!$A$1:$ZZ$502, MATCH("평가손익", INDEX(Data_Input!$A$1:$ZZ$502, 0, MATCH(1, (Data_Input!$7:$7=$F$3)*(Data_Input!$8:$8=$B283), 0)), 0) + 1, MATCH(1, (Data_Input!$7:$7=$F$3)*(Data_Input!$8:$8=$B283), 0)),"")</f>
        <v/>
      </c>
      <c r="K283" s="14" t="str" cm="1">
        <f t="array" ref="K283">IFERROR(INDEX(Data_Input!$A$1:$ZZ$502, MATCH("총수익률", INDEX(Data_Input!$A$1:$ZZ$502, 0, MATCH(1, (Data_Input!$7:$7=$F$3)*(Data_Input!$8:$8=$B283), 0)), 0) + 1, MATCH(1, (Data_Input!$7:$7=$F$3)*(Data_Input!$8:$8=$B283), 0)),"")</f>
        <v/>
      </c>
      <c r="L283" t="str" cm="1">
        <f t="array" ref="L283">IFERROR(_xlfn.LET(
    _xlpm.targetDate, B283,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84" spans="1:12" x14ac:dyDescent="0.3">
      <c r="A284" s="16" t="str">
        <f t="shared" si="8"/>
        <v/>
      </c>
      <c r="B284" s="19"/>
      <c r="C284" s="17" t="str">
        <f t="shared" si="9"/>
        <v/>
      </c>
      <c r="D284" s="29" t="str" cm="1">
        <f t="array" ref="D284">IFERROR(INDEX(Data_Input!$10:$10,MATCH(1,(Data_Input!$7:$7=$F$3)*(Data_Input!$8:$8=$B284),0)),"")</f>
        <v/>
      </c>
      <c r="E284" s="29" t="str" cm="1">
        <f t="array" ref="E284">IFERROR(INDEX(Data_Input!$1:$100, 9, MATCH(1, (Data_Input!$7:$7=$F$3) * (Data_Input!$8:$8=$B284), 0)),"")</f>
        <v/>
      </c>
      <c r="F284" s="20" t="str" cm="1">
        <f t="array" ref="F284">IFERROR(INDEX(Data_Input!$A$1:$ZZ$502, MATCH("예수금", INDEX(Data_Input!$A$1:$ZZ$502, 0, MATCH(1, (Data_Input!$7:$7=$F$3)*(Data_Input!$8:$8=$B284), 0)), 0) + 1, MATCH(1, (Data_Input!$7:$7=$F$3)*(Data_Input!$8:$8=$B284), 0)),"")</f>
        <v/>
      </c>
      <c r="G284" s="20" t="str" cm="1">
        <f t="array" ref="G284">IFERROR(INDEX(Data_Input!$A$1:$ZZ$502, MATCH("총자산", INDEX(Data_Input!$A$1:$ZZ$502, 0, MATCH(1, (Data_Input!$7:$7=$F$3)*(Data_Input!$8:$8=$B284), 0)), 0) + 1, MATCH(1, (Data_Input!$7:$7=$F$3)*(Data_Input!$8:$8=$B284), 0)),"")</f>
        <v/>
      </c>
      <c r="H284" s="20" t="str" cm="1">
        <f t="array" ref="H284">IFERROR(INDEX(Data_Input!$A$1:$ZZ$502, MATCH("매입금액", INDEX(Data_Input!$A$1:$ZZ$502, 0, MATCH(1, (Data_Input!$7:$7=$F$3)*(Data_Input!$8:$8=$B284), 0)), 0) + 1, MATCH(1, (Data_Input!$7:$7=$F$3)*(Data_Input!$8:$8=$B284), 0)),"")</f>
        <v/>
      </c>
      <c r="I284" s="20" t="str" cm="1">
        <f t="array" ref="I284">IFERROR(INDEX(Data_Input!$A$1:$ZZ$502, MATCH("평가금액", INDEX(Data_Input!$A$1:$ZZ$502, 0, MATCH(1, (Data_Input!$7:$7=$F$3)*(Data_Input!$8:$8=$B284), 0)), 0) + 1, MATCH(1, (Data_Input!$7:$7=$F$3)*(Data_Input!$8:$8=$B284), 0)),"")</f>
        <v/>
      </c>
      <c r="J284" s="20" t="str" cm="1">
        <f t="array" ref="J284">IFERROR(INDEX(Data_Input!$A$1:$ZZ$502, MATCH("평가손익", INDEX(Data_Input!$A$1:$ZZ$502, 0, MATCH(1, (Data_Input!$7:$7=$F$3)*(Data_Input!$8:$8=$B284), 0)), 0) + 1, MATCH(1, (Data_Input!$7:$7=$F$3)*(Data_Input!$8:$8=$B284), 0)),"")</f>
        <v/>
      </c>
      <c r="K284" s="14" t="str" cm="1">
        <f t="array" ref="K284">IFERROR(INDEX(Data_Input!$A$1:$ZZ$502, MATCH("총수익률", INDEX(Data_Input!$A$1:$ZZ$502, 0, MATCH(1, (Data_Input!$7:$7=$F$3)*(Data_Input!$8:$8=$B284), 0)), 0) + 1, MATCH(1, (Data_Input!$7:$7=$F$3)*(Data_Input!$8:$8=$B284), 0)),"")</f>
        <v/>
      </c>
      <c r="L284" t="str" cm="1">
        <f t="array" ref="L284">IFERROR(_xlfn.LET(
    _xlpm.targetDate, B284,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85" spans="1:12" x14ac:dyDescent="0.3">
      <c r="A285" s="16" t="str">
        <f t="shared" si="8"/>
        <v/>
      </c>
      <c r="B285" s="19"/>
      <c r="C285" s="17" t="str">
        <f t="shared" si="9"/>
        <v/>
      </c>
      <c r="D285" s="29" t="str" cm="1">
        <f t="array" ref="D285">IFERROR(INDEX(Data_Input!$10:$10,MATCH(1,(Data_Input!$7:$7=$F$3)*(Data_Input!$8:$8=$B285),0)),"")</f>
        <v/>
      </c>
      <c r="E285" s="29" t="str" cm="1">
        <f t="array" ref="E285">IFERROR(INDEX(Data_Input!$1:$100, 9, MATCH(1, (Data_Input!$7:$7=$F$3) * (Data_Input!$8:$8=$B285), 0)),"")</f>
        <v/>
      </c>
      <c r="F285" s="20" t="str" cm="1">
        <f t="array" ref="F285">IFERROR(INDEX(Data_Input!$A$1:$ZZ$502, MATCH("예수금", INDEX(Data_Input!$A$1:$ZZ$502, 0, MATCH(1, (Data_Input!$7:$7=$F$3)*(Data_Input!$8:$8=$B285), 0)), 0) + 1, MATCH(1, (Data_Input!$7:$7=$F$3)*(Data_Input!$8:$8=$B285), 0)),"")</f>
        <v/>
      </c>
      <c r="G285" s="20" t="str" cm="1">
        <f t="array" ref="G285">IFERROR(INDEX(Data_Input!$A$1:$ZZ$502, MATCH("총자산", INDEX(Data_Input!$A$1:$ZZ$502, 0, MATCH(1, (Data_Input!$7:$7=$F$3)*(Data_Input!$8:$8=$B285), 0)), 0) + 1, MATCH(1, (Data_Input!$7:$7=$F$3)*(Data_Input!$8:$8=$B285), 0)),"")</f>
        <v/>
      </c>
      <c r="H285" s="20" t="str" cm="1">
        <f t="array" ref="H285">IFERROR(INDEX(Data_Input!$A$1:$ZZ$502, MATCH("매입금액", INDEX(Data_Input!$A$1:$ZZ$502, 0, MATCH(1, (Data_Input!$7:$7=$F$3)*(Data_Input!$8:$8=$B285), 0)), 0) + 1, MATCH(1, (Data_Input!$7:$7=$F$3)*(Data_Input!$8:$8=$B285), 0)),"")</f>
        <v/>
      </c>
      <c r="I285" s="20" t="str" cm="1">
        <f t="array" ref="I285">IFERROR(INDEX(Data_Input!$A$1:$ZZ$502, MATCH("평가금액", INDEX(Data_Input!$A$1:$ZZ$502, 0, MATCH(1, (Data_Input!$7:$7=$F$3)*(Data_Input!$8:$8=$B285), 0)), 0) + 1, MATCH(1, (Data_Input!$7:$7=$F$3)*(Data_Input!$8:$8=$B285), 0)),"")</f>
        <v/>
      </c>
      <c r="J285" s="20" t="str" cm="1">
        <f t="array" ref="J285">IFERROR(INDEX(Data_Input!$A$1:$ZZ$502, MATCH("평가손익", INDEX(Data_Input!$A$1:$ZZ$502, 0, MATCH(1, (Data_Input!$7:$7=$F$3)*(Data_Input!$8:$8=$B285), 0)), 0) + 1, MATCH(1, (Data_Input!$7:$7=$F$3)*(Data_Input!$8:$8=$B285), 0)),"")</f>
        <v/>
      </c>
      <c r="K285" s="14" t="str" cm="1">
        <f t="array" ref="K285">IFERROR(INDEX(Data_Input!$A$1:$ZZ$502, MATCH("총수익률", INDEX(Data_Input!$A$1:$ZZ$502, 0, MATCH(1, (Data_Input!$7:$7=$F$3)*(Data_Input!$8:$8=$B285), 0)), 0) + 1, MATCH(1, (Data_Input!$7:$7=$F$3)*(Data_Input!$8:$8=$B285), 0)),"")</f>
        <v/>
      </c>
      <c r="L285" t="str" cm="1">
        <f t="array" ref="L285">IFERROR(_xlfn.LET(
    _xlpm.targetDate, B285,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86" spans="1:12" x14ac:dyDescent="0.3">
      <c r="A286" s="16" t="str">
        <f t="shared" si="8"/>
        <v/>
      </c>
      <c r="B286" s="19"/>
      <c r="C286" s="17" t="str">
        <f t="shared" si="9"/>
        <v/>
      </c>
      <c r="D286" s="29" t="str" cm="1">
        <f t="array" ref="D286">IFERROR(INDEX(Data_Input!$10:$10,MATCH(1,(Data_Input!$7:$7=$F$3)*(Data_Input!$8:$8=$B286),0)),"")</f>
        <v/>
      </c>
      <c r="E286" s="29" t="str" cm="1">
        <f t="array" ref="E286">IFERROR(INDEX(Data_Input!$1:$100, 9, MATCH(1, (Data_Input!$7:$7=$F$3) * (Data_Input!$8:$8=$B286), 0)),"")</f>
        <v/>
      </c>
      <c r="F286" s="20" t="str" cm="1">
        <f t="array" ref="F286">IFERROR(INDEX(Data_Input!$A$1:$ZZ$502, MATCH("예수금", INDEX(Data_Input!$A$1:$ZZ$502, 0, MATCH(1, (Data_Input!$7:$7=$F$3)*(Data_Input!$8:$8=$B286), 0)), 0) + 1, MATCH(1, (Data_Input!$7:$7=$F$3)*(Data_Input!$8:$8=$B286), 0)),"")</f>
        <v/>
      </c>
      <c r="G286" s="20" t="str" cm="1">
        <f t="array" ref="G286">IFERROR(INDEX(Data_Input!$A$1:$ZZ$502, MATCH("총자산", INDEX(Data_Input!$A$1:$ZZ$502, 0, MATCH(1, (Data_Input!$7:$7=$F$3)*(Data_Input!$8:$8=$B286), 0)), 0) + 1, MATCH(1, (Data_Input!$7:$7=$F$3)*(Data_Input!$8:$8=$B286), 0)),"")</f>
        <v/>
      </c>
      <c r="H286" s="20" t="str" cm="1">
        <f t="array" ref="H286">IFERROR(INDEX(Data_Input!$A$1:$ZZ$502, MATCH("매입금액", INDEX(Data_Input!$A$1:$ZZ$502, 0, MATCH(1, (Data_Input!$7:$7=$F$3)*(Data_Input!$8:$8=$B286), 0)), 0) + 1, MATCH(1, (Data_Input!$7:$7=$F$3)*(Data_Input!$8:$8=$B286), 0)),"")</f>
        <v/>
      </c>
      <c r="I286" s="20" t="str" cm="1">
        <f t="array" ref="I286">IFERROR(INDEX(Data_Input!$A$1:$ZZ$502, MATCH("평가금액", INDEX(Data_Input!$A$1:$ZZ$502, 0, MATCH(1, (Data_Input!$7:$7=$F$3)*(Data_Input!$8:$8=$B286), 0)), 0) + 1, MATCH(1, (Data_Input!$7:$7=$F$3)*(Data_Input!$8:$8=$B286), 0)),"")</f>
        <v/>
      </c>
      <c r="J286" s="20" t="str" cm="1">
        <f t="array" ref="J286">IFERROR(INDEX(Data_Input!$A$1:$ZZ$502, MATCH("평가손익", INDEX(Data_Input!$A$1:$ZZ$502, 0, MATCH(1, (Data_Input!$7:$7=$F$3)*(Data_Input!$8:$8=$B286), 0)), 0) + 1, MATCH(1, (Data_Input!$7:$7=$F$3)*(Data_Input!$8:$8=$B286), 0)),"")</f>
        <v/>
      </c>
      <c r="K286" s="14" t="str" cm="1">
        <f t="array" ref="K286">IFERROR(INDEX(Data_Input!$A$1:$ZZ$502, MATCH("총수익률", INDEX(Data_Input!$A$1:$ZZ$502, 0, MATCH(1, (Data_Input!$7:$7=$F$3)*(Data_Input!$8:$8=$B286), 0)), 0) + 1, MATCH(1, (Data_Input!$7:$7=$F$3)*(Data_Input!$8:$8=$B286), 0)),"")</f>
        <v/>
      </c>
      <c r="L286" t="str" cm="1">
        <f t="array" ref="L286">IFERROR(_xlfn.LET(
    _xlpm.targetDate, B286,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87" spans="1:12" x14ac:dyDescent="0.3">
      <c r="A287" s="16" t="str">
        <f t="shared" si="8"/>
        <v/>
      </c>
      <c r="B287" s="19"/>
      <c r="C287" s="17" t="str">
        <f t="shared" si="9"/>
        <v/>
      </c>
      <c r="D287" s="29" t="str" cm="1">
        <f t="array" ref="D287">IFERROR(INDEX(Data_Input!$10:$10,MATCH(1,(Data_Input!$7:$7=$F$3)*(Data_Input!$8:$8=$B287),0)),"")</f>
        <v/>
      </c>
      <c r="E287" s="29" t="str" cm="1">
        <f t="array" ref="E287">IFERROR(INDEX(Data_Input!$1:$100, 9, MATCH(1, (Data_Input!$7:$7=$F$3) * (Data_Input!$8:$8=$B287), 0)),"")</f>
        <v/>
      </c>
      <c r="F287" s="20" t="str" cm="1">
        <f t="array" ref="F287">IFERROR(INDEX(Data_Input!$A$1:$ZZ$502, MATCH("예수금", INDEX(Data_Input!$A$1:$ZZ$502, 0, MATCH(1, (Data_Input!$7:$7=$F$3)*(Data_Input!$8:$8=$B287), 0)), 0) + 1, MATCH(1, (Data_Input!$7:$7=$F$3)*(Data_Input!$8:$8=$B287), 0)),"")</f>
        <v/>
      </c>
      <c r="G287" s="20" t="str" cm="1">
        <f t="array" ref="G287">IFERROR(INDEX(Data_Input!$A$1:$ZZ$502, MATCH("총자산", INDEX(Data_Input!$A$1:$ZZ$502, 0, MATCH(1, (Data_Input!$7:$7=$F$3)*(Data_Input!$8:$8=$B287), 0)), 0) + 1, MATCH(1, (Data_Input!$7:$7=$F$3)*(Data_Input!$8:$8=$B287), 0)),"")</f>
        <v/>
      </c>
      <c r="H287" s="20" t="str" cm="1">
        <f t="array" ref="H287">IFERROR(INDEX(Data_Input!$A$1:$ZZ$502, MATCH("매입금액", INDEX(Data_Input!$A$1:$ZZ$502, 0, MATCH(1, (Data_Input!$7:$7=$F$3)*(Data_Input!$8:$8=$B287), 0)), 0) + 1, MATCH(1, (Data_Input!$7:$7=$F$3)*(Data_Input!$8:$8=$B287), 0)),"")</f>
        <v/>
      </c>
      <c r="I287" s="20" t="str" cm="1">
        <f t="array" ref="I287">IFERROR(INDEX(Data_Input!$A$1:$ZZ$502, MATCH("평가금액", INDEX(Data_Input!$A$1:$ZZ$502, 0, MATCH(1, (Data_Input!$7:$7=$F$3)*(Data_Input!$8:$8=$B287), 0)), 0) + 1, MATCH(1, (Data_Input!$7:$7=$F$3)*(Data_Input!$8:$8=$B287), 0)),"")</f>
        <v/>
      </c>
      <c r="J287" s="20" t="str" cm="1">
        <f t="array" ref="J287">IFERROR(INDEX(Data_Input!$A$1:$ZZ$502, MATCH("평가손익", INDEX(Data_Input!$A$1:$ZZ$502, 0, MATCH(1, (Data_Input!$7:$7=$F$3)*(Data_Input!$8:$8=$B287), 0)), 0) + 1, MATCH(1, (Data_Input!$7:$7=$F$3)*(Data_Input!$8:$8=$B287), 0)),"")</f>
        <v/>
      </c>
      <c r="K287" s="14" t="str" cm="1">
        <f t="array" ref="K287">IFERROR(INDEX(Data_Input!$A$1:$ZZ$502, MATCH("총수익률", INDEX(Data_Input!$A$1:$ZZ$502, 0, MATCH(1, (Data_Input!$7:$7=$F$3)*(Data_Input!$8:$8=$B287), 0)), 0) + 1, MATCH(1, (Data_Input!$7:$7=$F$3)*(Data_Input!$8:$8=$B287), 0)),"")</f>
        <v/>
      </c>
      <c r="L287" t="str" cm="1">
        <f t="array" ref="L287">IFERROR(_xlfn.LET(
    _xlpm.targetDate, B287,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88" spans="1:12" x14ac:dyDescent="0.3">
      <c r="A288" s="16" t="str">
        <f t="shared" si="8"/>
        <v/>
      </c>
      <c r="B288" s="19"/>
      <c r="C288" s="17" t="str">
        <f t="shared" si="9"/>
        <v/>
      </c>
      <c r="D288" s="29" t="str" cm="1">
        <f t="array" ref="D288">IFERROR(INDEX(Data_Input!$10:$10,MATCH(1,(Data_Input!$7:$7=$F$3)*(Data_Input!$8:$8=$B288),0)),"")</f>
        <v/>
      </c>
      <c r="E288" s="29" t="str" cm="1">
        <f t="array" ref="E288">IFERROR(INDEX(Data_Input!$1:$100, 9, MATCH(1, (Data_Input!$7:$7=$F$3) * (Data_Input!$8:$8=$B288), 0)),"")</f>
        <v/>
      </c>
      <c r="F288" s="20" t="str" cm="1">
        <f t="array" ref="F288">IFERROR(INDEX(Data_Input!$A$1:$ZZ$502, MATCH("예수금", INDEX(Data_Input!$A$1:$ZZ$502, 0, MATCH(1, (Data_Input!$7:$7=$F$3)*(Data_Input!$8:$8=$B288), 0)), 0) + 1, MATCH(1, (Data_Input!$7:$7=$F$3)*(Data_Input!$8:$8=$B288), 0)),"")</f>
        <v/>
      </c>
      <c r="G288" s="20" t="str" cm="1">
        <f t="array" ref="G288">IFERROR(INDEX(Data_Input!$A$1:$ZZ$502, MATCH("총자산", INDEX(Data_Input!$A$1:$ZZ$502, 0, MATCH(1, (Data_Input!$7:$7=$F$3)*(Data_Input!$8:$8=$B288), 0)), 0) + 1, MATCH(1, (Data_Input!$7:$7=$F$3)*(Data_Input!$8:$8=$B288), 0)),"")</f>
        <v/>
      </c>
      <c r="H288" s="20" t="str" cm="1">
        <f t="array" ref="H288">IFERROR(INDEX(Data_Input!$A$1:$ZZ$502, MATCH("매입금액", INDEX(Data_Input!$A$1:$ZZ$502, 0, MATCH(1, (Data_Input!$7:$7=$F$3)*(Data_Input!$8:$8=$B288), 0)), 0) + 1, MATCH(1, (Data_Input!$7:$7=$F$3)*(Data_Input!$8:$8=$B288), 0)),"")</f>
        <v/>
      </c>
      <c r="I288" s="20" t="str" cm="1">
        <f t="array" ref="I288">IFERROR(INDEX(Data_Input!$A$1:$ZZ$502, MATCH("평가금액", INDEX(Data_Input!$A$1:$ZZ$502, 0, MATCH(1, (Data_Input!$7:$7=$F$3)*(Data_Input!$8:$8=$B288), 0)), 0) + 1, MATCH(1, (Data_Input!$7:$7=$F$3)*(Data_Input!$8:$8=$B288), 0)),"")</f>
        <v/>
      </c>
      <c r="J288" s="20" t="str" cm="1">
        <f t="array" ref="J288">IFERROR(INDEX(Data_Input!$A$1:$ZZ$502, MATCH("평가손익", INDEX(Data_Input!$A$1:$ZZ$502, 0, MATCH(1, (Data_Input!$7:$7=$F$3)*(Data_Input!$8:$8=$B288), 0)), 0) + 1, MATCH(1, (Data_Input!$7:$7=$F$3)*(Data_Input!$8:$8=$B288), 0)),"")</f>
        <v/>
      </c>
      <c r="K288" s="14" t="str" cm="1">
        <f t="array" ref="K288">IFERROR(INDEX(Data_Input!$A$1:$ZZ$502, MATCH("총수익률", INDEX(Data_Input!$A$1:$ZZ$502, 0, MATCH(1, (Data_Input!$7:$7=$F$3)*(Data_Input!$8:$8=$B288), 0)), 0) + 1, MATCH(1, (Data_Input!$7:$7=$F$3)*(Data_Input!$8:$8=$B288), 0)),"")</f>
        <v/>
      </c>
      <c r="L288" t="str" cm="1">
        <f t="array" ref="L288">IFERROR(_xlfn.LET(
    _xlpm.targetDate, B288,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89" spans="1:12" x14ac:dyDescent="0.3">
      <c r="A289" s="16" t="str">
        <f t="shared" si="8"/>
        <v/>
      </c>
      <c r="B289" s="19"/>
      <c r="C289" s="17" t="str">
        <f t="shared" si="9"/>
        <v/>
      </c>
      <c r="D289" s="29" t="str" cm="1">
        <f t="array" ref="D289">IFERROR(INDEX(Data_Input!$10:$10,MATCH(1,(Data_Input!$7:$7=$F$3)*(Data_Input!$8:$8=$B289),0)),"")</f>
        <v/>
      </c>
      <c r="E289" s="29" t="str" cm="1">
        <f t="array" ref="E289">IFERROR(INDEX(Data_Input!$1:$100, 9, MATCH(1, (Data_Input!$7:$7=$F$3) * (Data_Input!$8:$8=$B289), 0)),"")</f>
        <v/>
      </c>
      <c r="F289" s="20" t="str" cm="1">
        <f t="array" ref="F289">IFERROR(INDEX(Data_Input!$A$1:$ZZ$502, MATCH("예수금", INDEX(Data_Input!$A$1:$ZZ$502, 0, MATCH(1, (Data_Input!$7:$7=$F$3)*(Data_Input!$8:$8=$B289), 0)), 0) + 1, MATCH(1, (Data_Input!$7:$7=$F$3)*(Data_Input!$8:$8=$B289), 0)),"")</f>
        <v/>
      </c>
      <c r="G289" s="20" t="str" cm="1">
        <f t="array" ref="G289">IFERROR(INDEX(Data_Input!$A$1:$ZZ$502, MATCH("총자산", INDEX(Data_Input!$A$1:$ZZ$502, 0, MATCH(1, (Data_Input!$7:$7=$F$3)*(Data_Input!$8:$8=$B289), 0)), 0) + 1, MATCH(1, (Data_Input!$7:$7=$F$3)*(Data_Input!$8:$8=$B289), 0)),"")</f>
        <v/>
      </c>
      <c r="H289" s="20" t="str" cm="1">
        <f t="array" ref="H289">IFERROR(INDEX(Data_Input!$A$1:$ZZ$502, MATCH("매입금액", INDEX(Data_Input!$A$1:$ZZ$502, 0, MATCH(1, (Data_Input!$7:$7=$F$3)*(Data_Input!$8:$8=$B289), 0)), 0) + 1, MATCH(1, (Data_Input!$7:$7=$F$3)*(Data_Input!$8:$8=$B289), 0)),"")</f>
        <v/>
      </c>
      <c r="I289" s="20" t="str" cm="1">
        <f t="array" ref="I289">IFERROR(INDEX(Data_Input!$A$1:$ZZ$502, MATCH("평가금액", INDEX(Data_Input!$A$1:$ZZ$502, 0, MATCH(1, (Data_Input!$7:$7=$F$3)*(Data_Input!$8:$8=$B289), 0)), 0) + 1, MATCH(1, (Data_Input!$7:$7=$F$3)*(Data_Input!$8:$8=$B289), 0)),"")</f>
        <v/>
      </c>
      <c r="J289" s="20" t="str" cm="1">
        <f t="array" ref="J289">IFERROR(INDEX(Data_Input!$A$1:$ZZ$502, MATCH("평가손익", INDEX(Data_Input!$A$1:$ZZ$502, 0, MATCH(1, (Data_Input!$7:$7=$F$3)*(Data_Input!$8:$8=$B289), 0)), 0) + 1, MATCH(1, (Data_Input!$7:$7=$F$3)*(Data_Input!$8:$8=$B289), 0)),"")</f>
        <v/>
      </c>
      <c r="K289" s="14" t="str" cm="1">
        <f t="array" ref="K289">IFERROR(INDEX(Data_Input!$A$1:$ZZ$502, MATCH("총수익률", INDEX(Data_Input!$A$1:$ZZ$502, 0, MATCH(1, (Data_Input!$7:$7=$F$3)*(Data_Input!$8:$8=$B289), 0)), 0) + 1, MATCH(1, (Data_Input!$7:$7=$F$3)*(Data_Input!$8:$8=$B289), 0)),"")</f>
        <v/>
      </c>
      <c r="L289" t="str" cm="1">
        <f t="array" ref="L289">IFERROR(_xlfn.LET(
    _xlpm.targetDate, B289,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90" spans="1:12" x14ac:dyDescent="0.3">
      <c r="A290" s="16" t="str">
        <f t="shared" si="8"/>
        <v/>
      </c>
      <c r="B290" s="19"/>
      <c r="C290" s="17" t="str">
        <f t="shared" si="9"/>
        <v/>
      </c>
      <c r="D290" s="29" t="str" cm="1">
        <f t="array" ref="D290">IFERROR(INDEX(Data_Input!$10:$10,MATCH(1,(Data_Input!$7:$7=$F$3)*(Data_Input!$8:$8=$B290),0)),"")</f>
        <v/>
      </c>
      <c r="E290" s="29" t="str" cm="1">
        <f t="array" ref="E290">IFERROR(INDEX(Data_Input!$1:$100, 9, MATCH(1, (Data_Input!$7:$7=$F$3) * (Data_Input!$8:$8=$B290), 0)),"")</f>
        <v/>
      </c>
      <c r="F290" s="20" t="str" cm="1">
        <f t="array" ref="F290">IFERROR(INDEX(Data_Input!$A$1:$ZZ$502, MATCH("예수금", INDEX(Data_Input!$A$1:$ZZ$502, 0, MATCH(1, (Data_Input!$7:$7=$F$3)*(Data_Input!$8:$8=$B290), 0)), 0) + 1, MATCH(1, (Data_Input!$7:$7=$F$3)*(Data_Input!$8:$8=$B290), 0)),"")</f>
        <v/>
      </c>
      <c r="G290" s="20" t="str" cm="1">
        <f t="array" ref="G290">IFERROR(INDEX(Data_Input!$A$1:$ZZ$502, MATCH("총자산", INDEX(Data_Input!$A$1:$ZZ$502, 0, MATCH(1, (Data_Input!$7:$7=$F$3)*(Data_Input!$8:$8=$B290), 0)), 0) + 1, MATCH(1, (Data_Input!$7:$7=$F$3)*(Data_Input!$8:$8=$B290), 0)),"")</f>
        <v/>
      </c>
      <c r="H290" s="20" t="str" cm="1">
        <f t="array" ref="H290">IFERROR(INDEX(Data_Input!$A$1:$ZZ$502, MATCH("매입금액", INDEX(Data_Input!$A$1:$ZZ$502, 0, MATCH(1, (Data_Input!$7:$7=$F$3)*(Data_Input!$8:$8=$B290), 0)), 0) + 1, MATCH(1, (Data_Input!$7:$7=$F$3)*(Data_Input!$8:$8=$B290), 0)),"")</f>
        <v/>
      </c>
      <c r="I290" s="20" t="str" cm="1">
        <f t="array" ref="I290">IFERROR(INDEX(Data_Input!$A$1:$ZZ$502, MATCH("평가금액", INDEX(Data_Input!$A$1:$ZZ$502, 0, MATCH(1, (Data_Input!$7:$7=$F$3)*(Data_Input!$8:$8=$B290), 0)), 0) + 1, MATCH(1, (Data_Input!$7:$7=$F$3)*(Data_Input!$8:$8=$B290), 0)),"")</f>
        <v/>
      </c>
      <c r="J290" s="20" t="str" cm="1">
        <f t="array" ref="J290">IFERROR(INDEX(Data_Input!$A$1:$ZZ$502, MATCH("평가손익", INDEX(Data_Input!$A$1:$ZZ$502, 0, MATCH(1, (Data_Input!$7:$7=$F$3)*(Data_Input!$8:$8=$B290), 0)), 0) + 1, MATCH(1, (Data_Input!$7:$7=$F$3)*(Data_Input!$8:$8=$B290), 0)),"")</f>
        <v/>
      </c>
      <c r="K290" s="14" t="str" cm="1">
        <f t="array" ref="K290">IFERROR(INDEX(Data_Input!$A$1:$ZZ$502, MATCH("총수익률", INDEX(Data_Input!$A$1:$ZZ$502, 0, MATCH(1, (Data_Input!$7:$7=$F$3)*(Data_Input!$8:$8=$B290), 0)), 0) + 1, MATCH(1, (Data_Input!$7:$7=$F$3)*(Data_Input!$8:$8=$B290), 0)),"")</f>
        <v/>
      </c>
      <c r="L290" t="str" cm="1">
        <f t="array" ref="L290">IFERROR(_xlfn.LET(
    _xlpm.targetDate, B290,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91" spans="1:12" x14ac:dyDescent="0.3">
      <c r="A291" s="16" t="str">
        <f t="shared" si="8"/>
        <v/>
      </c>
      <c r="B291" s="19"/>
      <c r="C291" s="17" t="str">
        <f t="shared" si="9"/>
        <v/>
      </c>
      <c r="D291" s="29" t="str" cm="1">
        <f t="array" ref="D291">IFERROR(INDEX(Data_Input!$10:$10,MATCH(1,(Data_Input!$7:$7=$F$3)*(Data_Input!$8:$8=$B291),0)),"")</f>
        <v/>
      </c>
      <c r="E291" s="29" t="str" cm="1">
        <f t="array" ref="E291">IFERROR(INDEX(Data_Input!$1:$100, 9, MATCH(1, (Data_Input!$7:$7=$F$3) * (Data_Input!$8:$8=$B291), 0)),"")</f>
        <v/>
      </c>
      <c r="F291" s="20" t="str" cm="1">
        <f t="array" ref="F291">IFERROR(INDEX(Data_Input!$A$1:$ZZ$502, MATCH("예수금", INDEX(Data_Input!$A$1:$ZZ$502, 0, MATCH(1, (Data_Input!$7:$7=$F$3)*(Data_Input!$8:$8=$B291), 0)), 0) + 1, MATCH(1, (Data_Input!$7:$7=$F$3)*(Data_Input!$8:$8=$B291), 0)),"")</f>
        <v/>
      </c>
      <c r="G291" s="20" t="str" cm="1">
        <f t="array" ref="G291">IFERROR(INDEX(Data_Input!$A$1:$ZZ$502, MATCH("총자산", INDEX(Data_Input!$A$1:$ZZ$502, 0, MATCH(1, (Data_Input!$7:$7=$F$3)*(Data_Input!$8:$8=$B291), 0)), 0) + 1, MATCH(1, (Data_Input!$7:$7=$F$3)*(Data_Input!$8:$8=$B291), 0)),"")</f>
        <v/>
      </c>
      <c r="H291" s="20" t="str" cm="1">
        <f t="array" ref="H291">IFERROR(INDEX(Data_Input!$A$1:$ZZ$502, MATCH("매입금액", INDEX(Data_Input!$A$1:$ZZ$502, 0, MATCH(1, (Data_Input!$7:$7=$F$3)*(Data_Input!$8:$8=$B291), 0)), 0) + 1, MATCH(1, (Data_Input!$7:$7=$F$3)*(Data_Input!$8:$8=$B291), 0)),"")</f>
        <v/>
      </c>
      <c r="I291" s="20" t="str" cm="1">
        <f t="array" ref="I291">IFERROR(INDEX(Data_Input!$A$1:$ZZ$502, MATCH("평가금액", INDEX(Data_Input!$A$1:$ZZ$502, 0, MATCH(1, (Data_Input!$7:$7=$F$3)*(Data_Input!$8:$8=$B291), 0)), 0) + 1, MATCH(1, (Data_Input!$7:$7=$F$3)*(Data_Input!$8:$8=$B291), 0)),"")</f>
        <v/>
      </c>
      <c r="J291" s="20" t="str" cm="1">
        <f t="array" ref="J291">IFERROR(INDEX(Data_Input!$A$1:$ZZ$502, MATCH("평가손익", INDEX(Data_Input!$A$1:$ZZ$502, 0, MATCH(1, (Data_Input!$7:$7=$F$3)*(Data_Input!$8:$8=$B291), 0)), 0) + 1, MATCH(1, (Data_Input!$7:$7=$F$3)*(Data_Input!$8:$8=$B291), 0)),"")</f>
        <v/>
      </c>
      <c r="K291" s="14" t="str" cm="1">
        <f t="array" ref="K291">IFERROR(INDEX(Data_Input!$A$1:$ZZ$502, MATCH("총수익률", INDEX(Data_Input!$A$1:$ZZ$502, 0, MATCH(1, (Data_Input!$7:$7=$F$3)*(Data_Input!$8:$8=$B291), 0)), 0) + 1, MATCH(1, (Data_Input!$7:$7=$F$3)*(Data_Input!$8:$8=$B291), 0)),"")</f>
        <v/>
      </c>
      <c r="L291" t="str" cm="1">
        <f t="array" ref="L291">IFERROR(_xlfn.LET(
    _xlpm.targetDate, B291,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92" spans="1:12" x14ac:dyDescent="0.3">
      <c r="A292" s="16" t="str">
        <f t="shared" si="8"/>
        <v/>
      </c>
      <c r="B292" s="19"/>
      <c r="C292" s="17" t="str">
        <f t="shared" si="9"/>
        <v/>
      </c>
      <c r="D292" s="29" t="str" cm="1">
        <f t="array" ref="D292">IFERROR(INDEX(Data_Input!$10:$10,MATCH(1,(Data_Input!$7:$7=$F$3)*(Data_Input!$8:$8=$B292),0)),"")</f>
        <v/>
      </c>
      <c r="E292" s="29" t="str" cm="1">
        <f t="array" ref="E292">IFERROR(INDEX(Data_Input!$1:$100, 9, MATCH(1, (Data_Input!$7:$7=$F$3) * (Data_Input!$8:$8=$B292), 0)),"")</f>
        <v/>
      </c>
      <c r="F292" s="20" t="str" cm="1">
        <f t="array" ref="F292">IFERROR(INDEX(Data_Input!$A$1:$ZZ$502, MATCH("예수금", INDEX(Data_Input!$A$1:$ZZ$502, 0, MATCH(1, (Data_Input!$7:$7=$F$3)*(Data_Input!$8:$8=$B292), 0)), 0) + 1, MATCH(1, (Data_Input!$7:$7=$F$3)*(Data_Input!$8:$8=$B292), 0)),"")</f>
        <v/>
      </c>
      <c r="G292" s="20" t="str" cm="1">
        <f t="array" ref="G292">IFERROR(INDEX(Data_Input!$A$1:$ZZ$502, MATCH("총자산", INDEX(Data_Input!$A$1:$ZZ$502, 0, MATCH(1, (Data_Input!$7:$7=$F$3)*(Data_Input!$8:$8=$B292), 0)), 0) + 1, MATCH(1, (Data_Input!$7:$7=$F$3)*(Data_Input!$8:$8=$B292), 0)),"")</f>
        <v/>
      </c>
      <c r="H292" s="20" t="str" cm="1">
        <f t="array" ref="H292">IFERROR(INDEX(Data_Input!$A$1:$ZZ$502, MATCH("매입금액", INDEX(Data_Input!$A$1:$ZZ$502, 0, MATCH(1, (Data_Input!$7:$7=$F$3)*(Data_Input!$8:$8=$B292), 0)), 0) + 1, MATCH(1, (Data_Input!$7:$7=$F$3)*(Data_Input!$8:$8=$B292), 0)),"")</f>
        <v/>
      </c>
      <c r="I292" s="20" t="str" cm="1">
        <f t="array" ref="I292">IFERROR(INDEX(Data_Input!$A$1:$ZZ$502, MATCH("평가금액", INDEX(Data_Input!$A$1:$ZZ$502, 0, MATCH(1, (Data_Input!$7:$7=$F$3)*(Data_Input!$8:$8=$B292), 0)), 0) + 1, MATCH(1, (Data_Input!$7:$7=$F$3)*(Data_Input!$8:$8=$B292), 0)),"")</f>
        <v/>
      </c>
      <c r="J292" s="20" t="str" cm="1">
        <f t="array" ref="J292">IFERROR(INDEX(Data_Input!$A$1:$ZZ$502, MATCH("평가손익", INDEX(Data_Input!$A$1:$ZZ$502, 0, MATCH(1, (Data_Input!$7:$7=$F$3)*(Data_Input!$8:$8=$B292), 0)), 0) + 1, MATCH(1, (Data_Input!$7:$7=$F$3)*(Data_Input!$8:$8=$B292), 0)),"")</f>
        <v/>
      </c>
      <c r="K292" s="14" t="str" cm="1">
        <f t="array" ref="K292">IFERROR(INDEX(Data_Input!$A$1:$ZZ$502, MATCH("총수익률", INDEX(Data_Input!$A$1:$ZZ$502, 0, MATCH(1, (Data_Input!$7:$7=$F$3)*(Data_Input!$8:$8=$B292), 0)), 0) + 1, MATCH(1, (Data_Input!$7:$7=$F$3)*(Data_Input!$8:$8=$B292), 0)),"")</f>
        <v/>
      </c>
      <c r="L292" t="str" cm="1">
        <f t="array" ref="L292">IFERROR(_xlfn.LET(
    _xlpm.targetDate, B292,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93" spans="1:12" x14ac:dyDescent="0.3">
      <c r="A293" s="16" t="str">
        <f t="shared" si="8"/>
        <v/>
      </c>
      <c r="B293" s="19"/>
      <c r="C293" s="17" t="str">
        <f t="shared" si="9"/>
        <v/>
      </c>
      <c r="D293" s="29" t="str" cm="1">
        <f t="array" ref="D293">IFERROR(INDEX(Data_Input!$10:$10,MATCH(1,(Data_Input!$7:$7=$F$3)*(Data_Input!$8:$8=$B293),0)),"")</f>
        <v/>
      </c>
      <c r="E293" s="29" t="str" cm="1">
        <f t="array" ref="E293">IFERROR(INDEX(Data_Input!$1:$100, 9, MATCH(1, (Data_Input!$7:$7=$F$3) * (Data_Input!$8:$8=$B293), 0)),"")</f>
        <v/>
      </c>
      <c r="F293" s="20" t="str" cm="1">
        <f t="array" ref="F293">IFERROR(INDEX(Data_Input!$A$1:$ZZ$502, MATCH("예수금", INDEX(Data_Input!$A$1:$ZZ$502, 0, MATCH(1, (Data_Input!$7:$7=$F$3)*(Data_Input!$8:$8=$B293), 0)), 0) + 1, MATCH(1, (Data_Input!$7:$7=$F$3)*(Data_Input!$8:$8=$B293), 0)),"")</f>
        <v/>
      </c>
      <c r="G293" s="20" t="str" cm="1">
        <f t="array" ref="G293">IFERROR(INDEX(Data_Input!$A$1:$ZZ$502, MATCH("총자산", INDEX(Data_Input!$A$1:$ZZ$502, 0, MATCH(1, (Data_Input!$7:$7=$F$3)*(Data_Input!$8:$8=$B293), 0)), 0) + 1, MATCH(1, (Data_Input!$7:$7=$F$3)*(Data_Input!$8:$8=$B293), 0)),"")</f>
        <v/>
      </c>
      <c r="H293" s="20" t="str" cm="1">
        <f t="array" ref="H293">IFERROR(INDEX(Data_Input!$A$1:$ZZ$502, MATCH("매입금액", INDEX(Data_Input!$A$1:$ZZ$502, 0, MATCH(1, (Data_Input!$7:$7=$F$3)*(Data_Input!$8:$8=$B293), 0)), 0) + 1, MATCH(1, (Data_Input!$7:$7=$F$3)*(Data_Input!$8:$8=$B293), 0)),"")</f>
        <v/>
      </c>
      <c r="I293" s="20" t="str" cm="1">
        <f t="array" ref="I293">IFERROR(INDEX(Data_Input!$A$1:$ZZ$502, MATCH("평가금액", INDEX(Data_Input!$A$1:$ZZ$502, 0, MATCH(1, (Data_Input!$7:$7=$F$3)*(Data_Input!$8:$8=$B293), 0)), 0) + 1, MATCH(1, (Data_Input!$7:$7=$F$3)*(Data_Input!$8:$8=$B293), 0)),"")</f>
        <v/>
      </c>
      <c r="J293" s="20" t="str" cm="1">
        <f t="array" ref="J293">IFERROR(INDEX(Data_Input!$A$1:$ZZ$502, MATCH("평가손익", INDEX(Data_Input!$A$1:$ZZ$502, 0, MATCH(1, (Data_Input!$7:$7=$F$3)*(Data_Input!$8:$8=$B293), 0)), 0) + 1, MATCH(1, (Data_Input!$7:$7=$F$3)*(Data_Input!$8:$8=$B293), 0)),"")</f>
        <v/>
      </c>
      <c r="K293" s="14" t="str" cm="1">
        <f t="array" ref="K293">IFERROR(INDEX(Data_Input!$A$1:$ZZ$502, MATCH("총수익률", INDEX(Data_Input!$A$1:$ZZ$502, 0, MATCH(1, (Data_Input!$7:$7=$F$3)*(Data_Input!$8:$8=$B293), 0)), 0) + 1, MATCH(1, (Data_Input!$7:$7=$F$3)*(Data_Input!$8:$8=$B293), 0)),"")</f>
        <v/>
      </c>
      <c r="L293" t="str" cm="1">
        <f t="array" ref="L293">IFERROR(_xlfn.LET(
    _xlpm.targetDate, B293,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94" spans="1:12" x14ac:dyDescent="0.3">
      <c r="A294" s="16" t="str">
        <f t="shared" si="8"/>
        <v/>
      </c>
      <c r="B294" s="19"/>
      <c r="C294" s="17" t="str">
        <f t="shared" si="9"/>
        <v/>
      </c>
      <c r="D294" s="29" t="str" cm="1">
        <f t="array" ref="D294">IFERROR(INDEX(Data_Input!$10:$10,MATCH(1,(Data_Input!$7:$7=$F$3)*(Data_Input!$8:$8=$B294),0)),"")</f>
        <v/>
      </c>
      <c r="E294" s="29" t="str" cm="1">
        <f t="array" ref="E294">IFERROR(INDEX(Data_Input!$1:$100, 9, MATCH(1, (Data_Input!$7:$7=$F$3) * (Data_Input!$8:$8=$B294), 0)),"")</f>
        <v/>
      </c>
      <c r="F294" s="20" t="str" cm="1">
        <f t="array" ref="F294">IFERROR(INDEX(Data_Input!$A$1:$ZZ$502, MATCH("예수금", INDEX(Data_Input!$A$1:$ZZ$502, 0, MATCH(1, (Data_Input!$7:$7=$F$3)*(Data_Input!$8:$8=$B294), 0)), 0) + 1, MATCH(1, (Data_Input!$7:$7=$F$3)*(Data_Input!$8:$8=$B294), 0)),"")</f>
        <v/>
      </c>
      <c r="G294" s="20" t="str" cm="1">
        <f t="array" ref="G294">IFERROR(INDEX(Data_Input!$A$1:$ZZ$502, MATCH("총자산", INDEX(Data_Input!$A$1:$ZZ$502, 0, MATCH(1, (Data_Input!$7:$7=$F$3)*(Data_Input!$8:$8=$B294), 0)), 0) + 1, MATCH(1, (Data_Input!$7:$7=$F$3)*(Data_Input!$8:$8=$B294), 0)),"")</f>
        <v/>
      </c>
      <c r="H294" s="20" t="str" cm="1">
        <f t="array" ref="H294">IFERROR(INDEX(Data_Input!$A$1:$ZZ$502, MATCH("매입금액", INDEX(Data_Input!$A$1:$ZZ$502, 0, MATCH(1, (Data_Input!$7:$7=$F$3)*(Data_Input!$8:$8=$B294), 0)), 0) + 1, MATCH(1, (Data_Input!$7:$7=$F$3)*(Data_Input!$8:$8=$B294), 0)),"")</f>
        <v/>
      </c>
      <c r="I294" s="20" t="str" cm="1">
        <f t="array" ref="I294">IFERROR(INDEX(Data_Input!$A$1:$ZZ$502, MATCH("평가금액", INDEX(Data_Input!$A$1:$ZZ$502, 0, MATCH(1, (Data_Input!$7:$7=$F$3)*(Data_Input!$8:$8=$B294), 0)), 0) + 1, MATCH(1, (Data_Input!$7:$7=$F$3)*(Data_Input!$8:$8=$B294), 0)),"")</f>
        <v/>
      </c>
      <c r="J294" s="20" t="str" cm="1">
        <f t="array" ref="J294">IFERROR(INDEX(Data_Input!$A$1:$ZZ$502, MATCH("평가손익", INDEX(Data_Input!$A$1:$ZZ$502, 0, MATCH(1, (Data_Input!$7:$7=$F$3)*(Data_Input!$8:$8=$B294), 0)), 0) + 1, MATCH(1, (Data_Input!$7:$7=$F$3)*(Data_Input!$8:$8=$B294), 0)),"")</f>
        <v/>
      </c>
      <c r="K294" s="14" t="str" cm="1">
        <f t="array" ref="K294">IFERROR(INDEX(Data_Input!$A$1:$ZZ$502, MATCH("총수익률", INDEX(Data_Input!$A$1:$ZZ$502, 0, MATCH(1, (Data_Input!$7:$7=$F$3)*(Data_Input!$8:$8=$B294), 0)), 0) + 1, MATCH(1, (Data_Input!$7:$7=$F$3)*(Data_Input!$8:$8=$B294), 0)),"")</f>
        <v/>
      </c>
      <c r="L294" t="str" cm="1">
        <f t="array" ref="L294">IFERROR(_xlfn.LET(
    _xlpm.targetDate, B294,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95" spans="1:12" x14ac:dyDescent="0.3">
      <c r="A295" s="16" t="str">
        <f t="shared" si="8"/>
        <v/>
      </c>
      <c r="B295" s="19"/>
      <c r="C295" s="17" t="str">
        <f t="shared" si="9"/>
        <v/>
      </c>
      <c r="D295" s="29" t="str" cm="1">
        <f t="array" ref="D295">IFERROR(INDEX(Data_Input!$10:$10,MATCH(1,(Data_Input!$7:$7=$F$3)*(Data_Input!$8:$8=$B295),0)),"")</f>
        <v/>
      </c>
      <c r="E295" s="29" t="str" cm="1">
        <f t="array" ref="E295">IFERROR(INDEX(Data_Input!$1:$100, 9, MATCH(1, (Data_Input!$7:$7=$F$3) * (Data_Input!$8:$8=$B295), 0)),"")</f>
        <v/>
      </c>
      <c r="F295" s="20" t="str" cm="1">
        <f t="array" ref="F295">IFERROR(INDEX(Data_Input!$A$1:$ZZ$502, MATCH("예수금", INDEX(Data_Input!$A$1:$ZZ$502, 0, MATCH(1, (Data_Input!$7:$7=$F$3)*(Data_Input!$8:$8=$B295), 0)), 0) + 1, MATCH(1, (Data_Input!$7:$7=$F$3)*(Data_Input!$8:$8=$B295), 0)),"")</f>
        <v/>
      </c>
      <c r="G295" s="20" t="str" cm="1">
        <f t="array" ref="G295">IFERROR(INDEX(Data_Input!$A$1:$ZZ$502, MATCH("총자산", INDEX(Data_Input!$A$1:$ZZ$502, 0, MATCH(1, (Data_Input!$7:$7=$F$3)*(Data_Input!$8:$8=$B295), 0)), 0) + 1, MATCH(1, (Data_Input!$7:$7=$F$3)*(Data_Input!$8:$8=$B295), 0)),"")</f>
        <v/>
      </c>
      <c r="H295" s="20" t="str" cm="1">
        <f t="array" ref="H295">IFERROR(INDEX(Data_Input!$A$1:$ZZ$502, MATCH("매입금액", INDEX(Data_Input!$A$1:$ZZ$502, 0, MATCH(1, (Data_Input!$7:$7=$F$3)*(Data_Input!$8:$8=$B295), 0)), 0) + 1, MATCH(1, (Data_Input!$7:$7=$F$3)*(Data_Input!$8:$8=$B295), 0)),"")</f>
        <v/>
      </c>
      <c r="I295" s="20" t="str" cm="1">
        <f t="array" ref="I295">IFERROR(INDEX(Data_Input!$A$1:$ZZ$502, MATCH("평가금액", INDEX(Data_Input!$A$1:$ZZ$502, 0, MATCH(1, (Data_Input!$7:$7=$F$3)*(Data_Input!$8:$8=$B295), 0)), 0) + 1, MATCH(1, (Data_Input!$7:$7=$F$3)*(Data_Input!$8:$8=$B295), 0)),"")</f>
        <v/>
      </c>
      <c r="J295" s="20" t="str" cm="1">
        <f t="array" ref="J295">IFERROR(INDEX(Data_Input!$A$1:$ZZ$502, MATCH("평가손익", INDEX(Data_Input!$A$1:$ZZ$502, 0, MATCH(1, (Data_Input!$7:$7=$F$3)*(Data_Input!$8:$8=$B295), 0)), 0) + 1, MATCH(1, (Data_Input!$7:$7=$F$3)*(Data_Input!$8:$8=$B295), 0)),"")</f>
        <v/>
      </c>
      <c r="K295" s="14" t="str" cm="1">
        <f t="array" ref="K295">IFERROR(INDEX(Data_Input!$A$1:$ZZ$502, MATCH("총수익률", INDEX(Data_Input!$A$1:$ZZ$502, 0, MATCH(1, (Data_Input!$7:$7=$F$3)*(Data_Input!$8:$8=$B295), 0)), 0) + 1, MATCH(1, (Data_Input!$7:$7=$F$3)*(Data_Input!$8:$8=$B295), 0)),"")</f>
        <v/>
      </c>
      <c r="L295" t="str" cm="1">
        <f t="array" ref="L295">IFERROR(_xlfn.LET(
    _xlpm.targetDate, B295,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96" spans="1:12" x14ac:dyDescent="0.3">
      <c r="A296" s="16" t="str">
        <f t="shared" si="8"/>
        <v/>
      </c>
      <c r="B296" s="19"/>
      <c r="C296" s="17" t="str">
        <f t="shared" si="9"/>
        <v/>
      </c>
      <c r="D296" s="29" t="str" cm="1">
        <f t="array" ref="D296">IFERROR(INDEX(Data_Input!$10:$10,MATCH(1,(Data_Input!$7:$7=$F$3)*(Data_Input!$8:$8=$B296),0)),"")</f>
        <v/>
      </c>
      <c r="E296" s="29" t="str" cm="1">
        <f t="array" ref="E296">IFERROR(INDEX(Data_Input!$1:$100, 9, MATCH(1, (Data_Input!$7:$7=$F$3) * (Data_Input!$8:$8=$B296), 0)),"")</f>
        <v/>
      </c>
      <c r="F296" s="20" t="str" cm="1">
        <f t="array" ref="F296">IFERROR(INDEX(Data_Input!$A$1:$ZZ$502, MATCH("예수금", INDEX(Data_Input!$A$1:$ZZ$502, 0, MATCH(1, (Data_Input!$7:$7=$F$3)*(Data_Input!$8:$8=$B296), 0)), 0) + 1, MATCH(1, (Data_Input!$7:$7=$F$3)*(Data_Input!$8:$8=$B296), 0)),"")</f>
        <v/>
      </c>
      <c r="G296" s="20" t="str" cm="1">
        <f t="array" ref="G296">IFERROR(INDEX(Data_Input!$A$1:$ZZ$502, MATCH("총자산", INDEX(Data_Input!$A$1:$ZZ$502, 0, MATCH(1, (Data_Input!$7:$7=$F$3)*(Data_Input!$8:$8=$B296), 0)), 0) + 1, MATCH(1, (Data_Input!$7:$7=$F$3)*(Data_Input!$8:$8=$B296), 0)),"")</f>
        <v/>
      </c>
      <c r="H296" s="20" t="str" cm="1">
        <f t="array" ref="H296">IFERROR(INDEX(Data_Input!$A$1:$ZZ$502, MATCH("매입금액", INDEX(Data_Input!$A$1:$ZZ$502, 0, MATCH(1, (Data_Input!$7:$7=$F$3)*(Data_Input!$8:$8=$B296), 0)), 0) + 1, MATCH(1, (Data_Input!$7:$7=$F$3)*(Data_Input!$8:$8=$B296), 0)),"")</f>
        <v/>
      </c>
      <c r="I296" s="20" t="str" cm="1">
        <f t="array" ref="I296">IFERROR(INDEX(Data_Input!$A$1:$ZZ$502, MATCH("평가금액", INDEX(Data_Input!$A$1:$ZZ$502, 0, MATCH(1, (Data_Input!$7:$7=$F$3)*(Data_Input!$8:$8=$B296), 0)), 0) + 1, MATCH(1, (Data_Input!$7:$7=$F$3)*(Data_Input!$8:$8=$B296), 0)),"")</f>
        <v/>
      </c>
      <c r="J296" s="20" t="str" cm="1">
        <f t="array" ref="J296">IFERROR(INDEX(Data_Input!$A$1:$ZZ$502, MATCH("평가손익", INDEX(Data_Input!$A$1:$ZZ$502, 0, MATCH(1, (Data_Input!$7:$7=$F$3)*(Data_Input!$8:$8=$B296), 0)), 0) + 1, MATCH(1, (Data_Input!$7:$7=$F$3)*(Data_Input!$8:$8=$B296), 0)),"")</f>
        <v/>
      </c>
      <c r="K296" s="14" t="str" cm="1">
        <f t="array" ref="K296">IFERROR(INDEX(Data_Input!$A$1:$ZZ$502, MATCH("총수익률", INDEX(Data_Input!$A$1:$ZZ$502, 0, MATCH(1, (Data_Input!$7:$7=$F$3)*(Data_Input!$8:$8=$B296), 0)), 0) + 1, MATCH(1, (Data_Input!$7:$7=$F$3)*(Data_Input!$8:$8=$B296), 0)),"")</f>
        <v/>
      </c>
      <c r="L296" t="str" cm="1">
        <f t="array" ref="L296">IFERROR(_xlfn.LET(
    _xlpm.targetDate, B296,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97" spans="1:12" x14ac:dyDescent="0.3">
      <c r="A297" s="16" t="str">
        <f t="shared" si="8"/>
        <v/>
      </c>
      <c r="B297" s="19"/>
      <c r="C297" s="17" t="str">
        <f t="shared" si="9"/>
        <v/>
      </c>
      <c r="D297" s="29" t="str" cm="1">
        <f t="array" ref="D297">IFERROR(INDEX(Data_Input!$10:$10,MATCH(1,(Data_Input!$7:$7=$F$3)*(Data_Input!$8:$8=$B297),0)),"")</f>
        <v/>
      </c>
      <c r="E297" s="29" t="str" cm="1">
        <f t="array" ref="E297">IFERROR(INDEX(Data_Input!$1:$100, 9, MATCH(1, (Data_Input!$7:$7=$F$3) * (Data_Input!$8:$8=$B297), 0)),"")</f>
        <v/>
      </c>
      <c r="F297" s="20" t="str" cm="1">
        <f t="array" ref="F297">IFERROR(INDEX(Data_Input!$A$1:$ZZ$502, MATCH("예수금", INDEX(Data_Input!$A$1:$ZZ$502, 0, MATCH(1, (Data_Input!$7:$7=$F$3)*(Data_Input!$8:$8=$B297), 0)), 0) + 1, MATCH(1, (Data_Input!$7:$7=$F$3)*(Data_Input!$8:$8=$B297), 0)),"")</f>
        <v/>
      </c>
      <c r="G297" s="20" t="str" cm="1">
        <f t="array" ref="G297">IFERROR(INDEX(Data_Input!$A$1:$ZZ$502, MATCH("총자산", INDEX(Data_Input!$A$1:$ZZ$502, 0, MATCH(1, (Data_Input!$7:$7=$F$3)*(Data_Input!$8:$8=$B297), 0)), 0) + 1, MATCH(1, (Data_Input!$7:$7=$F$3)*(Data_Input!$8:$8=$B297), 0)),"")</f>
        <v/>
      </c>
      <c r="H297" s="20" t="str" cm="1">
        <f t="array" ref="H297">IFERROR(INDEX(Data_Input!$A$1:$ZZ$502, MATCH("매입금액", INDEX(Data_Input!$A$1:$ZZ$502, 0, MATCH(1, (Data_Input!$7:$7=$F$3)*(Data_Input!$8:$8=$B297), 0)), 0) + 1, MATCH(1, (Data_Input!$7:$7=$F$3)*(Data_Input!$8:$8=$B297), 0)),"")</f>
        <v/>
      </c>
      <c r="I297" s="20" t="str" cm="1">
        <f t="array" ref="I297">IFERROR(INDEX(Data_Input!$A$1:$ZZ$502, MATCH("평가금액", INDEX(Data_Input!$A$1:$ZZ$502, 0, MATCH(1, (Data_Input!$7:$7=$F$3)*(Data_Input!$8:$8=$B297), 0)), 0) + 1, MATCH(1, (Data_Input!$7:$7=$F$3)*(Data_Input!$8:$8=$B297), 0)),"")</f>
        <v/>
      </c>
      <c r="J297" s="20" t="str" cm="1">
        <f t="array" ref="J297">IFERROR(INDEX(Data_Input!$A$1:$ZZ$502, MATCH("평가손익", INDEX(Data_Input!$A$1:$ZZ$502, 0, MATCH(1, (Data_Input!$7:$7=$F$3)*(Data_Input!$8:$8=$B297), 0)), 0) + 1, MATCH(1, (Data_Input!$7:$7=$F$3)*(Data_Input!$8:$8=$B297), 0)),"")</f>
        <v/>
      </c>
      <c r="K297" s="14" t="str" cm="1">
        <f t="array" ref="K297">IFERROR(INDEX(Data_Input!$A$1:$ZZ$502, MATCH("총수익률", INDEX(Data_Input!$A$1:$ZZ$502, 0, MATCH(1, (Data_Input!$7:$7=$F$3)*(Data_Input!$8:$8=$B297), 0)), 0) + 1, MATCH(1, (Data_Input!$7:$7=$F$3)*(Data_Input!$8:$8=$B297), 0)),"")</f>
        <v/>
      </c>
      <c r="L297" t="str" cm="1">
        <f t="array" ref="L297">IFERROR(_xlfn.LET(
    _xlpm.targetDate, B297,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98" spans="1:12" x14ac:dyDescent="0.3">
      <c r="A298" s="16" t="str">
        <f t="shared" si="8"/>
        <v/>
      </c>
      <c r="B298" s="19"/>
      <c r="C298" s="17" t="str">
        <f t="shared" si="9"/>
        <v/>
      </c>
      <c r="D298" s="29" t="str" cm="1">
        <f t="array" ref="D298">IFERROR(INDEX(Data_Input!$10:$10,MATCH(1,(Data_Input!$7:$7=$F$3)*(Data_Input!$8:$8=$B298),0)),"")</f>
        <v/>
      </c>
      <c r="E298" s="29" t="str" cm="1">
        <f t="array" ref="E298">IFERROR(INDEX(Data_Input!$1:$100, 9, MATCH(1, (Data_Input!$7:$7=$F$3) * (Data_Input!$8:$8=$B298), 0)),"")</f>
        <v/>
      </c>
      <c r="F298" s="20" t="str" cm="1">
        <f t="array" ref="F298">IFERROR(INDEX(Data_Input!$A$1:$ZZ$502, MATCH("예수금", INDEX(Data_Input!$A$1:$ZZ$502, 0, MATCH(1, (Data_Input!$7:$7=$F$3)*(Data_Input!$8:$8=$B298), 0)), 0) + 1, MATCH(1, (Data_Input!$7:$7=$F$3)*(Data_Input!$8:$8=$B298), 0)),"")</f>
        <v/>
      </c>
      <c r="G298" s="20" t="str" cm="1">
        <f t="array" ref="G298">IFERROR(INDEX(Data_Input!$A$1:$ZZ$502, MATCH("총자산", INDEX(Data_Input!$A$1:$ZZ$502, 0, MATCH(1, (Data_Input!$7:$7=$F$3)*(Data_Input!$8:$8=$B298), 0)), 0) + 1, MATCH(1, (Data_Input!$7:$7=$F$3)*(Data_Input!$8:$8=$B298), 0)),"")</f>
        <v/>
      </c>
      <c r="H298" s="20" t="str" cm="1">
        <f t="array" ref="H298">IFERROR(INDEX(Data_Input!$A$1:$ZZ$502, MATCH("매입금액", INDEX(Data_Input!$A$1:$ZZ$502, 0, MATCH(1, (Data_Input!$7:$7=$F$3)*(Data_Input!$8:$8=$B298), 0)), 0) + 1, MATCH(1, (Data_Input!$7:$7=$F$3)*(Data_Input!$8:$8=$B298), 0)),"")</f>
        <v/>
      </c>
      <c r="I298" s="20" t="str" cm="1">
        <f t="array" ref="I298">IFERROR(INDEX(Data_Input!$A$1:$ZZ$502, MATCH("평가금액", INDEX(Data_Input!$A$1:$ZZ$502, 0, MATCH(1, (Data_Input!$7:$7=$F$3)*(Data_Input!$8:$8=$B298), 0)), 0) + 1, MATCH(1, (Data_Input!$7:$7=$F$3)*(Data_Input!$8:$8=$B298), 0)),"")</f>
        <v/>
      </c>
      <c r="J298" s="20" t="str" cm="1">
        <f t="array" ref="J298">IFERROR(INDEX(Data_Input!$A$1:$ZZ$502, MATCH("평가손익", INDEX(Data_Input!$A$1:$ZZ$502, 0, MATCH(1, (Data_Input!$7:$7=$F$3)*(Data_Input!$8:$8=$B298), 0)), 0) + 1, MATCH(1, (Data_Input!$7:$7=$F$3)*(Data_Input!$8:$8=$B298), 0)),"")</f>
        <v/>
      </c>
      <c r="K298" s="14" t="str" cm="1">
        <f t="array" ref="K298">IFERROR(INDEX(Data_Input!$A$1:$ZZ$502, MATCH("총수익률", INDEX(Data_Input!$A$1:$ZZ$502, 0, MATCH(1, (Data_Input!$7:$7=$F$3)*(Data_Input!$8:$8=$B298), 0)), 0) + 1, MATCH(1, (Data_Input!$7:$7=$F$3)*(Data_Input!$8:$8=$B298), 0)),"")</f>
        <v/>
      </c>
      <c r="L298" t="str" cm="1">
        <f t="array" ref="L298">IFERROR(_xlfn.LET(
    _xlpm.targetDate, B298,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299" spans="1:12" x14ac:dyDescent="0.3">
      <c r="A299" s="16" t="str">
        <f t="shared" si="8"/>
        <v/>
      </c>
      <c r="B299" s="19"/>
      <c r="C299" s="17" t="str">
        <f t="shared" si="9"/>
        <v/>
      </c>
      <c r="D299" s="29" t="str" cm="1">
        <f t="array" ref="D299">IFERROR(INDEX(Data_Input!$10:$10,MATCH(1,(Data_Input!$7:$7=$F$3)*(Data_Input!$8:$8=$B299),0)),"")</f>
        <v/>
      </c>
      <c r="E299" s="29" t="str" cm="1">
        <f t="array" ref="E299">IFERROR(INDEX(Data_Input!$1:$100, 9, MATCH(1, (Data_Input!$7:$7=$F$3) * (Data_Input!$8:$8=$B299), 0)),"")</f>
        <v/>
      </c>
      <c r="F299" s="20" t="str" cm="1">
        <f t="array" ref="F299">IFERROR(INDEX(Data_Input!$A$1:$ZZ$502, MATCH("예수금", INDEX(Data_Input!$A$1:$ZZ$502, 0, MATCH(1, (Data_Input!$7:$7=$F$3)*(Data_Input!$8:$8=$B299), 0)), 0) + 1, MATCH(1, (Data_Input!$7:$7=$F$3)*(Data_Input!$8:$8=$B299), 0)),"")</f>
        <v/>
      </c>
      <c r="G299" s="20" t="str" cm="1">
        <f t="array" ref="G299">IFERROR(INDEX(Data_Input!$A$1:$ZZ$502, MATCH("총자산", INDEX(Data_Input!$A$1:$ZZ$502, 0, MATCH(1, (Data_Input!$7:$7=$F$3)*(Data_Input!$8:$8=$B299), 0)), 0) + 1, MATCH(1, (Data_Input!$7:$7=$F$3)*(Data_Input!$8:$8=$B299), 0)),"")</f>
        <v/>
      </c>
      <c r="H299" s="20" t="str" cm="1">
        <f t="array" ref="H299">IFERROR(INDEX(Data_Input!$A$1:$ZZ$502, MATCH("매입금액", INDEX(Data_Input!$A$1:$ZZ$502, 0, MATCH(1, (Data_Input!$7:$7=$F$3)*(Data_Input!$8:$8=$B299), 0)), 0) + 1, MATCH(1, (Data_Input!$7:$7=$F$3)*(Data_Input!$8:$8=$B299), 0)),"")</f>
        <v/>
      </c>
      <c r="I299" s="20" t="str" cm="1">
        <f t="array" ref="I299">IFERROR(INDEX(Data_Input!$A$1:$ZZ$502, MATCH("평가금액", INDEX(Data_Input!$A$1:$ZZ$502, 0, MATCH(1, (Data_Input!$7:$7=$F$3)*(Data_Input!$8:$8=$B299), 0)), 0) + 1, MATCH(1, (Data_Input!$7:$7=$F$3)*(Data_Input!$8:$8=$B299), 0)),"")</f>
        <v/>
      </c>
      <c r="J299" s="20" t="str" cm="1">
        <f t="array" ref="J299">IFERROR(INDEX(Data_Input!$A$1:$ZZ$502, MATCH("평가손익", INDEX(Data_Input!$A$1:$ZZ$502, 0, MATCH(1, (Data_Input!$7:$7=$F$3)*(Data_Input!$8:$8=$B299), 0)), 0) + 1, MATCH(1, (Data_Input!$7:$7=$F$3)*(Data_Input!$8:$8=$B299), 0)),"")</f>
        <v/>
      </c>
      <c r="K299" s="14" t="str" cm="1">
        <f t="array" ref="K299">IFERROR(INDEX(Data_Input!$A$1:$ZZ$502, MATCH("총수익률", INDEX(Data_Input!$A$1:$ZZ$502, 0, MATCH(1, (Data_Input!$7:$7=$F$3)*(Data_Input!$8:$8=$B299), 0)), 0) + 1, MATCH(1, (Data_Input!$7:$7=$F$3)*(Data_Input!$8:$8=$B299), 0)),"")</f>
        <v/>
      </c>
      <c r="L299" t="str" cm="1">
        <f t="array" ref="L299">IFERROR(_xlfn.LET(
    _xlpm.targetDate, B299,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00" spans="1:12" x14ac:dyDescent="0.3">
      <c r="A300" s="16" t="str">
        <f t="shared" si="8"/>
        <v/>
      </c>
      <c r="B300" s="19"/>
      <c r="C300" s="17" t="str">
        <f t="shared" si="9"/>
        <v/>
      </c>
      <c r="D300" s="29" t="str" cm="1">
        <f t="array" ref="D300">IFERROR(INDEX(Data_Input!$10:$10,MATCH(1,(Data_Input!$7:$7=$F$3)*(Data_Input!$8:$8=$B300),0)),"")</f>
        <v/>
      </c>
      <c r="E300" s="29" t="str" cm="1">
        <f t="array" ref="E300">IFERROR(INDEX(Data_Input!$1:$100, 9, MATCH(1, (Data_Input!$7:$7=$F$3) * (Data_Input!$8:$8=$B300), 0)),"")</f>
        <v/>
      </c>
      <c r="F300" s="20" t="str" cm="1">
        <f t="array" ref="F300">IFERROR(INDEX(Data_Input!$A$1:$ZZ$502, MATCH("예수금", INDEX(Data_Input!$A$1:$ZZ$502, 0, MATCH(1, (Data_Input!$7:$7=$F$3)*(Data_Input!$8:$8=$B300), 0)), 0) + 1, MATCH(1, (Data_Input!$7:$7=$F$3)*(Data_Input!$8:$8=$B300), 0)),"")</f>
        <v/>
      </c>
      <c r="G300" s="20" t="str" cm="1">
        <f t="array" ref="G300">IFERROR(INDEX(Data_Input!$A$1:$ZZ$502, MATCH("총자산", INDEX(Data_Input!$A$1:$ZZ$502, 0, MATCH(1, (Data_Input!$7:$7=$F$3)*(Data_Input!$8:$8=$B300), 0)), 0) + 1, MATCH(1, (Data_Input!$7:$7=$F$3)*(Data_Input!$8:$8=$B300), 0)),"")</f>
        <v/>
      </c>
      <c r="H300" s="20" t="str" cm="1">
        <f t="array" ref="H300">IFERROR(INDEX(Data_Input!$A$1:$ZZ$502, MATCH("매입금액", INDEX(Data_Input!$A$1:$ZZ$502, 0, MATCH(1, (Data_Input!$7:$7=$F$3)*(Data_Input!$8:$8=$B300), 0)), 0) + 1, MATCH(1, (Data_Input!$7:$7=$F$3)*(Data_Input!$8:$8=$B300), 0)),"")</f>
        <v/>
      </c>
      <c r="I300" s="20" t="str" cm="1">
        <f t="array" ref="I300">IFERROR(INDEX(Data_Input!$A$1:$ZZ$502, MATCH("평가금액", INDEX(Data_Input!$A$1:$ZZ$502, 0, MATCH(1, (Data_Input!$7:$7=$F$3)*(Data_Input!$8:$8=$B300), 0)), 0) + 1, MATCH(1, (Data_Input!$7:$7=$F$3)*(Data_Input!$8:$8=$B300), 0)),"")</f>
        <v/>
      </c>
      <c r="J300" s="20" t="str" cm="1">
        <f t="array" ref="J300">IFERROR(INDEX(Data_Input!$A$1:$ZZ$502, MATCH("평가손익", INDEX(Data_Input!$A$1:$ZZ$502, 0, MATCH(1, (Data_Input!$7:$7=$F$3)*(Data_Input!$8:$8=$B300), 0)), 0) + 1, MATCH(1, (Data_Input!$7:$7=$F$3)*(Data_Input!$8:$8=$B300), 0)),"")</f>
        <v/>
      </c>
      <c r="K300" s="14" t="str" cm="1">
        <f t="array" ref="K300">IFERROR(INDEX(Data_Input!$A$1:$ZZ$502, MATCH("총수익률", INDEX(Data_Input!$A$1:$ZZ$502, 0, MATCH(1, (Data_Input!$7:$7=$F$3)*(Data_Input!$8:$8=$B300), 0)), 0) + 1, MATCH(1, (Data_Input!$7:$7=$F$3)*(Data_Input!$8:$8=$B300), 0)),"")</f>
        <v/>
      </c>
      <c r="L300" t="str" cm="1">
        <f t="array" ref="L300">IFERROR(_xlfn.LET(
    _xlpm.targetDate, B300,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01" spans="1:12" x14ac:dyDescent="0.3">
      <c r="A301" s="16" t="str">
        <f t="shared" si="8"/>
        <v/>
      </c>
      <c r="B301" s="19"/>
      <c r="C301" s="17" t="str">
        <f t="shared" si="9"/>
        <v/>
      </c>
      <c r="D301" s="29" t="str" cm="1">
        <f t="array" ref="D301">IFERROR(INDEX(Data_Input!$10:$10,MATCH(1,(Data_Input!$7:$7=$F$3)*(Data_Input!$8:$8=$B301),0)),"")</f>
        <v/>
      </c>
      <c r="E301" s="29" t="str" cm="1">
        <f t="array" ref="E301">IFERROR(INDEX(Data_Input!$1:$100, 9, MATCH(1, (Data_Input!$7:$7=$F$3) * (Data_Input!$8:$8=$B301), 0)),"")</f>
        <v/>
      </c>
      <c r="F301" s="20" t="str" cm="1">
        <f t="array" ref="F301">IFERROR(INDEX(Data_Input!$A$1:$ZZ$502, MATCH("예수금", INDEX(Data_Input!$A$1:$ZZ$502, 0, MATCH(1, (Data_Input!$7:$7=$F$3)*(Data_Input!$8:$8=$B301), 0)), 0) + 1, MATCH(1, (Data_Input!$7:$7=$F$3)*(Data_Input!$8:$8=$B301), 0)),"")</f>
        <v/>
      </c>
      <c r="G301" s="20" t="str" cm="1">
        <f t="array" ref="G301">IFERROR(INDEX(Data_Input!$A$1:$ZZ$502, MATCH("총자산", INDEX(Data_Input!$A$1:$ZZ$502, 0, MATCH(1, (Data_Input!$7:$7=$F$3)*(Data_Input!$8:$8=$B301), 0)), 0) + 1, MATCH(1, (Data_Input!$7:$7=$F$3)*(Data_Input!$8:$8=$B301), 0)),"")</f>
        <v/>
      </c>
      <c r="H301" s="20" t="str" cm="1">
        <f t="array" ref="H301">IFERROR(INDEX(Data_Input!$A$1:$ZZ$502, MATCH("매입금액", INDEX(Data_Input!$A$1:$ZZ$502, 0, MATCH(1, (Data_Input!$7:$7=$F$3)*(Data_Input!$8:$8=$B301), 0)), 0) + 1, MATCH(1, (Data_Input!$7:$7=$F$3)*(Data_Input!$8:$8=$B301), 0)),"")</f>
        <v/>
      </c>
      <c r="I301" s="20" t="str" cm="1">
        <f t="array" ref="I301">IFERROR(INDEX(Data_Input!$A$1:$ZZ$502, MATCH("평가금액", INDEX(Data_Input!$A$1:$ZZ$502, 0, MATCH(1, (Data_Input!$7:$7=$F$3)*(Data_Input!$8:$8=$B301), 0)), 0) + 1, MATCH(1, (Data_Input!$7:$7=$F$3)*(Data_Input!$8:$8=$B301), 0)),"")</f>
        <v/>
      </c>
      <c r="J301" s="20" t="str" cm="1">
        <f t="array" ref="J301">IFERROR(INDEX(Data_Input!$A$1:$ZZ$502, MATCH("평가손익", INDEX(Data_Input!$A$1:$ZZ$502, 0, MATCH(1, (Data_Input!$7:$7=$F$3)*(Data_Input!$8:$8=$B301), 0)), 0) + 1, MATCH(1, (Data_Input!$7:$7=$F$3)*(Data_Input!$8:$8=$B301), 0)),"")</f>
        <v/>
      </c>
      <c r="K301" s="14" t="str" cm="1">
        <f t="array" ref="K301">IFERROR(INDEX(Data_Input!$A$1:$ZZ$502, MATCH("총수익률", INDEX(Data_Input!$A$1:$ZZ$502, 0, MATCH(1, (Data_Input!$7:$7=$F$3)*(Data_Input!$8:$8=$B301), 0)), 0) + 1, MATCH(1, (Data_Input!$7:$7=$F$3)*(Data_Input!$8:$8=$B301), 0)),"")</f>
        <v/>
      </c>
      <c r="L301" t="str" cm="1">
        <f t="array" ref="L301">IFERROR(_xlfn.LET(
    _xlpm.targetDate, B301,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02" spans="1:12" x14ac:dyDescent="0.3">
      <c r="A302" s="16" t="str">
        <f t="shared" si="8"/>
        <v/>
      </c>
      <c r="B302" s="19"/>
      <c r="C302" s="17" t="str">
        <f t="shared" si="9"/>
        <v/>
      </c>
      <c r="D302" s="29" t="str" cm="1">
        <f t="array" ref="D302">IFERROR(INDEX(Data_Input!$10:$10,MATCH(1,(Data_Input!$7:$7=$F$3)*(Data_Input!$8:$8=$B302),0)),"")</f>
        <v/>
      </c>
      <c r="E302" s="29" t="str" cm="1">
        <f t="array" ref="E302">IFERROR(INDEX(Data_Input!$1:$100, 9, MATCH(1, (Data_Input!$7:$7=$F$3) * (Data_Input!$8:$8=$B302), 0)),"")</f>
        <v/>
      </c>
      <c r="F302" s="20" t="str" cm="1">
        <f t="array" ref="F302">IFERROR(INDEX(Data_Input!$A$1:$ZZ$502, MATCH("예수금", INDEX(Data_Input!$A$1:$ZZ$502, 0, MATCH(1, (Data_Input!$7:$7=$F$3)*(Data_Input!$8:$8=$B302), 0)), 0) + 1, MATCH(1, (Data_Input!$7:$7=$F$3)*(Data_Input!$8:$8=$B302), 0)),"")</f>
        <v/>
      </c>
      <c r="G302" s="20" t="str" cm="1">
        <f t="array" ref="G302">IFERROR(INDEX(Data_Input!$A$1:$ZZ$502, MATCH("총자산", INDEX(Data_Input!$A$1:$ZZ$502, 0, MATCH(1, (Data_Input!$7:$7=$F$3)*(Data_Input!$8:$8=$B302), 0)), 0) + 1, MATCH(1, (Data_Input!$7:$7=$F$3)*(Data_Input!$8:$8=$B302), 0)),"")</f>
        <v/>
      </c>
      <c r="H302" s="20" t="str" cm="1">
        <f t="array" ref="H302">IFERROR(INDEX(Data_Input!$A$1:$ZZ$502, MATCH("매입금액", INDEX(Data_Input!$A$1:$ZZ$502, 0, MATCH(1, (Data_Input!$7:$7=$F$3)*(Data_Input!$8:$8=$B302), 0)), 0) + 1, MATCH(1, (Data_Input!$7:$7=$F$3)*(Data_Input!$8:$8=$B302), 0)),"")</f>
        <v/>
      </c>
      <c r="I302" s="20" t="str" cm="1">
        <f t="array" ref="I302">IFERROR(INDEX(Data_Input!$A$1:$ZZ$502, MATCH("평가금액", INDEX(Data_Input!$A$1:$ZZ$502, 0, MATCH(1, (Data_Input!$7:$7=$F$3)*(Data_Input!$8:$8=$B302), 0)), 0) + 1, MATCH(1, (Data_Input!$7:$7=$F$3)*(Data_Input!$8:$8=$B302), 0)),"")</f>
        <v/>
      </c>
      <c r="J302" s="20" t="str" cm="1">
        <f t="array" ref="J302">IFERROR(INDEX(Data_Input!$A$1:$ZZ$502, MATCH("평가손익", INDEX(Data_Input!$A$1:$ZZ$502, 0, MATCH(1, (Data_Input!$7:$7=$F$3)*(Data_Input!$8:$8=$B302), 0)), 0) + 1, MATCH(1, (Data_Input!$7:$7=$F$3)*(Data_Input!$8:$8=$B302), 0)),"")</f>
        <v/>
      </c>
      <c r="K302" s="14" t="str" cm="1">
        <f t="array" ref="K302">IFERROR(INDEX(Data_Input!$A$1:$ZZ$502, MATCH("총수익률", INDEX(Data_Input!$A$1:$ZZ$502, 0, MATCH(1, (Data_Input!$7:$7=$F$3)*(Data_Input!$8:$8=$B302), 0)), 0) + 1, MATCH(1, (Data_Input!$7:$7=$F$3)*(Data_Input!$8:$8=$B302), 0)),"")</f>
        <v/>
      </c>
      <c r="L302" t="str" cm="1">
        <f t="array" ref="L302">IFERROR(_xlfn.LET(
    _xlpm.targetDate, B302,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03" spans="1:12" x14ac:dyDescent="0.3">
      <c r="A303" s="16" t="str">
        <f t="shared" si="8"/>
        <v/>
      </c>
      <c r="B303" s="19"/>
      <c r="C303" s="17" t="str">
        <f t="shared" si="9"/>
        <v/>
      </c>
      <c r="D303" s="29" t="str" cm="1">
        <f t="array" ref="D303">IFERROR(INDEX(Data_Input!$10:$10,MATCH(1,(Data_Input!$7:$7=$F$3)*(Data_Input!$8:$8=$B303),0)),"")</f>
        <v/>
      </c>
      <c r="E303" s="29" t="str" cm="1">
        <f t="array" ref="E303">IFERROR(INDEX(Data_Input!$1:$100, 9, MATCH(1, (Data_Input!$7:$7=$F$3) * (Data_Input!$8:$8=$B303), 0)),"")</f>
        <v/>
      </c>
      <c r="F303" s="20" t="str" cm="1">
        <f t="array" ref="F303">IFERROR(INDEX(Data_Input!$A$1:$ZZ$502, MATCH("예수금", INDEX(Data_Input!$A$1:$ZZ$502, 0, MATCH(1, (Data_Input!$7:$7=$F$3)*(Data_Input!$8:$8=$B303), 0)), 0) + 1, MATCH(1, (Data_Input!$7:$7=$F$3)*(Data_Input!$8:$8=$B303), 0)),"")</f>
        <v/>
      </c>
      <c r="G303" s="20" t="str" cm="1">
        <f t="array" ref="G303">IFERROR(INDEX(Data_Input!$A$1:$ZZ$502, MATCH("총자산", INDEX(Data_Input!$A$1:$ZZ$502, 0, MATCH(1, (Data_Input!$7:$7=$F$3)*(Data_Input!$8:$8=$B303), 0)), 0) + 1, MATCH(1, (Data_Input!$7:$7=$F$3)*(Data_Input!$8:$8=$B303), 0)),"")</f>
        <v/>
      </c>
      <c r="H303" s="20" t="str" cm="1">
        <f t="array" ref="H303">IFERROR(INDEX(Data_Input!$A$1:$ZZ$502, MATCH("매입금액", INDEX(Data_Input!$A$1:$ZZ$502, 0, MATCH(1, (Data_Input!$7:$7=$F$3)*(Data_Input!$8:$8=$B303), 0)), 0) + 1, MATCH(1, (Data_Input!$7:$7=$F$3)*(Data_Input!$8:$8=$B303), 0)),"")</f>
        <v/>
      </c>
      <c r="I303" s="20" t="str" cm="1">
        <f t="array" ref="I303">IFERROR(INDEX(Data_Input!$A$1:$ZZ$502, MATCH("평가금액", INDEX(Data_Input!$A$1:$ZZ$502, 0, MATCH(1, (Data_Input!$7:$7=$F$3)*(Data_Input!$8:$8=$B303), 0)), 0) + 1, MATCH(1, (Data_Input!$7:$7=$F$3)*(Data_Input!$8:$8=$B303), 0)),"")</f>
        <v/>
      </c>
      <c r="J303" s="20" t="str" cm="1">
        <f t="array" ref="J303">IFERROR(INDEX(Data_Input!$A$1:$ZZ$502, MATCH("평가손익", INDEX(Data_Input!$A$1:$ZZ$502, 0, MATCH(1, (Data_Input!$7:$7=$F$3)*(Data_Input!$8:$8=$B303), 0)), 0) + 1, MATCH(1, (Data_Input!$7:$7=$F$3)*(Data_Input!$8:$8=$B303), 0)),"")</f>
        <v/>
      </c>
      <c r="K303" s="14" t="str" cm="1">
        <f t="array" ref="K303">IFERROR(INDEX(Data_Input!$A$1:$ZZ$502, MATCH("총수익률", INDEX(Data_Input!$A$1:$ZZ$502, 0, MATCH(1, (Data_Input!$7:$7=$F$3)*(Data_Input!$8:$8=$B303), 0)), 0) + 1, MATCH(1, (Data_Input!$7:$7=$F$3)*(Data_Input!$8:$8=$B303), 0)),"")</f>
        <v/>
      </c>
      <c r="L303" t="str" cm="1">
        <f t="array" ref="L303">IFERROR(_xlfn.LET(
    _xlpm.targetDate, B303,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04" spans="1:12" x14ac:dyDescent="0.3">
      <c r="A304" s="16" t="str">
        <f t="shared" si="8"/>
        <v/>
      </c>
      <c r="B304" s="19"/>
      <c r="C304" s="17" t="str">
        <f t="shared" si="9"/>
        <v/>
      </c>
      <c r="D304" s="29" t="str" cm="1">
        <f t="array" ref="D304">IFERROR(INDEX(Data_Input!$10:$10,MATCH(1,(Data_Input!$7:$7=$F$3)*(Data_Input!$8:$8=$B304),0)),"")</f>
        <v/>
      </c>
      <c r="E304" s="29" t="str" cm="1">
        <f t="array" ref="E304">IFERROR(INDEX(Data_Input!$1:$100, 9, MATCH(1, (Data_Input!$7:$7=$F$3) * (Data_Input!$8:$8=$B304), 0)),"")</f>
        <v/>
      </c>
      <c r="F304" s="20" t="str" cm="1">
        <f t="array" ref="F304">IFERROR(INDEX(Data_Input!$A$1:$ZZ$502, MATCH("예수금", INDEX(Data_Input!$A$1:$ZZ$502, 0, MATCH(1, (Data_Input!$7:$7=$F$3)*(Data_Input!$8:$8=$B304), 0)), 0) + 1, MATCH(1, (Data_Input!$7:$7=$F$3)*(Data_Input!$8:$8=$B304), 0)),"")</f>
        <v/>
      </c>
      <c r="G304" s="20" t="str" cm="1">
        <f t="array" ref="G304">IFERROR(INDEX(Data_Input!$A$1:$ZZ$502, MATCH("총자산", INDEX(Data_Input!$A$1:$ZZ$502, 0, MATCH(1, (Data_Input!$7:$7=$F$3)*(Data_Input!$8:$8=$B304), 0)), 0) + 1, MATCH(1, (Data_Input!$7:$7=$F$3)*(Data_Input!$8:$8=$B304), 0)),"")</f>
        <v/>
      </c>
      <c r="H304" s="20" t="str" cm="1">
        <f t="array" ref="H304">IFERROR(INDEX(Data_Input!$A$1:$ZZ$502, MATCH("매입금액", INDEX(Data_Input!$A$1:$ZZ$502, 0, MATCH(1, (Data_Input!$7:$7=$F$3)*(Data_Input!$8:$8=$B304), 0)), 0) + 1, MATCH(1, (Data_Input!$7:$7=$F$3)*(Data_Input!$8:$8=$B304), 0)),"")</f>
        <v/>
      </c>
      <c r="I304" s="20" t="str" cm="1">
        <f t="array" ref="I304">IFERROR(INDEX(Data_Input!$A$1:$ZZ$502, MATCH("평가금액", INDEX(Data_Input!$A$1:$ZZ$502, 0, MATCH(1, (Data_Input!$7:$7=$F$3)*(Data_Input!$8:$8=$B304), 0)), 0) + 1, MATCH(1, (Data_Input!$7:$7=$F$3)*(Data_Input!$8:$8=$B304), 0)),"")</f>
        <v/>
      </c>
      <c r="J304" s="20" t="str" cm="1">
        <f t="array" ref="J304">IFERROR(INDEX(Data_Input!$A$1:$ZZ$502, MATCH("평가손익", INDEX(Data_Input!$A$1:$ZZ$502, 0, MATCH(1, (Data_Input!$7:$7=$F$3)*(Data_Input!$8:$8=$B304), 0)), 0) + 1, MATCH(1, (Data_Input!$7:$7=$F$3)*(Data_Input!$8:$8=$B304), 0)),"")</f>
        <v/>
      </c>
      <c r="K304" s="14" t="str" cm="1">
        <f t="array" ref="K304">IFERROR(INDEX(Data_Input!$A$1:$ZZ$502, MATCH("총수익률", INDEX(Data_Input!$A$1:$ZZ$502, 0, MATCH(1, (Data_Input!$7:$7=$F$3)*(Data_Input!$8:$8=$B304), 0)), 0) + 1, MATCH(1, (Data_Input!$7:$7=$F$3)*(Data_Input!$8:$8=$B304), 0)),"")</f>
        <v/>
      </c>
      <c r="L304" t="str" cm="1">
        <f t="array" ref="L304">IFERROR(_xlfn.LET(
    _xlpm.targetDate, B304,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05" spans="1:12" x14ac:dyDescent="0.3">
      <c r="A305" s="16" t="str">
        <f t="shared" si="8"/>
        <v/>
      </c>
      <c r="B305" s="19"/>
      <c r="C305" s="17" t="str">
        <f t="shared" si="9"/>
        <v/>
      </c>
      <c r="D305" s="29" t="str" cm="1">
        <f t="array" ref="D305">IFERROR(INDEX(Data_Input!$10:$10,MATCH(1,(Data_Input!$7:$7=$F$3)*(Data_Input!$8:$8=$B305),0)),"")</f>
        <v/>
      </c>
      <c r="E305" s="29" t="str" cm="1">
        <f t="array" ref="E305">IFERROR(INDEX(Data_Input!$1:$100, 9, MATCH(1, (Data_Input!$7:$7=$F$3) * (Data_Input!$8:$8=$B305), 0)),"")</f>
        <v/>
      </c>
      <c r="F305" s="20" t="str" cm="1">
        <f t="array" ref="F305">IFERROR(INDEX(Data_Input!$A$1:$ZZ$502, MATCH("예수금", INDEX(Data_Input!$A$1:$ZZ$502, 0, MATCH(1, (Data_Input!$7:$7=$F$3)*(Data_Input!$8:$8=$B305), 0)), 0) + 1, MATCH(1, (Data_Input!$7:$7=$F$3)*(Data_Input!$8:$8=$B305), 0)),"")</f>
        <v/>
      </c>
      <c r="G305" s="20" t="str" cm="1">
        <f t="array" ref="G305">IFERROR(INDEX(Data_Input!$A$1:$ZZ$502, MATCH("총자산", INDEX(Data_Input!$A$1:$ZZ$502, 0, MATCH(1, (Data_Input!$7:$7=$F$3)*(Data_Input!$8:$8=$B305), 0)), 0) + 1, MATCH(1, (Data_Input!$7:$7=$F$3)*(Data_Input!$8:$8=$B305), 0)),"")</f>
        <v/>
      </c>
      <c r="H305" s="20" t="str" cm="1">
        <f t="array" ref="H305">IFERROR(INDEX(Data_Input!$A$1:$ZZ$502, MATCH("매입금액", INDEX(Data_Input!$A$1:$ZZ$502, 0, MATCH(1, (Data_Input!$7:$7=$F$3)*(Data_Input!$8:$8=$B305), 0)), 0) + 1, MATCH(1, (Data_Input!$7:$7=$F$3)*(Data_Input!$8:$8=$B305), 0)),"")</f>
        <v/>
      </c>
      <c r="I305" s="20" t="str" cm="1">
        <f t="array" ref="I305">IFERROR(INDEX(Data_Input!$A$1:$ZZ$502, MATCH("평가금액", INDEX(Data_Input!$A$1:$ZZ$502, 0, MATCH(1, (Data_Input!$7:$7=$F$3)*(Data_Input!$8:$8=$B305), 0)), 0) + 1, MATCH(1, (Data_Input!$7:$7=$F$3)*(Data_Input!$8:$8=$B305), 0)),"")</f>
        <v/>
      </c>
      <c r="J305" s="20" t="str" cm="1">
        <f t="array" ref="J305">IFERROR(INDEX(Data_Input!$A$1:$ZZ$502, MATCH("평가손익", INDEX(Data_Input!$A$1:$ZZ$502, 0, MATCH(1, (Data_Input!$7:$7=$F$3)*(Data_Input!$8:$8=$B305), 0)), 0) + 1, MATCH(1, (Data_Input!$7:$7=$F$3)*(Data_Input!$8:$8=$B305), 0)),"")</f>
        <v/>
      </c>
      <c r="K305" s="14" t="str" cm="1">
        <f t="array" ref="K305">IFERROR(INDEX(Data_Input!$A$1:$ZZ$502, MATCH("총수익률", INDEX(Data_Input!$A$1:$ZZ$502, 0, MATCH(1, (Data_Input!$7:$7=$F$3)*(Data_Input!$8:$8=$B305), 0)), 0) + 1, MATCH(1, (Data_Input!$7:$7=$F$3)*(Data_Input!$8:$8=$B305), 0)),"")</f>
        <v/>
      </c>
      <c r="L305" t="str" cm="1">
        <f t="array" ref="L305">IFERROR(_xlfn.LET(
    _xlpm.targetDate, B305,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06" spans="1:12" x14ac:dyDescent="0.3">
      <c r="A306" s="16" t="str">
        <f t="shared" si="8"/>
        <v/>
      </c>
      <c r="B306" s="19"/>
      <c r="C306" s="17" t="str">
        <f t="shared" si="9"/>
        <v/>
      </c>
      <c r="D306" s="29" t="str" cm="1">
        <f t="array" ref="D306">IFERROR(INDEX(Data_Input!$10:$10,MATCH(1,(Data_Input!$7:$7=$F$3)*(Data_Input!$8:$8=$B306),0)),"")</f>
        <v/>
      </c>
      <c r="E306" s="29" t="str" cm="1">
        <f t="array" ref="E306">IFERROR(INDEX(Data_Input!$1:$100, 9, MATCH(1, (Data_Input!$7:$7=$F$3) * (Data_Input!$8:$8=$B306), 0)),"")</f>
        <v/>
      </c>
      <c r="F306" s="20" t="str" cm="1">
        <f t="array" ref="F306">IFERROR(INDEX(Data_Input!$A$1:$ZZ$502, MATCH("예수금", INDEX(Data_Input!$A$1:$ZZ$502, 0, MATCH(1, (Data_Input!$7:$7=$F$3)*(Data_Input!$8:$8=$B306), 0)), 0) + 1, MATCH(1, (Data_Input!$7:$7=$F$3)*(Data_Input!$8:$8=$B306), 0)),"")</f>
        <v/>
      </c>
      <c r="G306" s="20" t="str" cm="1">
        <f t="array" ref="G306">IFERROR(INDEX(Data_Input!$A$1:$ZZ$502, MATCH("총자산", INDEX(Data_Input!$A$1:$ZZ$502, 0, MATCH(1, (Data_Input!$7:$7=$F$3)*(Data_Input!$8:$8=$B306), 0)), 0) + 1, MATCH(1, (Data_Input!$7:$7=$F$3)*(Data_Input!$8:$8=$B306), 0)),"")</f>
        <v/>
      </c>
      <c r="H306" s="20" t="str" cm="1">
        <f t="array" ref="H306">IFERROR(INDEX(Data_Input!$A$1:$ZZ$502, MATCH("매입금액", INDEX(Data_Input!$A$1:$ZZ$502, 0, MATCH(1, (Data_Input!$7:$7=$F$3)*(Data_Input!$8:$8=$B306), 0)), 0) + 1, MATCH(1, (Data_Input!$7:$7=$F$3)*(Data_Input!$8:$8=$B306), 0)),"")</f>
        <v/>
      </c>
      <c r="I306" s="20" t="str" cm="1">
        <f t="array" ref="I306">IFERROR(INDEX(Data_Input!$A$1:$ZZ$502, MATCH("평가금액", INDEX(Data_Input!$A$1:$ZZ$502, 0, MATCH(1, (Data_Input!$7:$7=$F$3)*(Data_Input!$8:$8=$B306), 0)), 0) + 1, MATCH(1, (Data_Input!$7:$7=$F$3)*(Data_Input!$8:$8=$B306), 0)),"")</f>
        <v/>
      </c>
      <c r="J306" s="20" t="str" cm="1">
        <f t="array" ref="J306">IFERROR(INDEX(Data_Input!$A$1:$ZZ$502, MATCH("평가손익", INDEX(Data_Input!$A$1:$ZZ$502, 0, MATCH(1, (Data_Input!$7:$7=$F$3)*(Data_Input!$8:$8=$B306), 0)), 0) + 1, MATCH(1, (Data_Input!$7:$7=$F$3)*(Data_Input!$8:$8=$B306), 0)),"")</f>
        <v/>
      </c>
      <c r="K306" s="14" t="str" cm="1">
        <f t="array" ref="K306">IFERROR(INDEX(Data_Input!$A$1:$ZZ$502, MATCH("총수익률", INDEX(Data_Input!$A$1:$ZZ$502, 0, MATCH(1, (Data_Input!$7:$7=$F$3)*(Data_Input!$8:$8=$B306), 0)), 0) + 1, MATCH(1, (Data_Input!$7:$7=$F$3)*(Data_Input!$8:$8=$B306), 0)),"")</f>
        <v/>
      </c>
      <c r="L306" t="str" cm="1">
        <f t="array" ref="L306">IFERROR(_xlfn.LET(
    _xlpm.targetDate, B306,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07" spans="1:12" x14ac:dyDescent="0.3">
      <c r="A307" s="16" t="str">
        <f t="shared" si="8"/>
        <v/>
      </c>
      <c r="B307" s="19"/>
      <c r="C307" s="17" t="str">
        <f t="shared" si="9"/>
        <v/>
      </c>
      <c r="D307" s="29" t="str" cm="1">
        <f t="array" ref="D307">IFERROR(INDEX(Data_Input!$10:$10,MATCH(1,(Data_Input!$7:$7=$F$3)*(Data_Input!$8:$8=$B307),0)),"")</f>
        <v/>
      </c>
      <c r="E307" s="29" t="str" cm="1">
        <f t="array" ref="E307">IFERROR(INDEX(Data_Input!$1:$100, 9, MATCH(1, (Data_Input!$7:$7=$F$3) * (Data_Input!$8:$8=$B307), 0)),"")</f>
        <v/>
      </c>
      <c r="F307" s="20" t="str" cm="1">
        <f t="array" ref="F307">IFERROR(INDEX(Data_Input!$A$1:$ZZ$502, MATCH("예수금", INDEX(Data_Input!$A$1:$ZZ$502, 0, MATCH(1, (Data_Input!$7:$7=$F$3)*(Data_Input!$8:$8=$B307), 0)), 0) + 1, MATCH(1, (Data_Input!$7:$7=$F$3)*(Data_Input!$8:$8=$B307), 0)),"")</f>
        <v/>
      </c>
      <c r="G307" s="20" t="str" cm="1">
        <f t="array" ref="G307">IFERROR(INDEX(Data_Input!$A$1:$ZZ$502, MATCH("총자산", INDEX(Data_Input!$A$1:$ZZ$502, 0, MATCH(1, (Data_Input!$7:$7=$F$3)*(Data_Input!$8:$8=$B307), 0)), 0) + 1, MATCH(1, (Data_Input!$7:$7=$F$3)*(Data_Input!$8:$8=$B307), 0)),"")</f>
        <v/>
      </c>
      <c r="H307" s="20" t="str" cm="1">
        <f t="array" ref="H307">IFERROR(INDEX(Data_Input!$A$1:$ZZ$502, MATCH("매입금액", INDEX(Data_Input!$A$1:$ZZ$502, 0, MATCH(1, (Data_Input!$7:$7=$F$3)*(Data_Input!$8:$8=$B307), 0)), 0) + 1, MATCH(1, (Data_Input!$7:$7=$F$3)*(Data_Input!$8:$8=$B307), 0)),"")</f>
        <v/>
      </c>
      <c r="I307" s="20" t="str" cm="1">
        <f t="array" ref="I307">IFERROR(INDEX(Data_Input!$A$1:$ZZ$502, MATCH("평가금액", INDEX(Data_Input!$A$1:$ZZ$502, 0, MATCH(1, (Data_Input!$7:$7=$F$3)*(Data_Input!$8:$8=$B307), 0)), 0) + 1, MATCH(1, (Data_Input!$7:$7=$F$3)*(Data_Input!$8:$8=$B307), 0)),"")</f>
        <v/>
      </c>
      <c r="J307" s="20" t="str" cm="1">
        <f t="array" ref="J307">IFERROR(INDEX(Data_Input!$A$1:$ZZ$502, MATCH("평가손익", INDEX(Data_Input!$A$1:$ZZ$502, 0, MATCH(1, (Data_Input!$7:$7=$F$3)*(Data_Input!$8:$8=$B307), 0)), 0) + 1, MATCH(1, (Data_Input!$7:$7=$F$3)*(Data_Input!$8:$8=$B307), 0)),"")</f>
        <v/>
      </c>
      <c r="K307" s="14" t="str" cm="1">
        <f t="array" ref="K307">IFERROR(INDEX(Data_Input!$A$1:$ZZ$502, MATCH("총수익률", INDEX(Data_Input!$A$1:$ZZ$502, 0, MATCH(1, (Data_Input!$7:$7=$F$3)*(Data_Input!$8:$8=$B307), 0)), 0) + 1, MATCH(1, (Data_Input!$7:$7=$F$3)*(Data_Input!$8:$8=$B307), 0)),"")</f>
        <v/>
      </c>
      <c r="L307" t="str" cm="1">
        <f t="array" ref="L307">IFERROR(_xlfn.LET(
    _xlpm.targetDate, B307,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08" spans="1:12" x14ac:dyDescent="0.3">
      <c r="A308" s="16" t="str">
        <f t="shared" si="8"/>
        <v/>
      </c>
      <c r="B308" s="19"/>
      <c r="C308" s="17" t="str">
        <f t="shared" si="9"/>
        <v/>
      </c>
      <c r="D308" s="29" t="str" cm="1">
        <f t="array" ref="D308">IFERROR(INDEX(Data_Input!$10:$10,MATCH(1,(Data_Input!$7:$7=$F$3)*(Data_Input!$8:$8=$B308),0)),"")</f>
        <v/>
      </c>
      <c r="E308" s="29" t="str" cm="1">
        <f t="array" ref="E308">IFERROR(INDEX(Data_Input!$1:$100, 9, MATCH(1, (Data_Input!$7:$7=$F$3) * (Data_Input!$8:$8=$B308), 0)),"")</f>
        <v/>
      </c>
      <c r="F308" s="20" t="str" cm="1">
        <f t="array" ref="F308">IFERROR(INDEX(Data_Input!$A$1:$ZZ$502, MATCH("예수금", INDEX(Data_Input!$A$1:$ZZ$502, 0, MATCH(1, (Data_Input!$7:$7=$F$3)*(Data_Input!$8:$8=$B308), 0)), 0) + 1, MATCH(1, (Data_Input!$7:$7=$F$3)*(Data_Input!$8:$8=$B308), 0)),"")</f>
        <v/>
      </c>
      <c r="G308" s="20" t="str" cm="1">
        <f t="array" ref="G308">IFERROR(INDEX(Data_Input!$A$1:$ZZ$502, MATCH("총자산", INDEX(Data_Input!$A$1:$ZZ$502, 0, MATCH(1, (Data_Input!$7:$7=$F$3)*(Data_Input!$8:$8=$B308), 0)), 0) + 1, MATCH(1, (Data_Input!$7:$7=$F$3)*(Data_Input!$8:$8=$B308), 0)),"")</f>
        <v/>
      </c>
      <c r="H308" s="20" t="str" cm="1">
        <f t="array" ref="H308">IFERROR(INDEX(Data_Input!$A$1:$ZZ$502, MATCH("매입금액", INDEX(Data_Input!$A$1:$ZZ$502, 0, MATCH(1, (Data_Input!$7:$7=$F$3)*(Data_Input!$8:$8=$B308), 0)), 0) + 1, MATCH(1, (Data_Input!$7:$7=$F$3)*(Data_Input!$8:$8=$B308), 0)),"")</f>
        <v/>
      </c>
      <c r="I308" s="20" t="str" cm="1">
        <f t="array" ref="I308">IFERROR(INDEX(Data_Input!$A$1:$ZZ$502, MATCH("평가금액", INDEX(Data_Input!$A$1:$ZZ$502, 0, MATCH(1, (Data_Input!$7:$7=$F$3)*(Data_Input!$8:$8=$B308), 0)), 0) + 1, MATCH(1, (Data_Input!$7:$7=$F$3)*(Data_Input!$8:$8=$B308), 0)),"")</f>
        <v/>
      </c>
      <c r="J308" s="20" t="str" cm="1">
        <f t="array" ref="J308">IFERROR(INDEX(Data_Input!$A$1:$ZZ$502, MATCH("평가손익", INDEX(Data_Input!$A$1:$ZZ$502, 0, MATCH(1, (Data_Input!$7:$7=$F$3)*(Data_Input!$8:$8=$B308), 0)), 0) + 1, MATCH(1, (Data_Input!$7:$7=$F$3)*(Data_Input!$8:$8=$B308), 0)),"")</f>
        <v/>
      </c>
      <c r="K308" s="14" t="str" cm="1">
        <f t="array" ref="K308">IFERROR(INDEX(Data_Input!$A$1:$ZZ$502, MATCH("총수익률", INDEX(Data_Input!$A$1:$ZZ$502, 0, MATCH(1, (Data_Input!$7:$7=$F$3)*(Data_Input!$8:$8=$B308), 0)), 0) + 1, MATCH(1, (Data_Input!$7:$7=$F$3)*(Data_Input!$8:$8=$B308), 0)),"")</f>
        <v/>
      </c>
      <c r="L308" t="str" cm="1">
        <f t="array" ref="L308">IFERROR(_xlfn.LET(
    _xlpm.targetDate, B308,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09" spans="1:12" x14ac:dyDescent="0.3">
      <c r="A309" s="16" t="str">
        <f t="shared" si="8"/>
        <v/>
      </c>
      <c r="B309" s="19"/>
      <c r="C309" s="17" t="str">
        <f t="shared" si="9"/>
        <v/>
      </c>
      <c r="D309" s="29" t="str" cm="1">
        <f t="array" ref="D309">IFERROR(INDEX(Data_Input!$10:$10,MATCH(1,(Data_Input!$7:$7=$F$3)*(Data_Input!$8:$8=$B309),0)),"")</f>
        <v/>
      </c>
      <c r="E309" s="29" t="str" cm="1">
        <f t="array" ref="E309">IFERROR(INDEX(Data_Input!$1:$100, 9, MATCH(1, (Data_Input!$7:$7=$F$3) * (Data_Input!$8:$8=$B309), 0)),"")</f>
        <v/>
      </c>
      <c r="F309" s="20" t="str" cm="1">
        <f t="array" ref="F309">IFERROR(INDEX(Data_Input!$A$1:$ZZ$502, MATCH("예수금", INDEX(Data_Input!$A$1:$ZZ$502, 0, MATCH(1, (Data_Input!$7:$7=$F$3)*(Data_Input!$8:$8=$B309), 0)), 0) + 1, MATCH(1, (Data_Input!$7:$7=$F$3)*(Data_Input!$8:$8=$B309), 0)),"")</f>
        <v/>
      </c>
      <c r="G309" s="20" t="str" cm="1">
        <f t="array" ref="G309">IFERROR(INDEX(Data_Input!$A$1:$ZZ$502, MATCH("총자산", INDEX(Data_Input!$A$1:$ZZ$502, 0, MATCH(1, (Data_Input!$7:$7=$F$3)*(Data_Input!$8:$8=$B309), 0)), 0) + 1, MATCH(1, (Data_Input!$7:$7=$F$3)*(Data_Input!$8:$8=$B309), 0)),"")</f>
        <v/>
      </c>
      <c r="H309" s="20" t="str" cm="1">
        <f t="array" ref="H309">IFERROR(INDEX(Data_Input!$A$1:$ZZ$502, MATCH("매입금액", INDEX(Data_Input!$A$1:$ZZ$502, 0, MATCH(1, (Data_Input!$7:$7=$F$3)*(Data_Input!$8:$8=$B309), 0)), 0) + 1, MATCH(1, (Data_Input!$7:$7=$F$3)*(Data_Input!$8:$8=$B309), 0)),"")</f>
        <v/>
      </c>
      <c r="I309" s="20" t="str" cm="1">
        <f t="array" ref="I309">IFERROR(INDEX(Data_Input!$A$1:$ZZ$502, MATCH("평가금액", INDEX(Data_Input!$A$1:$ZZ$502, 0, MATCH(1, (Data_Input!$7:$7=$F$3)*(Data_Input!$8:$8=$B309), 0)), 0) + 1, MATCH(1, (Data_Input!$7:$7=$F$3)*(Data_Input!$8:$8=$B309), 0)),"")</f>
        <v/>
      </c>
      <c r="J309" s="20" t="str" cm="1">
        <f t="array" ref="J309">IFERROR(INDEX(Data_Input!$A$1:$ZZ$502, MATCH("평가손익", INDEX(Data_Input!$A$1:$ZZ$502, 0, MATCH(1, (Data_Input!$7:$7=$F$3)*(Data_Input!$8:$8=$B309), 0)), 0) + 1, MATCH(1, (Data_Input!$7:$7=$F$3)*(Data_Input!$8:$8=$B309), 0)),"")</f>
        <v/>
      </c>
      <c r="K309" s="14" t="str" cm="1">
        <f t="array" ref="K309">IFERROR(INDEX(Data_Input!$A$1:$ZZ$502, MATCH("총수익률", INDEX(Data_Input!$A$1:$ZZ$502, 0, MATCH(1, (Data_Input!$7:$7=$F$3)*(Data_Input!$8:$8=$B309), 0)), 0) + 1, MATCH(1, (Data_Input!$7:$7=$F$3)*(Data_Input!$8:$8=$B309), 0)),"")</f>
        <v/>
      </c>
      <c r="L309" t="str" cm="1">
        <f t="array" ref="L309">IFERROR(_xlfn.LET(
    _xlpm.targetDate, B309,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10" spans="1:12" x14ac:dyDescent="0.3">
      <c r="A310" s="16" t="str">
        <f t="shared" si="8"/>
        <v/>
      </c>
      <c r="B310" s="19"/>
      <c r="C310" s="17" t="str">
        <f t="shared" si="9"/>
        <v/>
      </c>
      <c r="D310" s="29" t="str" cm="1">
        <f t="array" ref="D310">IFERROR(INDEX(Data_Input!$10:$10,MATCH(1,(Data_Input!$7:$7=$F$3)*(Data_Input!$8:$8=$B310),0)),"")</f>
        <v/>
      </c>
      <c r="E310" s="29" t="str" cm="1">
        <f t="array" ref="E310">IFERROR(INDEX(Data_Input!$1:$100, 9, MATCH(1, (Data_Input!$7:$7=$F$3) * (Data_Input!$8:$8=$B310), 0)),"")</f>
        <v/>
      </c>
      <c r="F310" s="20" t="str" cm="1">
        <f t="array" ref="F310">IFERROR(INDEX(Data_Input!$A$1:$ZZ$502, MATCH("예수금", INDEX(Data_Input!$A$1:$ZZ$502, 0, MATCH(1, (Data_Input!$7:$7=$F$3)*(Data_Input!$8:$8=$B310), 0)), 0) + 1, MATCH(1, (Data_Input!$7:$7=$F$3)*(Data_Input!$8:$8=$B310), 0)),"")</f>
        <v/>
      </c>
      <c r="G310" s="20" t="str" cm="1">
        <f t="array" ref="G310">IFERROR(INDEX(Data_Input!$A$1:$ZZ$502, MATCH("총자산", INDEX(Data_Input!$A$1:$ZZ$502, 0, MATCH(1, (Data_Input!$7:$7=$F$3)*(Data_Input!$8:$8=$B310), 0)), 0) + 1, MATCH(1, (Data_Input!$7:$7=$F$3)*(Data_Input!$8:$8=$B310), 0)),"")</f>
        <v/>
      </c>
      <c r="H310" s="20" t="str" cm="1">
        <f t="array" ref="H310">IFERROR(INDEX(Data_Input!$A$1:$ZZ$502, MATCH("매입금액", INDEX(Data_Input!$A$1:$ZZ$502, 0, MATCH(1, (Data_Input!$7:$7=$F$3)*(Data_Input!$8:$8=$B310), 0)), 0) + 1, MATCH(1, (Data_Input!$7:$7=$F$3)*(Data_Input!$8:$8=$B310), 0)),"")</f>
        <v/>
      </c>
      <c r="I310" s="20" t="str" cm="1">
        <f t="array" ref="I310">IFERROR(INDEX(Data_Input!$A$1:$ZZ$502, MATCH("평가금액", INDEX(Data_Input!$A$1:$ZZ$502, 0, MATCH(1, (Data_Input!$7:$7=$F$3)*(Data_Input!$8:$8=$B310), 0)), 0) + 1, MATCH(1, (Data_Input!$7:$7=$F$3)*(Data_Input!$8:$8=$B310), 0)),"")</f>
        <v/>
      </c>
      <c r="J310" s="20" t="str" cm="1">
        <f t="array" ref="J310">IFERROR(INDEX(Data_Input!$A$1:$ZZ$502, MATCH("평가손익", INDEX(Data_Input!$A$1:$ZZ$502, 0, MATCH(1, (Data_Input!$7:$7=$F$3)*(Data_Input!$8:$8=$B310), 0)), 0) + 1, MATCH(1, (Data_Input!$7:$7=$F$3)*(Data_Input!$8:$8=$B310), 0)),"")</f>
        <v/>
      </c>
      <c r="K310" s="14" t="str" cm="1">
        <f t="array" ref="K310">IFERROR(INDEX(Data_Input!$A$1:$ZZ$502, MATCH("총수익률", INDEX(Data_Input!$A$1:$ZZ$502, 0, MATCH(1, (Data_Input!$7:$7=$F$3)*(Data_Input!$8:$8=$B310), 0)), 0) + 1, MATCH(1, (Data_Input!$7:$7=$F$3)*(Data_Input!$8:$8=$B310), 0)),"")</f>
        <v/>
      </c>
      <c r="L310" t="str" cm="1">
        <f t="array" ref="L310">IFERROR(_xlfn.LET(
    _xlpm.targetDate, B310,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11" spans="1:12" x14ac:dyDescent="0.3">
      <c r="A311" s="16" t="str">
        <f t="shared" si="8"/>
        <v/>
      </c>
      <c r="B311" s="19"/>
      <c r="C311" s="17" t="str">
        <f t="shared" si="9"/>
        <v/>
      </c>
      <c r="D311" s="29" t="str" cm="1">
        <f t="array" ref="D311">IFERROR(INDEX(Data_Input!$10:$10,MATCH(1,(Data_Input!$7:$7=$F$3)*(Data_Input!$8:$8=$B311),0)),"")</f>
        <v/>
      </c>
      <c r="E311" s="29" t="str" cm="1">
        <f t="array" ref="E311">IFERROR(INDEX(Data_Input!$1:$100, 9, MATCH(1, (Data_Input!$7:$7=$F$3) * (Data_Input!$8:$8=$B311), 0)),"")</f>
        <v/>
      </c>
      <c r="F311" s="20" t="str" cm="1">
        <f t="array" ref="F311">IFERROR(INDEX(Data_Input!$A$1:$ZZ$502, MATCH("예수금", INDEX(Data_Input!$A$1:$ZZ$502, 0, MATCH(1, (Data_Input!$7:$7=$F$3)*(Data_Input!$8:$8=$B311), 0)), 0) + 1, MATCH(1, (Data_Input!$7:$7=$F$3)*(Data_Input!$8:$8=$B311), 0)),"")</f>
        <v/>
      </c>
      <c r="G311" s="20" t="str" cm="1">
        <f t="array" ref="G311">IFERROR(INDEX(Data_Input!$A$1:$ZZ$502, MATCH("총자산", INDEX(Data_Input!$A$1:$ZZ$502, 0, MATCH(1, (Data_Input!$7:$7=$F$3)*(Data_Input!$8:$8=$B311), 0)), 0) + 1, MATCH(1, (Data_Input!$7:$7=$F$3)*(Data_Input!$8:$8=$B311), 0)),"")</f>
        <v/>
      </c>
      <c r="H311" s="20" t="str" cm="1">
        <f t="array" ref="H311">IFERROR(INDEX(Data_Input!$A$1:$ZZ$502, MATCH("매입금액", INDEX(Data_Input!$A$1:$ZZ$502, 0, MATCH(1, (Data_Input!$7:$7=$F$3)*(Data_Input!$8:$8=$B311), 0)), 0) + 1, MATCH(1, (Data_Input!$7:$7=$F$3)*(Data_Input!$8:$8=$B311), 0)),"")</f>
        <v/>
      </c>
      <c r="I311" s="20" t="str" cm="1">
        <f t="array" ref="I311">IFERROR(INDEX(Data_Input!$A$1:$ZZ$502, MATCH("평가금액", INDEX(Data_Input!$A$1:$ZZ$502, 0, MATCH(1, (Data_Input!$7:$7=$F$3)*(Data_Input!$8:$8=$B311), 0)), 0) + 1, MATCH(1, (Data_Input!$7:$7=$F$3)*(Data_Input!$8:$8=$B311), 0)),"")</f>
        <v/>
      </c>
      <c r="J311" s="20" t="str" cm="1">
        <f t="array" ref="J311">IFERROR(INDEX(Data_Input!$A$1:$ZZ$502, MATCH("평가손익", INDEX(Data_Input!$A$1:$ZZ$502, 0, MATCH(1, (Data_Input!$7:$7=$F$3)*(Data_Input!$8:$8=$B311), 0)), 0) + 1, MATCH(1, (Data_Input!$7:$7=$F$3)*(Data_Input!$8:$8=$B311), 0)),"")</f>
        <v/>
      </c>
      <c r="K311" s="14" t="str" cm="1">
        <f t="array" ref="K311">IFERROR(INDEX(Data_Input!$A$1:$ZZ$502, MATCH("총수익률", INDEX(Data_Input!$A$1:$ZZ$502, 0, MATCH(1, (Data_Input!$7:$7=$F$3)*(Data_Input!$8:$8=$B311), 0)), 0) + 1, MATCH(1, (Data_Input!$7:$7=$F$3)*(Data_Input!$8:$8=$B311), 0)),"")</f>
        <v/>
      </c>
      <c r="L311" t="str" cm="1">
        <f t="array" ref="L311">IFERROR(_xlfn.LET(
    _xlpm.targetDate, B311,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12" spans="1:12" x14ac:dyDescent="0.3">
      <c r="A312" s="16" t="str">
        <f t="shared" si="8"/>
        <v/>
      </c>
      <c r="B312" s="19"/>
      <c r="C312" s="17" t="str">
        <f t="shared" si="9"/>
        <v/>
      </c>
      <c r="D312" s="29" t="str" cm="1">
        <f t="array" ref="D312">IFERROR(INDEX(Data_Input!$10:$10,MATCH(1,(Data_Input!$7:$7=$F$3)*(Data_Input!$8:$8=$B312),0)),"")</f>
        <v/>
      </c>
      <c r="E312" s="29" t="str" cm="1">
        <f t="array" ref="E312">IFERROR(INDEX(Data_Input!$1:$100, 9, MATCH(1, (Data_Input!$7:$7=$F$3) * (Data_Input!$8:$8=$B312), 0)),"")</f>
        <v/>
      </c>
      <c r="F312" s="20" t="str" cm="1">
        <f t="array" ref="F312">IFERROR(INDEX(Data_Input!$A$1:$ZZ$502, MATCH("예수금", INDEX(Data_Input!$A$1:$ZZ$502, 0, MATCH(1, (Data_Input!$7:$7=$F$3)*(Data_Input!$8:$8=$B312), 0)), 0) + 1, MATCH(1, (Data_Input!$7:$7=$F$3)*(Data_Input!$8:$8=$B312), 0)),"")</f>
        <v/>
      </c>
      <c r="G312" s="20" t="str" cm="1">
        <f t="array" ref="G312">IFERROR(INDEX(Data_Input!$A$1:$ZZ$502, MATCH("총자산", INDEX(Data_Input!$A$1:$ZZ$502, 0, MATCH(1, (Data_Input!$7:$7=$F$3)*(Data_Input!$8:$8=$B312), 0)), 0) + 1, MATCH(1, (Data_Input!$7:$7=$F$3)*(Data_Input!$8:$8=$B312), 0)),"")</f>
        <v/>
      </c>
      <c r="H312" s="20" t="str" cm="1">
        <f t="array" ref="H312">IFERROR(INDEX(Data_Input!$A$1:$ZZ$502, MATCH("매입금액", INDEX(Data_Input!$A$1:$ZZ$502, 0, MATCH(1, (Data_Input!$7:$7=$F$3)*(Data_Input!$8:$8=$B312), 0)), 0) + 1, MATCH(1, (Data_Input!$7:$7=$F$3)*(Data_Input!$8:$8=$B312), 0)),"")</f>
        <v/>
      </c>
      <c r="I312" s="20" t="str" cm="1">
        <f t="array" ref="I312">IFERROR(INDEX(Data_Input!$A$1:$ZZ$502, MATCH("평가금액", INDEX(Data_Input!$A$1:$ZZ$502, 0, MATCH(1, (Data_Input!$7:$7=$F$3)*(Data_Input!$8:$8=$B312), 0)), 0) + 1, MATCH(1, (Data_Input!$7:$7=$F$3)*(Data_Input!$8:$8=$B312), 0)),"")</f>
        <v/>
      </c>
      <c r="J312" s="20" t="str" cm="1">
        <f t="array" ref="J312">IFERROR(INDEX(Data_Input!$A$1:$ZZ$502, MATCH("평가손익", INDEX(Data_Input!$A$1:$ZZ$502, 0, MATCH(1, (Data_Input!$7:$7=$F$3)*(Data_Input!$8:$8=$B312), 0)), 0) + 1, MATCH(1, (Data_Input!$7:$7=$F$3)*(Data_Input!$8:$8=$B312), 0)),"")</f>
        <v/>
      </c>
      <c r="K312" s="14" t="str" cm="1">
        <f t="array" ref="K312">IFERROR(INDEX(Data_Input!$A$1:$ZZ$502, MATCH("총수익률", INDEX(Data_Input!$A$1:$ZZ$502, 0, MATCH(1, (Data_Input!$7:$7=$F$3)*(Data_Input!$8:$8=$B312), 0)), 0) + 1, MATCH(1, (Data_Input!$7:$7=$F$3)*(Data_Input!$8:$8=$B312), 0)),"")</f>
        <v/>
      </c>
      <c r="L312" t="str" cm="1">
        <f t="array" ref="L312">IFERROR(_xlfn.LET(
    _xlpm.targetDate, B312,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13" spans="1:12" x14ac:dyDescent="0.3">
      <c r="A313" s="16" t="str">
        <f t="shared" si="8"/>
        <v/>
      </c>
      <c r="B313" s="19"/>
      <c r="C313" s="17" t="str">
        <f t="shared" si="9"/>
        <v/>
      </c>
      <c r="D313" s="29" t="str" cm="1">
        <f t="array" ref="D313">IFERROR(INDEX(Data_Input!$10:$10,MATCH(1,(Data_Input!$7:$7=$F$3)*(Data_Input!$8:$8=$B313),0)),"")</f>
        <v/>
      </c>
      <c r="E313" s="29" t="str" cm="1">
        <f t="array" ref="E313">IFERROR(INDEX(Data_Input!$1:$100, 9, MATCH(1, (Data_Input!$7:$7=$F$3) * (Data_Input!$8:$8=$B313), 0)),"")</f>
        <v/>
      </c>
      <c r="F313" s="20" t="str" cm="1">
        <f t="array" ref="F313">IFERROR(INDEX(Data_Input!$A$1:$ZZ$502, MATCH("예수금", INDEX(Data_Input!$A$1:$ZZ$502, 0, MATCH(1, (Data_Input!$7:$7=$F$3)*(Data_Input!$8:$8=$B313), 0)), 0) + 1, MATCH(1, (Data_Input!$7:$7=$F$3)*(Data_Input!$8:$8=$B313), 0)),"")</f>
        <v/>
      </c>
      <c r="G313" s="20" t="str" cm="1">
        <f t="array" ref="G313">IFERROR(INDEX(Data_Input!$A$1:$ZZ$502, MATCH("총자산", INDEX(Data_Input!$A$1:$ZZ$502, 0, MATCH(1, (Data_Input!$7:$7=$F$3)*(Data_Input!$8:$8=$B313), 0)), 0) + 1, MATCH(1, (Data_Input!$7:$7=$F$3)*(Data_Input!$8:$8=$B313), 0)),"")</f>
        <v/>
      </c>
      <c r="H313" s="20" t="str" cm="1">
        <f t="array" ref="H313">IFERROR(INDEX(Data_Input!$A$1:$ZZ$502, MATCH("매입금액", INDEX(Data_Input!$A$1:$ZZ$502, 0, MATCH(1, (Data_Input!$7:$7=$F$3)*(Data_Input!$8:$8=$B313), 0)), 0) + 1, MATCH(1, (Data_Input!$7:$7=$F$3)*(Data_Input!$8:$8=$B313), 0)),"")</f>
        <v/>
      </c>
      <c r="I313" s="20" t="str" cm="1">
        <f t="array" ref="I313">IFERROR(INDEX(Data_Input!$A$1:$ZZ$502, MATCH("평가금액", INDEX(Data_Input!$A$1:$ZZ$502, 0, MATCH(1, (Data_Input!$7:$7=$F$3)*(Data_Input!$8:$8=$B313), 0)), 0) + 1, MATCH(1, (Data_Input!$7:$7=$F$3)*(Data_Input!$8:$8=$B313), 0)),"")</f>
        <v/>
      </c>
      <c r="J313" s="20" t="str" cm="1">
        <f t="array" ref="J313">IFERROR(INDEX(Data_Input!$A$1:$ZZ$502, MATCH("평가손익", INDEX(Data_Input!$A$1:$ZZ$502, 0, MATCH(1, (Data_Input!$7:$7=$F$3)*(Data_Input!$8:$8=$B313), 0)), 0) + 1, MATCH(1, (Data_Input!$7:$7=$F$3)*(Data_Input!$8:$8=$B313), 0)),"")</f>
        <v/>
      </c>
      <c r="K313" s="14" t="str" cm="1">
        <f t="array" ref="K313">IFERROR(INDEX(Data_Input!$A$1:$ZZ$502, MATCH("총수익률", INDEX(Data_Input!$A$1:$ZZ$502, 0, MATCH(1, (Data_Input!$7:$7=$F$3)*(Data_Input!$8:$8=$B313), 0)), 0) + 1, MATCH(1, (Data_Input!$7:$7=$F$3)*(Data_Input!$8:$8=$B313), 0)),"")</f>
        <v/>
      </c>
      <c r="L313" t="str" cm="1">
        <f t="array" ref="L313">IFERROR(_xlfn.LET(
    _xlpm.targetDate, B313,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14" spans="1:12" x14ac:dyDescent="0.3">
      <c r="A314" s="16" t="str">
        <f t="shared" si="8"/>
        <v/>
      </c>
      <c r="B314" s="19"/>
      <c r="C314" s="17" t="str">
        <f t="shared" si="9"/>
        <v/>
      </c>
      <c r="D314" s="29" t="str" cm="1">
        <f t="array" ref="D314">IFERROR(INDEX(Data_Input!$10:$10,MATCH(1,(Data_Input!$7:$7=$F$3)*(Data_Input!$8:$8=$B314),0)),"")</f>
        <v/>
      </c>
      <c r="E314" s="29" t="str" cm="1">
        <f t="array" ref="E314">IFERROR(INDEX(Data_Input!$1:$100, 9, MATCH(1, (Data_Input!$7:$7=$F$3) * (Data_Input!$8:$8=$B314), 0)),"")</f>
        <v/>
      </c>
      <c r="F314" s="20" t="str" cm="1">
        <f t="array" ref="F314">IFERROR(INDEX(Data_Input!$A$1:$ZZ$502, MATCH("예수금", INDEX(Data_Input!$A$1:$ZZ$502, 0, MATCH(1, (Data_Input!$7:$7=$F$3)*(Data_Input!$8:$8=$B314), 0)), 0) + 1, MATCH(1, (Data_Input!$7:$7=$F$3)*(Data_Input!$8:$8=$B314), 0)),"")</f>
        <v/>
      </c>
      <c r="G314" s="20" t="str" cm="1">
        <f t="array" ref="G314">IFERROR(INDEX(Data_Input!$A$1:$ZZ$502, MATCH("총자산", INDEX(Data_Input!$A$1:$ZZ$502, 0, MATCH(1, (Data_Input!$7:$7=$F$3)*(Data_Input!$8:$8=$B314), 0)), 0) + 1, MATCH(1, (Data_Input!$7:$7=$F$3)*(Data_Input!$8:$8=$B314), 0)),"")</f>
        <v/>
      </c>
      <c r="H314" s="20" t="str" cm="1">
        <f t="array" ref="H314">IFERROR(INDEX(Data_Input!$A$1:$ZZ$502, MATCH("매입금액", INDEX(Data_Input!$A$1:$ZZ$502, 0, MATCH(1, (Data_Input!$7:$7=$F$3)*(Data_Input!$8:$8=$B314), 0)), 0) + 1, MATCH(1, (Data_Input!$7:$7=$F$3)*(Data_Input!$8:$8=$B314), 0)),"")</f>
        <v/>
      </c>
      <c r="I314" s="20" t="str" cm="1">
        <f t="array" ref="I314">IFERROR(INDEX(Data_Input!$A$1:$ZZ$502, MATCH("평가금액", INDEX(Data_Input!$A$1:$ZZ$502, 0, MATCH(1, (Data_Input!$7:$7=$F$3)*(Data_Input!$8:$8=$B314), 0)), 0) + 1, MATCH(1, (Data_Input!$7:$7=$F$3)*(Data_Input!$8:$8=$B314), 0)),"")</f>
        <v/>
      </c>
      <c r="J314" s="20" t="str" cm="1">
        <f t="array" ref="J314">IFERROR(INDEX(Data_Input!$A$1:$ZZ$502, MATCH("평가손익", INDEX(Data_Input!$A$1:$ZZ$502, 0, MATCH(1, (Data_Input!$7:$7=$F$3)*(Data_Input!$8:$8=$B314), 0)), 0) + 1, MATCH(1, (Data_Input!$7:$7=$F$3)*(Data_Input!$8:$8=$B314), 0)),"")</f>
        <v/>
      </c>
      <c r="K314" s="14" t="str" cm="1">
        <f t="array" ref="K314">IFERROR(INDEX(Data_Input!$A$1:$ZZ$502, MATCH("총수익률", INDEX(Data_Input!$A$1:$ZZ$502, 0, MATCH(1, (Data_Input!$7:$7=$F$3)*(Data_Input!$8:$8=$B314), 0)), 0) + 1, MATCH(1, (Data_Input!$7:$7=$F$3)*(Data_Input!$8:$8=$B314), 0)),"")</f>
        <v/>
      </c>
      <c r="L314" t="str" cm="1">
        <f t="array" ref="L314">IFERROR(_xlfn.LET(
    _xlpm.targetDate, B314,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15" spans="1:12" x14ac:dyDescent="0.3">
      <c r="A315" s="16" t="str">
        <f t="shared" si="8"/>
        <v/>
      </c>
      <c r="B315" s="19"/>
      <c r="C315" s="17" t="str">
        <f t="shared" si="9"/>
        <v/>
      </c>
      <c r="D315" s="29" t="str" cm="1">
        <f t="array" ref="D315">IFERROR(INDEX(Data_Input!$10:$10,MATCH(1,(Data_Input!$7:$7=$F$3)*(Data_Input!$8:$8=$B315),0)),"")</f>
        <v/>
      </c>
      <c r="E315" s="29" t="str" cm="1">
        <f t="array" ref="E315">IFERROR(INDEX(Data_Input!$1:$100, 9, MATCH(1, (Data_Input!$7:$7=$F$3) * (Data_Input!$8:$8=$B315), 0)),"")</f>
        <v/>
      </c>
      <c r="F315" s="20" t="str" cm="1">
        <f t="array" ref="F315">IFERROR(INDEX(Data_Input!$A$1:$ZZ$502, MATCH("예수금", INDEX(Data_Input!$A$1:$ZZ$502, 0, MATCH(1, (Data_Input!$7:$7=$F$3)*(Data_Input!$8:$8=$B315), 0)), 0) + 1, MATCH(1, (Data_Input!$7:$7=$F$3)*(Data_Input!$8:$8=$B315), 0)),"")</f>
        <v/>
      </c>
      <c r="G315" s="20" t="str" cm="1">
        <f t="array" ref="G315">IFERROR(INDEX(Data_Input!$A$1:$ZZ$502, MATCH("총자산", INDEX(Data_Input!$A$1:$ZZ$502, 0, MATCH(1, (Data_Input!$7:$7=$F$3)*(Data_Input!$8:$8=$B315), 0)), 0) + 1, MATCH(1, (Data_Input!$7:$7=$F$3)*(Data_Input!$8:$8=$B315), 0)),"")</f>
        <v/>
      </c>
      <c r="H315" s="20" t="str" cm="1">
        <f t="array" ref="H315">IFERROR(INDEX(Data_Input!$A$1:$ZZ$502, MATCH("매입금액", INDEX(Data_Input!$A$1:$ZZ$502, 0, MATCH(1, (Data_Input!$7:$7=$F$3)*(Data_Input!$8:$8=$B315), 0)), 0) + 1, MATCH(1, (Data_Input!$7:$7=$F$3)*(Data_Input!$8:$8=$B315), 0)),"")</f>
        <v/>
      </c>
      <c r="I315" s="20" t="str" cm="1">
        <f t="array" ref="I315">IFERROR(INDEX(Data_Input!$A$1:$ZZ$502, MATCH("평가금액", INDEX(Data_Input!$A$1:$ZZ$502, 0, MATCH(1, (Data_Input!$7:$7=$F$3)*(Data_Input!$8:$8=$B315), 0)), 0) + 1, MATCH(1, (Data_Input!$7:$7=$F$3)*(Data_Input!$8:$8=$B315), 0)),"")</f>
        <v/>
      </c>
      <c r="J315" s="20" t="str" cm="1">
        <f t="array" ref="J315">IFERROR(INDEX(Data_Input!$A$1:$ZZ$502, MATCH("평가손익", INDEX(Data_Input!$A$1:$ZZ$502, 0, MATCH(1, (Data_Input!$7:$7=$F$3)*(Data_Input!$8:$8=$B315), 0)), 0) + 1, MATCH(1, (Data_Input!$7:$7=$F$3)*(Data_Input!$8:$8=$B315), 0)),"")</f>
        <v/>
      </c>
      <c r="K315" s="14" t="str" cm="1">
        <f t="array" ref="K315">IFERROR(INDEX(Data_Input!$A$1:$ZZ$502, MATCH("총수익률", INDEX(Data_Input!$A$1:$ZZ$502, 0, MATCH(1, (Data_Input!$7:$7=$F$3)*(Data_Input!$8:$8=$B315), 0)), 0) + 1, MATCH(1, (Data_Input!$7:$7=$F$3)*(Data_Input!$8:$8=$B315), 0)),"")</f>
        <v/>
      </c>
      <c r="L315" t="str" cm="1">
        <f t="array" ref="L315">IFERROR(_xlfn.LET(
    _xlpm.targetDate, B315,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16" spans="1:12" x14ac:dyDescent="0.3">
      <c r="A316" s="16" t="str">
        <f t="shared" si="8"/>
        <v/>
      </c>
      <c r="B316" s="19"/>
      <c r="C316" s="17" t="str">
        <f t="shared" si="9"/>
        <v/>
      </c>
      <c r="D316" s="29" t="str" cm="1">
        <f t="array" ref="D316">IFERROR(INDEX(Data_Input!$10:$10,MATCH(1,(Data_Input!$7:$7=$F$3)*(Data_Input!$8:$8=$B316),0)),"")</f>
        <v/>
      </c>
      <c r="E316" s="29" t="str" cm="1">
        <f t="array" ref="E316">IFERROR(INDEX(Data_Input!$1:$100, 9, MATCH(1, (Data_Input!$7:$7=$F$3) * (Data_Input!$8:$8=$B316), 0)),"")</f>
        <v/>
      </c>
      <c r="F316" s="20" t="str" cm="1">
        <f t="array" ref="F316">IFERROR(INDEX(Data_Input!$A$1:$ZZ$502, MATCH("예수금", INDEX(Data_Input!$A$1:$ZZ$502, 0, MATCH(1, (Data_Input!$7:$7=$F$3)*(Data_Input!$8:$8=$B316), 0)), 0) + 1, MATCH(1, (Data_Input!$7:$7=$F$3)*(Data_Input!$8:$8=$B316), 0)),"")</f>
        <v/>
      </c>
      <c r="G316" s="20" t="str" cm="1">
        <f t="array" ref="G316">IFERROR(INDEX(Data_Input!$A$1:$ZZ$502, MATCH("총자산", INDEX(Data_Input!$A$1:$ZZ$502, 0, MATCH(1, (Data_Input!$7:$7=$F$3)*(Data_Input!$8:$8=$B316), 0)), 0) + 1, MATCH(1, (Data_Input!$7:$7=$F$3)*(Data_Input!$8:$8=$B316), 0)),"")</f>
        <v/>
      </c>
      <c r="H316" s="20" t="str" cm="1">
        <f t="array" ref="H316">IFERROR(INDEX(Data_Input!$A$1:$ZZ$502, MATCH("매입금액", INDEX(Data_Input!$A$1:$ZZ$502, 0, MATCH(1, (Data_Input!$7:$7=$F$3)*(Data_Input!$8:$8=$B316), 0)), 0) + 1, MATCH(1, (Data_Input!$7:$7=$F$3)*(Data_Input!$8:$8=$B316), 0)),"")</f>
        <v/>
      </c>
      <c r="I316" s="20" t="str" cm="1">
        <f t="array" ref="I316">IFERROR(INDEX(Data_Input!$A$1:$ZZ$502, MATCH("평가금액", INDEX(Data_Input!$A$1:$ZZ$502, 0, MATCH(1, (Data_Input!$7:$7=$F$3)*(Data_Input!$8:$8=$B316), 0)), 0) + 1, MATCH(1, (Data_Input!$7:$7=$F$3)*(Data_Input!$8:$8=$B316), 0)),"")</f>
        <v/>
      </c>
      <c r="J316" s="20" t="str" cm="1">
        <f t="array" ref="J316">IFERROR(INDEX(Data_Input!$A$1:$ZZ$502, MATCH("평가손익", INDEX(Data_Input!$A$1:$ZZ$502, 0, MATCH(1, (Data_Input!$7:$7=$F$3)*(Data_Input!$8:$8=$B316), 0)), 0) + 1, MATCH(1, (Data_Input!$7:$7=$F$3)*(Data_Input!$8:$8=$B316), 0)),"")</f>
        <v/>
      </c>
      <c r="K316" s="14" t="str" cm="1">
        <f t="array" ref="K316">IFERROR(INDEX(Data_Input!$A$1:$ZZ$502, MATCH("총수익률", INDEX(Data_Input!$A$1:$ZZ$502, 0, MATCH(1, (Data_Input!$7:$7=$F$3)*(Data_Input!$8:$8=$B316), 0)), 0) + 1, MATCH(1, (Data_Input!$7:$7=$F$3)*(Data_Input!$8:$8=$B316), 0)),"")</f>
        <v/>
      </c>
      <c r="L316" t="str" cm="1">
        <f t="array" ref="L316">IFERROR(_xlfn.LET(
    _xlpm.targetDate, B316,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17" spans="1:12" x14ac:dyDescent="0.3">
      <c r="A317" s="16" t="str">
        <f t="shared" si="8"/>
        <v/>
      </c>
      <c r="B317" s="19"/>
      <c r="C317" s="17" t="str">
        <f t="shared" si="9"/>
        <v/>
      </c>
      <c r="D317" s="29" t="str" cm="1">
        <f t="array" ref="D317">IFERROR(INDEX(Data_Input!$10:$10,MATCH(1,(Data_Input!$7:$7=$F$3)*(Data_Input!$8:$8=$B317),0)),"")</f>
        <v/>
      </c>
      <c r="E317" s="29" t="str" cm="1">
        <f t="array" ref="E317">IFERROR(INDEX(Data_Input!$1:$100, 9, MATCH(1, (Data_Input!$7:$7=$F$3) * (Data_Input!$8:$8=$B317), 0)),"")</f>
        <v/>
      </c>
      <c r="F317" s="20" t="str" cm="1">
        <f t="array" ref="F317">IFERROR(INDEX(Data_Input!$A$1:$ZZ$502, MATCH("예수금", INDEX(Data_Input!$A$1:$ZZ$502, 0, MATCH(1, (Data_Input!$7:$7=$F$3)*(Data_Input!$8:$8=$B317), 0)), 0) + 1, MATCH(1, (Data_Input!$7:$7=$F$3)*(Data_Input!$8:$8=$B317), 0)),"")</f>
        <v/>
      </c>
      <c r="G317" s="20" t="str" cm="1">
        <f t="array" ref="G317">IFERROR(INDEX(Data_Input!$A$1:$ZZ$502, MATCH("총자산", INDEX(Data_Input!$A$1:$ZZ$502, 0, MATCH(1, (Data_Input!$7:$7=$F$3)*(Data_Input!$8:$8=$B317), 0)), 0) + 1, MATCH(1, (Data_Input!$7:$7=$F$3)*(Data_Input!$8:$8=$B317), 0)),"")</f>
        <v/>
      </c>
      <c r="H317" s="20" t="str" cm="1">
        <f t="array" ref="H317">IFERROR(INDEX(Data_Input!$A$1:$ZZ$502, MATCH("매입금액", INDEX(Data_Input!$A$1:$ZZ$502, 0, MATCH(1, (Data_Input!$7:$7=$F$3)*(Data_Input!$8:$8=$B317), 0)), 0) + 1, MATCH(1, (Data_Input!$7:$7=$F$3)*(Data_Input!$8:$8=$B317), 0)),"")</f>
        <v/>
      </c>
      <c r="I317" s="20" t="str" cm="1">
        <f t="array" ref="I317">IFERROR(INDEX(Data_Input!$A$1:$ZZ$502, MATCH("평가금액", INDEX(Data_Input!$A$1:$ZZ$502, 0, MATCH(1, (Data_Input!$7:$7=$F$3)*(Data_Input!$8:$8=$B317), 0)), 0) + 1, MATCH(1, (Data_Input!$7:$7=$F$3)*(Data_Input!$8:$8=$B317), 0)),"")</f>
        <v/>
      </c>
      <c r="J317" s="20" t="str" cm="1">
        <f t="array" ref="J317">IFERROR(INDEX(Data_Input!$A$1:$ZZ$502, MATCH("평가손익", INDEX(Data_Input!$A$1:$ZZ$502, 0, MATCH(1, (Data_Input!$7:$7=$F$3)*(Data_Input!$8:$8=$B317), 0)), 0) + 1, MATCH(1, (Data_Input!$7:$7=$F$3)*(Data_Input!$8:$8=$B317), 0)),"")</f>
        <v/>
      </c>
      <c r="K317" s="14" t="str" cm="1">
        <f t="array" ref="K317">IFERROR(INDEX(Data_Input!$A$1:$ZZ$502, MATCH("총수익률", INDEX(Data_Input!$A$1:$ZZ$502, 0, MATCH(1, (Data_Input!$7:$7=$F$3)*(Data_Input!$8:$8=$B317), 0)), 0) + 1, MATCH(1, (Data_Input!$7:$7=$F$3)*(Data_Input!$8:$8=$B317), 0)),"")</f>
        <v/>
      </c>
      <c r="L317" t="str" cm="1">
        <f t="array" ref="L317">IFERROR(_xlfn.LET(
    _xlpm.targetDate, B317,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18" spans="1:12" x14ac:dyDescent="0.3">
      <c r="A318" s="16" t="str">
        <f t="shared" si="8"/>
        <v/>
      </c>
      <c r="B318" s="19"/>
      <c r="C318" s="17" t="str">
        <f t="shared" si="9"/>
        <v/>
      </c>
      <c r="D318" s="29" t="str" cm="1">
        <f t="array" ref="D318">IFERROR(INDEX(Data_Input!$10:$10,MATCH(1,(Data_Input!$7:$7=$F$3)*(Data_Input!$8:$8=$B318),0)),"")</f>
        <v/>
      </c>
      <c r="E318" s="29" t="str" cm="1">
        <f t="array" ref="E318">IFERROR(INDEX(Data_Input!$1:$100, 9, MATCH(1, (Data_Input!$7:$7=$F$3) * (Data_Input!$8:$8=$B318), 0)),"")</f>
        <v/>
      </c>
      <c r="F318" s="20" t="str" cm="1">
        <f t="array" ref="F318">IFERROR(INDEX(Data_Input!$A$1:$ZZ$502, MATCH("예수금", INDEX(Data_Input!$A$1:$ZZ$502, 0, MATCH(1, (Data_Input!$7:$7=$F$3)*(Data_Input!$8:$8=$B318), 0)), 0) + 1, MATCH(1, (Data_Input!$7:$7=$F$3)*(Data_Input!$8:$8=$B318), 0)),"")</f>
        <v/>
      </c>
      <c r="G318" s="20" t="str" cm="1">
        <f t="array" ref="G318">IFERROR(INDEX(Data_Input!$A$1:$ZZ$502, MATCH("총자산", INDEX(Data_Input!$A$1:$ZZ$502, 0, MATCH(1, (Data_Input!$7:$7=$F$3)*(Data_Input!$8:$8=$B318), 0)), 0) + 1, MATCH(1, (Data_Input!$7:$7=$F$3)*(Data_Input!$8:$8=$B318), 0)),"")</f>
        <v/>
      </c>
      <c r="H318" s="20" t="str" cm="1">
        <f t="array" ref="H318">IFERROR(INDEX(Data_Input!$A$1:$ZZ$502, MATCH("매입금액", INDEX(Data_Input!$A$1:$ZZ$502, 0, MATCH(1, (Data_Input!$7:$7=$F$3)*(Data_Input!$8:$8=$B318), 0)), 0) + 1, MATCH(1, (Data_Input!$7:$7=$F$3)*(Data_Input!$8:$8=$B318), 0)),"")</f>
        <v/>
      </c>
      <c r="I318" s="20" t="str" cm="1">
        <f t="array" ref="I318">IFERROR(INDEX(Data_Input!$A$1:$ZZ$502, MATCH("평가금액", INDEX(Data_Input!$A$1:$ZZ$502, 0, MATCH(1, (Data_Input!$7:$7=$F$3)*(Data_Input!$8:$8=$B318), 0)), 0) + 1, MATCH(1, (Data_Input!$7:$7=$F$3)*(Data_Input!$8:$8=$B318), 0)),"")</f>
        <v/>
      </c>
      <c r="J318" s="20" t="str" cm="1">
        <f t="array" ref="J318">IFERROR(INDEX(Data_Input!$A$1:$ZZ$502, MATCH("평가손익", INDEX(Data_Input!$A$1:$ZZ$502, 0, MATCH(1, (Data_Input!$7:$7=$F$3)*(Data_Input!$8:$8=$B318), 0)), 0) + 1, MATCH(1, (Data_Input!$7:$7=$F$3)*(Data_Input!$8:$8=$B318), 0)),"")</f>
        <v/>
      </c>
      <c r="K318" s="14" t="str" cm="1">
        <f t="array" ref="K318">IFERROR(INDEX(Data_Input!$A$1:$ZZ$502, MATCH("총수익률", INDEX(Data_Input!$A$1:$ZZ$502, 0, MATCH(1, (Data_Input!$7:$7=$F$3)*(Data_Input!$8:$8=$B318), 0)), 0) + 1, MATCH(1, (Data_Input!$7:$7=$F$3)*(Data_Input!$8:$8=$B318), 0)),"")</f>
        <v/>
      </c>
      <c r="L318" t="str" cm="1">
        <f t="array" ref="L318">IFERROR(_xlfn.LET(
    _xlpm.targetDate, B318,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19" spans="1:12" x14ac:dyDescent="0.3">
      <c r="A319" s="16" t="str">
        <f t="shared" si="8"/>
        <v/>
      </c>
      <c r="B319" s="19"/>
      <c r="C319" s="17" t="str">
        <f t="shared" si="9"/>
        <v/>
      </c>
      <c r="D319" s="29" t="str" cm="1">
        <f t="array" ref="D319">IFERROR(INDEX(Data_Input!$10:$10,MATCH(1,(Data_Input!$7:$7=$F$3)*(Data_Input!$8:$8=$B319),0)),"")</f>
        <v/>
      </c>
      <c r="E319" s="29" t="str" cm="1">
        <f t="array" ref="E319">IFERROR(INDEX(Data_Input!$1:$100, 9, MATCH(1, (Data_Input!$7:$7=$F$3) * (Data_Input!$8:$8=$B319), 0)),"")</f>
        <v/>
      </c>
      <c r="F319" s="20" t="str" cm="1">
        <f t="array" ref="F319">IFERROR(INDEX(Data_Input!$A$1:$ZZ$502, MATCH("예수금", INDEX(Data_Input!$A$1:$ZZ$502, 0, MATCH(1, (Data_Input!$7:$7=$F$3)*(Data_Input!$8:$8=$B319), 0)), 0) + 1, MATCH(1, (Data_Input!$7:$7=$F$3)*(Data_Input!$8:$8=$B319), 0)),"")</f>
        <v/>
      </c>
      <c r="G319" s="20" t="str" cm="1">
        <f t="array" ref="G319">IFERROR(INDEX(Data_Input!$A$1:$ZZ$502, MATCH("총자산", INDEX(Data_Input!$A$1:$ZZ$502, 0, MATCH(1, (Data_Input!$7:$7=$F$3)*(Data_Input!$8:$8=$B319), 0)), 0) + 1, MATCH(1, (Data_Input!$7:$7=$F$3)*(Data_Input!$8:$8=$B319), 0)),"")</f>
        <v/>
      </c>
      <c r="H319" s="20" t="str" cm="1">
        <f t="array" ref="H319">IFERROR(INDEX(Data_Input!$A$1:$ZZ$502, MATCH("매입금액", INDEX(Data_Input!$A$1:$ZZ$502, 0, MATCH(1, (Data_Input!$7:$7=$F$3)*(Data_Input!$8:$8=$B319), 0)), 0) + 1, MATCH(1, (Data_Input!$7:$7=$F$3)*(Data_Input!$8:$8=$B319), 0)),"")</f>
        <v/>
      </c>
      <c r="I319" s="20" t="str" cm="1">
        <f t="array" ref="I319">IFERROR(INDEX(Data_Input!$A$1:$ZZ$502, MATCH("평가금액", INDEX(Data_Input!$A$1:$ZZ$502, 0, MATCH(1, (Data_Input!$7:$7=$F$3)*(Data_Input!$8:$8=$B319), 0)), 0) + 1, MATCH(1, (Data_Input!$7:$7=$F$3)*(Data_Input!$8:$8=$B319), 0)),"")</f>
        <v/>
      </c>
      <c r="J319" s="20" t="str" cm="1">
        <f t="array" ref="J319">IFERROR(INDEX(Data_Input!$A$1:$ZZ$502, MATCH("평가손익", INDEX(Data_Input!$A$1:$ZZ$502, 0, MATCH(1, (Data_Input!$7:$7=$F$3)*(Data_Input!$8:$8=$B319), 0)), 0) + 1, MATCH(1, (Data_Input!$7:$7=$F$3)*(Data_Input!$8:$8=$B319), 0)),"")</f>
        <v/>
      </c>
      <c r="K319" s="14" t="str" cm="1">
        <f t="array" ref="K319">IFERROR(INDEX(Data_Input!$A$1:$ZZ$502, MATCH("총수익률", INDEX(Data_Input!$A$1:$ZZ$502, 0, MATCH(1, (Data_Input!$7:$7=$F$3)*(Data_Input!$8:$8=$B319), 0)), 0) + 1, MATCH(1, (Data_Input!$7:$7=$F$3)*(Data_Input!$8:$8=$B319), 0)),"")</f>
        <v/>
      </c>
      <c r="L319" t="str" cm="1">
        <f t="array" ref="L319">IFERROR(_xlfn.LET(
    _xlpm.targetDate, B319,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20" spans="1:12" x14ac:dyDescent="0.3">
      <c r="A320" s="16" t="str">
        <f t="shared" si="8"/>
        <v/>
      </c>
      <c r="B320" s="19"/>
      <c r="C320" s="17" t="str">
        <f t="shared" si="9"/>
        <v/>
      </c>
      <c r="D320" s="29" t="str" cm="1">
        <f t="array" ref="D320">IFERROR(INDEX(Data_Input!$10:$10,MATCH(1,(Data_Input!$7:$7=$F$3)*(Data_Input!$8:$8=$B320),0)),"")</f>
        <v/>
      </c>
      <c r="E320" s="29" t="str" cm="1">
        <f t="array" ref="E320">IFERROR(INDEX(Data_Input!$1:$100, 9, MATCH(1, (Data_Input!$7:$7=$F$3) * (Data_Input!$8:$8=$B320), 0)),"")</f>
        <v/>
      </c>
      <c r="F320" s="20" t="str" cm="1">
        <f t="array" ref="F320">IFERROR(INDEX(Data_Input!$A$1:$ZZ$502, MATCH("예수금", INDEX(Data_Input!$A$1:$ZZ$502, 0, MATCH(1, (Data_Input!$7:$7=$F$3)*(Data_Input!$8:$8=$B320), 0)), 0) + 1, MATCH(1, (Data_Input!$7:$7=$F$3)*(Data_Input!$8:$8=$B320), 0)),"")</f>
        <v/>
      </c>
      <c r="G320" s="20" t="str" cm="1">
        <f t="array" ref="G320">IFERROR(INDEX(Data_Input!$A$1:$ZZ$502, MATCH("총자산", INDEX(Data_Input!$A$1:$ZZ$502, 0, MATCH(1, (Data_Input!$7:$7=$F$3)*(Data_Input!$8:$8=$B320), 0)), 0) + 1, MATCH(1, (Data_Input!$7:$7=$F$3)*(Data_Input!$8:$8=$B320), 0)),"")</f>
        <v/>
      </c>
      <c r="H320" s="20" t="str" cm="1">
        <f t="array" ref="H320">IFERROR(INDEX(Data_Input!$A$1:$ZZ$502, MATCH("매입금액", INDEX(Data_Input!$A$1:$ZZ$502, 0, MATCH(1, (Data_Input!$7:$7=$F$3)*(Data_Input!$8:$8=$B320), 0)), 0) + 1, MATCH(1, (Data_Input!$7:$7=$F$3)*(Data_Input!$8:$8=$B320), 0)),"")</f>
        <v/>
      </c>
      <c r="I320" s="20" t="str" cm="1">
        <f t="array" ref="I320">IFERROR(INDEX(Data_Input!$A$1:$ZZ$502, MATCH("평가금액", INDEX(Data_Input!$A$1:$ZZ$502, 0, MATCH(1, (Data_Input!$7:$7=$F$3)*(Data_Input!$8:$8=$B320), 0)), 0) + 1, MATCH(1, (Data_Input!$7:$7=$F$3)*(Data_Input!$8:$8=$B320), 0)),"")</f>
        <v/>
      </c>
      <c r="J320" s="20" t="str" cm="1">
        <f t="array" ref="J320">IFERROR(INDEX(Data_Input!$A$1:$ZZ$502, MATCH("평가손익", INDEX(Data_Input!$A$1:$ZZ$502, 0, MATCH(1, (Data_Input!$7:$7=$F$3)*(Data_Input!$8:$8=$B320), 0)), 0) + 1, MATCH(1, (Data_Input!$7:$7=$F$3)*(Data_Input!$8:$8=$B320), 0)),"")</f>
        <v/>
      </c>
      <c r="K320" s="14" t="str" cm="1">
        <f t="array" ref="K320">IFERROR(INDEX(Data_Input!$A$1:$ZZ$502, MATCH("총수익률", INDEX(Data_Input!$A$1:$ZZ$502, 0, MATCH(1, (Data_Input!$7:$7=$F$3)*(Data_Input!$8:$8=$B320), 0)), 0) + 1, MATCH(1, (Data_Input!$7:$7=$F$3)*(Data_Input!$8:$8=$B320), 0)),"")</f>
        <v/>
      </c>
      <c r="L320" t="str" cm="1">
        <f t="array" ref="L320">IFERROR(_xlfn.LET(
    _xlpm.targetDate, B320,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21" spans="1:12" x14ac:dyDescent="0.3">
      <c r="A321" s="16" t="str">
        <f t="shared" si="8"/>
        <v/>
      </c>
      <c r="B321" s="19"/>
      <c r="C321" s="17" t="str">
        <f t="shared" si="9"/>
        <v/>
      </c>
      <c r="D321" s="29" t="str" cm="1">
        <f t="array" ref="D321">IFERROR(INDEX(Data_Input!$10:$10,MATCH(1,(Data_Input!$7:$7=$F$3)*(Data_Input!$8:$8=$B321),0)),"")</f>
        <v/>
      </c>
      <c r="E321" s="29" t="str" cm="1">
        <f t="array" ref="E321">IFERROR(INDEX(Data_Input!$1:$100, 9, MATCH(1, (Data_Input!$7:$7=$F$3) * (Data_Input!$8:$8=$B321), 0)),"")</f>
        <v/>
      </c>
      <c r="F321" s="20" t="str" cm="1">
        <f t="array" ref="F321">IFERROR(INDEX(Data_Input!$A$1:$ZZ$502, MATCH("예수금", INDEX(Data_Input!$A$1:$ZZ$502, 0, MATCH(1, (Data_Input!$7:$7=$F$3)*(Data_Input!$8:$8=$B321), 0)), 0) + 1, MATCH(1, (Data_Input!$7:$7=$F$3)*(Data_Input!$8:$8=$B321), 0)),"")</f>
        <v/>
      </c>
      <c r="G321" s="20" t="str" cm="1">
        <f t="array" ref="G321">IFERROR(INDEX(Data_Input!$A$1:$ZZ$502, MATCH("총자산", INDEX(Data_Input!$A$1:$ZZ$502, 0, MATCH(1, (Data_Input!$7:$7=$F$3)*(Data_Input!$8:$8=$B321), 0)), 0) + 1, MATCH(1, (Data_Input!$7:$7=$F$3)*(Data_Input!$8:$8=$B321), 0)),"")</f>
        <v/>
      </c>
      <c r="H321" s="20" t="str" cm="1">
        <f t="array" ref="H321">IFERROR(INDEX(Data_Input!$A$1:$ZZ$502, MATCH("매입금액", INDEX(Data_Input!$A$1:$ZZ$502, 0, MATCH(1, (Data_Input!$7:$7=$F$3)*(Data_Input!$8:$8=$B321), 0)), 0) + 1, MATCH(1, (Data_Input!$7:$7=$F$3)*(Data_Input!$8:$8=$B321), 0)),"")</f>
        <v/>
      </c>
      <c r="I321" s="20" t="str" cm="1">
        <f t="array" ref="I321">IFERROR(INDEX(Data_Input!$A$1:$ZZ$502, MATCH("평가금액", INDEX(Data_Input!$A$1:$ZZ$502, 0, MATCH(1, (Data_Input!$7:$7=$F$3)*(Data_Input!$8:$8=$B321), 0)), 0) + 1, MATCH(1, (Data_Input!$7:$7=$F$3)*(Data_Input!$8:$8=$B321), 0)),"")</f>
        <v/>
      </c>
      <c r="J321" s="20" t="str" cm="1">
        <f t="array" ref="J321">IFERROR(INDEX(Data_Input!$A$1:$ZZ$502, MATCH("평가손익", INDEX(Data_Input!$A$1:$ZZ$502, 0, MATCH(1, (Data_Input!$7:$7=$F$3)*(Data_Input!$8:$8=$B321), 0)), 0) + 1, MATCH(1, (Data_Input!$7:$7=$F$3)*(Data_Input!$8:$8=$B321), 0)),"")</f>
        <v/>
      </c>
      <c r="K321" s="14" t="str" cm="1">
        <f t="array" ref="K321">IFERROR(INDEX(Data_Input!$A$1:$ZZ$502, MATCH("총수익률", INDEX(Data_Input!$A$1:$ZZ$502, 0, MATCH(1, (Data_Input!$7:$7=$F$3)*(Data_Input!$8:$8=$B321), 0)), 0) + 1, MATCH(1, (Data_Input!$7:$7=$F$3)*(Data_Input!$8:$8=$B321), 0)),"")</f>
        <v/>
      </c>
      <c r="L321" t="str" cm="1">
        <f t="array" ref="L321">IFERROR(_xlfn.LET(
    _xlpm.targetDate, B321,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22" spans="1:12" x14ac:dyDescent="0.3">
      <c r="A322" s="16" t="str">
        <f t="shared" si="8"/>
        <v/>
      </c>
      <c r="B322" s="19"/>
      <c r="C322" s="17" t="str">
        <f t="shared" si="9"/>
        <v/>
      </c>
      <c r="D322" s="29" t="str" cm="1">
        <f t="array" ref="D322">IFERROR(INDEX(Data_Input!$10:$10,MATCH(1,(Data_Input!$7:$7=$F$3)*(Data_Input!$8:$8=$B322),0)),"")</f>
        <v/>
      </c>
      <c r="E322" s="29" t="str" cm="1">
        <f t="array" ref="E322">IFERROR(INDEX(Data_Input!$1:$100, 9, MATCH(1, (Data_Input!$7:$7=$F$3) * (Data_Input!$8:$8=$B322), 0)),"")</f>
        <v/>
      </c>
      <c r="F322" s="20" t="str" cm="1">
        <f t="array" ref="F322">IFERROR(INDEX(Data_Input!$A$1:$ZZ$502, MATCH("예수금", INDEX(Data_Input!$A$1:$ZZ$502, 0, MATCH(1, (Data_Input!$7:$7=$F$3)*(Data_Input!$8:$8=$B322), 0)), 0) + 1, MATCH(1, (Data_Input!$7:$7=$F$3)*(Data_Input!$8:$8=$B322), 0)),"")</f>
        <v/>
      </c>
      <c r="G322" s="20" t="str" cm="1">
        <f t="array" ref="G322">IFERROR(INDEX(Data_Input!$A$1:$ZZ$502, MATCH("총자산", INDEX(Data_Input!$A$1:$ZZ$502, 0, MATCH(1, (Data_Input!$7:$7=$F$3)*(Data_Input!$8:$8=$B322), 0)), 0) + 1, MATCH(1, (Data_Input!$7:$7=$F$3)*(Data_Input!$8:$8=$B322), 0)),"")</f>
        <v/>
      </c>
      <c r="H322" s="20" t="str" cm="1">
        <f t="array" ref="H322">IFERROR(INDEX(Data_Input!$A$1:$ZZ$502, MATCH("매입금액", INDEX(Data_Input!$A$1:$ZZ$502, 0, MATCH(1, (Data_Input!$7:$7=$F$3)*(Data_Input!$8:$8=$B322), 0)), 0) + 1, MATCH(1, (Data_Input!$7:$7=$F$3)*(Data_Input!$8:$8=$B322), 0)),"")</f>
        <v/>
      </c>
      <c r="I322" s="20" t="str" cm="1">
        <f t="array" ref="I322">IFERROR(INDEX(Data_Input!$A$1:$ZZ$502, MATCH("평가금액", INDEX(Data_Input!$A$1:$ZZ$502, 0, MATCH(1, (Data_Input!$7:$7=$F$3)*(Data_Input!$8:$8=$B322), 0)), 0) + 1, MATCH(1, (Data_Input!$7:$7=$F$3)*(Data_Input!$8:$8=$B322), 0)),"")</f>
        <v/>
      </c>
      <c r="J322" s="20" t="str" cm="1">
        <f t="array" ref="J322">IFERROR(INDEX(Data_Input!$A$1:$ZZ$502, MATCH("평가손익", INDEX(Data_Input!$A$1:$ZZ$502, 0, MATCH(1, (Data_Input!$7:$7=$F$3)*(Data_Input!$8:$8=$B322), 0)), 0) + 1, MATCH(1, (Data_Input!$7:$7=$F$3)*(Data_Input!$8:$8=$B322), 0)),"")</f>
        <v/>
      </c>
      <c r="K322" s="14" t="str" cm="1">
        <f t="array" ref="K322">IFERROR(INDEX(Data_Input!$A$1:$ZZ$502, MATCH("총수익률", INDEX(Data_Input!$A$1:$ZZ$502, 0, MATCH(1, (Data_Input!$7:$7=$F$3)*(Data_Input!$8:$8=$B322), 0)), 0) + 1, MATCH(1, (Data_Input!$7:$7=$F$3)*(Data_Input!$8:$8=$B322), 0)),"")</f>
        <v/>
      </c>
      <c r="L322" t="str" cm="1">
        <f t="array" ref="L322">IFERROR(_xlfn.LET(
    _xlpm.targetDate, B322,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23" spans="1:12" x14ac:dyDescent="0.3">
      <c r="A323" s="16" t="str">
        <f t="shared" si="8"/>
        <v/>
      </c>
      <c r="B323" s="19"/>
      <c r="C323" s="17" t="str">
        <f t="shared" si="9"/>
        <v/>
      </c>
      <c r="D323" s="29" t="str" cm="1">
        <f t="array" ref="D323">IFERROR(INDEX(Data_Input!$10:$10,MATCH(1,(Data_Input!$7:$7=$F$3)*(Data_Input!$8:$8=$B323),0)),"")</f>
        <v/>
      </c>
      <c r="E323" s="29" t="str" cm="1">
        <f t="array" ref="E323">IFERROR(INDEX(Data_Input!$1:$100, 9, MATCH(1, (Data_Input!$7:$7=$F$3) * (Data_Input!$8:$8=$B323), 0)),"")</f>
        <v/>
      </c>
      <c r="F323" s="20" t="str" cm="1">
        <f t="array" ref="F323">IFERROR(INDEX(Data_Input!$A$1:$ZZ$502, MATCH("예수금", INDEX(Data_Input!$A$1:$ZZ$502, 0, MATCH(1, (Data_Input!$7:$7=$F$3)*(Data_Input!$8:$8=$B323), 0)), 0) + 1, MATCH(1, (Data_Input!$7:$7=$F$3)*(Data_Input!$8:$8=$B323), 0)),"")</f>
        <v/>
      </c>
      <c r="G323" s="20" t="str" cm="1">
        <f t="array" ref="G323">IFERROR(INDEX(Data_Input!$A$1:$ZZ$502, MATCH("총자산", INDEX(Data_Input!$A$1:$ZZ$502, 0, MATCH(1, (Data_Input!$7:$7=$F$3)*(Data_Input!$8:$8=$B323), 0)), 0) + 1, MATCH(1, (Data_Input!$7:$7=$F$3)*(Data_Input!$8:$8=$B323), 0)),"")</f>
        <v/>
      </c>
      <c r="H323" s="20" t="str" cm="1">
        <f t="array" ref="H323">IFERROR(INDEX(Data_Input!$A$1:$ZZ$502, MATCH("매입금액", INDEX(Data_Input!$A$1:$ZZ$502, 0, MATCH(1, (Data_Input!$7:$7=$F$3)*(Data_Input!$8:$8=$B323), 0)), 0) + 1, MATCH(1, (Data_Input!$7:$7=$F$3)*(Data_Input!$8:$8=$B323), 0)),"")</f>
        <v/>
      </c>
      <c r="I323" s="20" t="str" cm="1">
        <f t="array" ref="I323">IFERROR(INDEX(Data_Input!$A$1:$ZZ$502, MATCH("평가금액", INDEX(Data_Input!$A$1:$ZZ$502, 0, MATCH(1, (Data_Input!$7:$7=$F$3)*(Data_Input!$8:$8=$B323), 0)), 0) + 1, MATCH(1, (Data_Input!$7:$7=$F$3)*(Data_Input!$8:$8=$B323), 0)),"")</f>
        <v/>
      </c>
      <c r="J323" s="20" t="str" cm="1">
        <f t="array" ref="J323">IFERROR(INDEX(Data_Input!$A$1:$ZZ$502, MATCH("평가손익", INDEX(Data_Input!$A$1:$ZZ$502, 0, MATCH(1, (Data_Input!$7:$7=$F$3)*(Data_Input!$8:$8=$B323), 0)), 0) + 1, MATCH(1, (Data_Input!$7:$7=$F$3)*(Data_Input!$8:$8=$B323), 0)),"")</f>
        <v/>
      </c>
      <c r="K323" s="14" t="str" cm="1">
        <f t="array" ref="K323">IFERROR(INDEX(Data_Input!$A$1:$ZZ$502, MATCH("총수익률", INDEX(Data_Input!$A$1:$ZZ$502, 0, MATCH(1, (Data_Input!$7:$7=$F$3)*(Data_Input!$8:$8=$B323), 0)), 0) + 1, MATCH(1, (Data_Input!$7:$7=$F$3)*(Data_Input!$8:$8=$B323), 0)),"")</f>
        <v/>
      </c>
      <c r="L323" t="str" cm="1">
        <f t="array" ref="L323">IFERROR(_xlfn.LET(
    _xlpm.targetDate, B323,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24" spans="1:12" x14ac:dyDescent="0.3">
      <c r="A324" s="16" t="str">
        <f t="shared" si="8"/>
        <v/>
      </c>
      <c r="B324" s="19"/>
      <c r="C324" s="17" t="str">
        <f t="shared" si="9"/>
        <v/>
      </c>
      <c r="D324" s="29" t="str" cm="1">
        <f t="array" ref="D324">IFERROR(INDEX(Data_Input!$10:$10,MATCH(1,(Data_Input!$7:$7=$F$3)*(Data_Input!$8:$8=$B324),0)),"")</f>
        <v/>
      </c>
      <c r="E324" s="29" t="str" cm="1">
        <f t="array" ref="E324">IFERROR(INDEX(Data_Input!$1:$100, 9, MATCH(1, (Data_Input!$7:$7=$F$3) * (Data_Input!$8:$8=$B324), 0)),"")</f>
        <v/>
      </c>
      <c r="F324" s="20" t="str" cm="1">
        <f t="array" ref="F324">IFERROR(INDEX(Data_Input!$A$1:$ZZ$502, MATCH("예수금", INDEX(Data_Input!$A$1:$ZZ$502, 0, MATCH(1, (Data_Input!$7:$7=$F$3)*(Data_Input!$8:$8=$B324), 0)), 0) + 1, MATCH(1, (Data_Input!$7:$7=$F$3)*(Data_Input!$8:$8=$B324), 0)),"")</f>
        <v/>
      </c>
      <c r="G324" s="20" t="str" cm="1">
        <f t="array" ref="G324">IFERROR(INDEX(Data_Input!$A$1:$ZZ$502, MATCH("총자산", INDEX(Data_Input!$A$1:$ZZ$502, 0, MATCH(1, (Data_Input!$7:$7=$F$3)*(Data_Input!$8:$8=$B324), 0)), 0) + 1, MATCH(1, (Data_Input!$7:$7=$F$3)*(Data_Input!$8:$8=$B324), 0)),"")</f>
        <v/>
      </c>
      <c r="H324" s="20" t="str" cm="1">
        <f t="array" ref="H324">IFERROR(INDEX(Data_Input!$A$1:$ZZ$502, MATCH("매입금액", INDEX(Data_Input!$A$1:$ZZ$502, 0, MATCH(1, (Data_Input!$7:$7=$F$3)*(Data_Input!$8:$8=$B324), 0)), 0) + 1, MATCH(1, (Data_Input!$7:$7=$F$3)*(Data_Input!$8:$8=$B324), 0)),"")</f>
        <v/>
      </c>
      <c r="I324" s="20" t="str" cm="1">
        <f t="array" ref="I324">IFERROR(INDEX(Data_Input!$A$1:$ZZ$502, MATCH("평가금액", INDEX(Data_Input!$A$1:$ZZ$502, 0, MATCH(1, (Data_Input!$7:$7=$F$3)*(Data_Input!$8:$8=$B324), 0)), 0) + 1, MATCH(1, (Data_Input!$7:$7=$F$3)*(Data_Input!$8:$8=$B324), 0)),"")</f>
        <v/>
      </c>
      <c r="J324" s="20" t="str" cm="1">
        <f t="array" ref="J324">IFERROR(INDEX(Data_Input!$A$1:$ZZ$502, MATCH("평가손익", INDEX(Data_Input!$A$1:$ZZ$502, 0, MATCH(1, (Data_Input!$7:$7=$F$3)*(Data_Input!$8:$8=$B324), 0)), 0) + 1, MATCH(1, (Data_Input!$7:$7=$F$3)*(Data_Input!$8:$8=$B324), 0)),"")</f>
        <v/>
      </c>
      <c r="K324" s="14" t="str" cm="1">
        <f t="array" ref="K324">IFERROR(INDEX(Data_Input!$A$1:$ZZ$502, MATCH("총수익률", INDEX(Data_Input!$A$1:$ZZ$502, 0, MATCH(1, (Data_Input!$7:$7=$F$3)*(Data_Input!$8:$8=$B324), 0)), 0) + 1, MATCH(1, (Data_Input!$7:$7=$F$3)*(Data_Input!$8:$8=$B324), 0)),"")</f>
        <v/>
      </c>
      <c r="L324" t="str" cm="1">
        <f t="array" ref="L324">IFERROR(_xlfn.LET(
    _xlpm.targetDate, B324,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25" spans="1:12" x14ac:dyDescent="0.3">
      <c r="A325" s="16" t="str">
        <f t="shared" si="8"/>
        <v/>
      </c>
      <c r="B325" s="19"/>
      <c r="C325" s="17" t="str">
        <f t="shared" si="9"/>
        <v/>
      </c>
      <c r="D325" s="29" t="str" cm="1">
        <f t="array" ref="D325">IFERROR(INDEX(Data_Input!$10:$10,MATCH(1,(Data_Input!$7:$7=$F$3)*(Data_Input!$8:$8=$B325),0)),"")</f>
        <v/>
      </c>
      <c r="E325" s="29" t="str" cm="1">
        <f t="array" ref="E325">IFERROR(INDEX(Data_Input!$1:$100, 9, MATCH(1, (Data_Input!$7:$7=$F$3) * (Data_Input!$8:$8=$B325), 0)),"")</f>
        <v/>
      </c>
      <c r="F325" s="20" t="str" cm="1">
        <f t="array" ref="F325">IFERROR(INDEX(Data_Input!$A$1:$ZZ$502, MATCH("예수금", INDEX(Data_Input!$A$1:$ZZ$502, 0, MATCH(1, (Data_Input!$7:$7=$F$3)*(Data_Input!$8:$8=$B325), 0)), 0) + 1, MATCH(1, (Data_Input!$7:$7=$F$3)*(Data_Input!$8:$8=$B325), 0)),"")</f>
        <v/>
      </c>
      <c r="G325" s="20" t="str" cm="1">
        <f t="array" ref="G325">IFERROR(INDEX(Data_Input!$A$1:$ZZ$502, MATCH("총자산", INDEX(Data_Input!$A$1:$ZZ$502, 0, MATCH(1, (Data_Input!$7:$7=$F$3)*(Data_Input!$8:$8=$B325), 0)), 0) + 1, MATCH(1, (Data_Input!$7:$7=$F$3)*(Data_Input!$8:$8=$B325), 0)),"")</f>
        <v/>
      </c>
      <c r="H325" s="20" t="str" cm="1">
        <f t="array" ref="H325">IFERROR(INDEX(Data_Input!$A$1:$ZZ$502, MATCH("매입금액", INDEX(Data_Input!$A$1:$ZZ$502, 0, MATCH(1, (Data_Input!$7:$7=$F$3)*(Data_Input!$8:$8=$B325), 0)), 0) + 1, MATCH(1, (Data_Input!$7:$7=$F$3)*(Data_Input!$8:$8=$B325), 0)),"")</f>
        <v/>
      </c>
      <c r="I325" s="20" t="str" cm="1">
        <f t="array" ref="I325">IFERROR(INDEX(Data_Input!$A$1:$ZZ$502, MATCH("평가금액", INDEX(Data_Input!$A$1:$ZZ$502, 0, MATCH(1, (Data_Input!$7:$7=$F$3)*(Data_Input!$8:$8=$B325), 0)), 0) + 1, MATCH(1, (Data_Input!$7:$7=$F$3)*(Data_Input!$8:$8=$B325), 0)),"")</f>
        <v/>
      </c>
      <c r="J325" s="20" t="str" cm="1">
        <f t="array" ref="J325">IFERROR(INDEX(Data_Input!$A$1:$ZZ$502, MATCH("평가손익", INDEX(Data_Input!$A$1:$ZZ$502, 0, MATCH(1, (Data_Input!$7:$7=$F$3)*(Data_Input!$8:$8=$B325), 0)), 0) + 1, MATCH(1, (Data_Input!$7:$7=$F$3)*(Data_Input!$8:$8=$B325), 0)),"")</f>
        <v/>
      </c>
      <c r="K325" s="14" t="str" cm="1">
        <f t="array" ref="K325">IFERROR(INDEX(Data_Input!$A$1:$ZZ$502, MATCH("총수익률", INDEX(Data_Input!$A$1:$ZZ$502, 0, MATCH(1, (Data_Input!$7:$7=$F$3)*(Data_Input!$8:$8=$B325), 0)), 0) + 1, MATCH(1, (Data_Input!$7:$7=$F$3)*(Data_Input!$8:$8=$B325), 0)),"")</f>
        <v/>
      </c>
      <c r="L325" t="str" cm="1">
        <f t="array" ref="L325">IFERROR(_xlfn.LET(
    _xlpm.targetDate, B325,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26" spans="1:12" x14ac:dyDescent="0.3">
      <c r="A326" s="16" t="str">
        <f t="shared" si="8"/>
        <v/>
      </c>
      <c r="B326" s="19"/>
      <c r="C326" s="17" t="str">
        <f t="shared" si="9"/>
        <v/>
      </c>
      <c r="D326" s="29" t="str" cm="1">
        <f t="array" ref="D326">IFERROR(INDEX(Data_Input!$10:$10,MATCH(1,(Data_Input!$7:$7=$F$3)*(Data_Input!$8:$8=$B326),0)),"")</f>
        <v/>
      </c>
      <c r="E326" s="29" t="str" cm="1">
        <f t="array" ref="E326">IFERROR(INDEX(Data_Input!$1:$100, 9, MATCH(1, (Data_Input!$7:$7=$F$3) * (Data_Input!$8:$8=$B326), 0)),"")</f>
        <v/>
      </c>
      <c r="F326" s="20" t="str" cm="1">
        <f t="array" ref="F326">IFERROR(INDEX(Data_Input!$A$1:$ZZ$502, MATCH("예수금", INDEX(Data_Input!$A$1:$ZZ$502, 0, MATCH(1, (Data_Input!$7:$7=$F$3)*(Data_Input!$8:$8=$B326), 0)), 0) + 1, MATCH(1, (Data_Input!$7:$7=$F$3)*(Data_Input!$8:$8=$B326), 0)),"")</f>
        <v/>
      </c>
      <c r="G326" s="20" t="str" cm="1">
        <f t="array" ref="G326">IFERROR(INDEX(Data_Input!$A$1:$ZZ$502, MATCH("총자산", INDEX(Data_Input!$A$1:$ZZ$502, 0, MATCH(1, (Data_Input!$7:$7=$F$3)*(Data_Input!$8:$8=$B326), 0)), 0) + 1, MATCH(1, (Data_Input!$7:$7=$F$3)*(Data_Input!$8:$8=$B326), 0)),"")</f>
        <v/>
      </c>
      <c r="H326" s="20" t="str" cm="1">
        <f t="array" ref="H326">IFERROR(INDEX(Data_Input!$A$1:$ZZ$502, MATCH("매입금액", INDEX(Data_Input!$A$1:$ZZ$502, 0, MATCH(1, (Data_Input!$7:$7=$F$3)*(Data_Input!$8:$8=$B326), 0)), 0) + 1, MATCH(1, (Data_Input!$7:$7=$F$3)*(Data_Input!$8:$8=$B326), 0)),"")</f>
        <v/>
      </c>
      <c r="I326" s="20" t="str" cm="1">
        <f t="array" ref="I326">IFERROR(INDEX(Data_Input!$A$1:$ZZ$502, MATCH("평가금액", INDEX(Data_Input!$A$1:$ZZ$502, 0, MATCH(1, (Data_Input!$7:$7=$F$3)*(Data_Input!$8:$8=$B326), 0)), 0) + 1, MATCH(1, (Data_Input!$7:$7=$F$3)*(Data_Input!$8:$8=$B326), 0)),"")</f>
        <v/>
      </c>
      <c r="J326" s="20" t="str" cm="1">
        <f t="array" ref="J326">IFERROR(INDEX(Data_Input!$A$1:$ZZ$502, MATCH("평가손익", INDEX(Data_Input!$A$1:$ZZ$502, 0, MATCH(1, (Data_Input!$7:$7=$F$3)*(Data_Input!$8:$8=$B326), 0)), 0) + 1, MATCH(1, (Data_Input!$7:$7=$F$3)*(Data_Input!$8:$8=$B326), 0)),"")</f>
        <v/>
      </c>
      <c r="K326" s="14" t="str" cm="1">
        <f t="array" ref="K326">IFERROR(INDEX(Data_Input!$A$1:$ZZ$502, MATCH("총수익률", INDEX(Data_Input!$A$1:$ZZ$502, 0, MATCH(1, (Data_Input!$7:$7=$F$3)*(Data_Input!$8:$8=$B326), 0)), 0) + 1, MATCH(1, (Data_Input!$7:$7=$F$3)*(Data_Input!$8:$8=$B326), 0)),"")</f>
        <v/>
      </c>
      <c r="L326" t="str" cm="1">
        <f t="array" ref="L326">IFERROR(_xlfn.LET(
    _xlpm.targetDate, B326,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27" spans="1:12" x14ac:dyDescent="0.3">
      <c r="A327" s="16" t="str">
        <f t="shared" ref="A327:A390" si="10">IF(B327&gt;0,A326+1,"")</f>
        <v/>
      </c>
      <c r="B327" s="19"/>
      <c r="C327" s="17" t="str">
        <f t="shared" si="9"/>
        <v/>
      </c>
      <c r="D327" s="29" t="str" cm="1">
        <f t="array" ref="D327">IFERROR(INDEX(Data_Input!$10:$10,MATCH(1,(Data_Input!$7:$7=$F$3)*(Data_Input!$8:$8=$B327),0)),"")</f>
        <v/>
      </c>
      <c r="E327" s="29" t="str" cm="1">
        <f t="array" ref="E327">IFERROR(INDEX(Data_Input!$1:$100, 9, MATCH(1, (Data_Input!$7:$7=$F$3) * (Data_Input!$8:$8=$B327), 0)),"")</f>
        <v/>
      </c>
      <c r="F327" s="20" t="str" cm="1">
        <f t="array" ref="F327">IFERROR(INDEX(Data_Input!$A$1:$ZZ$502, MATCH("예수금", INDEX(Data_Input!$A$1:$ZZ$502, 0, MATCH(1, (Data_Input!$7:$7=$F$3)*(Data_Input!$8:$8=$B327), 0)), 0) + 1, MATCH(1, (Data_Input!$7:$7=$F$3)*(Data_Input!$8:$8=$B327), 0)),"")</f>
        <v/>
      </c>
      <c r="G327" s="20" t="str" cm="1">
        <f t="array" ref="G327">IFERROR(INDEX(Data_Input!$A$1:$ZZ$502, MATCH("총자산", INDEX(Data_Input!$A$1:$ZZ$502, 0, MATCH(1, (Data_Input!$7:$7=$F$3)*(Data_Input!$8:$8=$B327), 0)), 0) + 1, MATCH(1, (Data_Input!$7:$7=$F$3)*(Data_Input!$8:$8=$B327), 0)),"")</f>
        <v/>
      </c>
      <c r="H327" s="20" t="str" cm="1">
        <f t="array" ref="H327">IFERROR(INDEX(Data_Input!$A$1:$ZZ$502, MATCH("매입금액", INDEX(Data_Input!$A$1:$ZZ$502, 0, MATCH(1, (Data_Input!$7:$7=$F$3)*(Data_Input!$8:$8=$B327), 0)), 0) + 1, MATCH(1, (Data_Input!$7:$7=$F$3)*(Data_Input!$8:$8=$B327), 0)),"")</f>
        <v/>
      </c>
      <c r="I327" s="20" t="str" cm="1">
        <f t="array" ref="I327">IFERROR(INDEX(Data_Input!$A$1:$ZZ$502, MATCH("평가금액", INDEX(Data_Input!$A$1:$ZZ$502, 0, MATCH(1, (Data_Input!$7:$7=$F$3)*(Data_Input!$8:$8=$B327), 0)), 0) + 1, MATCH(1, (Data_Input!$7:$7=$F$3)*(Data_Input!$8:$8=$B327), 0)),"")</f>
        <v/>
      </c>
      <c r="J327" s="20" t="str" cm="1">
        <f t="array" ref="J327">IFERROR(INDEX(Data_Input!$A$1:$ZZ$502, MATCH("평가손익", INDEX(Data_Input!$A$1:$ZZ$502, 0, MATCH(1, (Data_Input!$7:$7=$F$3)*(Data_Input!$8:$8=$B327), 0)), 0) + 1, MATCH(1, (Data_Input!$7:$7=$F$3)*(Data_Input!$8:$8=$B327), 0)),"")</f>
        <v/>
      </c>
      <c r="K327" s="14" t="str" cm="1">
        <f t="array" ref="K327">IFERROR(INDEX(Data_Input!$A$1:$ZZ$502, MATCH("총수익률", INDEX(Data_Input!$A$1:$ZZ$502, 0, MATCH(1, (Data_Input!$7:$7=$F$3)*(Data_Input!$8:$8=$B327), 0)), 0) + 1, MATCH(1, (Data_Input!$7:$7=$F$3)*(Data_Input!$8:$8=$B327), 0)),"")</f>
        <v/>
      </c>
      <c r="L327" t="str" cm="1">
        <f t="array" ref="L327">IFERROR(_xlfn.LET(
    _xlpm.targetDate, B327,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28" spans="1:12" x14ac:dyDescent="0.3">
      <c r="A328" s="16" t="str">
        <f t="shared" si="10"/>
        <v/>
      </c>
      <c r="B328" s="19"/>
      <c r="C328" s="17" t="str">
        <f t="shared" ref="C328:C391" si="11">IF(B328&gt;0,C327,"")</f>
        <v/>
      </c>
      <c r="D328" s="29" t="str" cm="1">
        <f t="array" ref="D328">IFERROR(INDEX(Data_Input!$10:$10,MATCH(1,(Data_Input!$7:$7=$F$3)*(Data_Input!$8:$8=$B328),0)),"")</f>
        <v/>
      </c>
      <c r="E328" s="29" t="str" cm="1">
        <f t="array" ref="E328">IFERROR(INDEX(Data_Input!$1:$100, 9, MATCH(1, (Data_Input!$7:$7=$F$3) * (Data_Input!$8:$8=$B328), 0)),"")</f>
        <v/>
      </c>
      <c r="F328" s="20" t="str" cm="1">
        <f t="array" ref="F328">IFERROR(INDEX(Data_Input!$A$1:$ZZ$502, MATCH("예수금", INDEX(Data_Input!$A$1:$ZZ$502, 0, MATCH(1, (Data_Input!$7:$7=$F$3)*(Data_Input!$8:$8=$B328), 0)), 0) + 1, MATCH(1, (Data_Input!$7:$7=$F$3)*(Data_Input!$8:$8=$B328), 0)),"")</f>
        <v/>
      </c>
      <c r="G328" s="20" t="str" cm="1">
        <f t="array" ref="G328">IFERROR(INDEX(Data_Input!$A$1:$ZZ$502, MATCH("총자산", INDEX(Data_Input!$A$1:$ZZ$502, 0, MATCH(1, (Data_Input!$7:$7=$F$3)*(Data_Input!$8:$8=$B328), 0)), 0) + 1, MATCH(1, (Data_Input!$7:$7=$F$3)*(Data_Input!$8:$8=$B328), 0)),"")</f>
        <v/>
      </c>
      <c r="H328" s="20" t="str" cm="1">
        <f t="array" ref="H328">IFERROR(INDEX(Data_Input!$A$1:$ZZ$502, MATCH("매입금액", INDEX(Data_Input!$A$1:$ZZ$502, 0, MATCH(1, (Data_Input!$7:$7=$F$3)*(Data_Input!$8:$8=$B328), 0)), 0) + 1, MATCH(1, (Data_Input!$7:$7=$F$3)*(Data_Input!$8:$8=$B328), 0)),"")</f>
        <v/>
      </c>
      <c r="I328" s="20" t="str" cm="1">
        <f t="array" ref="I328">IFERROR(INDEX(Data_Input!$A$1:$ZZ$502, MATCH("평가금액", INDEX(Data_Input!$A$1:$ZZ$502, 0, MATCH(1, (Data_Input!$7:$7=$F$3)*(Data_Input!$8:$8=$B328), 0)), 0) + 1, MATCH(1, (Data_Input!$7:$7=$F$3)*(Data_Input!$8:$8=$B328), 0)),"")</f>
        <v/>
      </c>
      <c r="J328" s="20" t="str" cm="1">
        <f t="array" ref="J328">IFERROR(INDEX(Data_Input!$A$1:$ZZ$502, MATCH("평가손익", INDEX(Data_Input!$A$1:$ZZ$502, 0, MATCH(1, (Data_Input!$7:$7=$F$3)*(Data_Input!$8:$8=$B328), 0)), 0) + 1, MATCH(1, (Data_Input!$7:$7=$F$3)*(Data_Input!$8:$8=$B328), 0)),"")</f>
        <v/>
      </c>
      <c r="K328" s="14" t="str" cm="1">
        <f t="array" ref="K328">IFERROR(INDEX(Data_Input!$A$1:$ZZ$502, MATCH("총수익률", INDEX(Data_Input!$A$1:$ZZ$502, 0, MATCH(1, (Data_Input!$7:$7=$F$3)*(Data_Input!$8:$8=$B328), 0)), 0) + 1, MATCH(1, (Data_Input!$7:$7=$F$3)*(Data_Input!$8:$8=$B328), 0)),"")</f>
        <v/>
      </c>
      <c r="L328" t="str" cm="1">
        <f t="array" ref="L328">IFERROR(_xlfn.LET(
    _xlpm.targetDate, B328,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29" spans="1:12" x14ac:dyDescent="0.3">
      <c r="A329" s="16" t="str">
        <f t="shared" si="10"/>
        <v/>
      </c>
      <c r="B329" s="19"/>
      <c r="C329" s="17" t="str">
        <f t="shared" si="11"/>
        <v/>
      </c>
      <c r="D329" s="29" t="str" cm="1">
        <f t="array" ref="D329">IFERROR(INDEX(Data_Input!$10:$10,MATCH(1,(Data_Input!$7:$7=$F$3)*(Data_Input!$8:$8=$B329),0)),"")</f>
        <v/>
      </c>
      <c r="E329" s="29" t="str" cm="1">
        <f t="array" ref="E329">IFERROR(INDEX(Data_Input!$1:$100, 9, MATCH(1, (Data_Input!$7:$7=$F$3) * (Data_Input!$8:$8=$B329), 0)),"")</f>
        <v/>
      </c>
      <c r="F329" s="20" t="str" cm="1">
        <f t="array" ref="F329">IFERROR(INDEX(Data_Input!$A$1:$ZZ$502, MATCH("예수금", INDEX(Data_Input!$A$1:$ZZ$502, 0, MATCH(1, (Data_Input!$7:$7=$F$3)*(Data_Input!$8:$8=$B329), 0)), 0) + 1, MATCH(1, (Data_Input!$7:$7=$F$3)*(Data_Input!$8:$8=$B329), 0)),"")</f>
        <v/>
      </c>
      <c r="G329" s="20" t="str" cm="1">
        <f t="array" ref="G329">IFERROR(INDEX(Data_Input!$A$1:$ZZ$502, MATCH("총자산", INDEX(Data_Input!$A$1:$ZZ$502, 0, MATCH(1, (Data_Input!$7:$7=$F$3)*(Data_Input!$8:$8=$B329), 0)), 0) + 1, MATCH(1, (Data_Input!$7:$7=$F$3)*(Data_Input!$8:$8=$B329), 0)),"")</f>
        <v/>
      </c>
      <c r="H329" s="20" t="str" cm="1">
        <f t="array" ref="H329">IFERROR(INDEX(Data_Input!$A$1:$ZZ$502, MATCH("매입금액", INDEX(Data_Input!$A$1:$ZZ$502, 0, MATCH(1, (Data_Input!$7:$7=$F$3)*(Data_Input!$8:$8=$B329), 0)), 0) + 1, MATCH(1, (Data_Input!$7:$7=$F$3)*(Data_Input!$8:$8=$B329), 0)),"")</f>
        <v/>
      </c>
      <c r="I329" s="20" t="str" cm="1">
        <f t="array" ref="I329">IFERROR(INDEX(Data_Input!$A$1:$ZZ$502, MATCH("평가금액", INDEX(Data_Input!$A$1:$ZZ$502, 0, MATCH(1, (Data_Input!$7:$7=$F$3)*(Data_Input!$8:$8=$B329), 0)), 0) + 1, MATCH(1, (Data_Input!$7:$7=$F$3)*(Data_Input!$8:$8=$B329), 0)),"")</f>
        <v/>
      </c>
      <c r="J329" s="20" t="str" cm="1">
        <f t="array" ref="J329">IFERROR(INDEX(Data_Input!$A$1:$ZZ$502, MATCH("평가손익", INDEX(Data_Input!$A$1:$ZZ$502, 0, MATCH(1, (Data_Input!$7:$7=$F$3)*(Data_Input!$8:$8=$B329), 0)), 0) + 1, MATCH(1, (Data_Input!$7:$7=$F$3)*(Data_Input!$8:$8=$B329), 0)),"")</f>
        <v/>
      </c>
      <c r="K329" s="14" t="str" cm="1">
        <f t="array" ref="K329">IFERROR(INDEX(Data_Input!$A$1:$ZZ$502, MATCH("총수익률", INDEX(Data_Input!$A$1:$ZZ$502, 0, MATCH(1, (Data_Input!$7:$7=$F$3)*(Data_Input!$8:$8=$B329), 0)), 0) + 1, MATCH(1, (Data_Input!$7:$7=$F$3)*(Data_Input!$8:$8=$B329), 0)),"")</f>
        <v/>
      </c>
      <c r="L329" t="str" cm="1">
        <f t="array" ref="L329">IFERROR(_xlfn.LET(
    _xlpm.targetDate, B329,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30" spans="1:12" x14ac:dyDescent="0.3">
      <c r="A330" s="16" t="str">
        <f t="shared" si="10"/>
        <v/>
      </c>
      <c r="B330" s="19"/>
      <c r="C330" s="17" t="str">
        <f t="shared" si="11"/>
        <v/>
      </c>
      <c r="D330" s="29" t="str" cm="1">
        <f t="array" ref="D330">IFERROR(INDEX(Data_Input!$10:$10,MATCH(1,(Data_Input!$7:$7=$F$3)*(Data_Input!$8:$8=$B330),0)),"")</f>
        <v/>
      </c>
      <c r="E330" s="29" t="str" cm="1">
        <f t="array" ref="E330">IFERROR(INDEX(Data_Input!$1:$100, 9, MATCH(1, (Data_Input!$7:$7=$F$3) * (Data_Input!$8:$8=$B330), 0)),"")</f>
        <v/>
      </c>
      <c r="F330" s="20" t="str" cm="1">
        <f t="array" ref="F330">IFERROR(INDEX(Data_Input!$A$1:$ZZ$502, MATCH("예수금", INDEX(Data_Input!$A$1:$ZZ$502, 0, MATCH(1, (Data_Input!$7:$7=$F$3)*(Data_Input!$8:$8=$B330), 0)), 0) + 1, MATCH(1, (Data_Input!$7:$7=$F$3)*(Data_Input!$8:$8=$B330), 0)),"")</f>
        <v/>
      </c>
      <c r="G330" s="20" t="str" cm="1">
        <f t="array" ref="G330">IFERROR(INDEX(Data_Input!$A$1:$ZZ$502, MATCH("총자산", INDEX(Data_Input!$A$1:$ZZ$502, 0, MATCH(1, (Data_Input!$7:$7=$F$3)*(Data_Input!$8:$8=$B330), 0)), 0) + 1, MATCH(1, (Data_Input!$7:$7=$F$3)*(Data_Input!$8:$8=$B330), 0)),"")</f>
        <v/>
      </c>
      <c r="H330" s="20" t="str" cm="1">
        <f t="array" ref="H330">IFERROR(INDEX(Data_Input!$A$1:$ZZ$502, MATCH("매입금액", INDEX(Data_Input!$A$1:$ZZ$502, 0, MATCH(1, (Data_Input!$7:$7=$F$3)*(Data_Input!$8:$8=$B330), 0)), 0) + 1, MATCH(1, (Data_Input!$7:$7=$F$3)*(Data_Input!$8:$8=$B330), 0)),"")</f>
        <v/>
      </c>
      <c r="I330" s="20" t="str" cm="1">
        <f t="array" ref="I330">IFERROR(INDEX(Data_Input!$A$1:$ZZ$502, MATCH("평가금액", INDEX(Data_Input!$A$1:$ZZ$502, 0, MATCH(1, (Data_Input!$7:$7=$F$3)*(Data_Input!$8:$8=$B330), 0)), 0) + 1, MATCH(1, (Data_Input!$7:$7=$F$3)*(Data_Input!$8:$8=$B330), 0)),"")</f>
        <v/>
      </c>
      <c r="J330" s="20" t="str" cm="1">
        <f t="array" ref="J330">IFERROR(INDEX(Data_Input!$A$1:$ZZ$502, MATCH("평가손익", INDEX(Data_Input!$A$1:$ZZ$502, 0, MATCH(1, (Data_Input!$7:$7=$F$3)*(Data_Input!$8:$8=$B330), 0)), 0) + 1, MATCH(1, (Data_Input!$7:$7=$F$3)*(Data_Input!$8:$8=$B330), 0)),"")</f>
        <v/>
      </c>
      <c r="K330" s="14" t="str" cm="1">
        <f t="array" ref="K330">IFERROR(INDEX(Data_Input!$A$1:$ZZ$502, MATCH("총수익률", INDEX(Data_Input!$A$1:$ZZ$502, 0, MATCH(1, (Data_Input!$7:$7=$F$3)*(Data_Input!$8:$8=$B330), 0)), 0) + 1, MATCH(1, (Data_Input!$7:$7=$F$3)*(Data_Input!$8:$8=$B330), 0)),"")</f>
        <v/>
      </c>
      <c r="L330" t="str" cm="1">
        <f t="array" ref="L330">IFERROR(_xlfn.LET(
    _xlpm.targetDate, B330,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31" spans="1:12" x14ac:dyDescent="0.3">
      <c r="A331" s="16" t="str">
        <f t="shared" si="10"/>
        <v/>
      </c>
      <c r="B331" s="19"/>
      <c r="C331" s="17" t="str">
        <f t="shared" si="11"/>
        <v/>
      </c>
      <c r="D331" s="29" t="str" cm="1">
        <f t="array" ref="D331">IFERROR(INDEX(Data_Input!$10:$10,MATCH(1,(Data_Input!$7:$7=$F$3)*(Data_Input!$8:$8=$B331),0)),"")</f>
        <v/>
      </c>
      <c r="E331" s="29" t="str" cm="1">
        <f t="array" ref="E331">IFERROR(INDEX(Data_Input!$1:$100, 9, MATCH(1, (Data_Input!$7:$7=$F$3) * (Data_Input!$8:$8=$B331), 0)),"")</f>
        <v/>
      </c>
      <c r="F331" s="20" t="str" cm="1">
        <f t="array" ref="F331">IFERROR(INDEX(Data_Input!$A$1:$ZZ$502, MATCH("예수금", INDEX(Data_Input!$A$1:$ZZ$502, 0, MATCH(1, (Data_Input!$7:$7=$F$3)*(Data_Input!$8:$8=$B331), 0)), 0) + 1, MATCH(1, (Data_Input!$7:$7=$F$3)*(Data_Input!$8:$8=$B331), 0)),"")</f>
        <v/>
      </c>
      <c r="G331" s="20" t="str" cm="1">
        <f t="array" ref="G331">IFERROR(INDEX(Data_Input!$A$1:$ZZ$502, MATCH("총자산", INDEX(Data_Input!$A$1:$ZZ$502, 0, MATCH(1, (Data_Input!$7:$7=$F$3)*(Data_Input!$8:$8=$B331), 0)), 0) + 1, MATCH(1, (Data_Input!$7:$7=$F$3)*(Data_Input!$8:$8=$B331), 0)),"")</f>
        <v/>
      </c>
      <c r="H331" s="20" t="str" cm="1">
        <f t="array" ref="H331">IFERROR(INDEX(Data_Input!$A$1:$ZZ$502, MATCH("매입금액", INDEX(Data_Input!$A$1:$ZZ$502, 0, MATCH(1, (Data_Input!$7:$7=$F$3)*(Data_Input!$8:$8=$B331), 0)), 0) + 1, MATCH(1, (Data_Input!$7:$7=$F$3)*(Data_Input!$8:$8=$B331), 0)),"")</f>
        <v/>
      </c>
      <c r="I331" s="20" t="str" cm="1">
        <f t="array" ref="I331">IFERROR(INDEX(Data_Input!$A$1:$ZZ$502, MATCH("평가금액", INDEX(Data_Input!$A$1:$ZZ$502, 0, MATCH(1, (Data_Input!$7:$7=$F$3)*(Data_Input!$8:$8=$B331), 0)), 0) + 1, MATCH(1, (Data_Input!$7:$7=$F$3)*(Data_Input!$8:$8=$B331), 0)),"")</f>
        <v/>
      </c>
      <c r="J331" s="20" t="str" cm="1">
        <f t="array" ref="J331">IFERROR(INDEX(Data_Input!$A$1:$ZZ$502, MATCH("평가손익", INDEX(Data_Input!$A$1:$ZZ$502, 0, MATCH(1, (Data_Input!$7:$7=$F$3)*(Data_Input!$8:$8=$B331), 0)), 0) + 1, MATCH(1, (Data_Input!$7:$7=$F$3)*(Data_Input!$8:$8=$B331), 0)),"")</f>
        <v/>
      </c>
      <c r="K331" s="14" t="str" cm="1">
        <f t="array" ref="K331">IFERROR(INDEX(Data_Input!$A$1:$ZZ$502, MATCH("총수익률", INDEX(Data_Input!$A$1:$ZZ$502, 0, MATCH(1, (Data_Input!$7:$7=$F$3)*(Data_Input!$8:$8=$B331), 0)), 0) + 1, MATCH(1, (Data_Input!$7:$7=$F$3)*(Data_Input!$8:$8=$B331), 0)),"")</f>
        <v/>
      </c>
      <c r="L331" t="str" cm="1">
        <f t="array" ref="L331">IFERROR(_xlfn.LET(
    _xlpm.targetDate, B331,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32" spans="1:12" x14ac:dyDescent="0.3">
      <c r="A332" s="16" t="str">
        <f t="shared" si="10"/>
        <v/>
      </c>
      <c r="B332" s="19"/>
      <c r="C332" s="17" t="str">
        <f t="shared" si="11"/>
        <v/>
      </c>
      <c r="D332" s="29" t="str" cm="1">
        <f t="array" ref="D332">IFERROR(INDEX(Data_Input!$10:$10,MATCH(1,(Data_Input!$7:$7=$F$3)*(Data_Input!$8:$8=$B332),0)),"")</f>
        <v/>
      </c>
      <c r="E332" s="29" t="str" cm="1">
        <f t="array" ref="E332">IFERROR(INDEX(Data_Input!$1:$100, 9, MATCH(1, (Data_Input!$7:$7=$F$3) * (Data_Input!$8:$8=$B332), 0)),"")</f>
        <v/>
      </c>
      <c r="F332" s="20" t="str" cm="1">
        <f t="array" ref="F332">IFERROR(INDEX(Data_Input!$A$1:$ZZ$502, MATCH("예수금", INDEX(Data_Input!$A$1:$ZZ$502, 0, MATCH(1, (Data_Input!$7:$7=$F$3)*(Data_Input!$8:$8=$B332), 0)), 0) + 1, MATCH(1, (Data_Input!$7:$7=$F$3)*(Data_Input!$8:$8=$B332), 0)),"")</f>
        <v/>
      </c>
      <c r="G332" s="20" t="str" cm="1">
        <f t="array" ref="G332">IFERROR(INDEX(Data_Input!$A$1:$ZZ$502, MATCH("총자산", INDEX(Data_Input!$A$1:$ZZ$502, 0, MATCH(1, (Data_Input!$7:$7=$F$3)*(Data_Input!$8:$8=$B332), 0)), 0) + 1, MATCH(1, (Data_Input!$7:$7=$F$3)*(Data_Input!$8:$8=$B332), 0)),"")</f>
        <v/>
      </c>
      <c r="H332" s="20" t="str" cm="1">
        <f t="array" ref="H332">IFERROR(INDEX(Data_Input!$A$1:$ZZ$502, MATCH("매입금액", INDEX(Data_Input!$A$1:$ZZ$502, 0, MATCH(1, (Data_Input!$7:$7=$F$3)*(Data_Input!$8:$8=$B332), 0)), 0) + 1, MATCH(1, (Data_Input!$7:$7=$F$3)*(Data_Input!$8:$8=$B332), 0)),"")</f>
        <v/>
      </c>
      <c r="I332" s="20" t="str" cm="1">
        <f t="array" ref="I332">IFERROR(INDEX(Data_Input!$A$1:$ZZ$502, MATCH("평가금액", INDEX(Data_Input!$A$1:$ZZ$502, 0, MATCH(1, (Data_Input!$7:$7=$F$3)*(Data_Input!$8:$8=$B332), 0)), 0) + 1, MATCH(1, (Data_Input!$7:$7=$F$3)*(Data_Input!$8:$8=$B332), 0)),"")</f>
        <v/>
      </c>
      <c r="J332" s="20" t="str" cm="1">
        <f t="array" ref="J332">IFERROR(INDEX(Data_Input!$A$1:$ZZ$502, MATCH("평가손익", INDEX(Data_Input!$A$1:$ZZ$502, 0, MATCH(1, (Data_Input!$7:$7=$F$3)*(Data_Input!$8:$8=$B332), 0)), 0) + 1, MATCH(1, (Data_Input!$7:$7=$F$3)*(Data_Input!$8:$8=$B332), 0)),"")</f>
        <v/>
      </c>
      <c r="K332" s="14" t="str" cm="1">
        <f t="array" ref="K332">IFERROR(INDEX(Data_Input!$A$1:$ZZ$502, MATCH("총수익률", INDEX(Data_Input!$A$1:$ZZ$502, 0, MATCH(1, (Data_Input!$7:$7=$F$3)*(Data_Input!$8:$8=$B332), 0)), 0) + 1, MATCH(1, (Data_Input!$7:$7=$F$3)*(Data_Input!$8:$8=$B332), 0)),"")</f>
        <v/>
      </c>
      <c r="L332" t="str" cm="1">
        <f t="array" ref="L332">IFERROR(_xlfn.LET(
    _xlpm.targetDate, B332,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33" spans="1:12" x14ac:dyDescent="0.3">
      <c r="A333" s="16" t="str">
        <f t="shared" si="10"/>
        <v/>
      </c>
      <c r="B333" s="19"/>
      <c r="C333" s="17" t="str">
        <f t="shared" si="11"/>
        <v/>
      </c>
      <c r="D333" s="29" t="str" cm="1">
        <f t="array" ref="D333">IFERROR(INDEX(Data_Input!$10:$10,MATCH(1,(Data_Input!$7:$7=$F$3)*(Data_Input!$8:$8=$B333),0)),"")</f>
        <v/>
      </c>
      <c r="E333" s="29" t="str" cm="1">
        <f t="array" ref="E333">IFERROR(INDEX(Data_Input!$1:$100, 9, MATCH(1, (Data_Input!$7:$7=$F$3) * (Data_Input!$8:$8=$B333), 0)),"")</f>
        <v/>
      </c>
      <c r="F333" s="20" t="str" cm="1">
        <f t="array" ref="F333">IFERROR(INDEX(Data_Input!$A$1:$ZZ$502, MATCH("예수금", INDEX(Data_Input!$A$1:$ZZ$502, 0, MATCH(1, (Data_Input!$7:$7=$F$3)*(Data_Input!$8:$8=$B333), 0)), 0) + 1, MATCH(1, (Data_Input!$7:$7=$F$3)*(Data_Input!$8:$8=$B333), 0)),"")</f>
        <v/>
      </c>
      <c r="G333" s="20" t="str" cm="1">
        <f t="array" ref="G333">IFERROR(INDEX(Data_Input!$A$1:$ZZ$502, MATCH("총자산", INDEX(Data_Input!$A$1:$ZZ$502, 0, MATCH(1, (Data_Input!$7:$7=$F$3)*(Data_Input!$8:$8=$B333), 0)), 0) + 1, MATCH(1, (Data_Input!$7:$7=$F$3)*(Data_Input!$8:$8=$B333), 0)),"")</f>
        <v/>
      </c>
      <c r="H333" s="20" t="str" cm="1">
        <f t="array" ref="H333">IFERROR(INDEX(Data_Input!$A$1:$ZZ$502, MATCH("매입금액", INDEX(Data_Input!$A$1:$ZZ$502, 0, MATCH(1, (Data_Input!$7:$7=$F$3)*(Data_Input!$8:$8=$B333), 0)), 0) + 1, MATCH(1, (Data_Input!$7:$7=$F$3)*(Data_Input!$8:$8=$B333), 0)),"")</f>
        <v/>
      </c>
      <c r="I333" s="20" t="str" cm="1">
        <f t="array" ref="I333">IFERROR(INDEX(Data_Input!$A$1:$ZZ$502, MATCH("평가금액", INDEX(Data_Input!$A$1:$ZZ$502, 0, MATCH(1, (Data_Input!$7:$7=$F$3)*(Data_Input!$8:$8=$B333), 0)), 0) + 1, MATCH(1, (Data_Input!$7:$7=$F$3)*(Data_Input!$8:$8=$B333), 0)),"")</f>
        <v/>
      </c>
      <c r="J333" s="20" t="str" cm="1">
        <f t="array" ref="J333">IFERROR(INDEX(Data_Input!$A$1:$ZZ$502, MATCH("평가손익", INDEX(Data_Input!$A$1:$ZZ$502, 0, MATCH(1, (Data_Input!$7:$7=$F$3)*(Data_Input!$8:$8=$B333), 0)), 0) + 1, MATCH(1, (Data_Input!$7:$7=$F$3)*(Data_Input!$8:$8=$B333), 0)),"")</f>
        <v/>
      </c>
      <c r="K333" s="14" t="str" cm="1">
        <f t="array" ref="K333">IFERROR(INDEX(Data_Input!$A$1:$ZZ$502, MATCH("총수익률", INDEX(Data_Input!$A$1:$ZZ$502, 0, MATCH(1, (Data_Input!$7:$7=$F$3)*(Data_Input!$8:$8=$B333), 0)), 0) + 1, MATCH(1, (Data_Input!$7:$7=$F$3)*(Data_Input!$8:$8=$B333), 0)),"")</f>
        <v/>
      </c>
      <c r="L333" t="str" cm="1">
        <f t="array" ref="L333">IFERROR(_xlfn.LET(
    _xlpm.targetDate, B333,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34" spans="1:12" x14ac:dyDescent="0.3">
      <c r="A334" s="16" t="str">
        <f t="shared" si="10"/>
        <v/>
      </c>
      <c r="B334" s="19"/>
      <c r="C334" s="17" t="str">
        <f t="shared" si="11"/>
        <v/>
      </c>
      <c r="D334" s="29" t="str" cm="1">
        <f t="array" ref="D334">IFERROR(INDEX(Data_Input!$10:$10,MATCH(1,(Data_Input!$7:$7=$F$3)*(Data_Input!$8:$8=$B334),0)),"")</f>
        <v/>
      </c>
      <c r="E334" s="29" t="str" cm="1">
        <f t="array" ref="E334">IFERROR(INDEX(Data_Input!$1:$100, 9, MATCH(1, (Data_Input!$7:$7=$F$3) * (Data_Input!$8:$8=$B334), 0)),"")</f>
        <v/>
      </c>
      <c r="F334" s="20" t="str" cm="1">
        <f t="array" ref="F334">IFERROR(INDEX(Data_Input!$A$1:$ZZ$502, MATCH("예수금", INDEX(Data_Input!$A$1:$ZZ$502, 0, MATCH(1, (Data_Input!$7:$7=$F$3)*(Data_Input!$8:$8=$B334), 0)), 0) + 1, MATCH(1, (Data_Input!$7:$7=$F$3)*(Data_Input!$8:$8=$B334), 0)),"")</f>
        <v/>
      </c>
      <c r="G334" s="20" t="str" cm="1">
        <f t="array" ref="G334">IFERROR(INDEX(Data_Input!$A$1:$ZZ$502, MATCH("총자산", INDEX(Data_Input!$A$1:$ZZ$502, 0, MATCH(1, (Data_Input!$7:$7=$F$3)*(Data_Input!$8:$8=$B334), 0)), 0) + 1, MATCH(1, (Data_Input!$7:$7=$F$3)*(Data_Input!$8:$8=$B334), 0)),"")</f>
        <v/>
      </c>
      <c r="H334" s="20" t="str" cm="1">
        <f t="array" ref="H334">IFERROR(INDEX(Data_Input!$A$1:$ZZ$502, MATCH("매입금액", INDEX(Data_Input!$A$1:$ZZ$502, 0, MATCH(1, (Data_Input!$7:$7=$F$3)*(Data_Input!$8:$8=$B334), 0)), 0) + 1, MATCH(1, (Data_Input!$7:$7=$F$3)*(Data_Input!$8:$8=$B334), 0)),"")</f>
        <v/>
      </c>
      <c r="I334" s="20" t="str" cm="1">
        <f t="array" ref="I334">IFERROR(INDEX(Data_Input!$A$1:$ZZ$502, MATCH("평가금액", INDEX(Data_Input!$A$1:$ZZ$502, 0, MATCH(1, (Data_Input!$7:$7=$F$3)*(Data_Input!$8:$8=$B334), 0)), 0) + 1, MATCH(1, (Data_Input!$7:$7=$F$3)*(Data_Input!$8:$8=$B334), 0)),"")</f>
        <v/>
      </c>
      <c r="J334" s="20" t="str" cm="1">
        <f t="array" ref="J334">IFERROR(INDEX(Data_Input!$A$1:$ZZ$502, MATCH("평가손익", INDEX(Data_Input!$A$1:$ZZ$502, 0, MATCH(1, (Data_Input!$7:$7=$F$3)*(Data_Input!$8:$8=$B334), 0)), 0) + 1, MATCH(1, (Data_Input!$7:$7=$F$3)*(Data_Input!$8:$8=$B334), 0)),"")</f>
        <v/>
      </c>
      <c r="K334" s="14" t="str" cm="1">
        <f t="array" ref="K334">IFERROR(INDEX(Data_Input!$A$1:$ZZ$502, MATCH("총수익률", INDEX(Data_Input!$A$1:$ZZ$502, 0, MATCH(1, (Data_Input!$7:$7=$F$3)*(Data_Input!$8:$8=$B334), 0)), 0) + 1, MATCH(1, (Data_Input!$7:$7=$F$3)*(Data_Input!$8:$8=$B334), 0)),"")</f>
        <v/>
      </c>
      <c r="L334" t="str" cm="1">
        <f t="array" ref="L334">IFERROR(_xlfn.LET(
    _xlpm.targetDate, B334,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35" spans="1:12" x14ac:dyDescent="0.3">
      <c r="A335" s="16" t="str">
        <f t="shared" si="10"/>
        <v/>
      </c>
      <c r="B335" s="19"/>
      <c r="C335" s="17" t="str">
        <f t="shared" si="11"/>
        <v/>
      </c>
      <c r="D335" s="29" t="str" cm="1">
        <f t="array" ref="D335">IFERROR(INDEX(Data_Input!$10:$10,MATCH(1,(Data_Input!$7:$7=$F$3)*(Data_Input!$8:$8=$B335),0)),"")</f>
        <v/>
      </c>
      <c r="E335" s="29" t="str" cm="1">
        <f t="array" ref="E335">IFERROR(INDEX(Data_Input!$1:$100, 9, MATCH(1, (Data_Input!$7:$7=$F$3) * (Data_Input!$8:$8=$B335), 0)),"")</f>
        <v/>
      </c>
      <c r="F335" s="20" t="str" cm="1">
        <f t="array" ref="F335">IFERROR(INDEX(Data_Input!$A$1:$ZZ$502, MATCH("예수금", INDEX(Data_Input!$A$1:$ZZ$502, 0, MATCH(1, (Data_Input!$7:$7=$F$3)*(Data_Input!$8:$8=$B335), 0)), 0) + 1, MATCH(1, (Data_Input!$7:$7=$F$3)*(Data_Input!$8:$8=$B335), 0)),"")</f>
        <v/>
      </c>
      <c r="G335" s="20" t="str" cm="1">
        <f t="array" ref="G335">IFERROR(INDEX(Data_Input!$A$1:$ZZ$502, MATCH("총자산", INDEX(Data_Input!$A$1:$ZZ$502, 0, MATCH(1, (Data_Input!$7:$7=$F$3)*(Data_Input!$8:$8=$B335), 0)), 0) + 1, MATCH(1, (Data_Input!$7:$7=$F$3)*(Data_Input!$8:$8=$B335), 0)),"")</f>
        <v/>
      </c>
      <c r="H335" s="20" t="str" cm="1">
        <f t="array" ref="H335">IFERROR(INDEX(Data_Input!$A$1:$ZZ$502, MATCH("매입금액", INDEX(Data_Input!$A$1:$ZZ$502, 0, MATCH(1, (Data_Input!$7:$7=$F$3)*(Data_Input!$8:$8=$B335), 0)), 0) + 1, MATCH(1, (Data_Input!$7:$7=$F$3)*(Data_Input!$8:$8=$B335), 0)),"")</f>
        <v/>
      </c>
      <c r="I335" s="20" t="str" cm="1">
        <f t="array" ref="I335">IFERROR(INDEX(Data_Input!$A$1:$ZZ$502, MATCH("평가금액", INDEX(Data_Input!$A$1:$ZZ$502, 0, MATCH(1, (Data_Input!$7:$7=$F$3)*(Data_Input!$8:$8=$B335), 0)), 0) + 1, MATCH(1, (Data_Input!$7:$7=$F$3)*(Data_Input!$8:$8=$B335), 0)),"")</f>
        <v/>
      </c>
      <c r="J335" s="20" t="str" cm="1">
        <f t="array" ref="J335">IFERROR(INDEX(Data_Input!$A$1:$ZZ$502, MATCH("평가손익", INDEX(Data_Input!$A$1:$ZZ$502, 0, MATCH(1, (Data_Input!$7:$7=$F$3)*(Data_Input!$8:$8=$B335), 0)), 0) + 1, MATCH(1, (Data_Input!$7:$7=$F$3)*(Data_Input!$8:$8=$B335), 0)),"")</f>
        <v/>
      </c>
      <c r="K335" s="14" t="str" cm="1">
        <f t="array" ref="K335">IFERROR(INDEX(Data_Input!$A$1:$ZZ$502, MATCH("총수익률", INDEX(Data_Input!$A$1:$ZZ$502, 0, MATCH(1, (Data_Input!$7:$7=$F$3)*(Data_Input!$8:$8=$B335), 0)), 0) + 1, MATCH(1, (Data_Input!$7:$7=$F$3)*(Data_Input!$8:$8=$B335), 0)),"")</f>
        <v/>
      </c>
      <c r="L335" t="str" cm="1">
        <f t="array" ref="L335">IFERROR(_xlfn.LET(
    _xlpm.targetDate, B335,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36" spans="1:12" x14ac:dyDescent="0.3">
      <c r="A336" s="16" t="str">
        <f t="shared" si="10"/>
        <v/>
      </c>
      <c r="B336" s="19"/>
      <c r="C336" s="17" t="str">
        <f t="shared" si="11"/>
        <v/>
      </c>
      <c r="D336" s="29" t="str" cm="1">
        <f t="array" ref="D336">IFERROR(INDEX(Data_Input!$10:$10,MATCH(1,(Data_Input!$7:$7=$F$3)*(Data_Input!$8:$8=$B336),0)),"")</f>
        <v/>
      </c>
      <c r="E336" s="29" t="str" cm="1">
        <f t="array" ref="E336">IFERROR(INDEX(Data_Input!$1:$100, 9, MATCH(1, (Data_Input!$7:$7=$F$3) * (Data_Input!$8:$8=$B336), 0)),"")</f>
        <v/>
      </c>
      <c r="F336" s="20" t="str" cm="1">
        <f t="array" ref="F336">IFERROR(INDEX(Data_Input!$A$1:$ZZ$502, MATCH("예수금", INDEX(Data_Input!$A$1:$ZZ$502, 0, MATCH(1, (Data_Input!$7:$7=$F$3)*(Data_Input!$8:$8=$B336), 0)), 0) + 1, MATCH(1, (Data_Input!$7:$7=$F$3)*(Data_Input!$8:$8=$B336), 0)),"")</f>
        <v/>
      </c>
      <c r="G336" s="20" t="str" cm="1">
        <f t="array" ref="G336">IFERROR(INDEX(Data_Input!$A$1:$ZZ$502, MATCH("총자산", INDEX(Data_Input!$A$1:$ZZ$502, 0, MATCH(1, (Data_Input!$7:$7=$F$3)*(Data_Input!$8:$8=$B336), 0)), 0) + 1, MATCH(1, (Data_Input!$7:$7=$F$3)*(Data_Input!$8:$8=$B336), 0)),"")</f>
        <v/>
      </c>
      <c r="H336" s="20" t="str" cm="1">
        <f t="array" ref="H336">IFERROR(INDEX(Data_Input!$A$1:$ZZ$502, MATCH("매입금액", INDEX(Data_Input!$A$1:$ZZ$502, 0, MATCH(1, (Data_Input!$7:$7=$F$3)*(Data_Input!$8:$8=$B336), 0)), 0) + 1, MATCH(1, (Data_Input!$7:$7=$F$3)*(Data_Input!$8:$8=$B336), 0)),"")</f>
        <v/>
      </c>
      <c r="I336" s="20" t="str" cm="1">
        <f t="array" ref="I336">IFERROR(INDEX(Data_Input!$A$1:$ZZ$502, MATCH("평가금액", INDEX(Data_Input!$A$1:$ZZ$502, 0, MATCH(1, (Data_Input!$7:$7=$F$3)*(Data_Input!$8:$8=$B336), 0)), 0) + 1, MATCH(1, (Data_Input!$7:$7=$F$3)*(Data_Input!$8:$8=$B336), 0)),"")</f>
        <v/>
      </c>
      <c r="J336" s="20" t="str" cm="1">
        <f t="array" ref="J336">IFERROR(INDEX(Data_Input!$A$1:$ZZ$502, MATCH("평가손익", INDEX(Data_Input!$A$1:$ZZ$502, 0, MATCH(1, (Data_Input!$7:$7=$F$3)*(Data_Input!$8:$8=$B336), 0)), 0) + 1, MATCH(1, (Data_Input!$7:$7=$F$3)*(Data_Input!$8:$8=$B336), 0)),"")</f>
        <v/>
      </c>
      <c r="K336" s="14" t="str" cm="1">
        <f t="array" ref="K336">IFERROR(INDEX(Data_Input!$A$1:$ZZ$502, MATCH("총수익률", INDEX(Data_Input!$A$1:$ZZ$502, 0, MATCH(1, (Data_Input!$7:$7=$F$3)*(Data_Input!$8:$8=$B336), 0)), 0) + 1, MATCH(1, (Data_Input!$7:$7=$F$3)*(Data_Input!$8:$8=$B336), 0)),"")</f>
        <v/>
      </c>
      <c r="L336" t="str" cm="1">
        <f t="array" ref="L336">IFERROR(_xlfn.LET(
    _xlpm.targetDate, B336,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37" spans="1:12" x14ac:dyDescent="0.3">
      <c r="A337" s="16" t="str">
        <f t="shared" si="10"/>
        <v/>
      </c>
      <c r="B337" s="19"/>
      <c r="C337" s="17" t="str">
        <f t="shared" si="11"/>
        <v/>
      </c>
      <c r="D337" s="29" t="str" cm="1">
        <f t="array" ref="D337">IFERROR(INDEX(Data_Input!$10:$10,MATCH(1,(Data_Input!$7:$7=$F$3)*(Data_Input!$8:$8=$B337),0)),"")</f>
        <v/>
      </c>
      <c r="E337" s="29" t="str" cm="1">
        <f t="array" ref="E337">IFERROR(INDEX(Data_Input!$1:$100, 9, MATCH(1, (Data_Input!$7:$7=$F$3) * (Data_Input!$8:$8=$B337), 0)),"")</f>
        <v/>
      </c>
      <c r="F337" s="20" t="str" cm="1">
        <f t="array" ref="F337">IFERROR(INDEX(Data_Input!$A$1:$ZZ$502, MATCH("예수금", INDEX(Data_Input!$A$1:$ZZ$502, 0, MATCH(1, (Data_Input!$7:$7=$F$3)*(Data_Input!$8:$8=$B337), 0)), 0) + 1, MATCH(1, (Data_Input!$7:$7=$F$3)*(Data_Input!$8:$8=$B337), 0)),"")</f>
        <v/>
      </c>
      <c r="G337" s="20" t="str" cm="1">
        <f t="array" ref="G337">IFERROR(INDEX(Data_Input!$A$1:$ZZ$502, MATCH("총자산", INDEX(Data_Input!$A$1:$ZZ$502, 0, MATCH(1, (Data_Input!$7:$7=$F$3)*(Data_Input!$8:$8=$B337), 0)), 0) + 1, MATCH(1, (Data_Input!$7:$7=$F$3)*(Data_Input!$8:$8=$B337), 0)),"")</f>
        <v/>
      </c>
      <c r="H337" s="20" t="str" cm="1">
        <f t="array" ref="H337">IFERROR(INDEX(Data_Input!$A$1:$ZZ$502, MATCH("매입금액", INDEX(Data_Input!$A$1:$ZZ$502, 0, MATCH(1, (Data_Input!$7:$7=$F$3)*(Data_Input!$8:$8=$B337), 0)), 0) + 1, MATCH(1, (Data_Input!$7:$7=$F$3)*(Data_Input!$8:$8=$B337), 0)),"")</f>
        <v/>
      </c>
      <c r="I337" s="20" t="str" cm="1">
        <f t="array" ref="I337">IFERROR(INDEX(Data_Input!$A$1:$ZZ$502, MATCH("평가금액", INDEX(Data_Input!$A$1:$ZZ$502, 0, MATCH(1, (Data_Input!$7:$7=$F$3)*(Data_Input!$8:$8=$B337), 0)), 0) + 1, MATCH(1, (Data_Input!$7:$7=$F$3)*(Data_Input!$8:$8=$B337), 0)),"")</f>
        <v/>
      </c>
      <c r="J337" s="20" t="str" cm="1">
        <f t="array" ref="J337">IFERROR(INDEX(Data_Input!$A$1:$ZZ$502, MATCH("평가손익", INDEX(Data_Input!$A$1:$ZZ$502, 0, MATCH(1, (Data_Input!$7:$7=$F$3)*(Data_Input!$8:$8=$B337), 0)), 0) + 1, MATCH(1, (Data_Input!$7:$7=$F$3)*(Data_Input!$8:$8=$B337), 0)),"")</f>
        <v/>
      </c>
      <c r="K337" s="14" t="str" cm="1">
        <f t="array" ref="K337">IFERROR(INDEX(Data_Input!$A$1:$ZZ$502, MATCH("총수익률", INDEX(Data_Input!$A$1:$ZZ$502, 0, MATCH(1, (Data_Input!$7:$7=$F$3)*(Data_Input!$8:$8=$B337), 0)), 0) + 1, MATCH(1, (Data_Input!$7:$7=$F$3)*(Data_Input!$8:$8=$B337), 0)),"")</f>
        <v/>
      </c>
      <c r="L337" t="str" cm="1">
        <f t="array" ref="L337">IFERROR(_xlfn.LET(
    _xlpm.targetDate, B337,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38" spans="1:12" x14ac:dyDescent="0.3">
      <c r="A338" s="16" t="str">
        <f t="shared" si="10"/>
        <v/>
      </c>
      <c r="B338" s="19"/>
      <c r="C338" s="17" t="str">
        <f t="shared" si="11"/>
        <v/>
      </c>
      <c r="D338" s="29" t="str" cm="1">
        <f t="array" ref="D338">IFERROR(INDEX(Data_Input!$10:$10,MATCH(1,(Data_Input!$7:$7=$F$3)*(Data_Input!$8:$8=$B338),0)),"")</f>
        <v/>
      </c>
      <c r="E338" s="29" t="str" cm="1">
        <f t="array" ref="E338">IFERROR(INDEX(Data_Input!$1:$100, 9, MATCH(1, (Data_Input!$7:$7=$F$3) * (Data_Input!$8:$8=$B338), 0)),"")</f>
        <v/>
      </c>
      <c r="F338" s="20" t="str" cm="1">
        <f t="array" ref="F338">IFERROR(INDEX(Data_Input!$A$1:$ZZ$502, MATCH("예수금", INDEX(Data_Input!$A$1:$ZZ$502, 0, MATCH(1, (Data_Input!$7:$7=$F$3)*(Data_Input!$8:$8=$B338), 0)), 0) + 1, MATCH(1, (Data_Input!$7:$7=$F$3)*(Data_Input!$8:$8=$B338), 0)),"")</f>
        <v/>
      </c>
      <c r="G338" s="20" t="str" cm="1">
        <f t="array" ref="G338">IFERROR(INDEX(Data_Input!$A$1:$ZZ$502, MATCH("총자산", INDEX(Data_Input!$A$1:$ZZ$502, 0, MATCH(1, (Data_Input!$7:$7=$F$3)*(Data_Input!$8:$8=$B338), 0)), 0) + 1, MATCH(1, (Data_Input!$7:$7=$F$3)*(Data_Input!$8:$8=$B338), 0)),"")</f>
        <v/>
      </c>
      <c r="H338" s="20" t="str" cm="1">
        <f t="array" ref="H338">IFERROR(INDEX(Data_Input!$A$1:$ZZ$502, MATCH("매입금액", INDEX(Data_Input!$A$1:$ZZ$502, 0, MATCH(1, (Data_Input!$7:$7=$F$3)*(Data_Input!$8:$8=$B338), 0)), 0) + 1, MATCH(1, (Data_Input!$7:$7=$F$3)*(Data_Input!$8:$8=$B338), 0)),"")</f>
        <v/>
      </c>
      <c r="I338" s="20" t="str" cm="1">
        <f t="array" ref="I338">IFERROR(INDEX(Data_Input!$A$1:$ZZ$502, MATCH("평가금액", INDEX(Data_Input!$A$1:$ZZ$502, 0, MATCH(1, (Data_Input!$7:$7=$F$3)*(Data_Input!$8:$8=$B338), 0)), 0) + 1, MATCH(1, (Data_Input!$7:$7=$F$3)*(Data_Input!$8:$8=$B338), 0)),"")</f>
        <v/>
      </c>
      <c r="J338" s="20" t="str" cm="1">
        <f t="array" ref="J338">IFERROR(INDEX(Data_Input!$A$1:$ZZ$502, MATCH("평가손익", INDEX(Data_Input!$A$1:$ZZ$502, 0, MATCH(1, (Data_Input!$7:$7=$F$3)*(Data_Input!$8:$8=$B338), 0)), 0) + 1, MATCH(1, (Data_Input!$7:$7=$F$3)*(Data_Input!$8:$8=$B338), 0)),"")</f>
        <v/>
      </c>
      <c r="K338" s="14" t="str" cm="1">
        <f t="array" ref="K338">IFERROR(INDEX(Data_Input!$A$1:$ZZ$502, MATCH("총수익률", INDEX(Data_Input!$A$1:$ZZ$502, 0, MATCH(1, (Data_Input!$7:$7=$F$3)*(Data_Input!$8:$8=$B338), 0)), 0) + 1, MATCH(1, (Data_Input!$7:$7=$F$3)*(Data_Input!$8:$8=$B338), 0)),"")</f>
        <v/>
      </c>
      <c r="L338" t="str" cm="1">
        <f t="array" ref="L338">IFERROR(_xlfn.LET(
    _xlpm.targetDate, B338,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39" spans="1:12" x14ac:dyDescent="0.3">
      <c r="A339" s="16" t="str">
        <f t="shared" si="10"/>
        <v/>
      </c>
      <c r="B339" s="19"/>
      <c r="C339" s="17" t="str">
        <f t="shared" si="11"/>
        <v/>
      </c>
      <c r="D339" s="29" t="str" cm="1">
        <f t="array" ref="D339">IFERROR(INDEX(Data_Input!$10:$10,MATCH(1,(Data_Input!$7:$7=$F$3)*(Data_Input!$8:$8=$B339),0)),"")</f>
        <v/>
      </c>
      <c r="E339" s="29" t="str" cm="1">
        <f t="array" ref="E339">IFERROR(INDEX(Data_Input!$1:$100, 9, MATCH(1, (Data_Input!$7:$7=$F$3) * (Data_Input!$8:$8=$B339), 0)),"")</f>
        <v/>
      </c>
      <c r="F339" s="20" t="str" cm="1">
        <f t="array" ref="F339">IFERROR(INDEX(Data_Input!$A$1:$ZZ$502, MATCH("예수금", INDEX(Data_Input!$A$1:$ZZ$502, 0, MATCH(1, (Data_Input!$7:$7=$F$3)*(Data_Input!$8:$8=$B339), 0)), 0) + 1, MATCH(1, (Data_Input!$7:$7=$F$3)*(Data_Input!$8:$8=$B339), 0)),"")</f>
        <v/>
      </c>
      <c r="G339" s="20" t="str" cm="1">
        <f t="array" ref="G339">IFERROR(INDEX(Data_Input!$A$1:$ZZ$502, MATCH("총자산", INDEX(Data_Input!$A$1:$ZZ$502, 0, MATCH(1, (Data_Input!$7:$7=$F$3)*(Data_Input!$8:$8=$B339), 0)), 0) + 1, MATCH(1, (Data_Input!$7:$7=$F$3)*(Data_Input!$8:$8=$B339), 0)),"")</f>
        <v/>
      </c>
      <c r="H339" s="20" t="str" cm="1">
        <f t="array" ref="H339">IFERROR(INDEX(Data_Input!$A$1:$ZZ$502, MATCH("매입금액", INDEX(Data_Input!$A$1:$ZZ$502, 0, MATCH(1, (Data_Input!$7:$7=$F$3)*(Data_Input!$8:$8=$B339), 0)), 0) + 1, MATCH(1, (Data_Input!$7:$7=$F$3)*(Data_Input!$8:$8=$B339), 0)),"")</f>
        <v/>
      </c>
      <c r="I339" s="20" t="str" cm="1">
        <f t="array" ref="I339">IFERROR(INDEX(Data_Input!$A$1:$ZZ$502, MATCH("평가금액", INDEX(Data_Input!$A$1:$ZZ$502, 0, MATCH(1, (Data_Input!$7:$7=$F$3)*(Data_Input!$8:$8=$B339), 0)), 0) + 1, MATCH(1, (Data_Input!$7:$7=$F$3)*(Data_Input!$8:$8=$B339), 0)),"")</f>
        <v/>
      </c>
      <c r="J339" s="20" t="str" cm="1">
        <f t="array" ref="J339">IFERROR(INDEX(Data_Input!$A$1:$ZZ$502, MATCH("평가손익", INDEX(Data_Input!$A$1:$ZZ$502, 0, MATCH(1, (Data_Input!$7:$7=$F$3)*(Data_Input!$8:$8=$B339), 0)), 0) + 1, MATCH(1, (Data_Input!$7:$7=$F$3)*(Data_Input!$8:$8=$B339), 0)),"")</f>
        <v/>
      </c>
      <c r="K339" s="14" t="str" cm="1">
        <f t="array" ref="K339">IFERROR(INDEX(Data_Input!$A$1:$ZZ$502, MATCH("총수익률", INDEX(Data_Input!$A$1:$ZZ$502, 0, MATCH(1, (Data_Input!$7:$7=$F$3)*(Data_Input!$8:$8=$B339), 0)), 0) + 1, MATCH(1, (Data_Input!$7:$7=$F$3)*(Data_Input!$8:$8=$B339), 0)),"")</f>
        <v/>
      </c>
      <c r="L339" t="str" cm="1">
        <f t="array" ref="L339">IFERROR(_xlfn.LET(
    _xlpm.targetDate, B339,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40" spans="1:12" x14ac:dyDescent="0.3">
      <c r="A340" s="16" t="str">
        <f t="shared" si="10"/>
        <v/>
      </c>
      <c r="B340" s="19"/>
      <c r="C340" s="17" t="str">
        <f t="shared" si="11"/>
        <v/>
      </c>
      <c r="D340" s="29" t="str" cm="1">
        <f t="array" ref="D340">IFERROR(INDEX(Data_Input!$10:$10,MATCH(1,(Data_Input!$7:$7=$F$3)*(Data_Input!$8:$8=$B340),0)),"")</f>
        <v/>
      </c>
      <c r="E340" s="29" t="str" cm="1">
        <f t="array" ref="E340">IFERROR(INDEX(Data_Input!$1:$100, 9, MATCH(1, (Data_Input!$7:$7=$F$3) * (Data_Input!$8:$8=$B340), 0)),"")</f>
        <v/>
      </c>
      <c r="F340" s="20" t="str" cm="1">
        <f t="array" ref="F340">IFERROR(INDEX(Data_Input!$A$1:$ZZ$502, MATCH("예수금", INDEX(Data_Input!$A$1:$ZZ$502, 0, MATCH(1, (Data_Input!$7:$7=$F$3)*(Data_Input!$8:$8=$B340), 0)), 0) + 1, MATCH(1, (Data_Input!$7:$7=$F$3)*(Data_Input!$8:$8=$B340), 0)),"")</f>
        <v/>
      </c>
      <c r="G340" s="20" t="str" cm="1">
        <f t="array" ref="G340">IFERROR(INDEX(Data_Input!$A$1:$ZZ$502, MATCH("총자산", INDEX(Data_Input!$A$1:$ZZ$502, 0, MATCH(1, (Data_Input!$7:$7=$F$3)*(Data_Input!$8:$8=$B340), 0)), 0) + 1, MATCH(1, (Data_Input!$7:$7=$F$3)*(Data_Input!$8:$8=$B340), 0)),"")</f>
        <v/>
      </c>
      <c r="H340" s="20" t="str" cm="1">
        <f t="array" ref="H340">IFERROR(INDEX(Data_Input!$A$1:$ZZ$502, MATCH("매입금액", INDEX(Data_Input!$A$1:$ZZ$502, 0, MATCH(1, (Data_Input!$7:$7=$F$3)*(Data_Input!$8:$8=$B340), 0)), 0) + 1, MATCH(1, (Data_Input!$7:$7=$F$3)*(Data_Input!$8:$8=$B340), 0)),"")</f>
        <v/>
      </c>
      <c r="I340" s="20" t="str" cm="1">
        <f t="array" ref="I340">IFERROR(INDEX(Data_Input!$A$1:$ZZ$502, MATCH("평가금액", INDEX(Data_Input!$A$1:$ZZ$502, 0, MATCH(1, (Data_Input!$7:$7=$F$3)*(Data_Input!$8:$8=$B340), 0)), 0) + 1, MATCH(1, (Data_Input!$7:$7=$F$3)*(Data_Input!$8:$8=$B340), 0)),"")</f>
        <v/>
      </c>
      <c r="J340" s="20" t="str" cm="1">
        <f t="array" ref="J340">IFERROR(INDEX(Data_Input!$A$1:$ZZ$502, MATCH("평가손익", INDEX(Data_Input!$A$1:$ZZ$502, 0, MATCH(1, (Data_Input!$7:$7=$F$3)*(Data_Input!$8:$8=$B340), 0)), 0) + 1, MATCH(1, (Data_Input!$7:$7=$F$3)*(Data_Input!$8:$8=$B340), 0)),"")</f>
        <v/>
      </c>
      <c r="K340" s="14" t="str" cm="1">
        <f t="array" ref="K340">IFERROR(INDEX(Data_Input!$A$1:$ZZ$502, MATCH("총수익률", INDEX(Data_Input!$A$1:$ZZ$502, 0, MATCH(1, (Data_Input!$7:$7=$F$3)*(Data_Input!$8:$8=$B340), 0)), 0) + 1, MATCH(1, (Data_Input!$7:$7=$F$3)*(Data_Input!$8:$8=$B340), 0)),"")</f>
        <v/>
      </c>
      <c r="L340" t="str" cm="1">
        <f t="array" ref="L340">IFERROR(_xlfn.LET(
    _xlpm.targetDate, B340,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41" spans="1:12" x14ac:dyDescent="0.3">
      <c r="A341" s="16" t="str">
        <f t="shared" si="10"/>
        <v/>
      </c>
      <c r="B341" s="19"/>
      <c r="C341" s="17" t="str">
        <f t="shared" si="11"/>
        <v/>
      </c>
      <c r="D341" s="29" t="str" cm="1">
        <f t="array" ref="D341">IFERROR(INDEX(Data_Input!$10:$10,MATCH(1,(Data_Input!$7:$7=$F$3)*(Data_Input!$8:$8=$B341),0)),"")</f>
        <v/>
      </c>
      <c r="E341" s="29" t="str" cm="1">
        <f t="array" ref="E341">IFERROR(INDEX(Data_Input!$1:$100, 9, MATCH(1, (Data_Input!$7:$7=$F$3) * (Data_Input!$8:$8=$B341), 0)),"")</f>
        <v/>
      </c>
      <c r="F341" s="20" t="str" cm="1">
        <f t="array" ref="F341">IFERROR(INDEX(Data_Input!$A$1:$ZZ$502, MATCH("예수금", INDEX(Data_Input!$A$1:$ZZ$502, 0, MATCH(1, (Data_Input!$7:$7=$F$3)*(Data_Input!$8:$8=$B341), 0)), 0) + 1, MATCH(1, (Data_Input!$7:$7=$F$3)*(Data_Input!$8:$8=$B341), 0)),"")</f>
        <v/>
      </c>
      <c r="G341" s="20" t="str" cm="1">
        <f t="array" ref="G341">IFERROR(INDEX(Data_Input!$A$1:$ZZ$502, MATCH("총자산", INDEX(Data_Input!$A$1:$ZZ$502, 0, MATCH(1, (Data_Input!$7:$7=$F$3)*(Data_Input!$8:$8=$B341), 0)), 0) + 1, MATCH(1, (Data_Input!$7:$7=$F$3)*(Data_Input!$8:$8=$B341), 0)),"")</f>
        <v/>
      </c>
      <c r="H341" s="20" t="str" cm="1">
        <f t="array" ref="H341">IFERROR(INDEX(Data_Input!$A$1:$ZZ$502, MATCH("매입금액", INDEX(Data_Input!$A$1:$ZZ$502, 0, MATCH(1, (Data_Input!$7:$7=$F$3)*(Data_Input!$8:$8=$B341), 0)), 0) + 1, MATCH(1, (Data_Input!$7:$7=$F$3)*(Data_Input!$8:$8=$B341), 0)),"")</f>
        <v/>
      </c>
      <c r="I341" s="20" t="str" cm="1">
        <f t="array" ref="I341">IFERROR(INDEX(Data_Input!$A$1:$ZZ$502, MATCH("평가금액", INDEX(Data_Input!$A$1:$ZZ$502, 0, MATCH(1, (Data_Input!$7:$7=$F$3)*(Data_Input!$8:$8=$B341), 0)), 0) + 1, MATCH(1, (Data_Input!$7:$7=$F$3)*(Data_Input!$8:$8=$B341), 0)),"")</f>
        <v/>
      </c>
      <c r="J341" s="20" t="str" cm="1">
        <f t="array" ref="J341">IFERROR(INDEX(Data_Input!$A$1:$ZZ$502, MATCH("평가손익", INDEX(Data_Input!$A$1:$ZZ$502, 0, MATCH(1, (Data_Input!$7:$7=$F$3)*(Data_Input!$8:$8=$B341), 0)), 0) + 1, MATCH(1, (Data_Input!$7:$7=$F$3)*(Data_Input!$8:$8=$B341), 0)),"")</f>
        <v/>
      </c>
      <c r="K341" s="14" t="str" cm="1">
        <f t="array" ref="K341">IFERROR(INDEX(Data_Input!$A$1:$ZZ$502, MATCH("총수익률", INDEX(Data_Input!$A$1:$ZZ$502, 0, MATCH(1, (Data_Input!$7:$7=$F$3)*(Data_Input!$8:$8=$B341), 0)), 0) + 1, MATCH(1, (Data_Input!$7:$7=$F$3)*(Data_Input!$8:$8=$B341), 0)),"")</f>
        <v/>
      </c>
      <c r="L341" t="str" cm="1">
        <f t="array" ref="L341">IFERROR(_xlfn.LET(
    _xlpm.targetDate, B341,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42" spans="1:12" x14ac:dyDescent="0.3">
      <c r="A342" s="16" t="str">
        <f t="shared" si="10"/>
        <v/>
      </c>
      <c r="B342" s="19"/>
      <c r="C342" s="17" t="str">
        <f t="shared" si="11"/>
        <v/>
      </c>
      <c r="D342" s="29" t="str" cm="1">
        <f t="array" ref="D342">IFERROR(INDEX(Data_Input!$10:$10,MATCH(1,(Data_Input!$7:$7=$F$3)*(Data_Input!$8:$8=$B342),0)),"")</f>
        <v/>
      </c>
      <c r="E342" s="29" t="str" cm="1">
        <f t="array" ref="E342">IFERROR(INDEX(Data_Input!$1:$100, 9, MATCH(1, (Data_Input!$7:$7=$F$3) * (Data_Input!$8:$8=$B342), 0)),"")</f>
        <v/>
      </c>
      <c r="F342" s="20" t="str" cm="1">
        <f t="array" ref="F342">IFERROR(INDEX(Data_Input!$A$1:$ZZ$502, MATCH("예수금", INDEX(Data_Input!$A$1:$ZZ$502, 0, MATCH(1, (Data_Input!$7:$7=$F$3)*(Data_Input!$8:$8=$B342), 0)), 0) + 1, MATCH(1, (Data_Input!$7:$7=$F$3)*(Data_Input!$8:$8=$B342), 0)),"")</f>
        <v/>
      </c>
      <c r="G342" s="20" t="str" cm="1">
        <f t="array" ref="G342">IFERROR(INDEX(Data_Input!$A$1:$ZZ$502, MATCH("총자산", INDEX(Data_Input!$A$1:$ZZ$502, 0, MATCH(1, (Data_Input!$7:$7=$F$3)*(Data_Input!$8:$8=$B342), 0)), 0) + 1, MATCH(1, (Data_Input!$7:$7=$F$3)*(Data_Input!$8:$8=$B342), 0)),"")</f>
        <v/>
      </c>
      <c r="H342" s="20" t="str" cm="1">
        <f t="array" ref="H342">IFERROR(INDEX(Data_Input!$A$1:$ZZ$502, MATCH("매입금액", INDEX(Data_Input!$A$1:$ZZ$502, 0, MATCH(1, (Data_Input!$7:$7=$F$3)*(Data_Input!$8:$8=$B342), 0)), 0) + 1, MATCH(1, (Data_Input!$7:$7=$F$3)*(Data_Input!$8:$8=$B342), 0)),"")</f>
        <v/>
      </c>
      <c r="I342" s="20" t="str" cm="1">
        <f t="array" ref="I342">IFERROR(INDEX(Data_Input!$A$1:$ZZ$502, MATCH("평가금액", INDEX(Data_Input!$A$1:$ZZ$502, 0, MATCH(1, (Data_Input!$7:$7=$F$3)*(Data_Input!$8:$8=$B342), 0)), 0) + 1, MATCH(1, (Data_Input!$7:$7=$F$3)*(Data_Input!$8:$8=$B342), 0)),"")</f>
        <v/>
      </c>
      <c r="J342" s="20" t="str" cm="1">
        <f t="array" ref="J342">IFERROR(INDEX(Data_Input!$A$1:$ZZ$502, MATCH("평가손익", INDEX(Data_Input!$A$1:$ZZ$502, 0, MATCH(1, (Data_Input!$7:$7=$F$3)*(Data_Input!$8:$8=$B342), 0)), 0) + 1, MATCH(1, (Data_Input!$7:$7=$F$3)*(Data_Input!$8:$8=$B342), 0)),"")</f>
        <v/>
      </c>
      <c r="K342" s="14" t="str" cm="1">
        <f t="array" ref="K342">IFERROR(INDEX(Data_Input!$A$1:$ZZ$502, MATCH("총수익률", INDEX(Data_Input!$A$1:$ZZ$502, 0, MATCH(1, (Data_Input!$7:$7=$F$3)*(Data_Input!$8:$8=$B342), 0)), 0) + 1, MATCH(1, (Data_Input!$7:$7=$F$3)*(Data_Input!$8:$8=$B342), 0)),"")</f>
        <v/>
      </c>
      <c r="L342" t="str" cm="1">
        <f t="array" ref="L342">IFERROR(_xlfn.LET(
    _xlpm.targetDate, B342,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43" spans="1:12" x14ac:dyDescent="0.3">
      <c r="A343" s="16" t="str">
        <f t="shared" si="10"/>
        <v/>
      </c>
      <c r="B343" s="19"/>
      <c r="C343" s="17" t="str">
        <f t="shared" si="11"/>
        <v/>
      </c>
      <c r="D343" s="29" t="str" cm="1">
        <f t="array" ref="D343">IFERROR(INDEX(Data_Input!$10:$10,MATCH(1,(Data_Input!$7:$7=$F$3)*(Data_Input!$8:$8=$B343),0)),"")</f>
        <v/>
      </c>
      <c r="E343" s="29" t="str" cm="1">
        <f t="array" ref="E343">IFERROR(INDEX(Data_Input!$1:$100, 9, MATCH(1, (Data_Input!$7:$7=$F$3) * (Data_Input!$8:$8=$B343), 0)),"")</f>
        <v/>
      </c>
      <c r="F343" s="20" t="str" cm="1">
        <f t="array" ref="F343">IFERROR(INDEX(Data_Input!$A$1:$ZZ$502, MATCH("예수금", INDEX(Data_Input!$A$1:$ZZ$502, 0, MATCH(1, (Data_Input!$7:$7=$F$3)*(Data_Input!$8:$8=$B343), 0)), 0) + 1, MATCH(1, (Data_Input!$7:$7=$F$3)*(Data_Input!$8:$8=$B343), 0)),"")</f>
        <v/>
      </c>
      <c r="G343" s="20" t="str" cm="1">
        <f t="array" ref="G343">IFERROR(INDEX(Data_Input!$A$1:$ZZ$502, MATCH("총자산", INDEX(Data_Input!$A$1:$ZZ$502, 0, MATCH(1, (Data_Input!$7:$7=$F$3)*(Data_Input!$8:$8=$B343), 0)), 0) + 1, MATCH(1, (Data_Input!$7:$7=$F$3)*(Data_Input!$8:$8=$B343), 0)),"")</f>
        <v/>
      </c>
      <c r="H343" s="20" t="str" cm="1">
        <f t="array" ref="H343">IFERROR(INDEX(Data_Input!$A$1:$ZZ$502, MATCH("매입금액", INDEX(Data_Input!$A$1:$ZZ$502, 0, MATCH(1, (Data_Input!$7:$7=$F$3)*(Data_Input!$8:$8=$B343), 0)), 0) + 1, MATCH(1, (Data_Input!$7:$7=$F$3)*(Data_Input!$8:$8=$B343), 0)),"")</f>
        <v/>
      </c>
      <c r="I343" s="20" t="str" cm="1">
        <f t="array" ref="I343">IFERROR(INDEX(Data_Input!$A$1:$ZZ$502, MATCH("평가금액", INDEX(Data_Input!$A$1:$ZZ$502, 0, MATCH(1, (Data_Input!$7:$7=$F$3)*(Data_Input!$8:$8=$B343), 0)), 0) + 1, MATCH(1, (Data_Input!$7:$7=$F$3)*(Data_Input!$8:$8=$B343), 0)),"")</f>
        <v/>
      </c>
      <c r="J343" s="20" t="str" cm="1">
        <f t="array" ref="J343">IFERROR(INDEX(Data_Input!$A$1:$ZZ$502, MATCH("평가손익", INDEX(Data_Input!$A$1:$ZZ$502, 0, MATCH(1, (Data_Input!$7:$7=$F$3)*(Data_Input!$8:$8=$B343), 0)), 0) + 1, MATCH(1, (Data_Input!$7:$7=$F$3)*(Data_Input!$8:$8=$B343), 0)),"")</f>
        <v/>
      </c>
      <c r="K343" s="14" t="str" cm="1">
        <f t="array" ref="K343">IFERROR(INDEX(Data_Input!$A$1:$ZZ$502, MATCH("총수익률", INDEX(Data_Input!$A$1:$ZZ$502, 0, MATCH(1, (Data_Input!$7:$7=$F$3)*(Data_Input!$8:$8=$B343), 0)), 0) + 1, MATCH(1, (Data_Input!$7:$7=$F$3)*(Data_Input!$8:$8=$B343), 0)),"")</f>
        <v/>
      </c>
      <c r="L343" t="str" cm="1">
        <f t="array" ref="L343">IFERROR(_xlfn.LET(
    _xlpm.targetDate, B343,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44" spans="1:12" x14ac:dyDescent="0.3">
      <c r="A344" s="16" t="str">
        <f t="shared" si="10"/>
        <v/>
      </c>
      <c r="B344" s="19"/>
      <c r="C344" s="17" t="str">
        <f t="shared" si="11"/>
        <v/>
      </c>
      <c r="D344" s="29" t="str" cm="1">
        <f t="array" ref="D344">IFERROR(INDEX(Data_Input!$10:$10,MATCH(1,(Data_Input!$7:$7=$F$3)*(Data_Input!$8:$8=$B344),0)),"")</f>
        <v/>
      </c>
      <c r="E344" s="29" t="str" cm="1">
        <f t="array" ref="E344">IFERROR(INDEX(Data_Input!$1:$100, 9, MATCH(1, (Data_Input!$7:$7=$F$3) * (Data_Input!$8:$8=$B344), 0)),"")</f>
        <v/>
      </c>
      <c r="F344" s="20" t="str" cm="1">
        <f t="array" ref="F344">IFERROR(INDEX(Data_Input!$A$1:$ZZ$502, MATCH("예수금", INDEX(Data_Input!$A$1:$ZZ$502, 0, MATCH(1, (Data_Input!$7:$7=$F$3)*(Data_Input!$8:$8=$B344), 0)), 0) + 1, MATCH(1, (Data_Input!$7:$7=$F$3)*(Data_Input!$8:$8=$B344), 0)),"")</f>
        <v/>
      </c>
      <c r="G344" s="20" t="str" cm="1">
        <f t="array" ref="G344">IFERROR(INDEX(Data_Input!$A$1:$ZZ$502, MATCH("총자산", INDEX(Data_Input!$A$1:$ZZ$502, 0, MATCH(1, (Data_Input!$7:$7=$F$3)*(Data_Input!$8:$8=$B344), 0)), 0) + 1, MATCH(1, (Data_Input!$7:$7=$F$3)*(Data_Input!$8:$8=$B344), 0)),"")</f>
        <v/>
      </c>
      <c r="H344" s="20" t="str" cm="1">
        <f t="array" ref="H344">IFERROR(INDEX(Data_Input!$A$1:$ZZ$502, MATCH("매입금액", INDEX(Data_Input!$A$1:$ZZ$502, 0, MATCH(1, (Data_Input!$7:$7=$F$3)*(Data_Input!$8:$8=$B344), 0)), 0) + 1, MATCH(1, (Data_Input!$7:$7=$F$3)*(Data_Input!$8:$8=$B344), 0)),"")</f>
        <v/>
      </c>
      <c r="I344" s="20" t="str" cm="1">
        <f t="array" ref="I344">IFERROR(INDEX(Data_Input!$A$1:$ZZ$502, MATCH("평가금액", INDEX(Data_Input!$A$1:$ZZ$502, 0, MATCH(1, (Data_Input!$7:$7=$F$3)*(Data_Input!$8:$8=$B344), 0)), 0) + 1, MATCH(1, (Data_Input!$7:$7=$F$3)*(Data_Input!$8:$8=$B344), 0)),"")</f>
        <v/>
      </c>
      <c r="J344" s="20" t="str" cm="1">
        <f t="array" ref="J344">IFERROR(INDEX(Data_Input!$A$1:$ZZ$502, MATCH("평가손익", INDEX(Data_Input!$A$1:$ZZ$502, 0, MATCH(1, (Data_Input!$7:$7=$F$3)*(Data_Input!$8:$8=$B344), 0)), 0) + 1, MATCH(1, (Data_Input!$7:$7=$F$3)*(Data_Input!$8:$8=$B344), 0)),"")</f>
        <v/>
      </c>
      <c r="K344" s="14" t="str" cm="1">
        <f t="array" ref="K344">IFERROR(INDEX(Data_Input!$A$1:$ZZ$502, MATCH("총수익률", INDEX(Data_Input!$A$1:$ZZ$502, 0, MATCH(1, (Data_Input!$7:$7=$F$3)*(Data_Input!$8:$8=$B344), 0)), 0) + 1, MATCH(1, (Data_Input!$7:$7=$F$3)*(Data_Input!$8:$8=$B344), 0)),"")</f>
        <v/>
      </c>
      <c r="L344" t="str" cm="1">
        <f t="array" ref="L344">IFERROR(_xlfn.LET(
    _xlpm.targetDate, B344,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45" spans="1:12" x14ac:dyDescent="0.3">
      <c r="A345" s="16" t="str">
        <f t="shared" si="10"/>
        <v/>
      </c>
      <c r="B345" s="19"/>
      <c r="C345" s="17" t="str">
        <f t="shared" si="11"/>
        <v/>
      </c>
      <c r="D345" s="29" t="str" cm="1">
        <f t="array" ref="D345">IFERROR(INDEX(Data_Input!$10:$10,MATCH(1,(Data_Input!$7:$7=$F$3)*(Data_Input!$8:$8=$B345),0)),"")</f>
        <v/>
      </c>
      <c r="E345" s="29" t="str" cm="1">
        <f t="array" ref="E345">IFERROR(INDEX(Data_Input!$1:$100, 9, MATCH(1, (Data_Input!$7:$7=$F$3) * (Data_Input!$8:$8=$B345), 0)),"")</f>
        <v/>
      </c>
      <c r="F345" s="20" t="str" cm="1">
        <f t="array" ref="F345">IFERROR(INDEX(Data_Input!$A$1:$ZZ$502, MATCH("예수금", INDEX(Data_Input!$A$1:$ZZ$502, 0, MATCH(1, (Data_Input!$7:$7=$F$3)*(Data_Input!$8:$8=$B345), 0)), 0) + 1, MATCH(1, (Data_Input!$7:$7=$F$3)*(Data_Input!$8:$8=$B345), 0)),"")</f>
        <v/>
      </c>
      <c r="G345" s="20" t="str" cm="1">
        <f t="array" ref="G345">IFERROR(INDEX(Data_Input!$A$1:$ZZ$502, MATCH("총자산", INDEX(Data_Input!$A$1:$ZZ$502, 0, MATCH(1, (Data_Input!$7:$7=$F$3)*(Data_Input!$8:$8=$B345), 0)), 0) + 1, MATCH(1, (Data_Input!$7:$7=$F$3)*(Data_Input!$8:$8=$B345), 0)),"")</f>
        <v/>
      </c>
      <c r="H345" s="20" t="str" cm="1">
        <f t="array" ref="H345">IFERROR(INDEX(Data_Input!$A$1:$ZZ$502, MATCH("매입금액", INDEX(Data_Input!$A$1:$ZZ$502, 0, MATCH(1, (Data_Input!$7:$7=$F$3)*(Data_Input!$8:$8=$B345), 0)), 0) + 1, MATCH(1, (Data_Input!$7:$7=$F$3)*(Data_Input!$8:$8=$B345), 0)),"")</f>
        <v/>
      </c>
      <c r="I345" s="20" t="str" cm="1">
        <f t="array" ref="I345">IFERROR(INDEX(Data_Input!$A$1:$ZZ$502, MATCH("평가금액", INDEX(Data_Input!$A$1:$ZZ$502, 0, MATCH(1, (Data_Input!$7:$7=$F$3)*(Data_Input!$8:$8=$B345), 0)), 0) + 1, MATCH(1, (Data_Input!$7:$7=$F$3)*(Data_Input!$8:$8=$B345), 0)),"")</f>
        <v/>
      </c>
      <c r="J345" s="20" t="str" cm="1">
        <f t="array" ref="J345">IFERROR(INDEX(Data_Input!$A$1:$ZZ$502, MATCH("평가손익", INDEX(Data_Input!$A$1:$ZZ$502, 0, MATCH(1, (Data_Input!$7:$7=$F$3)*(Data_Input!$8:$8=$B345), 0)), 0) + 1, MATCH(1, (Data_Input!$7:$7=$F$3)*(Data_Input!$8:$8=$B345), 0)),"")</f>
        <v/>
      </c>
      <c r="K345" s="14" t="str" cm="1">
        <f t="array" ref="K345">IFERROR(INDEX(Data_Input!$A$1:$ZZ$502, MATCH("총수익률", INDEX(Data_Input!$A$1:$ZZ$502, 0, MATCH(1, (Data_Input!$7:$7=$F$3)*(Data_Input!$8:$8=$B345), 0)), 0) + 1, MATCH(1, (Data_Input!$7:$7=$F$3)*(Data_Input!$8:$8=$B345), 0)),"")</f>
        <v/>
      </c>
      <c r="L345" t="str" cm="1">
        <f t="array" ref="L345">IFERROR(_xlfn.LET(
    _xlpm.targetDate, B345,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46" spans="1:12" x14ac:dyDescent="0.3">
      <c r="A346" s="16" t="str">
        <f t="shared" si="10"/>
        <v/>
      </c>
      <c r="B346" s="19"/>
      <c r="C346" s="17" t="str">
        <f t="shared" si="11"/>
        <v/>
      </c>
      <c r="D346" s="29" t="str" cm="1">
        <f t="array" ref="D346">IFERROR(INDEX(Data_Input!$10:$10,MATCH(1,(Data_Input!$7:$7=$F$3)*(Data_Input!$8:$8=$B346),0)),"")</f>
        <v/>
      </c>
      <c r="E346" s="29" t="str" cm="1">
        <f t="array" ref="E346">IFERROR(INDEX(Data_Input!$1:$100, 9, MATCH(1, (Data_Input!$7:$7=$F$3) * (Data_Input!$8:$8=$B346), 0)),"")</f>
        <v/>
      </c>
      <c r="F346" s="20" t="str" cm="1">
        <f t="array" ref="F346">IFERROR(INDEX(Data_Input!$A$1:$ZZ$502, MATCH("예수금", INDEX(Data_Input!$A$1:$ZZ$502, 0, MATCH(1, (Data_Input!$7:$7=$F$3)*(Data_Input!$8:$8=$B346), 0)), 0) + 1, MATCH(1, (Data_Input!$7:$7=$F$3)*(Data_Input!$8:$8=$B346), 0)),"")</f>
        <v/>
      </c>
      <c r="G346" s="20" t="str" cm="1">
        <f t="array" ref="G346">IFERROR(INDEX(Data_Input!$A$1:$ZZ$502, MATCH("총자산", INDEX(Data_Input!$A$1:$ZZ$502, 0, MATCH(1, (Data_Input!$7:$7=$F$3)*(Data_Input!$8:$8=$B346), 0)), 0) + 1, MATCH(1, (Data_Input!$7:$7=$F$3)*(Data_Input!$8:$8=$B346), 0)),"")</f>
        <v/>
      </c>
      <c r="H346" s="20" t="str" cm="1">
        <f t="array" ref="H346">IFERROR(INDEX(Data_Input!$A$1:$ZZ$502, MATCH("매입금액", INDEX(Data_Input!$A$1:$ZZ$502, 0, MATCH(1, (Data_Input!$7:$7=$F$3)*(Data_Input!$8:$8=$B346), 0)), 0) + 1, MATCH(1, (Data_Input!$7:$7=$F$3)*(Data_Input!$8:$8=$B346), 0)),"")</f>
        <v/>
      </c>
      <c r="I346" s="20" t="str" cm="1">
        <f t="array" ref="I346">IFERROR(INDEX(Data_Input!$A$1:$ZZ$502, MATCH("평가금액", INDEX(Data_Input!$A$1:$ZZ$502, 0, MATCH(1, (Data_Input!$7:$7=$F$3)*(Data_Input!$8:$8=$B346), 0)), 0) + 1, MATCH(1, (Data_Input!$7:$7=$F$3)*(Data_Input!$8:$8=$B346), 0)),"")</f>
        <v/>
      </c>
      <c r="J346" s="20" t="str" cm="1">
        <f t="array" ref="J346">IFERROR(INDEX(Data_Input!$A$1:$ZZ$502, MATCH("평가손익", INDEX(Data_Input!$A$1:$ZZ$502, 0, MATCH(1, (Data_Input!$7:$7=$F$3)*(Data_Input!$8:$8=$B346), 0)), 0) + 1, MATCH(1, (Data_Input!$7:$7=$F$3)*(Data_Input!$8:$8=$B346), 0)),"")</f>
        <v/>
      </c>
      <c r="K346" s="14" t="str" cm="1">
        <f t="array" ref="K346">IFERROR(INDEX(Data_Input!$A$1:$ZZ$502, MATCH("총수익률", INDEX(Data_Input!$A$1:$ZZ$502, 0, MATCH(1, (Data_Input!$7:$7=$F$3)*(Data_Input!$8:$8=$B346), 0)), 0) + 1, MATCH(1, (Data_Input!$7:$7=$F$3)*(Data_Input!$8:$8=$B346), 0)),"")</f>
        <v/>
      </c>
      <c r="L346" t="str" cm="1">
        <f t="array" ref="L346">IFERROR(_xlfn.LET(
    _xlpm.targetDate, B346,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47" spans="1:12" x14ac:dyDescent="0.3">
      <c r="A347" s="16" t="str">
        <f t="shared" si="10"/>
        <v/>
      </c>
      <c r="B347" s="19"/>
      <c r="C347" s="17" t="str">
        <f t="shared" si="11"/>
        <v/>
      </c>
      <c r="D347" s="29" t="str" cm="1">
        <f t="array" ref="D347">IFERROR(INDEX(Data_Input!$10:$10,MATCH(1,(Data_Input!$7:$7=$F$3)*(Data_Input!$8:$8=$B347),0)),"")</f>
        <v/>
      </c>
      <c r="E347" s="29" t="str" cm="1">
        <f t="array" ref="E347">IFERROR(INDEX(Data_Input!$1:$100, 9, MATCH(1, (Data_Input!$7:$7=$F$3) * (Data_Input!$8:$8=$B347), 0)),"")</f>
        <v/>
      </c>
      <c r="F347" s="20" t="str" cm="1">
        <f t="array" ref="F347">IFERROR(INDEX(Data_Input!$A$1:$ZZ$502, MATCH("예수금", INDEX(Data_Input!$A$1:$ZZ$502, 0, MATCH(1, (Data_Input!$7:$7=$F$3)*(Data_Input!$8:$8=$B347), 0)), 0) + 1, MATCH(1, (Data_Input!$7:$7=$F$3)*(Data_Input!$8:$8=$B347), 0)),"")</f>
        <v/>
      </c>
      <c r="G347" s="20" t="str" cm="1">
        <f t="array" ref="G347">IFERROR(INDEX(Data_Input!$A$1:$ZZ$502, MATCH("총자산", INDEX(Data_Input!$A$1:$ZZ$502, 0, MATCH(1, (Data_Input!$7:$7=$F$3)*(Data_Input!$8:$8=$B347), 0)), 0) + 1, MATCH(1, (Data_Input!$7:$7=$F$3)*(Data_Input!$8:$8=$B347), 0)),"")</f>
        <v/>
      </c>
      <c r="H347" s="20" t="str" cm="1">
        <f t="array" ref="H347">IFERROR(INDEX(Data_Input!$A$1:$ZZ$502, MATCH("매입금액", INDEX(Data_Input!$A$1:$ZZ$502, 0, MATCH(1, (Data_Input!$7:$7=$F$3)*(Data_Input!$8:$8=$B347), 0)), 0) + 1, MATCH(1, (Data_Input!$7:$7=$F$3)*(Data_Input!$8:$8=$B347), 0)),"")</f>
        <v/>
      </c>
      <c r="I347" s="20" t="str" cm="1">
        <f t="array" ref="I347">IFERROR(INDEX(Data_Input!$A$1:$ZZ$502, MATCH("평가금액", INDEX(Data_Input!$A$1:$ZZ$502, 0, MATCH(1, (Data_Input!$7:$7=$F$3)*(Data_Input!$8:$8=$B347), 0)), 0) + 1, MATCH(1, (Data_Input!$7:$7=$F$3)*(Data_Input!$8:$8=$B347), 0)),"")</f>
        <v/>
      </c>
      <c r="J347" s="20" t="str" cm="1">
        <f t="array" ref="J347">IFERROR(INDEX(Data_Input!$A$1:$ZZ$502, MATCH("평가손익", INDEX(Data_Input!$A$1:$ZZ$502, 0, MATCH(1, (Data_Input!$7:$7=$F$3)*(Data_Input!$8:$8=$B347), 0)), 0) + 1, MATCH(1, (Data_Input!$7:$7=$F$3)*(Data_Input!$8:$8=$B347), 0)),"")</f>
        <v/>
      </c>
      <c r="K347" s="14" t="str" cm="1">
        <f t="array" ref="K347">IFERROR(INDEX(Data_Input!$A$1:$ZZ$502, MATCH("총수익률", INDEX(Data_Input!$A$1:$ZZ$502, 0, MATCH(1, (Data_Input!$7:$7=$F$3)*(Data_Input!$8:$8=$B347), 0)), 0) + 1, MATCH(1, (Data_Input!$7:$7=$F$3)*(Data_Input!$8:$8=$B347), 0)),"")</f>
        <v/>
      </c>
      <c r="L347" t="str" cm="1">
        <f t="array" ref="L347">IFERROR(_xlfn.LET(
    _xlpm.targetDate, B347,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48" spans="1:12" x14ac:dyDescent="0.3">
      <c r="A348" s="16" t="str">
        <f t="shared" si="10"/>
        <v/>
      </c>
      <c r="B348" s="19"/>
      <c r="C348" s="17" t="str">
        <f t="shared" si="11"/>
        <v/>
      </c>
      <c r="D348" s="29" t="str" cm="1">
        <f t="array" ref="D348">IFERROR(INDEX(Data_Input!$10:$10,MATCH(1,(Data_Input!$7:$7=$F$3)*(Data_Input!$8:$8=$B348),0)),"")</f>
        <v/>
      </c>
      <c r="E348" s="29" t="str" cm="1">
        <f t="array" ref="E348">IFERROR(INDEX(Data_Input!$1:$100, 9, MATCH(1, (Data_Input!$7:$7=$F$3) * (Data_Input!$8:$8=$B348), 0)),"")</f>
        <v/>
      </c>
      <c r="F348" s="20" t="str" cm="1">
        <f t="array" ref="F348">IFERROR(INDEX(Data_Input!$A$1:$ZZ$502, MATCH("예수금", INDEX(Data_Input!$A$1:$ZZ$502, 0, MATCH(1, (Data_Input!$7:$7=$F$3)*(Data_Input!$8:$8=$B348), 0)), 0) + 1, MATCH(1, (Data_Input!$7:$7=$F$3)*(Data_Input!$8:$8=$B348), 0)),"")</f>
        <v/>
      </c>
      <c r="G348" s="20" t="str" cm="1">
        <f t="array" ref="G348">IFERROR(INDEX(Data_Input!$A$1:$ZZ$502, MATCH("총자산", INDEX(Data_Input!$A$1:$ZZ$502, 0, MATCH(1, (Data_Input!$7:$7=$F$3)*(Data_Input!$8:$8=$B348), 0)), 0) + 1, MATCH(1, (Data_Input!$7:$7=$F$3)*(Data_Input!$8:$8=$B348), 0)),"")</f>
        <v/>
      </c>
      <c r="H348" s="20" t="str" cm="1">
        <f t="array" ref="H348">IFERROR(INDEX(Data_Input!$A$1:$ZZ$502, MATCH("매입금액", INDEX(Data_Input!$A$1:$ZZ$502, 0, MATCH(1, (Data_Input!$7:$7=$F$3)*(Data_Input!$8:$8=$B348), 0)), 0) + 1, MATCH(1, (Data_Input!$7:$7=$F$3)*(Data_Input!$8:$8=$B348), 0)),"")</f>
        <v/>
      </c>
      <c r="I348" s="20" t="str" cm="1">
        <f t="array" ref="I348">IFERROR(INDEX(Data_Input!$A$1:$ZZ$502, MATCH("평가금액", INDEX(Data_Input!$A$1:$ZZ$502, 0, MATCH(1, (Data_Input!$7:$7=$F$3)*(Data_Input!$8:$8=$B348), 0)), 0) + 1, MATCH(1, (Data_Input!$7:$7=$F$3)*(Data_Input!$8:$8=$B348), 0)),"")</f>
        <v/>
      </c>
      <c r="J348" s="20" t="str" cm="1">
        <f t="array" ref="J348">IFERROR(INDEX(Data_Input!$A$1:$ZZ$502, MATCH("평가손익", INDEX(Data_Input!$A$1:$ZZ$502, 0, MATCH(1, (Data_Input!$7:$7=$F$3)*(Data_Input!$8:$8=$B348), 0)), 0) + 1, MATCH(1, (Data_Input!$7:$7=$F$3)*(Data_Input!$8:$8=$B348), 0)),"")</f>
        <v/>
      </c>
      <c r="K348" s="14" t="str" cm="1">
        <f t="array" ref="K348">IFERROR(INDEX(Data_Input!$A$1:$ZZ$502, MATCH("총수익률", INDEX(Data_Input!$A$1:$ZZ$502, 0, MATCH(1, (Data_Input!$7:$7=$F$3)*(Data_Input!$8:$8=$B348), 0)), 0) + 1, MATCH(1, (Data_Input!$7:$7=$F$3)*(Data_Input!$8:$8=$B348), 0)),"")</f>
        <v/>
      </c>
      <c r="L348" t="str" cm="1">
        <f t="array" ref="L348">IFERROR(_xlfn.LET(
    _xlpm.targetDate, B348,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49" spans="1:12" x14ac:dyDescent="0.3">
      <c r="A349" s="16" t="str">
        <f t="shared" si="10"/>
        <v/>
      </c>
      <c r="B349" s="19"/>
      <c r="C349" s="17" t="str">
        <f t="shared" si="11"/>
        <v/>
      </c>
      <c r="D349" s="29" t="str" cm="1">
        <f t="array" ref="D349">IFERROR(INDEX(Data_Input!$10:$10,MATCH(1,(Data_Input!$7:$7=$F$3)*(Data_Input!$8:$8=$B349),0)),"")</f>
        <v/>
      </c>
      <c r="E349" s="29" t="str" cm="1">
        <f t="array" ref="E349">IFERROR(INDEX(Data_Input!$1:$100, 9, MATCH(1, (Data_Input!$7:$7=$F$3) * (Data_Input!$8:$8=$B349), 0)),"")</f>
        <v/>
      </c>
      <c r="F349" s="20" t="str" cm="1">
        <f t="array" ref="F349">IFERROR(INDEX(Data_Input!$A$1:$ZZ$502, MATCH("예수금", INDEX(Data_Input!$A$1:$ZZ$502, 0, MATCH(1, (Data_Input!$7:$7=$F$3)*(Data_Input!$8:$8=$B349), 0)), 0) + 1, MATCH(1, (Data_Input!$7:$7=$F$3)*(Data_Input!$8:$8=$B349), 0)),"")</f>
        <v/>
      </c>
      <c r="G349" s="20" t="str" cm="1">
        <f t="array" ref="G349">IFERROR(INDEX(Data_Input!$A$1:$ZZ$502, MATCH("총자산", INDEX(Data_Input!$A$1:$ZZ$502, 0, MATCH(1, (Data_Input!$7:$7=$F$3)*(Data_Input!$8:$8=$B349), 0)), 0) + 1, MATCH(1, (Data_Input!$7:$7=$F$3)*(Data_Input!$8:$8=$B349), 0)),"")</f>
        <v/>
      </c>
      <c r="H349" s="20" t="str" cm="1">
        <f t="array" ref="H349">IFERROR(INDEX(Data_Input!$A$1:$ZZ$502, MATCH("매입금액", INDEX(Data_Input!$A$1:$ZZ$502, 0, MATCH(1, (Data_Input!$7:$7=$F$3)*(Data_Input!$8:$8=$B349), 0)), 0) + 1, MATCH(1, (Data_Input!$7:$7=$F$3)*(Data_Input!$8:$8=$B349), 0)),"")</f>
        <v/>
      </c>
      <c r="I349" s="20" t="str" cm="1">
        <f t="array" ref="I349">IFERROR(INDEX(Data_Input!$A$1:$ZZ$502, MATCH("평가금액", INDEX(Data_Input!$A$1:$ZZ$502, 0, MATCH(1, (Data_Input!$7:$7=$F$3)*(Data_Input!$8:$8=$B349), 0)), 0) + 1, MATCH(1, (Data_Input!$7:$7=$F$3)*(Data_Input!$8:$8=$B349), 0)),"")</f>
        <v/>
      </c>
      <c r="J349" s="20" t="str" cm="1">
        <f t="array" ref="J349">IFERROR(INDEX(Data_Input!$A$1:$ZZ$502, MATCH("평가손익", INDEX(Data_Input!$A$1:$ZZ$502, 0, MATCH(1, (Data_Input!$7:$7=$F$3)*(Data_Input!$8:$8=$B349), 0)), 0) + 1, MATCH(1, (Data_Input!$7:$7=$F$3)*(Data_Input!$8:$8=$B349), 0)),"")</f>
        <v/>
      </c>
      <c r="K349" s="14" t="str" cm="1">
        <f t="array" ref="K349">IFERROR(INDEX(Data_Input!$A$1:$ZZ$502, MATCH("총수익률", INDEX(Data_Input!$A$1:$ZZ$502, 0, MATCH(1, (Data_Input!$7:$7=$F$3)*(Data_Input!$8:$8=$B349), 0)), 0) + 1, MATCH(1, (Data_Input!$7:$7=$F$3)*(Data_Input!$8:$8=$B349), 0)),"")</f>
        <v/>
      </c>
      <c r="L349" t="str" cm="1">
        <f t="array" ref="L349">IFERROR(_xlfn.LET(
    _xlpm.targetDate, B349,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50" spans="1:12" x14ac:dyDescent="0.3">
      <c r="A350" s="16" t="str">
        <f t="shared" si="10"/>
        <v/>
      </c>
      <c r="B350" s="19"/>
      <c r="C350" s="17" t="str">
        <f t="shared" si="11"/>
        <v/>
      </c>
      <c r="D350" s="29" t="str" cm="1">
        <f t="array" ref="D350">IFERROR(INDEX(Data_Input!$10:$10,MATCH(1,(Data_Input!$7:$7=$F$3)*(Data_Input!$8:$8=$B350),0)),"")</f>
        <v/>
      </c>
      <c r="E350" s="29" t="str" cm="1">
        <f t="array" ref="E350">IFERROR(INDEX(Data_Input!$1:$100, 9, MATCH(1, (Data_Input!$7:$7=$F$3) * (Data_Input!$8:$8=$B350), 0)),"")</f>
        <v/>
      </c>
      <c r="F350" s="20" t="str" cm="1">
        <f t="array" ref="F350">IFERROR(INDEX(Data_Input!$A$1:$ZZ$502, MATCH("예수금", INDEX(Data_Input!$A$1:$ZZ$502, 0, MATCH(1, (Data_Input!$7:$7=$F$3)*(Data_Input!$8:$8=$B350), 0)), 0) + 1, MATCH(1, (Data_Input!$7:$7=$F$3)*(Data_Input!$8:$8=$B350), 0)),"")</f>
        <v/>
      </c>
      <c r="G350" s="20" t="str" cm="1">
        <f t="array" ref="G350">IFERROR(INDEX(Data_Input!$A$1:$ZZ$502, MATCH("총자산", INDEX(Data_Input!$A$1:$ZZ$502, 0, MATCH(1, (Data_Input!$7:$7=$F$3)*(Data_Input!$8:$8=$B350), 0)), 0) + 1, MATCH(1, (Data_Input!$7:$7=$F$3)*(Data_Input!$8:$8=$B350), 0)),"")</f>
        <v/>
      </c>
      <c r="H350" s="20" t="str" cm="1">
        <f t="array" ref="H350">IFERROR(INDEX(Data_Input!$A$1:$ZZ$502, MATCH("매입금액", INDEX(Data_Input!$A$1:$ZZ$502, 0, MATCH(1, (Data_Input!$7:$7=$F$3)*(Data_Input!$8:$8=$B350), 0)), 0) + 1, MATCH(1, (Data_Input!$7:$7=$F$3)*(Data_Input!$8:$8=$B350), 0)),"")</f>
        <v/>
      </c>
      <c r="I350" s="20" t="str" cm="1">
        <f t="array" ref="I350">IFERROR(INDEX(Data_Input!$A$1:$ZZ$502, MATCH("평가금액", INDEX(Data_Input!$A$1:$ZZ$502, 0, MATCH(1, (Data_Input!$7:$7=$F$3)*(Data_Input!$8:$8=$B350), 0)), 0) + 1, MATCH(1, (Data_Input!$7:$7=$F$3)*(Data_Input!$8:$8=$B350), 0)),"")</f>
        <v/>
      </c>
      <c r="J350" s="20" t="str" cm="1">
        <f t="array" ref="J350">IFERROR(INDEX(Data_Input!$A$1:$ZZ$502, MATCH("평가손익", INDEX(Data_Input!$A$1:$ZZ$502, 0, MATCH(1, (Data_Input!$7:$7=$F$3)*(Data_Input!$8:$8=$B350), 0)), 0) + 1, MATCH(1, (Data_Input!$7:$7=$F$3)*(Data_Input!$8:$8=$B350), 0)),"")</f>
        <v/>
      </c>
      <c r="K350" s="14" t="str" cm="1">
        <f t="array" ref="K350">IFERROR(INDEX(Data_Input!$A$1:$ZZ$502, MATCH("총수익률", INDEX(Data_Input!$A$1:$ZZ$502, 0, MATCH(1, (Data_Input!$7:$7=$F$3)*(Data_Input!$8:$8=$B350), 0)), 0) + 1, MATCH(1, (Data_Input!$7:$7=$F$3)*(Data_Input!$8:$8=$B350), 0)),"")</f>
        <v/>
      </c>
      <c r="L350" t="str" cm="1">
        <f t="array" ref="L350">IFERROR(_xlfn.LET(
    _xlpm.targetDate, B350,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51" spans="1:12" x14ac:dyDescent="0.3">
      <c r="A351" s="16" t="str">
        <f t="shared" si="10"/>
        <v/>
      </c>
      <c r="B351" s="19"/>
      <c r="C351" s="17" t="str">
        <f t="shared" si="11"/>
        <v/>
      </c>
      <c r="D351" s="29" t="str" cm="1">
        <f t="array" ref="D351">IFERROR(INDEX(Data_Input!$10:$10,MATCH(1,(Data_Input!$7:$7=$F$3)*(Data_Input!$8:$8=$B351),0)),"")</f>
        <v/>
      </c>
      <c r="E351" s="29" t="str" cm="1">
        <f t="array" ref="E351">IFERROR(INDEX(Data_Input!$1:$100, 9, MATCH(1, (Data_Input!$7:$7=$F$3) * (Data_Input!$8:$8=$B351), 0)),"")</f>
        <v/>
      </c>
      <c r="F351" s="20" t="str" cm="1">
        <f t="array" ref="F351">IFERROR(INDEX(Data_Input!$A$1:$ZZ$502, MATCH("예수금", INDEX(Data_Input!$A$1:$ZZ$502, 0, MATCH(1, (Data_Input!$7:$7=$F$3)*(Data_Input!$8:$8=$B351), 0)), 0) + 1, MATCH(1, (Data_Input!$7:$7=$F$3)*(Data_Input!$8:$8=$B351), 0)),"")</f>
        <v/>
      </c>
      <c r="G351" s="20" t="str" cm="1">
        <f t="array" ref="G351">IFERROR(INDEX(Data_Input!$A$1:$ZZ$502, MATCH("총자산", INDEX(Data_Input!$A$1:$ZZ$502, 0, MATCH(1, (Data_Input!$7:$7=$F$3)*(Data_Input!$8:$8=$B351), 0)), 0) + 1, MATCH(1, (Data_Input!$7:$7=$F$3)*(Data_Input!$8:$8=$B351), 0)),"")</f>
        <v/>
      </c>
      <c r="H351" s="20" t="str" cm="1">
        <f t="array" ref="H351">IFERROR(INDEX(Data_Input!$A$1:$ZZ$502, MATCH("매입금액", INDEX(Data_Input!$A$1:$ZZ$502, 0, MATCH(1, (Data_Input!$7:$7=$F$3)*(Data_Input!$8:$8=$B351), 0)), 0) + 1, MATCH(1, (Data_Input!$7:$7=$F$3)*(Data_Input!$8:$8=$B351), 0)),"")</f>
        <v/>
      </c>
      <c r="I351" s="20" t="str" cm="1">
        <f t="array" ref="I351">IFERROR(INDEX(Data_Input!$A$1:$ZZ$502, MATCH("평가금액", INDEX(Data_Input!$A$1:$ZZ$502, 0, MATCH(1, (Data_Input!$7:$7=$F$3)*(Data_Input!$8:$8=$B351), 0)), 0) + 1, MATCH(1, (Data_Input!$7:$7=$F$3)*(Data_Input!$8:$8=$B351), 0)),"")</f>
        <v/>
      </c>
      <c r="J351" s="20" t="str" cm="1">
        <f t="array" ref="J351">IFERROR(INDEX(Data_Input!$A$1:$ZZ$502, MATCH("평가손익", INDEX(Data_Input!$A$1:$ZZ$502, 0, MATCH(1, (Data_Input!$7:$7=$F$3)*(Data_Input!$8:$8=$B351), 0)), 0) + 1, MATCH(1, (Data_Input!$7:$7=$F$3)*(Data_Input!$8:$8=$B351), 0)),"")</f>
        <v/>
      </c>
      <c r="K351" s="14" t="str" cm="1">
        <f t="array" ref="K351">IFERROR(INDEX(Data_Input!$A$1:$ZZ$502, MATCH("총수익률", INDEX(Data_Input!$A$1:$ZZ$502, 0, MATCH(1, (Data_Input!$7:$7=$F$3)*(Data_Input!$8:$8=$B351), 0)), 0) + 1, MATCH(1, (Data_Input!$7:$7=$F$3)*(Data_Input!$8:$8=$B351), 0)),"")</f>
        <v/>
      </c>
      <c r="L351" t="str" cm="1">
        <f t="array" ref="L351">IFERROR(_xlfn.LET(
    _xlpm.targetDate, B351,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52" spans="1:12" x14ac:dyDescent="0.3">
      <c r="A352" s="16" t="str">
        <f t="shared" si="10"/>
        <v/>
      </c>
      <c r="B352" s="19"/>
      <c r="C352" s="17" t="str">
        <f t="shared" si="11"/>
        <v/>
      </c>
      <c r="D352" s="29" t="str" cm="1">
        <f t="array" ref="D352">IFERROR(INDEX(Data_Input!$10:$10,MATCH(1,(Data_Input!$7:$7=$F$3)*(Data_Input!$8:$8=$B352),0)),"")</f>
        <v/>
      </c>
      <c r="E352" s="29" t="str" cm="1">
        <f t="array" ref="E352">IFERROR(INDEX(Data_Input!$1:$100, 9, MATCH(1, (Data_Input!$7:$7=$F$3) * (Data_Input!$8:$8=$B352), 0)),"")</f>
        <v/>
      </c>
      <c r="F352" s="20" t="str" cm="1">
        <f t="array" ref="F352">IFERROR(INDEX(Data_Input!$A$1:$ZZ$502, MATCH("예수금", INDEX(Data_Input!$A$1:$ZZ$502, 0, MATCH(1, (Data_Input!$7:$7=$F$3)*(Data_Input!$8:$8=$B352), 0)), 0) + 1, MATCH(1, (Data_Input!$7:$7=$F$3)*(Data_Input!$8:$8=$B352), 0)),"")</f>
        <v/>
      </c>
      <c r="G352" s="20" t="str" cm="1">
        <f t="array" ref="G352">IFERROR(INDEX(Data_Input!$A$1:$ZZ$502, MATCH("총자산", INDEX(Data_Input!$A$1:$ZZ$502, 0, MATCH(1, (Data_Input!$7:$7=$F$3)*(Data_Input!$8:$8=$B352), 0)), 0) + 1, MATCH(1, (Data_Input!$7:$7=$F$3)*(Data_Input!$8:$8=$B352), 0)),"")</f>
        <v/>
      </c>
      <c r="H352" s="20" t="str" cm="1">
        <f t="array" ref="H352">IFERROR(INDEX(Data_Input!$A$1:$ZZ$502, MATCH("매입금액", INDEX(Data_Input!$A$1:$ZZ$502, 0, MATCH(1, (Data_Input!$7:$7=$F$3)*(Data_Input!$8:$8=$B352), 0)), 0) + 1, MATCH(1, (Data_Input!$7:$7=$F$3)*(Data_Input!$8:$8=$B352), 0)),"")</f>
        <v/>
      </c>
      <c r="I352" s="20" t="str" cm="1">
        <f t="array" ref="I352">IFERROR(INDEX(Data_Input!$A$1:$ZZ$502, MATCH("평가금액", INDEX(Data_Input!$A$1:$ZZ$502, 0, MATCH(1, (Data_Input!$7:$7=$F$3)*(Data_Input!$8:$8=$B352), 0)), 0) + 1, MATCH(1, (Data_Input!$7:$7=$F$3)*(Data_Input!$8:$8=$B352), 0)),"")</f>
        <v/>
      </c>
      <c r="J352" s="20" t="str" cm="1">
        <f t="array" ref="J352">IFERROR(INDEX(Data_Input!$A$1:$ZZ$502, MATCH("평가손익", INDEX(Data_Input!$A$1:$ZZ$502, 0, MATCH(1, (Data_Input!$7:$7=$F$3)*(Data_Input!$8:$8=$B352), 0)), 0) + 1, MATCH(1, (Data_Input!$7:$7=$F$3)*(Data_Input!$8:$8=$B352), 0)),"")</f>
        <v/>
      </c>
      <c r="K352" s="14" t="str" cm="1">
        <f t="array" ref="K352">IFERROR(INDEX(Data_Input!$A$1:$ZZ$502, MATCH("총수익률", INDEX(Data_Input!$A$1:$ZZ$502, 0, MATCH(1, (Data_Input!$7:$7=$F$3)*(Data_Input!$8:$8=$B352), 0)), 0) + 1, MATCH(1, (Data_Input!$7:$7=$F$3)*(Data_Input!$8:$8=$B352), 0)),"")</f>
        <v/>
      </c>
      <c r="L352" t="str" cm="1">
        <f t="array" ref="L352">IFERROR(_xlfn.LET(
    _xlpm.targetDate, B352,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53" spans="1:12" x14ac:dyDescent="0.3">
      <c r="A353" s="16" t="str">
        <f t="shared" si="10"/>
        <v/>
      </c>
      <c r="B353" s="19"/>
      <c r="C353" s="17" t="str">
        <f t="shared" si="11"/>
        <v/>
      </c>
      <c r="D353" s="29" t="str" cm="1">
        <f t="array" ref="D353">IFERROR(INDEX(Data_Input!$10:$10,MATCH(1,(Data_Input!$7:$7=$F$3)*(Data_Input!$8:$8=$B353),0)),"")</f>
        <v/>
      </c>
      <c r="E353" s="29" t="str" cm="1">
        <f t="array" ref="E353">IFERROR(INDEX(Data_Input!$1:$100, 9, MATCH(1, (Data_Input!$7:$7=$F$3) * (Data_Input!$8:$8=$B353), 0)),"")</f>
        <v/>
      </c>
      <c r="F353" s="20" t="str" cm="1">
        <f t="array" ref="F353">IFERROR(INDEX(Data_Input!$A$1:$ZZ$502, MATCH("예수금", INDEX(Data_Input!$A$1:$ZZ$502, 0, MATCH(1, (Data_Input!$7:$7=$F$3)*(Data_Input!$8:$8=$B353), 0)), 0) + 1, MATCH(1, (Data_Input!$7:$7=$F$3)*(Data_Input!$8:$8=$B353), 0)),"")</f>
        <v/>
      </c>
      <c r="G353" s="20" t="str" cm="1">
        <f t="array" ref="G353">IFERROR(INDEX(Data_Input!$A$1:$ZZ$502, MATCH("총자산", INDEX(Data_Input!$A$1:$ZZ$502, 0, MATCH(1, (Data_Input!$7:$7=$F$3)*(Data_Input!$8:$8=$B353), 0)), 0) + 1, MATCH(1, (Data_Input!$7:$7=$F$3)*(Data_Input!$8:$8=$B353), 0)),"")</f>
        <v/>
      </c>
      <c r="H353" s="20" t="str" cm="1">
        <f t="array" ref="H353">IFERROR(INDEX(Data_Input!$A$1:$ZZ$502, MATCH("매입금액", INDEX(Data_Input!$A$1:$ZZ$502, 0, MATCH(1, (Data_Input!$7:$7=$F$3)*(Data_Input!$8:$8=$B353), 0)), 0) + 1, MATCH(1, (Data_Input!$7:$7=$F$3)*(Data_Input!$8:$8=$B353), 0)),"")</f>
        <v/>
      </c>
      <c r="I353" s="20" t="str" cm="1">
        <f t="array" ref="I353">IFERROR(INDEX(Data_Input!$A$1:$ZZ$502, MATCH("평가금액", INDEX(Data_Input!$A$1:$ZZ$502, 0, MATCH(1, (Data_Input!$7:$7=$F$3)*(Data_Input!$8:$8=$B353), 0)), 0) + 1, MATCH(1, (Data_Input!$7:$7=$F$3)*(Data_Input!$8:$8=$B353), 0)),"")</f>
        <v/>
      </c>
      <c r="J353" s="20" t="str" cm="1">
        <f t="array" ref="J353">IFERROR(INDEX(Data_Input!$A$1:$ZZ$502, MATCH("평가손익", INDEX(Data_Input!$A$1:$ZZ$502, 0, MATCH(1, (Data_Input!$7:$7=$F$3)*(Data_Input!$8:$8=$B353), 0)), 0) + 1, MATCH(1, (Data_Input!$7:$7=$F$3)*(Data_Input!$8:$8=$B353), 0)),"")</f>
        <v/>
      </c>
      <c r="K353" s="14" t="str" cm="1">
        <f t="array" ref="K353">IFERROR(INDEX(Data_Input!$A$1:$ZZ$502, MATCH("총수익률", INDEX(Data_Input!$A$1:$ZZ$502, 0, MATCH(1, (Data_Input!$7:$7=$F$3)*(Data_Input!$8:$8=$B353), 0)), 0) + 1, MATCH(1, (Data_Input!$7:$7=$F$3)*(Data_Input!$8:$8=$B353), 0)),"")</f>
        <v/>
      </c>
      <c r="L353" t="str" cm="1">
        <f t="array" ref="L353">IFERROR(_xlfn.LET(
    _xlpm.targetDate, B353,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54" spans="1:12" x14ac:dyDescent="0.3">
      <c r="A354" s="16" t="str">
        <f t="shared" si="10"/>
        <v/>
      </c>
      <c r="B354" s="19"/>
      <c r="C354" s="17" t="str">
        <f t="shared" si="11"/>
        <v/>
      </c>
      <c r="D354" s="29" t="str" cm="1">
        <f t="array" ref="D354">IFERROR(INDEX(Data_Input!$10:$10,MATCH(1,(Data_Input!$7:$7=$F$3)*(Data_Input!$8:$8=$B354),0)),"")</f>
        <v/>
      </c>
      <c r="E354" s="29" t="str" cm="1">
        <f t="array" ref="E354">IFERROR(INDEX(Data_Input!$1:$100, 9, MATCH(1, (Data_Input!$7:$7=$F$3) * (Data_Input!$8:$8=$B354), 0)),"")</f>
        <v/>
      </c>
      <c r="F354" s="20" t="str" cm="1">
        <f t="array" ref="F354">IFERROR(INDEX(Data_Input!$A$1:$ZZ$502, MATCH("예수금", INDEX(Data_Input!$A$1:$ZZ$502, 0, MATCH(1, (Data_Input!$7:$7=$F$3)*(Data_Input!$8:$8=$B354), 0)), 0) + 1, MATCH(1, (Data_Input!$7:$7=$F$3)*(Data_Input!$8:$8=$B354), 0)),"")</f>
        <v/>
      </c>
      <c r="G354" s="20" t="str" cm="1">
        <f t="array" ref="G354">IFERROR(INDEX(Data_Input!$A$1:$ZZ$502, MATCH("총자산", INDEX(Data_Input!$A$1:$ZZ$502, 0, MATCH(1, (Data_Input!$7:$7=$F$3)*(Data_Input!$8:$8=$B354), 0)), 0) + 1, MATCH(1, (Data_Input!$7:$7=$F$3)*(Data_Input!$8:$8=$B354), 0)),"")</f>
        <v/>
      </c>
      <c r="H354" s="20" t="str" cm="1">
        <f t="array" ref="H354">IFERROR(INDEX(Data_Input!$A$1:$ZZ$502, MATCH("매입금액", INDEX(Data_Input!$A$1:$ZZ$502, 0, MATCH(1, (Data_Input!$7:$7=$F$3)*(Data_Input!$8:$8=$B354), 0)), 0) + 1, MATCH(1, (Data_Input!$7:$7=$F$3)*(Data_Input!$8:$8=$B354), 0)),"")</f>
        <v/>
      </c>
      <c r="I354" s="20" t="str" cm="1">
        <f t="array" ref="I354">IFERROR(INDEX(Data_Input!$A$1:$ZZ$502, MATCH("평가금액", INDEX(Data_Input!$A$1:$ZZ$502, 0, MATCH(1, (Data_Input!$7:$7=$F$3)*(Data_Input!$8:$8=$B354), 0)), 0) + 1, MATCH(1, (Data_Input!$7:$7=$F$3)*(Data_Input!$8:$8=$B354), 0)),"")</f>
        <v/>
      </c>
      <c r="J354" s="20" t="str" cm="1">
        <f t="array" ref="J354">IFERROR(INDEX(Data_Input!$A$1:$ZZ$502, MATCH("평가손익", INDEX(Data_Input!$A$1:$ZZ$502, 0, MATCH(1, (Data_Input!$7:$7=$F$3)*(Data_Input!$8:$8=$B354), 0)), 0) + 1, MATCH(1, (Data_Input!$7:$7=$F$3)*(Data_Input!$8:$8=$B354), 0)),"")</f>
        <v/>
      </c>
      <c r="K354" s="14" t="str" cm="1">
        <f t="array" ref="K354">IFERROR(INDEX(Data_Input!$A$1:$ZZ$502, MATCH("총수익률", INDEX(Data_Input!$A$1:$ZZ$502, 0, MATCH(1, (Data_Input!$7:$7=$F$3)*(Data_Input!$8:$8=$B354), 0)), 0) + 1, MATCH(1, (Data_Input!$7:$7=$F$3)*(Data_Input!$8:$8=$B354), 0)),"")</f>
        <v/>
      </c>
      <c r="L354" t="str" cm="1">
        <f t="array" ref="L354">IFERROR(_xlfn.LET(
    _xlpm.targetDate, B354,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55" spans="1:12" x14ac:dyDescent="0.3">
      <c r="A355" s="16" t="str">
        <f t="shared" si="10"/>
        <v/>
      </c>
      <c r="B355" s="19"/>
      <c r="C355" s="17" t="str">
        <f t="shared" si="11"/>
        <v/>
      </c>
      <c r="D355" s="29" t="str" cm="1">
        <f t="array" ref="D355">IFERROR(INDEX(Data_Input!$10:$10,MATCH(1,(Data_Input!$7:$7=$F$3)*(Data_Input!$8:$8=$B355),0)),"")</f>
        <v/>
      </c>
      <c r="E355" s="29" t="str" cm="1">
        <f t="array" ref="E355">IFERROR(INDEX(Data_Input!$1:$100, 9, MATCH(1, (Data_Input!$7:$7=$F$3) * (Data_Input!$8:$8=$B355), 0)),"")</f>
        <v/>
      </c>
      <c r="F355" s="20" t="str" cm="1">
        <f t="array" ref="F355">IFERROR(INDEX(Data_Input!$A$1:$ZZ$502, MATCH("예수금", INDEX(Data_Input!$A$1:$ZZ$502, 0, MATCH(1, (Data_Input!$7:$7=$F$3)*(Data_Input!$8:$8=$B355), 0)), 0) + 1, MATCH(1, (Data_Input!$7:$7=$F$3)*(Data_Input!$8:$8=$B355), 0)),"")</f>
        <v/>
      </c>
      <c r="G355" s="20" t="str" cm="1">
        <f t="array" ref="G355">IFERROR(INDEX(Data_Input!$A$1:$ZZ$502, MATCH("총자산", INDEX(Data_Input!$A$1:$ZZ$502, 0, MATCH(1, (Data_Input!$7:$7=$F$3)*(Data_Input!$8:$8=$B355), 0)), 0) + 1, MATCH(1, (Data_Input!$7:$7=$F$3)*(Data_Input!$8:$8=$B355), 0)),"")</f>
        <v/>
      </c>
      <c r="H355" s="20" t="str" cm="1">
        <f t="array" ref="H355">IFERROR(INDEX(Data_Input!$A$1:$ZZ$502, MATCH("매입금액", INDEX(Data_Input!$A$1:$ZZ$502, 0, MATCH(1, (Data_Input!$7:$7=$F$3)*(Data_Input!$8:$8=$B355), 0)), 0) + 1, MATCH(1, (Data_Input!$7:$7=$F$3)*(Data_Input!$8:$8=$B355), 0)),"")</f>
        <v/>
      </c>
      <c r="I355" s="20" t="str" cm="1">
        <f t="array" ref="I355">IFERROR(INDEX(Data_Input!$A$1:$ZZ$502, MATCH("평가금액", INDEX(Data_Input!$A$1:$ZZ$502, 0, MATCH(1, (Data_Input!$7:$7=$F$3)*(Data_Input!$8:$8=$B355), 0)), 0) + 1, MATCH(1, (Data_Input!$7:$7=$F$3)*(Data_Input!$8:$8=$B355), 0)),"")</f>
        <v/>
      </c>
      <c r="J355" s="20" t="str" cm="1">
        <f t="array" ref="J355">IFERROR(INDEX(Data_Input!$A$1:$ZZ$502, MATCH("평가손익", INDEX(Data_Input!$A$1:$ZZ$502, 0, MATCH(1, (Data_Input!$7:$7=$F$3)*(Data_Input!$8:$8=$B355), 0)), 0) + 1, MATCH(1, (Data_Input!$7:$7=$F$3)*(Data_Input!$8:$8=$B355), 0)),"")</f>
        <v/>
      </c>
      <c r="K355" s="14" t="str" cm="1">
        <f t="array" ref="K355">IFERROR(INDEX(Data_Input!$A$1:$ZZ$502, MATCH("총수익률", INDEX(Data_Input!$A$1:$ZZ$502, 0, MATCH(1, (Data_Input!$7:$7=$F$3)*(Data_Input!$8:$8=$B355), 0)), 0) + 1, MATCH(1, (Data_Input!$7:$7=$F$3)*(Data_Input!$8:$8=$B355), 0)),"")</f>
        <v/>
      </c>
      <c r="L355" t="str" cm="1">
        <f t="array" ref="L355">IFERROR(_xlfn.LET(
    _xlpm.targetDate, B355,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56" spans="1:12" x14ac:dyDescent="0.3">
      <c r="A356" s="16" t="str">
        <f t="shared" si="10"/>
        <v/>
      </c>
      <c r="B356" s="19"/>
      <c r="C356" s="17" t="str">
        <f t="shared" si="11"/>
        <v/>
      </c>
      <c r="D356" s="29" t="str" cm="1">
        <f t="array" ref="D356">IFERROR(INDEX(Data_Input!$10:$10,MATCH(1,(Data_Input!$7:$7=$F$3)*(Data_Input!$8:$8=$B356),0)),"")</f>
        <v/>
      </c>
      <c r="E356" s="29" t="str" cm="1">
        <f t="array" ref="E356">IFERROR(INDEX(Data_Input!$1:$100, 9, MATCH(1, (Data_Input!$7:$7=$F$3) * (Data_Input!$8:$8=$B356), 0)),"")</f>
        <v/>
      </c>
      <c r="F356" s="20" t="str" cm="1">
        <f t="array" ref="F356">IFERROR(INDEX(Data_Input!$A$1:$ZZ$502, MATCH("예수금", INDEX(Data_Input!$A$1:$ZZ$502, 0, MATCH(1, (Data_Input!$7:$7=$F$3)*(Data_Input!$8:$8=$B356), 0)), 0) + 1, MATCH(1, (Data_Input!$7:$7=$F$3)*(Data_Input!$8:$8=$B356), 0)),"")</f>
        <v/>
      </c>
      <c r="G356" s="20" t="str" cm="1">
        <f t="array" ref="G356">IFERROR(INDEX(Data_Input!$A$1:$ZZ$502, MATCH("총자산", INDEX(Data_Input!$A$1:$ZZ$502, 0, MATCH(1, (Data_Input!$7:$7=$F$3)*(Data_Input!$8:$8=$B356), 0)), 0) + 1, MATCH(1, (Data_Input!$7:$7=$F$3)*(Data_Input!$8:$8=$B356), 0)),"")</f>
        <v/>
      </c>
      <c r="H356" s="20" t="str" cm="1">
        <f t="array" ref="H356">IFERROR(INDEX(Data_Input!$A$1:$ZZ$502, MATCH("매입금액", INDEX(Data_Input!$A$1:$ZZ$502, 0, MATCH(1, (Data_Input!$7:$7=$F$3)*(Data_Input!$8:$8=$B356), 0)), 0) + 1, MATCH(1, (Data_Input!$7:$7=$F$3)*(Data_Input!$8:$8=$B356), 0)),"")</f>
        <v/>
      </c>
      <c r="I356" s="20" t="str" cm="1">
        <f t="array" ref="I356">IFERROR(INDEX(Data_Input!$A$1:$ZZ$502, MATCH("평가금액", INDEX(Data_Input!$A$1:$ZZ$502, 0, MATCH(1, (Data_Input!$7:$7=$F$3)*(Data_Input!$8:$8=$B356), 0)), 0) + 1, MATCH(1, (Data_Input!$7:$7=$F$3)*(Data_Input!$8:$8=$B356), 0)),"")</f>
        <v/>
      </c>
      <c r="J356" s="20" t="str" cm="1">
        <f t="array" ref="J356">IFERROR(INDEX(Data_Input!$A$1:$ZZ$502, MATCH("평가손익", INDEX(Data_Input!$A$1:$ZZ$502, 0, MATCH(1, (Data_Input!$7:$7=$F$3)*(Data_Input!$8:$8=$B356), 0)), 0) + 1, MATCH(1, (Data_Input!$7:$7=$F$3)*(Data_Input!$8:$8=$B356), 0)),"")</f>
        <v/>
      </c>
      <c r="K356" s="14" t="str" cm="1">
        <f t="array" ref="K356">IFERROR(INDEX(Data_Input!$A$1:$ZZ$502, MATCH("총수익률", INDEX(Data_Input!$A$1:$ZZ$502, 0, MATCH(1, (Data_Input!$7:$7=$F$3)*(Data_Input!$8:$8=$B356), 0)), 0) + 1, MATCH(1, (Data_Input!$7:$7=$F$3)*(Data_Input!$8:$8=$B356), 0)),"")</f>
        <v/>
      </c>
      <c r="L356" t="str" cm="1">
        <f t="array" ref="L356">IFERROR(_xlfn.LET(
    _xlpm.targetDate, B356,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57" spans="1:12" x14ac:dyDescent="0.3">
      <c r="A357" s="16" t="str">
        <f t="shared" si="10"/>
        <v/>
      </c>
      <c r="B357" s="19"/>
      <c r="C357" s="17" t="str">
        <f t="shared" si="11"/>
        <v/>
      </c>
      <c r="D357" s="29" t="str" cm="1">
        <f t="array" ref="D357">IFERROR(INDEX(Data_Input!$10:$10,MATCH(1,(Data_Input!$7:$7=$F$3)*(Data_Input!$8:$8=$B357),0)),"")</f>
        <v/>
      </c>
      <c r="E357" s="29" t="str" cm="1">
        <f t="array" ref="E357">IFERROR(INDEX(Data_Input!$1:$100, 9, MATCH(1, (Data_Input!$7:$7=$F$3) * (Data_Input!$8:$8=$B357), 0)),"")</f>
        <v/>
      </c>
      <c r="F357" s="20" t="str" cm="1">
        <f t="array" ref="F357">IFERROR(INDEX(Data_Input!$A$1:$ZZ$502, MATCH("예수금", INDEX(Data_Input!$A$1:$ZZ$502, 0, MATCH(1, (Data_Input!$7:$7=$F$3)*(Data_Input!$8:$8=$B357), 0)), 0) + 1, MATCH(1, (Data_Input!$7:$7=$F$3)*(Data_Input!$8:$8=$B357), 0)),"")</f>
        <v/>
      </c>
      <c r="G357" s="20" t="str" cm="1">
        <f t="array" ref="G357">IFERROR(INDEX(Data_Input!$A$1:$ZZ$502, MATCH("총자산", INDEX(Data_Input!$A$1:$ZZ$502, 0, MATCH(1, (Data_Input!$7:$7=$F$3)*(Data_Input!$8:$8=$B357), 0)), 0) + 1, MATCH(1, (Data_Input!$7:$7=$F$3)*(Data_Input!$8:$8=$B357), 0)),"")</f>
        <v/>
      </c>
      <c r="H357" s="20" t="str" cm="1">
        <f t="array" ref="H357">IFERROR(INDEX(Data_Input!$A$1:$ZZ$502, MATCH("매입금액", INDEX(Data_Input!$A$1:$ZZ$502, 0, MATCH(1, (Data_Input!$7:$7=$F$3)*(Data_Input!$8:$8=$B357), 0)), 0) + 1, MATCH(1, (Data_Input!$7:$7=$F$3)*(Data_Input!$8:$8=$B357), 0)),"")</f>
        <v/>
      </c>
      <c r="I357" s="20" t="str" cm="1">
        <f t="array" ref="I357">IFERROR(INDEX(Data_Input!$A$1:$ZZ$502, MATCH("평가금액", INDEX(Data_Input!$A$1:$ZZ$502, 0, MATCH(1, (Data_Input!$7:$7=$F$3)*(Data_Input!$8:$8=$B357), 0)), 0) + 1, MATCH(1, (Data_Input!$7:$7=$F$3)*(Data_Input!$8:$8=$B357), 0)),"")</f>
        <v/>
      </c>
      <c r="J357" s="20" t="str" cm="1">
        <f t="array" ref="J357">IFERROR(INDEX(Data_Input!$A$1:$ZZ$502, MATCH("평가손익", INDEX(Data_Input!$A$1:$ZZ$502, 0, MATCH(1, (Data_Input!$7:$7=$F$3)*(Data_Input!$8:$8=$B357), 0)), 0) + 1, MATCH(1, (Data_Input!$7:$7=$F$3)*(Data_Input!$8:$8=$B357), 0)),"")</f>
        <v/>
      </c>
      <c r="K357" s="14" t="str" cm="1">
        <f t="array" ref="K357">IFERROR(INDEX(Data_Input!$A$1:$ZZ$502, MATCH("총수익률", INDEX(Data_Input!$A$1:$ZZ$502, 0, MATCH(1, (Data_Input!$7:$7=$F$3)*(Data_Input!$8:$8=$B357), 0)), 0) + 1, MATCH(1, (Data_Input!$7:$7=$F$3)*(Data_Input!$8:$8=$B357), 0)),"")</f>
        <v/>
      </c>
      <c r="L357" t="str" cm="1">
        <f t="array" ref="L357">IFERROR(_xlfn.LET(
    _xlpm.targetDate, B357,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58" spans="1:12" x14ac:dyDescent="0.3">
      <c r="A358" s="16" t="str">
        <f t="shared" si="10"/>
        <v/>
      </c>
      <c r="B358" s="19"/>
      <c r="C358" s="17" t="str">
        <f t="shared" si="11"/>
        <v/>
      </c>
      <c r="D358" s="29" t="str" cm="1">
        <f t="array" ref="D358">IFERROR(INDEX(Data_Input!$10:$10,MATCH(1,(Data_Input!$7:$7=$F$3)*(Data_Input!$8:$8=$B358),0)),"")</f>
        <v/>
      </c>
      <c r="E358" s="29" t="str" cm="1">
        <f t="array" ref="E358">IFERROR(INDEX(Data_Input!$1:$100, 9, MATCH(1, (Data_Input!$7:$7=$F$3) * (Data_Input!$8:$8=$B358), 0)),"")</f>
        <v/>
      </c>
      <c r="F358" s="20" t="str" cm="1">
        <f t="array" ref="F358">IFERROR(INDEX(Data_Input!$A$1:$ZZ$502, MATCH("예수금", INDEX(Data_Input!$A$1:$ZZ$502, 0, MATCH(1, (Data_Input!$7:$7=$F$3)*(Data_Input!$8:$8=$B358), 0)), 0) + 1, MATCH(1, (Data_Input!$7:$7=$F$3)*(Data_Input!$8:$8=$B358), 0)),"")</f>
        <v/>
      </c>
      <c r="G358" s="20" t="str" cm="1">
        <f t="array" ref="G358">IFERROR(INDEX(Data_Input!$A$1:$ZZ$502, MATCH("총자산", INDEX(Data_Input!$A$1:$ZZ$502, 0, MATCH(1, (Data_Input!$7:$7=$F$3)*(Data_Input!$8:$8=$B358), 0)), 0) + 1, MATCH(1, (Data_Input!$7:$7=$F$3)*(Data_Input!$8:$8=$B358), 0)),"")</f>
        <v/>
      </c>
      <c r="H358" s="20" t="str" cm="1">
        <f t="array" ref="H358">IFERROR(INDEX(Data_Input!$A$1:$ZZ$502, MATCH("매입금액", INDEX(Data_Input!$A$1:$ZZ$502, 0, MATCH(1, (Data_Input!$7:$7=$F$3)*(Data_Input!$8:$8=$B358), 0)), 0) + 1, MATCH(1, (Data_Input!$7:$7=$F$3)*(Data_Input!$8:$8=$B358), 0)),"")</f>
        <v/>
      </c>
      <c r="I358" s="20" t="str" cm="1">
        <f t="array" ref="I358">IFERROR(INDEX(Data_Input!$A$1:$ZZ$502, MATCH("평가금액", INDEX(Data_Input!$A$1:$ZZ$502, 0, MATCH(1, (Data_Input!$7:$7=$F$3)*(Data_Input!$8:$8=$B358), 0)), 0) + 1, MATCH(1, (Data_Input!$7:$7=$F$3)*(Data_Input!$8:$8=$B358), 0)),"")</f>
        <v/>
      </c>
      <c r="J358" s="20" t="str" cm="1">
        <f t="array" ref="J358">IFERROR(INDEX(Data_Input!$A$1:$ZZ$502, MATCH("평가손익", INDEX(Data_Input!$A$1:$ZZ$502, 0, MATCH(1, (Data_Input!$7:$7=$F$3)*(Data_Input!$8:$8=$B358), 0)), 0) + 1, MATCH(1, (Data_Input!$7:$7=$F$3)*(Data_Input!$8:$8=$B358), 0)),"")</f>
        <v/>
      </c>
      <c r="K358" s="14" t="str" cm="1">
        <f t="array" ref="K358">IFERROR(INDEX(Data_Input!$A$1:$ZZ$502, MATCH("총수익률", INDEX(Data_Input!$A$1:$ZZ$502, 0, MATCH(1, (Data_Input!$7:$7=$F$3)*(Data_Input!$8:$8=$B358), 0)), 0) + 1, MATCH(1, (Data_Input!$7:$7=$F$3)*(Data_Input!$8:$8=$B358), 0)),"")</f>
        <v/>
      </c>
      <c r="L358" t="str" cm="1">
        <f t="array" ref="L358">IFERROR(_xlfn.LET(
    _xlpm.targetDate, B358,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59" spans="1:12" x14ac:dyDescent="0.3">
      <c r="A359" s="16" t="str">
        <f t="shared" si="10"/>
        <v/>
      </c>
      <c r="B359" s="19"/>
      <c r="C359" s="17" t="str">
        <f t="shared" si="11"/>
        <v/>
      </c>
      <c r="D359" s="29" t="str" cm="1">
        <f t="array" ref="D359">IFERROR(INDEX(Data_Input!$10:$10,MATCH(1,(Data_Input!$7:$7=$F$3)*(Data_Input!$8:$8=$B359),0)),"")</f>
        <v/>
      </c>
      <c r="E359" s="29" t="str" cm="1">
        <f t="array" ref="E359">IFERROR(INDEX(Data_Input!$1:$100, 9, MATCH(1, (Data_Input!$7:$7=$F$3) * (Data_Input!$8:$8=$B359), 0)),"")</f>
        <v/>
      </c>
      <c r="F359" s="20" t="str" cm="1">
        <f t="array" ref="F359">IFERROR(INDEX(Data_Input!$A$1:$ZZ$502, MATCH("예수금", INDEX(Data_Input!$A$1:$ZZ$502, 0, MATCH(1, (Data_Input!$7:$7=$F$3)*(Data_Input!$8:$8=$B359), 0)), 0) + 1, MATCH(1, (Data_Input!$7:$7=$F$3)*(Data_Input!$8:$8=$B359), 0)),"")</f>
        <v/>
      </c>
      <c r="G359" s="20" t="str" cm="1">
        <f t="array" ref="G359">IFERROR(INDEX(Data_Input!$A$1:$ZZ$502, MATCH("총자산", INDEX(Data_Input!$A$1:$ZZ$502, 0, MATCH(1, (Data_Input!$7:$7=$F$3)*(Data_Input!$8:$8=$B359), 0)), 0) + 1, MATCH(1, (Data_Input!$7:$7=$F$3)*(Data_Input!$8:$8=$B359), 0)),"")</f>
        <v/>
      </c>
      <c r="H359" s="20" t="str" cm="1">
        <f t="array" ref="H359">IFERROR(INDEX(Data_Input!$A$1:$ZZ$502, MATCH("매입금액", INDEX(Data_Input!$A$1:$ZZ$502, 0, MATCH(1, (Data_Input!$7:$7=$F$3)*(Data_Input!$8:$8=$B359), 0)), 0) + 1, MATCH(1, (Data_Input!$7:$7=$F$3)*(Data_Input!$8:$8=$B359), 0)),"")</f>
        <v/>
      </c>
      <c r="I359" s="20" t="str" cm="1">
        <f t="array" ref="I359">IFERROR(INDEX(Data_Input!$A$1:$ZZ$502, MATCH("평가금액", INDEX(Data_Input!$A$1:$ZZ$502, 0, MATCH(1, (Data_Input!$7:$7=$F$3)*(Data_Input!$8:$8=$B359), 0)), 0) + 1, MATCH(1, (Data_Input!$7:$7=$F$3)*(Data_Input!$8:$8=$B359), 0)),"")</f>
        <v/>
      </c>
      <c r="J359" s="20" t="str" cm="1">
        <f t="array" ref="J359">IFERROR(INDEX(Data_Input!$A$1:$ZZ$502, MATCH("평가손익", INDEX(Data_Input!$A$1:$ZZ$502, 0, MATCH(1, (Data_Input!$7:$7=$F$3)*(Data_Input!$8:$8=$B359), 0)), 0) + 1, MATCH(1, (Data_Input!$7:$7=$F$3)*(Data_Input!$8:$8=$B359), 0)),"")</f>
        <v/>
      </c>
      <c r="K359" s="14" t="str" cm="1">
        <f t="array" ref="K359">IFERROR(INDEX(Data_Input!$A$1:$ZZ$502, MATCH("총수익률", INDEX(Data_Input!$A$1:$ZZ$502, 0, MATCH(1, (Data_Input!$7:$7=$F$3)*(Data_Input!$8:$8=$B359), 0)), 0) + 1, MATCH(1, (Data_Input!$7:$7=$F$3)*(Data_Input!$8:$8=$B359), 0)),"")</f>
        <v/>
      </c>
      <c r="L359" t="str" cm="1">
        <f t="array" ref="L359">IFERROR(_xlfn.LET(
    _xlpm.targetDate, B359,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60" spans="1:12" x14ac:dyDescent="0.3">
      <c r="A360" s="16" t="str">
        <f t="shared" si="10"/>
        <v/>
      </c>
      <c r="B360" s="19"/>
      <c r="C360" s="17" t="str">
        <f t="shared" si="11"/>
        <v/>
      </c>
      <c r="D360" s="29" t="str" cm="1">
        <f t="array" ref="D360">IFERROR(INDEX(Data_Input!$10:$10,MATCH(1,(Data_Input!$7:$7=$F$3)*(Data_Input!$8:$8=$B360),0)),"")</f>
        <v/>
      </c>
      <c r="E360" s="29" t="str" cm="1">
        <f t="array" ref="E360">IFERROR(INDEX(Data_Input!$1:$100, 9, MATCH(1, (Data_Input!$7:$7=$F$3) * (Data_Input!$8:$8=$B360), 0)),"")</f>
        <v/>
      </c>
      <c r="F360" s="20" t="str" cm="1">
        <f t="array" ref="F360">IFERROR(INDEX(Data_Input!$A$1:$ZZ$502, MATCH("예수금", INDEX(Data_Input!$A$1:$ZZ$502, 0, MATCH(1, (Data_Input!$7:$7=$F$3)*(Data_Input!$8:$8=$B360), 0)), 0) + 1, MATCH(1, (Data_Input!$7:$7=$F$3)*(Data_Input!$8:$8=$B360), 0)),"")</f>
        <v/>
      </c>
      <c r="G360" s="20" t="str" cm="1">
        <f t="array" ref="G360">IFERROR(INDEX(Data_Input!$A$1:$ZZ$502, MATCH("총자산", INDEX(Data_Input!$A$1:$ZZ$502, 0, MATCH(1, (Data_Input!$7:$7=$F$3)*(Data_Input!$8:$8=$B360), 0)), 0) + 1, MATCH(1, (Data_Input!$7:$7=$F$3)*(Data_Input!$8:$8=$B360), 0)),"")</f>
        <v/>
      </c>
      <c r="H360" s="20" t="str" cm="1">
        <f t="array" ref="H360">IFERROR(INDEX(Data_Input!$A$1:$ZZ$502, MATCH("매입금액", INDEX(Data_Input!$A$1:$ZZ$502, 0, MATCH(1, (Data_Input!$7:$7=$F$3)*(Data_Input!$8:$8=$B360), 0)), 0) + 1, MATCH(1, (Data_Input!$7:$7=$F$3)*(Data_Input!$8:$8=$B360), 0)),"")</f>
        <v/>
      </c>
      <c r="I360" s="20" t="str" cm="1">
        <f t="array" ref="I360">IFERROR(INDEX(Data_Input!$A$1:$ZZ$502, MATCH("평가금액", INDEX(Data_Input!$A$1:$ZZ$502, 0, MATCH(1, (Data_Input!$7:$7=$F$3)*(Data_Input!$8:$8=$B360), 0)), 0) + 1, MATCH(1, (Data_Input!$7:$7=$F$3)*(Data_Input!$8:$8=$B360), 0)),"")</f>
        <v/>
      </c>
      <c r="J360" s="20" t="str" cm="1">
        <f t="array" ref="J360">IFERROR(INDEX(Data_Input!$A$1:$ZZ$502, MATCH("평가손익", INDEX(Data_Input!$A$1:$ZZ$502, 0, MATCH(1, (Data_Input!$7:$7=$F$3)*(Data_Input!$8:$8=$B360), 0)), 0) + 1, MATCH(1, (Data_Input!$7:$7=$F$3)*(Data_Input!$8:$8=$B360), 0)),"")</f>
        <v/>
      </c>
      <c r="K360" s="14" t="str" cm="1">
        <f t="array" ref="K360">IFERROR(INDEX(Data_Input!$A$1:$ZZ$502, MATCH("총수익률", INDEX(Data_Input!$A$1:$ZZ$502, 0, MATCH(1, (Data_Input!$7:$7=$F$3)*(Data_Input!$8:$8=$B360), 0)), 0) + 1, MATCH(1, (Data_Input!$7:$7=$F$3)*(Data_Input!$8:$8=$B360), 0)),"")</f>
        <v/>
      </c>
      <c r="L360" t="str" cm="1">
        <f t="array" ref="L360">IFERROR(_xlfn.LET(
    _xlpm.targetDate, B360,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61" spans="1:12" x14ac:dyDescent="0.3">
      <c r="A361" s="16" t="str">
        <f t="shared" si="10"/>
        <v/>
      </c>
      <c r="B361" s="19"/>
      <c r="C361" s="17" t="str">
        <f t="shared" si="11"/>
        <v/>
      </c>
      <c r="D361" s="29" t="str" cm="1">
        <f t="array" ref="D361">IFERROR(INDEX(Data_Input!$10:$10,MATCH(1,(Data_Input!$7:$7=$F$3)*(Data_Input!$8:$8=$B361),0)),"")</f>
        <v/>
      </c>
      <c r="E361" s="29" t="str" cm="1">
        <f t="array" ref="E361">IFERROR(INDEX(Data_Input!$1:$100, 9, MATCH(1, (Data_Input!$7:$7=$F$3) * (Data_Input!$8:$8=$B361), 0)),"")</f>
        <v/>
      </c>
      <c r="F361" s="20" t="str" cm="1">
        <f t="array" ref="F361">IFERROR(INDEX(Data_Input!$A$1:$ZZ$502, MATCH("예수금", INDEX(Data_Input!$A$1:$ZZ$502, 0, MATCH(1, (Data_Input!$7:$7=$F$3)*(Data_Input!$8:$8=$B361), 0)), 0) + 1, MATCH(1, (Data_Input!$7:$7=$F$3)*(Data_Input!$8:$8=$B361), 0)),"")</f>
        <v/>
      </c>
      <c r="G361" s="20" t="str" cm="1">
        <f t="array" ref="G361">IFERROR(INDEX(Data_Input!$A$1:$ZZ$502, MATCH("총자산", INDEX(Data_Input!$A$1:$ZZ$502, 0, MATCH(1, (Data_Input!$7:$7=$F$3)*(Data_Input!$8:$8=$B361), 0)), 0) + 1, MATCH(1, (Data_Input!$7:$7=$F$3)*(Data_Input!$8:$8=$B361), 0)),"")</f>
        <v/>
      </c>
      <c r="H361" s="20" t="str" cm="1">
        <f t="array" ref="H361">IFERROR(INDEX(Data_Input!$A$1:$ZZ$502, MATCH("매입금액", INDEX(Data_Input!$A$1:$ZZ$502, 0, MATCH(1, (Data_Input!$7:$7=$F$3)*(Data_Input!$8:$8=$B361), 0)), 0) + 1, MATCH(1, (Data_Input!$7:$7=$F$3)*(Data_Input!$8:$8=$B361), 0)),"")</f>
        <v/>
      </c>
      <c r="I361" s="20" t="str" cm="1">
        <f t="array" ref="I361">IFERROR(INDEX(Data_Input!$A$1:$ZZ$502, MATCH("평가금액", INDEX(Data_Input!$A$1:$ZZ$502, 0, MATCH(1, (Data_Input!$7:$7=$F$3)*(Data_Input!$8:$8=$B361), 0)), 0) + 1, MATCH(1, (Data_Input!$7:$7=$F$3)*(Data_Input!$8:$8=$B361), 0)),"")</f>
        <v/>
      </c>
      <c r="J361" s="20" t="str" cm="1">
        <f t="array" ref="J361">IFERROR(INDEX(Data_Input!$A$1:$ZZ$502, MATCH("평가손익", INDEX(Data_Input!$A$1:$ZZ$502, 0, MATCH(1, (Data_Input!$7:$7=$F$3)*(Data_Input!$8:$8=$B361), 0)), 0) + 1, MATCH(1, (Data_Input!$7:$7=$F$3)*(Data_Input!$8:$8=$B361), 0)),"")</f>
        <v/>
      </c>
      <c r="K361" s="14" t="str" cm="1">
        <f t="array" ref="K361">IFERROR(INDEX(Data_Input!$A$1:$ZZ$502, MATCH("총수익률", INDEX(Data_Input!$A$1:$ZZ$502, 0, MATCH(1, (Data_Input!$7:$7=$F$3)*(Data_Input!$8:$8=$B361), 0)), 0) + 1, MATCH(1, (Data_Input!$7:$7=$F$3)*(Data_Input!$8:$8=$B361), 0)),"")</f>
        <v/>
      </c>
      <c r="L361" t="str" cm="1">
        <f t="array" ref="L361">IFERROR(_xlfn.LET(
    _xlpm.targetDate, B361,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62" spans="1:12" x14ac:dyDescent="0.3">
      <c r="A362" s="16" t="str">
        <f t="shared" si="10"/>
        <v/>
      </c>
      <c r="B362" s="19"/>
      <c r="C362" s="17" t="str">
        <f t="shared" si="11"/>
        <v/>
      </c>
      <c r="D362" s="29" t="str" cm="1">
        <f t="array" ref="D362">IFERROR(INDEX(Data_Input!$10:$10,MATCH(1,(Data_Input!$7:$7=$F$3)*(Data_Input!$8:$8=$B362),0)),"")</f>
        <v/>
      </c>
      <c r="E362" s="29" t="str" cm="1">
        <f t="array" ref="E362">IFERROR(INDEX(Data_Input!$1:$100, 9, MATCH(1, (Data_Input!$7:$7=$F$3) * (Data_Input!$8:$8=$B362), 0)),"")</f>
        <v/>
      </c>
      <c r="F362" s="20" t="str" cm="1">
        <f t="array" ref="F362">IFERROR(INDEX(Data_Input!$A$1:$ZZ$502, MATCH("예수금", INDEX(Data_Input!$A$1:$ZZ$502, 0, MATCH(1, (Data_Input!$7:$7=$F$3)*(Data_Input!$8:$8=$B362), 0)), 0) + 1, MATCH(1, (Data_Input!$7:$7=$F$3)*(Data_Input!$8:$8=$B362), 0)),"")</f>
        <v/>
      </c>
      <c r="G362" s="20" t="str" cm="1">
        <f t="array" ref="G362">IFERROR(INDEX(Data_Input!$A$1:$ZZ$502, MATCH("총자산", INDEX(Data_Input!$A$1:$ZZ$502, 0, MATCH(1, (Data_Input!$7:$7=$F$3)*(Data_Input!$8:$8=$B362), 0)), 0) + 1, MATCH(1, (Data_Input!$7:$7=$F$3)*(Data_Input!$8:$8=$B362), 0)),"")</f>
        <v/>
      </c>
      <c r="H362" s="20" t="str" cm="1">
        <f t="array" ref="H362">IFERROR(INDEX(Data_Input!$A$1:$ZZ$502, MATCH("매입금액", INDEX(Data_Input!$A$1:$ZZ$502, 0, MATCH(1, (Data_Input!$7:$7=$F$3)*(Data_Input!$8:$8=$B362), 0)), 0) + 1, MATCH(1, (Data_Input!$7:$7=$F$3)*(Data_Input!$8:$8=$B362), 0)),"")</f>
        <v/>
      </c>
      <c r="I362" s="20" t="str" cm="1">
        <f t="array" ref="I362">IFERROR(INDEX(Data_Input!$A$1:$ZZ$502, MATCH("평가금액", INDEX(Data_Input!$A$1:$ZZ$502, 0, MATCH(1, (Data_Input!$7:$7=$F$3)*(Data_Input!$8:$8=$B362), 0)), 0) + 1, MATCH(1, (Data_Input!$7:$7=$F$3)*(Data_Input!$8:$8=$B362), 0)),"")</f>
        <v/>
      </c>
      <c r="J362" s="20" t="str" cm="1">
        <f t="array" ref="J362">IFERROR(INDEX(Data_Input!$A$1:$ZZ$502, MATCH("평가손익", INDEX(Data_Input!$A$1:$ZZ$502, 0, MATCH(1, (Data_Input!$7:$7=$F$3)*(Data_Input!$8:$8=$B362), 0)), 0) + 1, MATCH(1, (Data_Input!$7:$7=$F$3)*(Data_Input!$8:$8=$B362), 0)),"")</f>
        <v/>
      </c>
      <c r="K362" s="14" t="str" cm="1">
        <f t="array" ref="K362">IFERROR(INDEX(Data_Input!$A$1:$ZZ$502, MATCH("총수익률", INDEX(Data_Input!$A$1:$ZZ$502, 0, MATCH(1, (Data_Input!$7:$7=$F$3)*(Data_Input!$8:$8=$B362), 0)), 0) + 1, MATCH(1, (Data_Input!$7:$7=$F$3)*(Data_Input!$8:$8=$B362), 0)),"")</f>
        <v/>
      </c>
      <c r="L362" t="str" cm="1">
        <f t="array" ref="L362">IFERROR(_xlfn.LET(
    _xlpm.targetDate, B362,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63" spans="1:12" x14ac:dyDescent="0.3">
      <c r="A363" s="16" t="str">
        <f t="shared" si="10"/>
        <v/>
      </c>
      <c r="B363" s="19"/>
      <c r="C363" s="17" t="str">
        <f t="shared" si="11"/>
        <v/>
      </c>
      <c r="D363" s="29" t="str" cm="1">
        <f t="array" ref="D363">IFERROR(INDEX(Data_Input!$10:$10,MATCH(1,(Data_Input!$7:$7=$F$3)*(Data_Input!$8:$8=$B363),0)),"")</f>
        <v/>
      </c>
      <c r="E363" s="29" t="str" cm="1">
        <f t="array" ref="E363">IFERROR(INDEX(Data_Input!$1:$100, 9, MATCH(1, (Data_Input!$7:$7=$F$3) * (Data_Input!$8:$8=$B363), 0)),"")</f>
        <v/>
      </c>
      <c r="F363" s="20" t="str" cm="1">
        <f t="array" ref="F363">IFERROR(INDEX(Data_Input!$A$1:$ZZ$502, MATCH("예수금", INDEX(Data_Input!$A$1:$ZZ$502, 0, MATCH(1, (Data_Input!$7:$7=$F$3)*(Data_Input!$8:$8=$B363), 0)), 0) + 1, MATCH(1, (Data_Input!$7:$7=$F$3)*(Data_Input!$8:$8=$B363), 0)),"")</f>
        <v/>
      </c>
      <c r="G363" s="20" t="str" cm="1">
        <f t="array" ref="G363">IFERROR(INDEX(Data_Input!$A$1:$ZZ$502, MATCH("총자산", INDEX(Data_Input!$A$1:$ZZ$502, 0, MATCH(1, (Data_Input!$7:$7=$F$3)*(Data_Input!$8:$8=$B363), 0)), 0) + 1, MATCH(1, (Data_Input!$7:$7=$F$3)*(Data_Input!$8:$8=$B363), 0)),"")</f>
        <v/>
      </c>
      <c r="H363" s="20" t="str" cm="1">
        <f t="array" ref="H363">IFERROR(INDEX(Data_Input!$A$1:$ZZ$502, MATCH("매입금액", INDEX(Data_Input!$A$1:$ZZ$502, 0, MATCH(1, (Data_Input!$7:$7=$F$3)*(Data_Input!$8:$8=$B363), 0)), 0) + 1, MATCH(1, (Data_Input!$7:$7=$F$3)*(Data_Input!$8:$8=$B363), 0)),"")</f>
        <v/>
      </c>
      <c r="I363" s="20" t="str" cm="1">
        <f t="array" ref="I363">IFERROR(INDEX(Data_Input!$A$1:$ZZ$502, MATCH("평가금액", INDEX(Data_Input!$A$1:$ZZ$502, 0, MATCH(1, (Data_Input!$7:$7=$F$3)*(Data_Input!$8:$8=$B363), 0)), 0) + 1, MATCH(1, (Data_Input!$7:$7=$F$3)*(Data_Input!$8:$8=$B363), 0)),"")</f>
        <v/>
      </c>
      <c r="J363" s="20" t="str" cm="1">
        <f t="array" ref="J363">IFERROR(INDEX(Data_Input!$A$1:$ZZ$502, MATCH("평가손익", INDEX(Data_Input!$A$1:$ZZ$502, 0, MATCH(1, (Data_Input!$7:$7=$F$3)*(Data_Input!$8:$8=$B363), 0)), 0) + 1, MATCH(1, (Data_Input!$7:$7=$F$3)*(Data_Input!$8:$8=$B363), 0)),"")</f>
        <v/>
      </c>
      <c r="K363" s="14" t="str" cm="1">
        <f t="array" ref="K363">IFERROR(INDEX(Data_Input!$A$1:$ZZ$502, MATCH("총수익률", INDEX(Data_Input!$A$1:$ZZ$502, 0, MATCH(1, (Data_Input!$7:$7=$F$3)*(Data_Input!$8:$8=$B363), 0)), 0) + 1, MATCH(1, (Data_Input!$7:$7=$F$3)*(Data_Input!$8:$8=$B363), 0)),"")</f>
        <v/>
      </c>
      <c r="L363" t="str" cm="1">
        <f t="array" ref="L363">IFERROR(_xlfn.LET(
    _xlpm.targetDate, B363,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64" spans="1:12" x14ac:dyDescent="0.3">
      <c r="A364" s="16" t="str">
        <f t="shared" si="10"/>
        <v/>
      </c>
      <c r="B364" s="19"/>
      <c r="C364" s="17" t="str">
        <f t="shared" si="11"/>
        <v/>
      </c>
      <c r="D364" s="29" t="str" cm="1">
        <f t="array" ref="D364">IFERROR(INDEX(Data_Input!$10:$10,MATCH(1,(Data_Input!$7:$7=$F$3)*(Data_Input!$8:$8=$B364),0)),"")</f>
        <v/>
      </c>
      <c r="E364" s="29" t="str" cm="1">
        <f t="array" ref="E364">IFERROR(INDEX(Data_Input!$1:$100, 9, MATCH(1, (Data_Input!$7:$7=$F$3) * (Data_Input!$8:$8=$B364), 0)),"")</f>
        <v/>
      </c>
      <c r="F364" s="20" t="str" cm="1">
        <f t="array" ref="F364">IFERROR(INDEX(Data_Input!$A$1:$ZZ$502, MATCH("예수금", INDEX(Data_Input!$A$1:$ZZ$502, 0, MATCH(1, (Data_Input!$7:$7=$F$3)*(Data_Input!$8:$8=$B364), 0)), 0) + 1, MATCH(1, (Data_Input!$7:$7=$F$3)*(Data_Input!$8:$8=$B364), 0)),"")</f>
        <v/>
      </c>
      <c r="G364" s="20" t="str" cm="1">
        <f t="array" ref="G364">IFERROR(INDEX(Data_Input!$A$1:$ZZ$502, MATCH("총자산", INDEX(Data_Input!$A$1:$ZZ$502, 0, MATCH(1, (Data_Input!$7:$7=$F$3)*(Data_Input!$8:$8=$B364), 0)), 0) + 1, MATCH(1, (Data_Input!$7:$7=$F$3)*(Data_Input!$8:$8=$B364), 0)),"")</f>
        <v/>
      </c>
      <c r="H364" s="20" t="str" cm="1">
        <f t="array" ref="H364">IFERROR(INDEX(Data_Input!$A$1:$ZZ$502, MATCH("매입금액", INDEX(Data_Input!$A$1:$ZZ$502, 0, MATCH(1, (Data_Input!$7:$7=$F$3)*(Data_Input!$8:$8=$B364), 0)), 0) + 1, MATCH(1, (Data_Input!$7:$7=$F$3)*(Data_Input!$8:$8=$B364), 0)),"")</f>
        <v/>
      </c>
      <c r="I364" s="20" t="str" cm="1">
        <f t="array" ref="I364">IFERROR(INDEX(Data_Input!$A$1:$ZZ$502, MATCH("평가금액", INDEX(Data_Input!$A$1:$ZZ$502, 0, MATCH(1, (Data_Input!$7:$7=$F$3)*(Data_Input!$8:$8=$B364), 0)), 0) + 1, MATCH(1, (Data_Input!$7:$7=$F$3)*(Data_Input!$8:$8=$B364), 0)),"")</f>
        <v/>
      </c>
      <c r="J364" s="20" t="str" cm="1">
        <f t="array" ref="J364">IFERROR(INDEX(Data_Input!$A$1:$ZZ$502, MATCH("평가손익", INDEX(Data_Input!$A$1:$ZZ$502, 0, MATCH(1, (Data_Input!$7:$7=$F$3)*(Data_Input!$8:$8=$B364), 0)), 0) + 1, MATCH(1, (Data_Input!$7:$7=$F$3)*(Data_Input!$8:$8=$B364), 0)),"")</f>
        <v/>
      </c>
      <c r="K364" s="14" t="str" cm="1">
        <f t="array" ref="K364">IFERROR(INDEX(Data_Input!$A$1:$ZZ$502, MATCH("총수익률", INDEX(Data_Input!$A$1:$ZZ$502, 0, MATCH(1, (Data_Input!$7:$7=$F$3)*(Data_Input!$8:$8=$B364), 0)), 0) + 1, MATCH(1, (Data_Input!$7:$7=$F$3)*(Data_Input!$8:$8=$B364), 0)),"")</f>
        <v/>
      </c>
      <c r="L364" t="str" cm="1">
        <f t="array" ref="L364">IFERROR(_xlfn.LET(
    _xlpm.targetDate, B364,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65" spans="1:12" x14ac:dyDescent="0.3">
      <c r="A365" s="16" t="str">
        <f t="shared" si="10"/>
        <v/>
      </c>
      <c r="B365" s="19"/>
      <c r="C365" s="17" t="str">
        <f t="shared" si="11"/>
        <v/>
      </c>
      <c r="D365" s="29" t="str" cm="1">
        <f t="array" ref="D365">IFERROR(INDEX(Data_Input!$10:$10,MATCH(1,(Data_Input!$7:$7=$F$3)*(Data_Input!$8:$8=$B365),0)),"")</f>
        <v/>
      </c>
      <c r="E365" s="29" t="str" cm="1">
        <f t="array" ref="E365">IFERROR(INDEX(Data_Input!$1:$100, 9, MATCH(1, (Data_Input!$7:$7=$F$3) * (Data_Input!$8:$8=$B365), 0)),"")</f>
        <v/>
      </c>
      <c r="F365" s="20" t="str" cm="1">
        <f t="array" ref="F365">IFERROR(INDEX(Data_Input!$A$1:$ZZ$502, MATCH("예수금", INDEX(Data_Input!$A$1:$ZZ$502, 0, MATCH(1, (Data_Input!$7:$7=$F$3)*(Data_Input!$8:$8=$B365), 0)), 0) + 1, MATCH(1, (Data_Input!$7:$7=$F$3)*(Data_Input!$8:$8=$B365), 0)),"")</f>
        <v/>
      </c>
      <c r="G365" s="20" t="str" cm="1">
        <f t="array" ref="G365">IFERROR(INDEX(Data_Input!$A$1:$ZZ$502, MATCH("총자산", INDEX(Data_Input!$A$1:$ZZ$502, 0, MATCH(1, (Data_Input!$7:$7=$F$3)*(Data_Input!$8:$8=$B365), 0)), 0) + 1, MATCH(1, (Data_Input!$7:$7=$F$3)*(Data_Input!$8:$8=$B365), 0)),"")</f>
        <v/>
      </c>
      <c r="H365" s="20" t="str" cm="1">
        <f t="array" ref="H365">IFERROR(INDEX(Data_Input!$A$1:$ZZ$502, MATCH("매입금액", INDEX(Data_Input!$A$1:$ZZ$502, 0, MATCH(1, (Data_Input!$7:$7=$F$3)*(Data_Input!$8:$8=$B365), 0)), 0) + 1, MATCH(1, (Data_Input!$7:$7=$F$3)*(Data_Input!$8:$8=$B365), 0)),"")</f>
        <v/>
      </c>
      <c r="I365" s="20" t="str" cm="1">
        <f t="array" ref="I365">IFERROR(INDEX(Data_Input!$A$1:$ZZ$502, MATCH("평가금액", INDEX(Data_Input!$A$1:$ZZ$502, 0, MATCH(1, (Data_Input!$7:$7=$F$3)*(Data_Input!$8:$8=$B365), 0)), 0) + 1, MATCH(1, (Data_Input!$7:$7=$F$3)*(Data_Input!$8:$8=$B365), 0)),"")</f>
        <v/>
      </c>
      <c r="J365" s="20" t="str" cm="1">
        <f t="array" ref="J365">IFERROR(INDEX(Data_Input!$A$1:$ZZ$502, MATCH("평가손익", INDEX(Data_Input!$A$1:$ZZ$502, 0, MATCH(1, (Data_Input!$7:$7=$F$3)*(Data_Input!$8:$8=$B365), 0)), 0) + 1, MATCH(1, (Data_Input!$7:$7=$F$3)*(Data_Input!$8:$8=$B365), 0)),"")</f>
        <v/>
      </c>
      <c r="K365" s="14" t="str" cm="1">
        <f t="array" ref="K365">IFERROR(INDEX(Data_Input!$A$1:$ZZ$502, MATCH("총수익률", INDEX(Data_Input!$A$1:$ZZ$502, 0, MATCH(1, (Data_Input!$7:$7=$F$3)*(Data_Input!$8:$8=$B365), 0)), 0) + 1, MATCH(1, (Data_Input!$7:$7=$F$3)*(Data_Input!$8:$8=$B365), 0)),"")</f>
        <v/>
      </c>
      <c r="L365" t="str" cm="1">
        <f t="array" ref="L365">IFERROR(_xlfn.LET(
    _xlpm.targetDate, B365,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66" spans="1:12" x14ac:dyDescent="0.3">
      <c r="A366" s="16" t="str">
        <f t="shared" si="10"/>
        <v/>
      </c>
      <c r="B366" s="19"/>
      <c r="C366" s="17" t="str">
        <f t="shared" si="11"/>
        <v/>
      </c>
      <c r="D366" s="29" t="str" cm="1">
        <f t="array" ref="D366">IFERROR(INDEX(Data_Input!$10:$10,MATCH(1,(Data_Input!$7:$7=$F$3)*(Data_Input!$8:$8=$B366),0)),"")</f>
        <v/>
      </c>
      <c r="E366" s="29" t="str" cm="1">
        <f t="array" ref="E366">IFERROR(INDEX(Data_Input!$1:$100, 9, MATCH(1, (Data_Input!$7:$7=$F$3) * (Data_Input!$8:$8=$B366), 0)),"")</f>
        <v/>
      </c>
      <c r="F366" s="20" t="str" cm="1">
        <f t="array" ref="F366">IFERROR(INDEX(Data_Input!$A$1:$ZZ$502, MATCH("예수금", INDEX(Data_Input!$A$1:$ZZ$502, 0, MATCH(1, (Data_Input!$7:$7=$F$3)*(Data_Input!$8:$8=$B366), 0)), 0) + 1, MATCH(1, (Data_Input!$7:$7=$F$3)*(Data_Input!$8:$8=$B366), 0)),"")</f>
        <v/>
      </c>
      <c r="G366" s="20" t="str" cm="1">
        <f t="array" ref="G366">IFERROR(INDEX(Data_Input!$A$1:$ZZ$502, MATCH("총자산", INDEX(Data_Input!$A$1:$ZZ$502, 0, MATCH(1, (Data_Input!$7:$7=$F$3)*(Data_Input!$8:$8=$B366), 0)), 0) + 1, MATCH(1, (Data_Input!$7:$7=$F$3)*(Data_Input!$8:$8=$B366), 0)),"")</f>
        <v/>
      </c>
      <c r="H366" s="20" t="str" cm="1">
        <f t="array" ref="H366">IFERROR(INDEX(Data_Input!$A$1:$ZZ$502, MATCH("매입금액", INDEX(Data_Input!$A$1:$ZZ$502, 0, MATCH(1, (Data_Input!$7:$7=$F$3)*(Data_Input!$8:$8=$B366), 0)), 0) + 1, MATCH(1, (Data_Input!$7:$7=$F$3)*(Data_Input!$8:$8=$B366), 0)),"")</f>
        <v/>
      </c>
      <c r="I366" s="20" t="str" cm="1">
        <f t="array" ref="I366">IFERROR(INDEX(Data_Input!$A$1:$ZZ$502, MATCH("평가금액", INDEX(Data_Input!$A$1:$ZZ$502, 0, MATCH(1, (Data_Input!$7:$7=$F$3)*(Data_Input!$8:$8=$B366), 0)), 0) + 1, MATCH(1, (Data_Input!$7:$7=$F$3)*(Data_Input!$8:$8=$B366), 0)),"")</f>
        <v/>
      </c>
      <c r="J366" s="20" t="str" cm="1">
        <f t="array" ref="J366">IFERROR(INDEX(Data_Input!$A$1:$ZZ$502, MATCH("평가손익", INDEX(Data_Input!$A$1:$ZZ$502, 0, MATCH(1, (Data_Input!$7:$7=$F$3)*(Data_Input!$8:$8=$B366), 0)), 0) + 1, MATCH(1, (Data_Input!$7:$7=$F$3)*(Data_Input!$8:$8=$B366), 0)),"")</f>
        <v/>
      </c>
      <c r="K366" s="14" t="str" cm="1">
        <f t="array" ref="K366">IFERROR(INDEX(Data_Input!$A$1:$ZZ$502, MATCH("총수익률", INDEX(Data_Input!$A$1:$ZZ$502, 0, MATCH(1, (Data_Input!$7:$7=$F$3)*(Data_Input!$8:$8=$B366), 0)), 0) + 1, MATCH(1, (Data_Input!$7:$7=$F$3)*(Data_Input!$8:$8=$B366), 0)),"")</f>
        <v/>
      </c>
      <c r="L366" t="str" cm="1">
        <f t="array" ref="L366">IFERROR(_xlfn.LET(
    _xlpm.targetDate, B366,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67" spans="1:12" x14ac:dyDescent="0.3">
      <c r="A367" s="16" t="str">
        <f t="shared" si="10"/>
        <v/>
      </c>
      <c r="B367" s="19"/>
      <c r="C367" s="17" t="str">
        <f t="shared" si="11"/>
        <v/>
      </c>
      <c r="D367" s="29" t="str" cm="1">
        <f t="array" ref="D367">IFERROR(INDEX(Data_Input!$10:$10,MATCH(1,(Data_Input!$7:$7=$F$3)*(Data_Input!$8:$8=$B367),0)),"")</f>
        <v/>
      </c>
      <c r="E367" s="29" t="str" cm="1">
        <f t="array" ref="E367">IFERROR(INDEX(Data_Input!$1:$100, 9, MATCH(1, (Data_Input!$7:$7=$F$3) * (Data_Input!$8:$8=$B367), 0)),"")</f>
        <v/>
      </c>
      <c r="F367" s="20" t="str" cm="1">
        <f t="array" ref="F367">IFERROR(INDEX(Data_Input!$A$1:$ZZ$502, MATCH("예수금", INDEX(Data_Input!$A$1:$ZZ$502, 0, MATCH(1, (Data_Input!$7:$7=$F$3)*(Data_Input!$8:$8=$B367), 0)), 0) + 1, MATCH(1, (Data_Input!$7:$7=$F$3)*(Data_Input!$8:$8=$B367), 0)),"")</f>
        <v/>
      </c>
      <c r="G367" s="20" t="str" cm="1">
        <f t="array" ref="G367">IFERROR(INDEX(Data_Input!$A$1:$ZZ$502, MATCH("총자산", INDEX(Data_Input!$A$1:$ZZ$502, 0, MATCH(1, (Data_Input!$7:$7=$F$3)*(Data_Input!$8:$8=$B367), 0)), 0) + 1, MATCH(1, (Data_Input!$7:$7=$F$3)*(Data_Input!$8:$8=$B367), 0)),"")</f>
        <v/>
      </c>
      <c r="H367" s="20" t="str" cm="1">
        <f t="array" ref="H367">IFERROR(INDEX(Data_Input!$A$1:$ZZ$502, MATCH("매입금액", INDEX(Data_Input!$A$1:$ZZ$502, 0, MATCH(1, (Data_Input!$7:$7=$F$3)*(Data_Input!$8:$8=$B367), 0)), 0) + 1, MATCH(1, (Data_Input!$7:$7=$F$3)*(Data_Input!$8:$8=$B367), 0)),"")</f>
        <v/>
      </c>
      <c r="I367" s="20" t="str" cm="1">
        <f t="array" ref="I367">IFERROR(INDEX(Data_Input!$A$1:$ZZ$502, MATCH("평가금액", INDEX(Data_Input!$A$1:$ZZ$502, 0, MATCH(1, (Data_Input!$7:$7=$F$3)*(Data_Input!$8:$8=$B367), 0)), 0) + 1, MATCH(1, (Data_Input!$7:$7=$F$3)*(Data_Input!$8:$8=$B367), 0)),"")</f>
        <v/>
      </c>
      <c r="J367" s="20" t="str" cm="1">
        <f t="array" ref="J367">IFERROR(INDEX(Data_Input!$A$1:$ZZ$502, MATCH("평가손익", INDEX(Data_Input!$A$1:$ZZ$502, 0, MATCH(1, (Data_Input!$7:$7=$F$3)*(Data_Input!$8:$8=$B367), 0)), 0) + 1, MATCH(1, (Data_Input!$7:$7=$F$3)*(Data_Input!$8:$8=$B367), 0)),"")</f>
        <v/>
      </c>
      <c r="K367" s="14" t="str" cm="1">
        <f t="array" ref="K367">IFERROR(INDEX(Data_Input!$A$1:$ZZ$502, MATCH("총수익률", INDEX(Data_Input!$A$1:$ZZ$502, 0, MATCH(1, (Data_Input!$7:$7=$F$3)*(Data_Input!$8:$8=$B367), 0)), 0) + 1, MATCH(1, (Data_Input!$7:$7=$F$3)*(Data_Input!$8:$8=$B367), 0)),"")</f>
        <v/>
      </c>
      <c r="L367" t="str" cm="1">
        <f t="array" ref="L367">IFERROR(_xlfn.LET(
    _xlpm.targetDate, B367,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68" spans="1:12" x14ac:dyDescent="0.3">
      <c r="A368" s="16" t="str">
        <f t="shared" si="10"/>
        <v/>
      </c>
      <c r="B368" s="19"/>
      <c r="C368" s="17" t="str">
        <f t="shared" si="11"/>
        <v/>
      </c>
      <c r="D368" s="29" t="str" cm="1">
        <f t="array" ref="D368">IFERROR(INDEX(Data_Input!$10:$10,MATCH(1,(Data_Input!$7:$7=$F$3)*(Data_Input!$8:$8=$B368),0)),"")</f>
        <v/>
      </c>
      <c r="E368" s="29" t="str" cm="1">
        <f t="array" ref="E368">IFERROR(INDEX(Data_Input!$1:$100, 9, MATCH(1, (Data_Input!$7:$7=$F$3) * (Data_Input!$8:$8=$B368), 0)),"")</f>
        <v/>
      </c>
      <c r="F368" s="20" t="str" cm="1">
        <f t="array" ref="F368">IFERROR(INDEX(Data_Input!$A$1:$ZZ$502, MATCH("예수금", INDEX(Data_Input!$A$1:$ZZ$502, 0, MATCH(1, (Data_Input!$7:$7=$F$3)*(Data_Input!$8:$8=$B368), 0)), 0) + 1, MATCH(1, (Data_Input!$7:$7=$F$3)*(Data_Input!$8:$8=$B368), 0)),"")</f>
        <v/>
      </c>
      <c r="G368" s="20" t="str" cm="1">
        <f t="array" ref="G368">IFERROR(INDEX(Data_Input!$A$1:$ZZ$502, MATCH("총자산", INDEX(Data_Input!$A$1:$ZZ$502, 0, MATCH(1, (Data_Input!$7:$7=$F$3)*(Data_Input!$8:$8=$B368), 0)), 0) + 1, MATCH(1, (Data_Input!$7:$7=$F$3)*(Data_Input!$8:$8=$B368), 0)),"")</f>
        <v/>
      </c>
      <c r="H368" s="20" t="str" cm="1">
        <f t="array" ref="H368">IFERROR(INDEX(Data_Input!$A$1:$ZZ$502, MATCH("매입금액", INDEX(Data_Input!$A$1:$ZZ$502, 0, MATCH(1, (Data_Input!$7:$7=$F$3)*(Data_Input!$8:$8=$B368), 0)), 0) + 1, MATCH(1, (Data_Input!$7:$7=$F$3)*(Data_Input!$8:$8=$B368), 0)),"")</f>
        <v/>
      </c>
      <c r="I368" s="20" t="str" cm="1">
        <f t="array" ref="I368">IFERROR(INDEX(Data_Input!$A$1:$ZZ$502, MATCH("평가금액", INDEX(Data_Input!$A$1:$ZZ$502, 0, MATCH(1, (Data_Input!$7:$7=$F$3)*(Data_Input!$8:$8=$B368), 0)), 0) + 1, MATCH(1, (Data_Input!$7:$7=$F$3)*(Data_Input!$8:$8=$B368), 0)),"")</f>
        <v/>
      </c>
      <c r="J368" s="20" t="str" cm="1">
        <f t="array" ref="J368">IFERROR(INDEX(Data_Input!$A$1:$ZZ$502, MATCH("평가손익", INDEX(Data_Input!$A$1:$ZZ$502, 0, MATCH(1, (Data_Input!$7:$7=$F$3)*(Data_Input!$8:$8=$B368), 0)), 0) + 1, MATCH(1, (Data_Input!$7:$7=$F$3)*(Data_Input!$8:$8=$B368), 0)),"")</f>
        <v/>
      </c>
      <c r="K368" s="14" t="str" cm="1">
        <f t="array" ref="K368">IFERROR(INDEX(Data_Input!$A$1:$ZZ$502, MATCH("총수익률", INDEX(Data_Input!$A$1:$ZZ$502, 0, MATCH(1, (Data_Input!$7:$7=$F$3)*(Data_Input!$8:$8=$B368), 0)), 0) + 1, MATCH(1, (Data_Input!$7:$7=$F$3)*(Data_Input!$8:$8=$B368), 0)),"")</f>
        <v/>
      </c>
      <c r="L368" t="str" cm="1">
        <f t="array" ref="L368">IFERROR(_xlfn.LET(
    _xlpm.targetDate, B368,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69" spans="1:12" x14ac:dyDescent="0.3">
      <c r="A369" s="16" t="str">
        <f t="shared" si="10"/>
        <v/>
      </c>
      <c r="B369" s="19"/>
      <c r="C369" s="17" t="str">
        <f t="shared" si="11"/>
        <v/>
      </c>
      <c r="D369" s="29" t="str" cm="1">
        <f t="array" ref="D369">IFERROR(INDEX(Data_Input!$10:$10,MATCH(1,(Data_Input!$7:$7=$F$3)*(Data_Input!$8:$8=$B369),0)),"")</f>
        <v/>
      </c>
      <c r="E369" s="29" t="str" cm="1">
        <f t="array" ref="E369">IFERROR(INDEX(Data_Input!$1:$100, 9, MATCH(1, (Data_Input!$7:$7=$F$3) * (Data_Input!$8:$8=$B369), 0)),"")</f>
        <v/>
      </c>
      <c r="F369" s="20" t="str" cm="1">
        <f t="array" ref="F369">IFERROR(INDEX(Data_Input!$A$1:$ZZ$502, MATCH("예수금", INDEX(Data_Input!$A$1:$ZZ$502, 0, MATCH(1, (Data_Input!$7:$7=$F$3)*(Data_Input!$8:$8=$B369), 0)), 0) + 1, MATCH(1, (Data_Input!$7:$7=$F$3)*(Data_Input!$8:$8=$B369), 0)),"")</f>
        <v/>
      </c>
      <c r="G369" s="20" t="str" cm="1">
        <f t="array" ref="G369">IFERROR(INDEX(Data_Input!$A$1:$ZZ$502, MATCH("총자산", INDEX(Data_Input!$A$1:$ZZ$502, 0, MATCH(1, (Data_Input!$7:$7=$F$3)*(Data_Input!$8:$8=$B369), 0)), 0) + 1, MATCH(1, (Data_Input!$7:$7=$F$3)*(Data_Input!$8:$8=$B369), 0)),"")</f>
        <v/>
      </c>
      <c r="H369" s="20" t="str" cm="1">
        <f t="array" ref="H369">IFERROR(INDEX(Data_Input!$A$1:$ZZ$502, MATCH("매입금액", INDEX(Data_Input!$A$1:$ZZ$502, 0, MATCH(1, (Data_Input!$7:$7=$F$3)*(Data_Input!$8:$8=$B369), 0)), 0) + 1, MATCH(1, (Data_Input!$7:$7=$F$3)*(Data_Input!$8:$8=$B369), 0)),"")</f>
        <v/>
      </c>
      <c r="I369" s="20" t="str" cm="1">
        <f t="array" ref="I369">IFERROR(INDEX(Data_Input!$A$1:$ZZ$502, MATCH("평가금액", INDEX(Data_Input!$A$1:$ZZ$502, 0, MATCH(1, (Data_Input!$7:$7=$F$3)*(Data_Input!$8:$8=$B369), 0)), 0) + 1, MATCH(1, (Data_Input!$7:$7=$F$3)*(Data_Input!$8:$8=$B369), 0)),"")</f>
        <v/>
      </c>
      <c r="J369" s="20" t="str" cm="1">
        <f t="array" ref="J369">IFERROR(INDEX(Data_Input!$A$1:$ZZ$502, MATCH("평가손익", INDEX(Data_Input!$A$1:$ZZ$502, 0, MATCH(1, (Data_Input!$7:$7=$F$3)*(Data_Input!$8:$8=$B369), 0)), 0) + 1, MATCH(1, (Data_Input!$7:$7=$F$3)*(Data_Input!$8:$8=$B369), 0)),"")</f>
        <v/>
      </c>
      <c r="K369" s="14" t="str" cm="1">
        <f t="array" ref="K369">IFERROR(INDEX(Data_Input!$A$1:$ZZ$502, MATCH("총수익률", INDEX(Data_Input!$A$1:$ZZ$502, 0, MATCH(1, (Data_Input!$7:$7=$F$3)*(Data_Input!$8:$8=$B369), 0)), 0) + 1, MATCH(1, (Data_Input!$7:$7=$F$3)*(Data_Input!$8:$8=$B369), 0)),"")</f>
        <v/>
      </c>
      <c r="L369" t="str" cm="1">
        <f t="array" ref="L369">IFERROR(_xlfn.LET(
    _xlpm.targetDate, B369,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70" spans="1:12" x14ac:dyDescent="0.3">
      <c r="A370" s="16" t="str">
        <f t="shared" si="10"/>
        <v/>
      </c>
      <c r="B370" s="19"/>
      <c r="C370" s="17" t="str">
        <f t="shared" si="11"/>
        <v/>
      </c>
      <c r="D370" s="29" t="str" cm="1">
        <f t="array" ref="D370">IFERROR(INDEX(Data_Input!$10:$10,MATCH(1,(Data_Input!$7:$7=$F$3)*(Data_Input!$8:$8=$B370),0)),"")</f>
        <v/>
      </c>
      <c r="E370" s="29" t="str" cm="1">
        <f t="array" ref="E370">IFERROR(INDEX(Data_Input!$1:$100, 9, MATCH(1, (Data_Input!$7:$7=$F$3) * (Data_Input!$8:$8=$B370), 0)),"")</f>
        <v/>
      </c>
      <c r="F370" s="20" t="str" cm="1">
        <f t="array" ref="F370">IFERROR(INDEX(Data_Input!$A$1:$ZZ$502, MATCH("예수금", INDEX(Data_Input!$A$1:$ZZ$502, 0, MATCH(1, (Data_Input!$7:$7=$F$3)*(Data_Input!$8:$8=$B370), 0)), 0) + 1, MATCH(1, (Data_Input!$7:$7=$F$3)*(Data_Input!$8:$8=$B370), 0)),"")</f>
        <v/>
      </c>
      <c r="G370" s="20" t="str" cm="1">
        <f t="array" ref="G370">IFERROR(INDEX(Data_Input!$A$1:$ZZ$502, MATCH("총자산", INDEX(Data_Input!$A$1:$ZZ$502, 0, MATCH(1, (Data_Input!$7:$7=$F$3)*(Data_Input!$8:$8=$B370), 0)), 0) + 1, MATCH(1, (Data_Input!$7:$7=$F$3)*(Data_Input!$8:$8=$B370), 0)),"")</f>
        <v/>
      </c>
      <c r="H370" s="20" t="str" cm="1">
        <f t="array" ref="H370">IFERROR(INDEX(Data_Input!$A$1:$ZZ$502, MATCH("매입금액", INDEX(Data_Input!$A$1:$ZZ$502, 0, MATCH(1, (Data_Input!$7:$7=$F$3)*(Data_Input!$8:$8=$B370), 0)), 0) + 1, MATCH(1, (Data_Input!$7:$7=$F$3)*(Data_Input!$8:$8=$B370), 0)),"")</f>
        <v/>
      </c>
      <c r="I370" s="20" t="str" cm="1">
        <f t="array" ref="I370">IFERROR(INDEX(Data_Input!$A$1:$ZZ$502, MATCH("평가금액", INDEX(Data_Input!$A$1:$ZZ$502, 0, MATCH(1, (Data_Input!$7:$7=$F$3)*(Data_Input!$8:$8=$B370), 0)), 0) + 1, MATCH(1, (Data_Input!$7:$7=$F$3)*(Data_Input!$8:$8=$B370), 0)),"")</f>
        <v/>
      </c>
      <c r="J370" s="20" t="str" cm="1">
        <f t="array" ref="J370">IFERROR(INDEX(Data_Input!$A$1:$ZZ$502, MATCH("평가손익", INDEX(Data_Input!$A$1:$ZZ$502, 0, MATCH(1, (Data_Input!$7:$7=$F$3)*(Data_Input!$8:$8=$B370), 0)), 0) + 1, MATCH(1, (Data_Input!$7:$7=$F$3)*(Data_Input!$8:$8=$B370), 0)),"")</f>
        <v/>
      </c>
      <c r="K370" s="14" t="str" cm="1">
        <f t="array" ref="K370">IFERROR(INDEX(Data_Input!$A$1:$ZZ$502, MATCH("총수익률", INDEX(Data_Input!$A$1:$ZZ$502, 0, MATCH(1, (Data_Input!$7:$7=$F$3)*(Data_Input!$8:$8=$B370), 0)), 0) + 1, MATCH(1, (Data_Input!$7:$7=$F$3)*(Data_Input!$8:$8=$B370), 0)),"")</f>
        <v/>
      </c>
      <c r="L370" t="str" cm="1">
        <f t="array" ref="L370">IFERROR(_xlfn.LET(
    _xlpm.targetDate, B370,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71" spans="1:12" x14ac:dyDescent="0.3">
      <c r="A371" s="16" t="str">
        <f t="shared" si="10"/>
        <v/>
      </c>
      <c r="B371" s="19"/>
      <c r="C371" s="17" t="str">
        <f t="shared" si="11"/>
        <v/>
      </c>
      <c r="D371" s="29" t="str" cm="1">
        <f t="array" ref="D371">IFERROR(INDEX(Data_Input!$10:$10,MATCH(1,(Data_Input!$7:$7=$F$3)*(Data_Input!$8:$8=$B371),0)),"")</f>
        <v/>
      </c>
      <c r="E371" s="29" t="str" cm="1">
        <f t="array" ref="E371">IFERROR(INDEX(Data_Input!$1:$100, 9, MATCH(1, (Data_Input!$7:$7=$F$3) * (Data_Input!$8:$8=$B371), 0)),"")</f>
        <v/>
      </c>
      <c r="F371" s="20" t="str" cm="1">
        <f t="array" ref="F371">IFERROR(INDEX(Data_Input!$A$1:$ZZ$502, MATCH("예수금", INDEX(Data_Input!$A$1:$ZZ$502, 0, MATCH(1, (Data_Input!$7:$7=$F$3)*(Data_Input!$8:$8=$B371), 0)), 0) + 1, MATCH(1, (Data_Input!$7:$7=$F$3)*(Data_Input!$8:$8=$B371), 0)),"")</f>
        <v/>
      </c>
      <c r="G371" s="20" t="str" cm="1">
        <f t="array" ref="G371">IFERROR(INDEX(Data_Input!$A$1:$ZZ$502, MATCH("총자산", INDEX(Data_Input!$A$1:$ZZ$502, 0, MATCH(1, (Data_Input!$7:$7=$F$3)*(Data_Input!$8:$8=$B371), 0)), 0) + 1, MATCH(1, (Data_Input!$7:$7=$F$3)*(Data_Input!$8:$8=$B371), 0)),"")</f>
        <v/>
      </c>
      <c r="H371" s="20" t="str" cm="1">
        <f t="array" ref="H371">IFERROR(INDEX(Data_Input!$A$1:$ZZ$502, MATCH("매입금액", INDEX(Data_Input!$A$1:$ZZ$502, 0, MATCH(1, (Data_Input!$7:$7=$F$3)*(Data_Input!$8:$8=$B371), 0)), 0) + 1, MATCH(1, (Data_Input!$7:$7=$F$3)*(Data_Input!$8:$8=$B371), 0)),"")</f>
        <v/>
      </c>
      <c r="I371" s="20" t="str" cm="1">
        <f t="array" ref="I371">IFERROR(INDEX(Data_Input!$A$1:$ZZ$502, MATCH("평가금액", INDEX(Data_Input!$A$1:$ZZ$502, 0, MATCH(1, (Data_Input!$7:$7=$F$3)*(Data_Input!$8:$8=$B371), 0)), 0) + 1, MATCH(1, (Data_Input!$7:$7=$F$3)*(Data_Input!$8:$8=$B371), 0)),"")</f>
        <v/>
      </c>
      <c r="J371" s="20" t="str" cm="1">
        <f t="array" ref="J371">IFERROR(INDEX(Data_Input!$A$1:$ZZ$502, MATCH("평가손익", INDEX(Data_Input!$A$1:$ZZ$502, 0, MATCH(1, (Data_Input!$7:$7=$F$3)*(Data_Input!$8:$8=$B371), 0)), 0) + 1, MATCH(1, (Data_Input!$7:$7=$F$3)*(Data_Input!$8:$8=$B371), 0)),"")</f>
        <v/>
      </c>
      <c r="K371" s="14" t="str" cm="1">
        <f t="array" ref="K371">IFERROR(INDEX(Data_Input!$A$1:$ZZ$502, MATCH("총수익률", INDEX(Data_Input!$A$1:$ZZ$502, 0, MATCH(1, (Data_Input!$7:$7=$F$3)*(Data_Input!$8:$8=$B371), 0)), 0) + 1, MATCH(1, (Data_Input!$7:$7=$F$3)*(Data_Input!$8:$8=$B371), 0)),"")</f>
        <v/>
      </c>
      <c r="L371" t="str" cm="1">
        <f t="array" ref="L371">IFERROR(_xlfn.LET(
    _xlpm.targetDate, B371,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72" spans="1:12" x14ac:dyDescent="0.3">
      <c r="A372" s="16" t="str">
        <f t="shared" si="10"/>
        <v/>
      </c>
      <c r="B372" s="19"/>
      <c r="C372" s="17" t="str">
        <f t="shared" si="11"/>
        <v/>
      </c>
      <c r="D372" s="29" t="str" cm="1">
        <f t="array" ref="D372">IFERROR(INDEX(Data_Input!$10:$10,MATCH(1,(Data_Input!$7:$7=$F$3)*(Data_Input!$8:$8=$B372),0)),"")</f>
        <v/>
      </c>
      <c r="E372" s="29" t="str" cm="1">
        <f t="array" ref="E372">IFERROR(INDEX(Data_Input!$1:$100, 9, MATCH(1, (Data_Input!$7:$7=$F$3) * (Data_Input!$8:$8=$B372), 0)),"")</f>
        <v/>
      </c>
      <c r="F372" s="20" t="str" cm="1">
        <f t="array" ref="F372">IFERROR(INDEX(Data_Input!$A$1:$ZZ$502, MATCH("예수금", INDEX(Data_Input!$A$1:$ZZ$502, 0, MATCH(1, (Data_Input!$7:$7=$F$3)*(Data_Input!$8:$8=$B372), 0)), 0) + 1, MATCH(1, (Data_Input!$7:$7=$F$3)*(Data_Input!$8:$8=$B372), 0)),"")</f>
        <v/>
      </c>
      <c r="G372" s="20" t="str" cm="1">
        <f t="array" ref="G372">IFERROR(INDEX(Data_Input!$A$1:$ZZ$502, MATCH("총자산", INDEX(Data_Input!$A$1:$ZZ$502, 0, MATCH(1, (Data_Input!$7:$7=$F$3)*(Data_Input!$8:$8=$B372), 0)), 0) + 1, MATCH(1, (Data_Input!$7:$7=$F$3)*(Data_Input!$8:$8=$B372), 0)),"")</f>
        <v/>
      </c>
      <c r="H372" s="20" t="str" cm="1">
        <f t="array" ref="H372">IFERROR(INDEX(Data_Input!$A$1:$ZZ$502, MATCH("매입금액", INDEX(Data_Input!$A$1:$ZZ$502, 0, MATCH(1, (Data_Input!$7:$7=$F$3)*(Data_Input!$8:$8=$B372), 0)), 0) + 1, MATCH(1, (Data_Input!$7:$7=$F$3)*(Data_Input!$8:$8=$B372), 0)),"")</f>
        <v/>
      </c>
      <c r="I372" s="20" t="str" cm="1">
        <f t="array" ref="I372">IFERROR(INDEX(Data_Input!$A$1:$ZZ$502, MATCH("평가금액", INDEX(Data_Input!$A$1:$ZZ$502, 0, MATCH(1, (Data_Input!$7:$7=$F$3)*(Data_Input!$8:$8=$B372), 0)), 0) + 1, MATCH(1, (Data_Input!$7:$7=$F$3)*(Data_Input!$8:$8=$B372), 0)),"")</f>
        <v/>
      </c>
      <c r="J372" s="20" t="str" cm="1">
        <f t="array" ref="J372">IFERROR(INDEX(Data_Input!$A$1:$ZZ$502, MATCH("평가손익", INDEX(Data_Input!$A$1:$ZZ$502, 0, MATCH(1, (Data_Input!$7:$7=$F$3)*(Data_Input!$8:$8=$B372), 0)), 0) + 1, MATCH(1, (Data_Input!$7:$7=$F$3)*(Data_Input!$8:$8=$B372), 0)),"")</f>
        <v/>
      </c>
      <c r="K372" s="14" t="str" cm="1">
        <f t="array" ref="K372">IFERROR(INDEX(Data_Input!$A$1:$ZZ$502, MATCH("총수익률", INDEX(Data_Input!$A$1:$ZZ$502, 0, MATCH(1, (Data_Input!$7:$7=$F$3)*(Data_Input!$8:$8=$B372), 0)), 0) + 1, MATCH(1, (Data_Input!$7:$7=$F$3)*(Data_Input!$8:$8=$B372), 0)),"")</f>
        <v/>
      </c>
      <c r="L372" t="str" cm="1">
        <f t="array" ref="L372">IFERROR(_xlfn.LET(
    _xlpm.targetDate, B372,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73" spans="1:12" x14ac:dyDescent="0.3">
      <c r="A373" s="16" t="str">
        <f t="shared" si="10"/>
        <v/>
      </c>
      <c r="B373" s="19"/>
      <c r="C373" s="17" t="str">
        <f t="shared" si="11"/>
        <v/>
      </c>
      <c r="D373" s="29" t="str" cm="1">
        <f t="array" ref="D373">IFERROR(INDEX(Data_Input!$10:$10,MATCH(1,(Data_Input!$7:$7=$F$3)*(Data_Input!$8:$8=$B373),0)),"")</f>
        <v/>
      </c>
      <c r="E373" s="29" t="str" cm="1">
        <f t="array" ref="E373">IFERROR(INDEX(Data_Input!$1:$100, 9, MATCH(1, (Data_Input!$7:$7=$F$3) * (Data_Input!$8:$8=$B373), 0)),"")</f>
        <v/>
      </c>
      <c r="F373" s="20" t="str" cm="1">
        <f t="array" ref="F373">IFERROR(INDEX(Data_Input!$A$1:$ZZ$502, MATCH("예수금", INDEX(Data_Input!$A$1:$ZZ$502, 0, MATCH(1, (Data_Input!$7:$7=$F$3)*(Data_Input!$8:$8=$B373), 0)), 0) + 1, MATCH(1, (Data_Input!$7:$7=$F$3)*(Data_Input!$8:$8=$B373), 0)),"")</f>
        <v/>
      </c>
      <c r="G373" s="20" t="str" cm="1">
        <f t="array" ref="G373">IFERROR(INDEX(Data_Input!$A$1:$ZZ$502, MATCH("총자산", INDEX(Data_Input!$A$1:$ZZ$502, 0, MATCH(1, (Data_Input!$7:$7=$F$3)*(Data_Input!$8:$8=$B373), 0)), 0) + 1, MATCH(1, (Data_Input!$7:$7=$F$3)*(Data_Input!$8:$8=$B373), 0)),"")</f>
        <v/>
      </c>
      <c r="H373" s="20" t="str" cm="1">
        <f t="array" ref="H373">IFERROR(INDEX(Data_Input!$A$1:$ZZ$502, MATCH("매입금액", INDEX(Data_Input!$A$1:$ZZ$502, 0, MATCH(1, (Data_Input!$7:$7=$F$3)*(Data_Input!$8:$8=$B373), 0)), 0) + 1, MATCH(1, (Data_Input!$7:$7=$F$3)*(Data_Input!$8:$8=$B373), 0)),"")</f>
        <v/>
      </c>
      <c r="I373" s="20" t="str" cm="1">
        <f t="array" ref="I373">IFERROR(INDEX(Data_Input!$A$1:$ZZ$502, MATCH("평가금액", INDEX(Data_Input!$A$1:$ZZ$502, 0, MATCH(1, (Data_Input!$7:$7=$F$3)*(Data_Input!$8:$8=$B373), 0)), 0) + 1, MATCH(1, (Data_Input!$7:$7=$F$3)*(Data_Input!$8:$8=$B373), 0)),"")</f>
        <v/>
      </c>
      <c r="J373" s="20" t="str" cm="1">
        <f t="array" ref="J373">IFERROR(INDEX(Data_Input!$A$1:$ZZ$502, MATCH("평가손익", INDEX(Data_Input!$A$1:$ZZ$502, 0, MATCH(1, (Data_Input!$7:$7=$F$3)*(Data_Input!$8:$8=$B373), 0)), 0) + 1, MATCH(1, (Data_Input!$7:$7=$F$3)*(Data_Input!$8:$8=$B373), 0)),"")</f>
        <v/>
      </c>
      <c r="K373" s="14" t="str" cm="1">
        <f t="array" ref="K373">IFERROR(INDEX(Data_Input!$A$1:$ZZ$502, MATCH("총수익률", INDEX(Data_Input!$A$1:$ZZ$502, 0, MATCH(1, (Data_Input!$7:$7=$F$3)*(Data_Input!$8:$8=$B373), 0)), 0) + 1, MATCH(1, (Data_Input!$7:$7=$F$3)*(Data_Input!$8:$8=$B373), 0)),"")</f>
        <v/>
      </c>
      <c r="L373" t="str" cm="1">
        <f t="array" ref="L373">IFERROR(_xlfn.LET(
    _xlpm.targetDate, B373,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74" spans="1:12" x14ac:dyDescent="0.3">
      <c r="A374" s="16" t="str">
        <f t="shared" si="10"/>
        <v/>
      </c>
      <c r="B374" s="19"/>
      <c r="C374" s="17" t="str">
        <f t="shared" si="11"/>
        <v/>
      </c>
      <c r="D374" s="29" t="str" cm="1">
        <f t="array" ref="D374">IFERROR(INDEX(Data_Input!$10:$10,MATCH(1,(Data_Input!$7:$7=$F$3)*(Data_Input!$8:$8=$B374),0)),"")</f>
        <v/>
      </c>
      <c r="E374" s="29" t="str" cm="1">
        <f t="array" ref="E374">IFERROR(INDEX(Data_Input!$1:$100, 9, MATCH(1, (Data_Input!$7:$7=$F$3) * (Data_Input!$8:$8=$B374), 0)),"")</f>
        <v/>
      </c>
      <c r="F374" s="20" t="str" cm="1">
        <f t="array" ref="F374">IFERROR(INDEX(Data_Input!$A$1:$ZZ$502, MATCH("예수금", INDEX(Data_Input!$A$1:$ZZ$502, 0, MATCH(1, (Data_Input!$7:$7=$F$3)*(Data_Input!$8:$8=$B374), 0)), 0) + 1, MATCH(1, (Data_Input!$7:$7=$F$3)*(Data_Input!$8:$8=$B374), 0)),"")</f>
        <v/>
      </c>
      <c r="G374" s="20" t="str" cm="1">
        <f t="array" ref="G374">IFERROR(INDEX(Data_Input!$A$1:$ZZ$502, MATCH("총자산", INDEX(Data_Input!$A$1:$ZZ$502, 0, MATCH(1, (Data_Input!$7:$7=$F$3)*(Data_Input!$8:$8=$B374), 0)), 0) + 1, MATCH(1, (Data_Input!$7:$7=$F$3)*(Data_Input!$8:$8=$B374), 0)),"")</f>
        <v/>
      </c>
      <c r="H374" s="20" t="str" cm="1">
        <f t="array" ref="H374">IFERROR(INDEX(Data_Input!$A$1:$ZZ$502, MATCH("매입금액", INDEX(Data_Input!$A$1:$ZZ$502, 0, MATCH(1, (Data_Input!$7:$7=$F$3)*(Data_Input!$8:$8=$B374), 0)), 0) + 1, MATCH(1, (Data_Input!$7:$7=$F$3)*(Data_Input!$8:$8=$B374), 0)),"")</f>
        <v/>
      </c>
      <c r="I374" s="20" t="str" cm="1">
        <f t="array" ref="I374">IFERROR(INDEX(Data_Input!$A$1:$ZZ$502, MATCH("평가금액", INDEX(Data_Input!$A$1:$ZZ$502, 0, MATCH(1, (Data_Input!$7:$7=$F$3)*(Data_Input!$8:$8=$B374), 0)), 0) + 1, MATCH(1, (Data_Input!$7:$7=$F$3)*(Data_Input!$8:$8=$B374), 0)),"")</f>
        <v/>
      </c>
      <c r="J374" s="20" t="str" cm="1">
        <f t="array" ref="J374">IFERROR(INDEX(Data_Input!$A$1:$ZZ$502, MATCH("평가손익", INDEX(Data_Input!$A$1:$ZZ$502, 0, MATCH(1, (Data_Input!$7:$7=$F$3)*(Data_Input!$8:$8=$B374), 0)), 0) + 1, MATCH(1, (Data_Input!$7:$7=$F$3)*(Data_Input!$8:$8=$B374), 0)),"")</f>
        <v/>
      </c>
      <c r="K374" s="14" t="str" cm="1">
        <f t="array" ref="K374">IFERROR(INDEX(Data_Input!$A$1:$ZZ$502, MATCH("총수익률", INDEX(Data_Input!$A$1:$ZZ$502, 0, MATCH(1, (Data_Input!$7:$7=$F$3)*(Data_Input!$8:$8=$B374), 0)), 0) + 1, MATCH(1, (Data_Input!$7:$7=$F$3)*(Data_Input!$8:$8=$B374), 0)),"")</f>
        <v/>
      </c>
      <c r="L374" t="str" cm="1">
        <f t="array" ref="L374">IFERROR(_xlfn.LET(
    _xlpm.targetDate, B374,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75" spans="1:12" x14ac:dyDescent="0.3">
      <c r="A375" s="16" t="str">
        <f t="shared" si="10"/>
        <v/>
      </c>
      <c r="B375" s="19"/>
      <c r="C375" s="17" t="str">
        <f t="shared" si="11"/>
        <v/>
      </c>
      <c r="D375" s="29" t="str" cm="1">
        <f t="array" ref="D375">IFERROR(INDEX(Data_Input!$10:$10,MATCH(1,(Data_Input!$7:$7=$F$3)*(Data_Input!$8:$8=$B375),0)),"")</f>
        <v/>
      </c>
      <c r="E375" s="29" t="str" cm="1">
        <f t="array" ref="E375">IFERROR(INDEX(Data_Input!$1:$100, 9, MATCH(1, (Data_Input!$7:$7=$F$3) * (Data_Input!$8:$8=$B375), 0)),"")</f>
        <v/>
      </c>
      <c r="F375" s="20" t="str" cm="1">
        <f t="array" ref="F375">IFERROR(INDEX(Data_Input!$A$1:$ZZ$502, MATCH("예수금", INDEX(Data_Input!$A$1:$ZZ$502, 0, MATCH(1, (Data_Input!$7:$7=$F$3)*(Data_Input!$8:$8=$B375), 0)), 0) + 1, MATCH(1, (Data_Input!$7:$7=$F$3)*(Data_Input!$8:$8=$B375), 0)),"")</f>
        <v/>
      </c>
      <c r="G375" s="20" t="str" cm="1">
        <f t="array" ref="G375">IFERROR(INDEX(Data_Input!$A$1:$ZZ$502, MATCH("총자산", INDEX(Data_Input!$A$1:$ZZ$502, 0, MATCH(1, (Data_Input!$7:$7=$F$3)*(Data_Input!$8:$8=$B375), 0)), 0) + 1, MATCH(1, (Data_Input!$7:$7=$F$3)*(Data_Input!$8:$8=$B375), 0)),"")</f>
        <v/>
      </c>
      <c r="H375" s="20" t="str" cm="1">
        <f t="array" ref="H375">IFERROR(INDEX(Data_Input!$A$1:$ZZ$502, MATCH("매입금액", INDEX(Data_Input!$A$1:$ZZ$502, 0, MATCH(1, (Data_Input!$7:$7=$F$3)*(Data_Input!$8:$8=$B375), 0)), 0) + 1, MATCH(1, (Data_Input!$7:$7=$F$3)*(Data_Input!$8:$8=$B375), 0)),"")</f>
        <v/>
      </c>
      <c r="I375" s="20" t="str" cm="1">
        <f t="array" ref="I375">IFERROR(INDEX(Data_Input!$A$1:$ZZ$502, MATCH("평가금액", INDEX(Data_Input!$A$1:$ZZ$502, 0, MATCH(1, (Data_Input!$7:$7=$F$3)*(Data_Input!$8:$8=$B375), 0)), 0) + 1, MATCH(1, (Data_Input!$7:$7=$F$3)*(Data_Input!$8:$8=$B375), 0)),"")</f>
        <v/>
      </c>
      <c r="J375" s="20" t="str" cm="1">
        <f t="array" ref="J375">IFERROR(INDEX(Data_Input!$A$1:$ZZ$502, MATCH("평가손익", INDEX(Data_Input!$A$1:$ZZ$502, 0, MATCH(1, (Data_Input!$7:$7=$F$3)*(Data_Input!$8:$8=$B375), 0)), 0) + 1, MATCH(1, (Data_Input!$7:$7=$F$3)*(Data_Input!$8:$8=$B375), 0)),"")</f>
        <v/>
      </c>
      <c r="K375" s="14" t="str" cm="1">
        <f t="array" ref="K375">IFERROR(INDEX(Data_Input!$A$1:$ZZ$502, MATCH("총수익률", INDEX(Data_Input!$A$1:$ZZ$502, 0, MATCH(1, (Data_Input!$7:$7=$F$3)*(Data_Input!$8:$8=$B375), 0)), 0) + 1, MATCH(1, (Data_Input!$7:$7=$F$3)*(Data_Input!$8:$8=$B375), 0)),"")</f>
        <v/>
      </c>
      <c r="L375" t="str" cm="1">
        <f t="array" ref="L375">IFERROR(_xlfn.LET(
    _xlpm.targetDate, B375,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76" spans="1:12" x14ac:dyDescent="0.3">
      <c r="A376" s="16" t="str">
        <f t="shared" si="10"/>
        <v/>
      </c>
      <c r="B376" s="19"/>
      <c r="C376" s="17" t="str">
        <f t="shared" si="11"/>
        <v/>
      </c>
      <c r="D376" s="29" t="str" cm="1">
        <f t="array" ref="D376">IFERROR(INDEX(Data_Input!$10:$10,MATCH(1,(Data_Input!$7:$7=$F$3)*(Data_Input!$8:$8=$B376),0)),"")</f>
        <v/>
      </c>
      <c r="E376" s="29" t="str" cm="1">
        <f t="array" ref="E376">IFERROR(INDEX(Data_Input!$1:$100, 9, MATCH(1, (Data_Input!$7:$7=$F$3) * (Data_Input!$8:$8=$B376), 0)),"")</f>
        <v/>
      </c>
      <c r="F376" s="20" t="str" cm="1">
        <f t="array" ref="F376">IFERROR(INDEX(Data_Input!$A$1:$ZZ$502, MATCH("예수금", INDEX(Data_Input!$A$1:$ZZ$502, 0, MATCH(1, (Data_Input!$7:$7=$F$3)*(Data_Input!$8:$8=$B376), 0)), 0) + 1, MATCH(1, (Data_Input!$7:$7=$F$3)*(Data_Input!$8:$8=$B376), 0)),"")</f>
        <v/>
      </c>
      <c r="G376" s="20" t="str" cm="1">
        <f t="array" ref="G376">IFERROR(INDEX(Data_Input!$A$1:$ZZ$502, MATCH("총자산", INDEX(Data_Input!$A$1:$ZZ$502, 0, MATCH(1, (Data_Input!$7:$7=$F$3)*(Data_Input!$8:$8=$B376), 0)), 0) + 1, MATCH(1, (Data_Input!$7:$7=$F$3)*(Data_Input!$8:$8=$B376), 0)),"")</f>
        <v/>
      </c>
      <c r="H376" s="20" t="str" cm="1">
        <f t="array" ref="H376">IFERROR(INDEX(Data_Input!$A$1:$ZZ$502, MATCH("매입금액", INDEX(Data_Input!$A$1:$ZZ$502, 0, MATCH(1, (Data_Input!$7:$7=$F$3)*(Data_Input!$8:$8=$B376), 0)), 0) + 1, MATCH(1, (Data_Input!$7:$7=$F$3)*(Data_Input!$8:$8=$B376), 0)),"")</f>
        <v/>
      </c>
      <c r="I376" s="20" t="str" cm="1">
        <f t="array" ref="I376">IFERROR(INDEX(Data_Input!$A$1:$ZZ$502, MATCH("평가금액", INDEX(Data_Input!$A$1:$ZZ$502, 0, MATCH(1, (Data_Input!$7:$7=$F$3)*(Data_Input!$8:$8=$B376), 0)), 0) + 1, MATCH(1, (Data_Input!$7:$7=$F$3)*(Data_Input!$8:$8=$B376), 0)),"")</f>
        <v/>
      </c>
      <c r="J376" s="20" t="str" cm="1">
        <f t="array" ref="J376">IFERROR(INDEX(Data_Input!$A$1:$ZZ$502, MATCH("평가손익", INDEX(Data_Input!$A$1:$ZZ$502, 0, MATCH(1, (Data_Input!$7:$7=$F$3)*(Data_Input!$8:$8=$B376), 0)), 0) + 1, MATCH(1, (Data_Input!$7:$7=$F$3)*(Data_Input!$8:$8=$B376), 0)),"")</f>
        <v/>
      </c>
      <c r="K376" s="14" t="str" cm="1">
        <f t="array" ref="K376">IFERROR(INDEX(Data_Input!$A$1:$ZZ$502, MATCH("총수익률", INDEX(Data_Input!$A$1:$ZZ$502, 0, MATCH(1, (Data_Input!$7:$7=$F$3)*(Data_Input!$8:$8=$B376), 0)), 0) + 1, MATCH(1, (Data_Input!$7:$7=$F$3)*(Data_Input!$8:$8=$B376), 0)),"")</f>
        <v/>
      </c>
      <c r="L376" t="str" cm="1">
        <f t="array" ref="L376">IFERROR(_xlfn.LET(
    _xlpm.targetDate, B376,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77" spans="1:12" x14ac:dyDescent="0.3">
      <c r="A377" s="16" t="str">
        <f t="shared" si="10"/>
        <v/>
      </c>
      <c r="B377" s="19"/>
      <c r="C377" s="17" t="str">
        <f t="shared" si="11"/>
        <v/>
      </c>
      <c r="D377" s="29" t="str" cm="1">
        <f t="array" ref="D377">IFERROR(INDEX(Data_Input!$10:$10,MATCH(1,(Data_Input!$7:$7=$F$3)*(Data_Input!$8:$8=$B377),0)),"")</f>
        <v/>
      </c>
      <c r="E377" s="29" t="str" cm="1">
        <f t="array" ref="E377">IFERROR(INDEX(Data_Input!$1:$100, 9, MATCH(1, (Data_Input!$7:$7=$F$3) * (Data_Input!$8:$8=$B377), 0)),"")</f>
        <v/>
      </c>
      <c r="F377" s="20" t="str" cm="1">
        <f t="array" ref="F377">IFERROR(INDEX(Data_Input!$A$1:$ZZ$502, MATCH("예수금", INDEX(Data_Input!$A$1:$ZZ$502, 0, MATCH(1, (Data_Input!$7:$7=$F$3)*(Data_Input!$8:$8=$B377), 0)), 0) + 1, MATCH(1, (Data_Input!$7:$7=$F$3)*(Data_Input!$8:$8=$B377), 0)),"")</f>
        <v/>
      </c>
      <c r="G377" s="20" t="str" cm="1">
        <f t="array" ref="G377">IFERROR(INDEX(Data_Input!$A$1:$ZZ$502, MATCH("총자산", INDEX(Data_Input!$A$1:$ZZ$502, 0, MATCH(1, (Data_Input!$7:$7=$F$3)*(Data_Input!$8:$8=$B377), 0)), 0) + 1, MATCH(1, (Data_Input!$7:$7=$F$3)*(Data_Input!$8:$8=$B377), 0)),"")</f>
        <v/>
      </c>
      <c r="H377" s="20" t="str" cm="1">
        <f t="array" ref="H377">IFERROR(INDEX(Data_Input!$A$1:$ZZ$502, MATCH("매입금액", INDEX(Data_Input!$A$1:$ZZ$502, 0, MATCH(1, (Data_Input!$7:$7=$F$3)*(Data_Input!$8:$8=$B377), 0)), 0) + 1, MATCH(1, (Data_Input!$7:$7=$F$3)*(Data_Input!$8:$8=$B377), 0)),"")</f>
        <v/>
      </c>
      <c r="I377" s="20" t="str" cm="1">
        <f t="array" ref="I377">IFERROR(INDEX(Data_Input!$A$1:$ZZ$502, MATCH("평가금액", INDEX(Data_Input!$A$1:$ZZ$502, 0, MATCH(1, (Data_Input!$7:$7=$F$3)*(Data_Input!$8:$8=$B377), 0)), 0) + 1, MATCH(1, (Data_Input!$7:$7=$F$3)*(Data_Input!$8:$8=$B377), 0)),"")</f>
        <v/>
      </c>
      <c r="J377" s="20" t="str" cm="1">
        <f t="array" ref="J377">IFERROR(INDEX(Data_Input!$A$1:$ZZ$502, MATCH("평가손익", INDEX(Data_Input!$A$1:$ZZ$502, 0, MATCH(1, (Data_Input!$7:$7=$F$3)*(Data_Input!$8:$8=$B377), 0)), 0) + 1, MATCH(1, (Data_Input!$7:$7=$F$3)*(Data_Input!$8:$8=$B377), 0)),"")</f>
        <v/>
      </c>
      <c r="K377" s="14" t="str" cm="1">
        <f t="array" ref="K377">IFERROR(INDEX(Data_Input!$A$1:$ZZ$502, MATCH("총수익률", INDEX(Data_Input!$A$1:$ZZ$502, 0, MATCH(1, (Data_Input!$7:$7=$F$3)*(Data_Input!$8:$8=$B377), 0)), 0) + 1, MATCH(1, (Data_Input!$7:$7=$F$3)*(Data_Input!$8:$8=$B377), 0)),"")</f>
        <v/>
      </c>
      <c r="L377" t="str" cm="1">
        <f t="array" ref="L377">IFERROR(_xlfn.LET(
    _xlpm.targetDate, B377,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78" spans="1:12" x14ac:dyDescent="0.3">
      <c r="A378" s="16" t="str">
        <f t="shared" si="10"/>
        <v/>
      </c>
      <c r="B378" s="19"/>
      <c r="C378" s="17" t="str">
        <f t="shared" si="11"/>
        <v/>
      </c>
      <c r="D378" s="29" t="str" cm="1">
        <f t="array" ref="D378">IFERROR(INDEX(Data_Input!$10:$10,MATCH(1,(Data_Input!$7:$7=$F$3)*(Data_Input!$8:$8=$B378),0)),"")</f>
        <v/>
      </c>
      <c r="E378" s="29" t="str" cm="1">
        <f t="array" ref="E378">IFERROR(INDEX(Data_Input!$1:$100, 9, MATCH(1, (Data_Input!$7:$7=$F$3) * (Data_Input!$8:$8=$B378), 0)),"")</f>
        <v/>
      </c>
      <c r="F378" s="20" t="str" cm="1">
        <f t="array" ref="F378">IFERROR(INDEX(Data_Input!$A$1:$ZZ$502, MATCH("예수금", INDEX(Data_Input!$A$1:$ZZ$502, 0, MATCH(1, (Data_Input!$7:$7=$F$3)*(Data_Input!$8:$8=$B378), 0)), 0) + 1, MATCH(1, (Data_Input!$7:$7=$F$3)*(Data_Input!$8:$8=$B378), 0)),"")</f>
        <v/>
      </c>
      <c r="G378" s="20" t="str" cm="1">
        <f t="array" ref="G378">IFERROR(INDEX(Data_Input!$A$1:$ZZ$502, MATCH("총자산", INDEX(Data_Input!$A$1:$ZZ$502, 0, MATCH(1, (Data_Input!$7:$7=$F$3)*(Data_Input!$8:$8=$B378), 0)), 0) + 1, MATCH(1, (Data_Input!$7:$7=$F$3)*(Data_Input!$8:$8=$B378), 0)),"")</f>
        <v/>
      </c>
      <c r="H378" s="20" t="str" cm="1">
        <f t="array" ref="H378">IFERROR(INDEX(Data_Input!$A$1:$ZZ$502, MATCH("매입금액", INDEX(Data_Input!$A$1:$ZZ$502, 0, MATCH(1, (Data_Input!$7:$7=$F$3)*(Data_Input!$8:$8=$B378), 0)), 0) + 1, MATCH(1, (Data_Input!$7:$7=$F$3)*(Data_Input!$8:$8=$B378), 0)),"")</f>
        <v/>
      </c>
      <c r="I378" s="20" t="str" cm="1">
        <f t="array" ref="I378">IFERROR(INDEX(Data_Input!$A$1:$ZZ$502, MATCH("평가금액", INDEX(Data_Input!$A$1:$ZZ$502, 0, MATCH(1, (Data_Input!$7:$7=$F$3)*(Data_Input!$8:$8=$B378), 0)), 0) + 1, MATCH(1, (Data_Input!$7:$7=$F$3)*(Data_Input!$8:$8=$B378), 0)),"")</f>
        <v/>
      </c>
      <c r="J378" s="20" t="str" cm="1">
        <f t="array" ref="J378">IFERROR(INDEX(Data_Input!$A$1:$ZZ$502, MATCH("평가손익", INDEX(Data_Input!$A$1:$ZZ$502, 0, MATCH(1, (Data_Input!$7:$7=$F$3)*(Data_Input!$8:$8=$B378), 0)), 0) + 1, MATCH(1, (Data_Input!$7:$7=$F$3)*(Data_Input!$8:$8=$B378), 0)),"")</f>
        <v/>
      </c>
      <c r="K378" s="14" t="str" cm="1">
        <f t="array" ref="K378">IFERROR(INDEX(Data_Input!$A$1:$ZZ$502, MATCH("총수익률", INDEX(Data_Input!$A$1:$ZZ$502, 0, MATCH(1, (Data_Input!$7:$7=$F$3)*(Data_Input!$8:$8=$B378), 0)), 0) + 1, MATCH(1, (Data_Input!$7:$7=$F$3)*(Data_Input!$8:$8=$B378), 0)),"")</f>
        <v/>
      </c>
      <c r="L378" t="str" cm="1">
        <f t="array" ref="L378">IFERROR(_xlfn.LET(
    _xlpm.targetDate, B378,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79" spans="1:12" x14ac:dyDescent="0.3">
      <c r="A379" s="16" t="str">
        <f t="shared" si="10"/>
        <v/>
      </c>
      <c r="B379" s="19"/>
      <c r="C379" s="17" t="str">
        <f t="shared" si="11"/>
        <v/>
      </c>
      <c r="D379" s="29" t="str" cm="1">
        <f t="array" ref="D379">IFERROR(INDEX(Data_Input!$10:$10,MATCH(1,(Data_Input!$7:$7=$F$3)*(Data_Input!$8:$8=$B379),0)),"")</f>
        <v/>
      </c>
      <c r="E379" s="29" t="str" cm="1">
        <f t="array" ref="E379">IFERROR(INDEX(Data_Input!$1:$100, 9, MATCH(1, (Data_Input!$7:$7=$F$3) * (Data_Input!$8:$8=$B379), 0)),"")</f>
        <v/>
      </c>
      <c r="F379" s="20" t="str" cm="1">
        <f t="array" ref="F379">IFERROR(INDEX(Data_Input!$A$1:$ZZ$502, MATCH("예수금", INDEX(Data_Input!$A$1:$ZZ$502, 0, MATCH(1, (Data_Input!$7:$7=$F$3)*(Data_Input!$8:$8=$B379), 0)), 0) + 1, MATCH(1, (Data_Input!$7:$7=$F$3)*(Data_Input!$8:$8=$B379), 0)),"")</f>
        <v/>
      </c>
      <c r="G379" s="20" t="str" cm="1">
        <f t="array" ref="G379">IFERROR(INDEX(Data_Input!$A$1:$ZZ$502, MATCH("총자산", INDEX(Data_Input!$A$1:$ZZ$502, 0, MATCH(1, (Data_Input!$7:$7=$F$3)*(Data_Input!$8:$8=$B379), 0)), 0) + 1, MATCH(1, (Data_Input!$7:$7=$F$3)*(Data_Input!$8:$8=$B379), 0)),"")</f>
        <v/>
      </c>
      <c r="H379" s="20" t="str" cm="1">
        <f t="array" ref="H379">IFERROR(INDEX(Data_Input!$A$1:$ZZ$502, MATCH("매입금액", INDEX(Data_Input!$A$1:$ZZ$502, 0, MATCH(1, (Data_Input!$7:$7=$F$3)*(Data_Input!$8:$8=$B379), 0)), 0) + 1, MATCH(1, (Data_Input!$7:$7=$F$3)*(Data_Input!$8:$8=$B379), 0)),"")</f>
        <v/>
      </c>
      <c r="I379" s="20" t="str" cm="1">
        <f t="array" ref="I379">IFERROR(INDEX(Data_Input!$A$1:$ZZ$502, MATCH("평가금액", INDEX(Data_Input!$A$1:$ZZ$502, 0, MATCH(1, (Data_Input!$7:$7=$F$3)*(Data_Input!$8:$8=$B379), 0)), 0) + 1, MATCH(1, (Data_Input!$7:$7=$F$3)*(Data_Input!$8:$8=$B379), 0)),"")</f>
        <v/>
      </c>
      <c r="J379" s="20" t="str" cm="1">
        <f t="array" ref="J379">IFERROR(INDEX(Data_Input!$A$1:$ZZ$502, MATCH("평가손익", INDEX(Data_Input!$A$1:$ZZ$502, 0, MATCH(1, (Data_Input!$7:$7=$F$3)*(Data_Input!$8:$8=$B379), 0)), 0) + 1, MATCH(1, (Data_Input!$7:$7=$F$3)*(Data_Input!$8:$8=$B379), 0)),"")</f>
        <v/>
      </c>
      <c r="K379" s="14" t="str" cm="1">
        <f t="array" ref="K379">IFERROR(INDEX(Data_Input!$A$1:$ZZ$502, MATCH("총수익률", INDEX(Data_Input!$A$1:$ZZ$502, 0, MATCH(1, (Data_Input!$7:$7=$F$3)*(Data_Input!$8:$8=$B379), 0)), 0) + 1, MATCH(1, (Data_Input!$7:$7=$F$3)*(Data_Input!$8:$8=$B379), 0)),"")</f>
        <v/>
      </c>
      <c r="L379" t="str" cm="1">
        <f t="array" ref="L379">IFERROR(_xlfn.LET(
    _xlpm.targetDate, B379,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80" spans="1:12" x14ac:dyDescent="0.3">
      <c r="A380" s="16" t="str">
        <f t="shared" si="10"/>
        <v/>
      </c>
      <c r="B380" s="19"/>
      <c r="C380" s="17" t="str">
        <f t="shared" si="11"/>
        <v/>
      </c>
      <c r="D380" s="29" t="str" cm="1">
        <f t="array" ref="D380">IFERROR(INDEX(Data_Input!$10:$10,MATCH(1,(Data_Input!$7:$7=$F$3)*(Data_Input!$8:$8=$B380),0)),"")</f>
        <v/>
      </c>
      <c r="E380" s="29" t="str" cm="1">
        <f t="array" ref="E380">IFERROR(INDEX(Data_Input!$1:$100, 9, MATCH(1, (Data_Input!$7:$7=$F$3) * (Data_Input!$8:$8=$B380), 0)),"")</f>
        <v/>
      </c>
      <c r="F380" s="20" t="str" cm="1">
        <f t="array" ref="F380">IFERROR(INDEX(Data_Input!$A$1:$ZZ$502, MATCH("예수금", INDEX(Data_Input!$A$1:$ZZ$502, 0, MATCH(1, (Data_Input!$7:$7=$F$3)*(Data_Input!$8:$8=$B380), 0)), 0) + 1, MATCH(1, (Data_Input!$7:$7=$F$3)*(Data_Input!$8:$8=$B380), 0)),"")</f>
        <v/>
      </c>
      <c r="G380" s="20" t="str" cm="1">
        <f t="array" ref="G380">IFERROR(INDEX(Data_Input!$A$1:$ZZ$502, MATCH("총자산", INDEX(Data_Input!$A$1:$ZZ$502, 0, MATCH(1, (Data_Input!$7:$7=$F$3)*(Data_Input!$8:$8=$B380), 0)), 0) + 1, MATCH(1, (Data_Input!$7:$7=$F$3)*(Data_Input!$8:$8=$B380), 0)),"")</f>
        <v/>
      </c>
      <c r="H380" s="20" t="str" cm="1">
        <f t="array" ref="H380">IFERROR(INDEX(Data_Input!$A$1:$ZZ$502, MATCH("매입금액", INDEX(Data_Input!$A$1:$ZZ$502, 0, MATCH(1, (Data_Input!$7:$7=$F$3)*(Data_Input!$8:$8=$B380), 0)), 0) + 1, MATCH(1, (Data_Input!$7:$7=$F$3)*(Data_Input!$8:$8=$B380), 0)),"")</f>
        <v/>
      </c>
      <c r="I380" s="20" t="str" cm="1">
        <f t="array" ref="I380">IFERROR(INDEX(Data_Input!$A$1:$ZZ$502, MATCH("평가금액", INDEX(Data_Input!$A$1:$ZZ$502, 0, MATCH(1, (Data_Input!$7:$7=$F$3)*(Data_Input!$8:$8=$B380), 0)), 0) + 1, MATCH(1, (Data_Input!$7:$7=$F$3)*(Data_Input!$8:$8=$B380), 0)),"")</f>
        <v/>
      </c>
      <c r="J380" s="20" t="str" cm="1">
        <f t="array" ref="J380">IFERROR(INDEX(Data_Input!$A$1:$ZZ$502, MATCH("평가손익", INDEX(Data_Input!$A$1:$ZZ$502, 0, MATCH(1, (Data_Input!$7:$7=$F$3)*(Data_Input!$8:$8=$B380), 0)), 0) + 1, MATCH(1, (Data_Input!$7:$7=$F$3)*(Data_Input!$8:$8=$B380), 0)),"")</f>
        <v/>
      </c>
      <c r="K380" s="14" t="str" cm="1">
        <f t="array" ref="K380">IFERROR(INDEX(Data_Input!$A$1:$ZZ$502, MATCH("총수익률", INDEX(Data_Input!$A$1:$ZZ$502, 0, MATCH(1, (Data_Input!$7:$7=$F$3)*(Data_Input!$8:$8=$B380), 0)), 0) + 1, MATCH(1, (Data_Input!$7:$7=$F$3)*(Data_Input!$8:$8=$B380), 0)),"")</f>
        <v/>
      </c>
      <c r="L380" t="str" cm="1">
        <f t="array" ref="L380">IFERROR(_xlfn.LET(
    _xlpm.targetDate, B380,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81" spans="1:12" x14ac:dyDescent="0.3">
      <c r="A381" s="16" t="str">
        <f t="shared" si="10"/>
        <v/>
      </c>
      <c r="B381" s="19"/>
      <c r="C381" s="17" t="str">
        <f t="shared" si="11"/>
        <v/>
      </c>
      <c r="D381" s="29" t="str" cm="1">
        <f t="array" ref="D381">IFERROR(INDEX(Data_Input!$10:$10,MATCH(1,(Data_Input!$7:$7=$F$3)*(Data_Input!$8:$8=$B381),0)),"")</f>
        <v/>
      </c>
      <c r="E381" s="29" t="str" cm="1">
        <f t="array" ref="E381">IFERROR(INDEX(Data_Input!$1:$100, 9, MATCH(1, (Data_Input!$7:$7=$F$3) * (Data_Input!$8:$8=$B381), 0)),"")</f>
        <v/>
      </c>
      <c r="F381" s="20" t="str" cm="1">
        <f t="array" ref="F381">IFERROR(INDEX(Data_Input!$A$1:$ZZ$502, MATCH("예수금", INDEX(Data_Input!$A$1:$ZZ$502, 0, MATCH(1, (Data_Input!$7:$7=$F$3)*(Data_Input!$8:$8=$B381), 0)), 0) + 1, MATCH(1, (Data_Input!$7:$7=$F$3)*(Data_Input!$8:$8=$B381), 0)),"")</f>
        <v/>
      </c>
      <c r="G381" s="20" t="str" cm="1">
        <f t="array" ref="G381">IFERROR(INDEX(Data_Input!$A$1:$ZZ$502, MATCH("총자산", INDEX(Data_Input!$A$1:$ZZ$502, 0, MATCH(1, (Data_Input!$7:$7=$F$3)*(Data_Input!$8:$8=$B381), 0)), 0) + 1, MATCH(1, (Data_Input!$7:$7=$F$3)*(Data_Input!$8:$8=$B381), 0)),"")</f>
        <v/>
      </c>
      <c r="H381" s="20" t="str" cm="1">
        <f t="array" ref="H381">IFERROR(INDEX(Data_Input!$A$1:$ZZ$502, MATCH("매입금액", INDEX(Data_Input!$A$1:$ZZ$502, 0, MATCH(1, (Data_Input!$7:$7=$F$3)*(Data_Input!$8:$8=$B381), 0)), 0) + 1, MATCH(1, (Data_Input!$7:$7=$F$3)*(Data_Input!$8:$8=$B381), 0)),"")</f>
        <v/>
      </c>
      <c r="I381" s="20" t="str" cm="1">
        <f t="array" ref="I381">IFERROR(INDEX(Data_Input!$A$1:$ZZ$502, MATCH("평가금액", INDEX(Data_Input!$A$1:$ZZ$502, 0, MATCH(1, (Data_Input!$7:$7=$F$3)*(Data_Input!$8:$8=$B381), 0)), 0) + 1, MATCH(1, (Data_Input!$7:$7=$F$3)*(Data_Input!$8:$8=$B381), 0)),"")</f>
        <v/>
      </c>
      <c r="J381" s="20" t="str" cm="1">
        <f t="array" ref="J381">IFERROR(INDEX(Data_Input!$A$1:$ZZ$502, MATCH("평가손익", INDEX(Data_Input!$A$1:$ZZ$502, 0, MATCH(1, (Data_Input!$7:$7=$F$3)*(Data_Input!$8:$8=$B381), 0)), 0) + 1, MATCH(1, (Data_Input!$7:$7=$F$3)*(Data_Input!$8:$8=$B381), 0)),"")</f>
        <v/>
      </c>
      <c r="K381" s="14" t="str" cm="1">
        <f t="array" ref="K381">IFERROR(INDEX(Data_Input!$A$1:$ZZ$502, MATCH("총수익률", INDEX(Data_Input!$A$1:$ZZ$502, 0, MATCH(1, (Data_Input!$7:$7=$F$3)*(Data_Input!$8:$8=$B381), 0)), 0) + 1, MATCH(1, (Data_Input!$7:$7=$F$3)*(Data_Input!$8:$8=$B381), 0)),"")</f>
        <v/>
      </c>
      <c r="L381" t="str" cm="1">
        <f t="array" ref="L381">IFERROR(_xlfn.LET(
    _xlpm.targetDate, B381,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82" spans="1:12" x14ac:dyDescent="0.3">
      <c r="A382" s="16" t="str">
        <f t="shared" si="10"/>
        <v/>
      </c>
      <c r="B382" s="19"/>
      <c r="C382" s="17" t="str">
        <f t="shared" si="11"/>
        <v/>
      </c>
      <c r="D382" s="29" t="str" cm="1">
        <f t="array" ref="D382">IFERROR(INDEX(Data_Input!$10:$10,MATCH(1,(Data_Input!$7:$7=$F$3)*(Data_Input!$8:$8=$B382),0)),"")</f>
        <v/>
      </c>
      <c r="E382" s="29" t="str" cm="1">
        <f t="array" ref="E382">IFERROR(INDEX(Data_Input!$1:$100, 9, MATCH(1, (Data_Input!$7:$7=$F$3) * (Data_Input!$8:$8=$B382), 0)),"")</f>
        <v/>
      </c>
      <c r="F382" s="20" t="str" cm="1">
        <f t="array" ref="F382">IFERROR(INDEX(Data_Input!$A$1:$ZZ$502, MATCH("예수금", INDEX(Data_Input!$A$1:$ZZ$502, 0, MATCH(1, (Data_Input!$7:$7=$F$3)*(Data_Input!$8:$8=$B382), 0)), 0) + 1, MATCH(1, (Data_Input!$7:$7=$F$3)*(Data_Input!$8:$8=$B382), 0)),"")</f>
        <v/>
      </c>
      <c r="G382" s="20" t="str" cm="1">
        <f t="array" ref="G382">IFERROR(INDEX(Data_Input!$A$1:$ZZ$502, MATCH("총자산", INDEX(Data_Input!$A$1:$ZZ$502, 0, MATCH(1, (Data_Input!$7:$7=$F$3)*(Data_Input!$8:$8=$B382), 0)), 0) + 1, MATCH(1, (Data_Input!$7:$7=$F$3)*(Data_Input!$8:$8=$B382), 0)),"")</f>
        <v/>
      </c>
      <c r="H382" s="20" t="str" cm="1">
        <f t="array" ref="H382">IFERROR(INDEX(Data_Input!$A$1:$ZZ$502, MATCH("매입금액", INDEX(Data_Input!$A$1:$ZZ$502, 0, MATCH(1, (Data_Input!$7:$7=$F$3)*(Data_Input!$8:$8=$B382), 0)), 0) + 1, MATCH(1, (Data_Input!$7:$7=$F$3)*(Data_Input!$8:$8=$B382), 0)),"")</f>
        <v/>
      </c>
      <c r="I382" s="20" t="str" cm="1">
        <f t="array" ref="I382">IFERROR(INDEX(Data_Input!$A$1:$ZZ$502, MATCH("평가금액", INDEX(Data_Input!$A$1:$ZZ$502, 0, MATCH(1, (Data_Input!$7:$7=$F$3)*(Data_Input!$8:$8=$B382), 0)), 0) + 1, MATCH(1, (Data_Input!$7:$7=$F$3)*(Data_Input!$8:$8=$B382), 0)),"")</f>
        <v/>
      </c>
      <c r="J382" s="20" t="str" cm="1">
        <f t="array" ref="J382">IFERROR(INDEX(Data_Input!$A$1:$ZZ$502, MATCH("평가손익", INDEX(Data_Input!$A$1:$ZZ$502, 0, MATCH(1, (Data_Input!$7:$7=$F$3)*(Data_Input!$8:$8=$B382), 0)), 0) + 1, MATCH(1, (Data_Input!$7:$7=$F$3)*(Data_Input!$8:$8=$B382), 0)),"")</f>
        <v/>
      </c>
      <c r="K382" s="14" t="str" cm="1">
        <f t="array" ref="K382">IFERROR(INDEX(Data_Input!$A$1:$ZZ$502, MATCH("총수익률", INDEX(Data_Input!$A$1:$ZZ$502, 0, MATCH(1, (Data_Input!$7:$7=$F$3)*(Data_Input!$8:$8=$B382), 0)), 0) + 1, MATCH(1, (Data_Input!$7:$7=$F$3)*(Data_Input!$8:$8=$B382), 0)),"")</f>
        <v/>
      </c>
      <c r="L382" t="str" cm="1">
        <f t="array" ref="L382">IFERROR(_xlfn.LET(
    _xlpm.targetDate, B382,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83" spans="1:12" x14ac:dyDescent="0.3">
      <c r="A383" s="16" t="str">
        <f t="shared" si="10"/>
        <v/>
      </c>
      <c r="B383" s="19"/>
      <c r="C383" s="17" t="str">
        <f t="shared" si="11"/>
        <v/>
      </c>
      <c r="D383" s="29" t="str" cm="1">
        <f t="array" ref="D383">IFERROR(INDEX(Data_Input!$10:$10,MATCH(1,(Data_Input!$7:$7=$F$3)*(Data_Input!$8:$8=$B383),0)),"")</f>
        <v/>
      </c>
      <c r="E383" s="29" t="str" cm="1">
        <f t="array" ref="E383">IFERROR(INDEX(Data_Input!$1:$100, 9, MATCH(1, (Data_Input!$7:$7=$F$3) * (Data_Input!$8:$8=$B383), 0)),"")</f>
        <v/>
      </c>
      <c r="F383" s="20" t="str" cm="1">
        <f t="array" ref="F383">IFERROR(INDEX(Data_Input!$A$1:$ZZ$502, MATCH("예수금", INDEX(Data_Input!$A$1:$ZZ$502, 0, MATCH(1, (Data_Input!$7:$7=$F$3)*(Data_Input!$8:$8=$B383), 0)), 0) + 1, MATCH(1, (Data_Input!$7:$7=$F$3)*(Data_Input!$8:$8=$B383), 0)),"")</f>
        <v/>
      </c>
      <c r="G383" s="20" t="str" cm="1">
        <f t="array" ref="G383">IFERROR(INDEX(Data_Input!$A$1:$ZZ$502, MATCH("총자산", INDEX(Data_Input!$A$1:$ZZ$502, 0, MATCH(1, (Data_Input!$7:$7=$F$3)*(Data_Input!$8:$8=$B383), 0)), 0) + 1, MATCH(1, (Data_Input!$7:$7=$F$3)*(Data_Input!$8:$8=$B383), 0)),"")</f>
        <v/>
      </c>
      <c r="H383" s="20" t="str" cm="1">
        <f t="array" ref="H383">IFERROR(INDEX(Data_Input!$A$1:$ZZ$502, MATCH("매입금액", INDEX(Data_Input!$A$1:$ZZ$502, 0, MATCH(1, (Data_Input!$7:$7=$F$3)*(Data_Input!$8:$8=$B383), 0)), 0) + 1, MATCH(1, (Data_Input!$7:$7=$F$3)*(Data_Input!$8:$8=$B383), 0)),"")</f>
        <v/>
      </c>
      <c r="I383" s="20" t="str" cm="1">
        <f t="array" ref="I383">IFERROR(INDEX(Data_Input!$A$1:$ZZ$502, MATCH("평가금액", INDEX(Data_Input!$A$1:$ZZ$502, 0, MATCH(1, (Data_Input!$7:$7=$F$3)*(Data_Input!$8:$8=$B383), 0)), 0) + 1, MATCH(1, (Data_Input!$7:$7=$F$3)*(Data_Input!$8:$8=$B383), 0)),"")</f>
        <v/>
      </c>
      <c r="J383" s="20" t="str" cm="1">
        <f t="array" ref="J383">IFERROR(INDEX(Data_Input!$A$1:$ZZ$502, MATCH("평가손익", INDEX(Data_Input!$A$1:$ZZ$502, 0, MATCH(1, (Data_Input!$7:$7=$F$3)*(Data_Input!$8:$8=$B383), 0)), 0) + 1, MATCH(1, (Data_Input!$7:$7=$F$3)*(Data_Input!$8:$8=$B383), 0)),"")</f>
        <v/>
      </c>
      <c r="K383" s="14" t="str" cm="1">
        <f t="array" ref="K383">IFERROR(INDEX(Data_Input!$A$1:$ZZ$502, MATCH("총수익률", INDEX(Data_Input!$A$1:$ZZ$502, 0, MATCH(1, (Data_Input!$7:$7=$F$3)*(Data_Input!$8:$8=$B383), 0)), 0) + 1, MATCH(1, (Data_Input!$7:$7=$F$3)*(Data_Input!$8:$8=$B383), 0)),"")</f>
        <v/>
      </c>
      <c r="L383" t="str" cm="1">
        <f t="array" ref="L383">IFERROR(_xlfn.LET(
    _xlpm.targetDate, B383,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84" spans="1:12" x14ac:dyDescent="0.3">
      <c r="A384" s="16" t="str">
        <f t="shared" si="10"/>
        <v/>
      </c>
      <c r="B384" s="19"/>
      <c r="C384" s="17" t="str">
        <f t="shared" si="11"/>
        <v/>
      </c>
      <c r="D384" s="29" t="str" cm="1">
        <f t="array" ref="D384">IFERROR(INDEX(Data_Input!$10:$10,MATCH(1,(Data_Input!$7:$7=$F$3)*(Data_Input!$8:$8=$B384),0)),"")</f>
        <v/>
      </c>
      <c r="E384" s="29" t="str" cm="1">
        <f t="array" ref="E384">IFERROR(INDEX(Data_Input!$1:$100, 9, MATCH(1, (Data_Input!$7:$7=$F$3) * (Data_Input!$8:$8=$B384), 0)),"")</f>
        <v/>
      </c>
      <c r="F384" s="20" t="str" cm="1">
        <f t="array" ref="F384">IFERROR(INDEX(Data_Input!$A$1:$ZZ$502, MATCH("예수금", INDEX(Data_Input!$A$1:$ZZ$502, 0, MATCH(1, (Data_Input!$7:$7=$F$3)*(Data_Input!$8:$8=$B384), 0)), 0) + 1, MATCH(1, (Data_Input!$7:$7=$F$3)*(Data_Input!$8:$8=$B384), 0)),"")</f>
        <v/>
      </c>
      <c r="G384" s="20" t="str" cm="1">
        <f t="array" ref="G384">IFERROR(INDEX(Data_Input!$A$1:$ZZ$502, MATCH("총자산", INDEX(Data_Input!$A$1:$ZZ$502, 0, MATCH(1, (Data_Input!$7:$7=$F$3)*(Data_Input!$8:$8=$B384), 0)), 0) + 1, MATCH(1, (Data_Input!$7:$7=$F$3)*(Data_Input!$8:$8=$B384), 0)),"")</f>
        <v/>
      </c>
      <c r="H384" s="20" t="str" cm="1">
        <f t="array" ref="H384">IFERROR(INDEX(Data_Input!$A$1:$ZZ$502, MATCH("매입금액", INDEX(Data_Input!$A$1:$ZZ$502, 0, MATCH(1, (Data_Input!$7:$7=$F$3)*(Data_Input!$8:$8=$B384), 0)), 0) + 1, MATCH(1, (Data_Input!$7:$7=$F$3)*(Data_Input!$8:$8=$B384), 0)),"")</f>
        <v/>
      </c>
      <c r="I384" s="20" t="str" cm="1">
        <f t="array" ref="I384">IFERROR(INDEX(Data_Input!$A$1:$ZZ$502, MATCH("평가금액", INDEX(Data_Input!$A$1:$ZZ$502, 0, MATCH(1, (Data_Input!$7:$7=$F$3)*(Data_Input!$8:$8=$B384), 0)), 0) + 1, MATCH(1, (Data_Input!$7:$7=$F$3)*(Data_Input!$8:$8=$B384), 0)),"")</f>
        <v/>
      </c>
      <c r="J384" s="20" t="str" cm="1">
        <f t="array" ref="J384">IFERROR(INDEX(Data_Input!$A$1:$ZZ$502, MATCH("평가손익", INDEX(Data_Input!$A$1:$ZZ$502, 0, MATCH(1, (Data_Input!$7:$7=$F$3)*(Data_Input!$8:$8=$B384), 0)), 0) + 1, MATCH(1, (Data_Input!$7:$7=$F$3)*(Data_Input!$8:$8=$B384), 0)),"")</f>
        <v/>
      </c>
      <c r="K384" s="14" t="str" cm="1">
        <f t="array" ref="K384">IFERROR(INDEX(Data_Input!$A$1:$ZZ$502, MATCH("총수익률", INDEX(Data_Input!$A$1:$ZZ$502, 0, MATCH(1, (Data_Input!$7:$7=$F$3)*(Data_Input!$8:$8=$B384), 0)), 0) + 1, MATCH(1, (Data_Input!$7:$7=$F$3)*(Data_Input!$8:$8=$B384), 0)),"")</f>
        <v/>
      </c>
      <c r="L384" t="str" cm="1">
        <f t="array" ref="L384">IFERROR(_xlfn.LET(
    _xlpm.targetDate, B384,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85" spans="1:12" x14ac:dyDescent="0.3">
      <c r="A385" s="16" t="str">
        <f t="shared" si="10"/>
        <v/>
      </c>
      <c r="B385" s="19"/>
      <c r="C385" s="17" t="str">
        <f t="shared" si="11"/>
        <v/>
      </c>
      <c r="D385" s="29" t="str" cm="1">
        <f t="array" ref="D385">IFERROR(INDEX(Data_Input!$10:$10,MATCH(1,(Data_Input!$7:$7=$F$3)*(Data_Input!$8:$8=$B385),0)),"")</f>
        <v/>
      </c>
      <c r="E385" s="29" t="str" cm="1">
        <f t="array" ref="E385">IFERROR(INDEX(Data_Input!$1:$100, 9, MATCH(1, (Data_Input!$7:$7=$F$3) * (Data_Input!$8:$8=$B385), 0)),"")</f>
        <v/>
      </c>
      <c r="F385" s="20" t="str" cm="1">
        <f t="array" ref="F385">IFERROR(INDEX(Data_Input!$A$1:$ZZ$502, MATCH("예수금", INDEX(Data_Input!$A$1:$ZZ$502, 0, MATCH(1, (Data_Input!$7:$7=$F$3)*(Data_Input!$8:$8=$B385), 0)), 0) + 1, MATCH(1, (Data_Input!$7:$7=$F$3)*(Data_Input!$8:$8=$B385), 0)),"")</f>
        <v/>
      </c>
      <c r="G385" s="20" t="str" cm="1">
        <f t="array" ref="G385">IFERROR(INDEX(Data_Input!$A$1:$ZZ$502, MATCH("총자산", INDEX(Data_Input!$A$1:$ZZ$502, 0, MATCH(1, (Data_Input!$7:$7=$F$3)*(Data_Input!$8:$8=$B385), 0)), 0) + 1, MATCH(1, (Data_Input!$7:$7=$F$3)*(Data_Input!$8:$8=$B385), 0)),"")</f>
        <v/>
      </c>
      <c r="H385" s="20" t="str" cm="1">
        <f t="array" ref="H385">IFERROR(INDEX(Data_Input!$A$1:$ZZ$502, MATCH("매입금액", INDEX(Data_Input!$A$1:$ZZ$502, 0, MATCH(1, (Data_Input!$7:$7=$F$3)*(Data_Input!$8:$8=$B385), 0)), 0) + 1, MATCH(1, (Data_Input!$7:$7=$F$3)*(Data_Input!$8:$8=$B385), 0)),"")</f>
        <v/>
      </c>
      <c r="I385" s="20" t="str" cm="1">
        <f t="array" ref="I385">IFERROR(INDEX(Data_Input!$A$1:$ZZ$502, MATCH("평가금액", INDEX(Data_Input!$A$1:$ZZ$502, 0, MATCH(1, (Data_Input!$7:$7=$F$3)*(Data_Input!$8:$8=$B385), 0)), 0) + 1, MATCH(1, (Data_Input!$7:$7=$F$3)*(Data_Input!$8:$8=$B385), 0)),"")</f>
        <v/>
      </c>
      <c r="J385" s="20" t="str" cm="1">
        <f t="array" ref="J385">IFERROR(INDEX(Data_Input!$A$1:$ZZ$502, MATCH("평가손익", INDEX(Data_Input!$A$1:$ZZ$502, 0, MATCH(1, (Data_Input!$7:$7=$F$3)*(Data_Input!$8:$8=$B385), 0)), 0) + 1, MATCH(1, (Data_Input!$7:$7=$F$3)*(Data_Input!$8:$8=$B385), 0)),"")</f>
        <v/>
      </c>
      <c r="K385" s="14" t="str" cm="1">
        <f t="array" ref="K385">IFERROR(INDEX(Data_Input!$A$1:$ZZ$502, MATCH("총수익률", INDEX(Data_Input!$A$1:$ZZ$502, 0, MATCH(1, (Data_Input!$7:$7=$F$3)*(Data_Input!$8:$8=$B385), 0)), 0) + 1, MATCH(1, (Data_Input!$7:$7=$F$3)*(Data_Input!$8:$8=$B385), 0)),"")</f>
        <v/>
      </c>
      <c r="L385" t="str" cm="1">
        <f t="array" ref="L385">IFERROR(_xlfn.LET(
    _xlpm.targetDate, B385,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86" spans="1:12" x14ac:dyDescent="0.3">
      <c r="A386" s="16" t="str">
        <f t="shared" si="10"/>
        <v/>
      </c>
      <c r="B386" s="19"/>
      <c r="C386" s="17" t="str">
        <f t="shared" si="11"/>
        <v/>
      </c>
      <c r="D386" s="29" t="str" cm="1">
        <f t="array" ref="D386">IFERROR(INDEX(Data_Input!$10:$10,MATCH(1,(Data_Input!$7:$7=$F$3)*(Data_Input!$8:$8=$B386),0)),"")</f>
        <v/>
      </c>
      <c r="E386" s="29" t="str" cm="1">
        <f t="array" ref="E386">IFERROR(INDEX(Data_Input!$1:$100, 9, MATCH(1, (Data_Input!$7:$7=$F$3) * (Data_Input!$8:$8=$B386), 0)),"")</f>
        <v/>
      </c>
      <c r="F386" s="20" t="str" cm="1">
        <f t="array" ref="F386">IFERROR(INDEX(Data_Input!$A$1:$ZZ$502, MATCH("예수금", INDEX(Data_Input!$A$1:$ZZ$502, 0, MATCH(1, (Data_Input!$7:$7=$F$3)*(Data_Input!$8:$8=$B386), 0)), 0) + 1, MATCH(1, (Data_Input!$7:$7=$F$3)*(Data_Input!$8:$8=$B386), 0)),"")</f>
        <v/>
      </c>
      <c r="G386" s="20" t="str" cm="1">
        <f t="array" ref="G386">IFERROR(INDEX(Data_Input!$A$1:$ZZ$502, MATCH("총자산", INDEX(Data_Input!$A$1:$ZZ$502, 0, MATCH(1, (Data_Input!$7:$7=$F$3)*(Data_Input!$8:$8=$B386), 0)), 0) + 1, MATCH(1, (Data_Input!$7:$7=$F$3)*(Data_Input!$8:$8=$B386), 0)),"")</f>
        <v/>
      </c>
      <c r="H386" s="20" t="str" cm="1">
        <f t="array" ref="H386">IFERROR(INDEX(Data_Input!$A$1:$ZZ$502, MATCH("매입금액", INDEX(Data_Input!$A$1:$ZZ$502, 0, MATCH(1, (Data_Input!$7:$7=$F$3)*(Data_Input!$8:$8=$B386), 0)), 0) + 1, MATCH(1, (Data_Input!$7:$7=$F$3)*(Data_Input!$8:$8=$B386), 0)),"")</f>
        <v/>
      </c>
      <c r="I386" s="20" t="str" cm="1">
        <f t="array" ref="I386">IFERROR(INDEX(Data_Input!$A$1:$ZZ$502, MATCH("평가금액", INDEX(Data_Input!$A$1:$ZZ$502, 0, MATCH(1, (Data_Input!$7:$7=$F$3)*(Data_Input!$8:$8=$B386), 0)), 0) + 1, MATCH(1, (Data_Input!$7:$7=$F$3)*(Data_Input!$8:$8=$B386), 0)),"")</f>
        <v/>
      </c>
      <c r="J386" s="20" t="str" cm="1">
        <f t="array" ref="J386">IFERROR(INDEX(Data_Input!$A$1:$ZZ$502, MATCH("평가손익", INDEX(Data_Input!$A$1:$ZZ$502, 0, MATCH(1, (Data_Input!$7:$7=$F$3)*(Data_Input!$8:$8=$B386), 0)), 0) + 1, MATCH(1, (Data_Input!$7:$7=$F$3)*(Data_Input!$8:$8=$B386), 0)),"")</f>
        <v/>
      </c>
      <c r="K386" s="14" t="str" cm="1">
        <f t="array" ref="K386">IFERROR(INDEX(Data_Input!$A$1:$ZZ$502, MATCH("총수익률", INDEX(Data_Input!$A$1:$ZZ$502, 0, MATCH(1, (Data_Input!$7:$7=$F$3)*(Data_Input!$8:$8=$B386), 0)), 0) + 1, MATCH(1, (Data_Input!$7:$7=$F$3)*(Data_Input!$8:$8=$B386), 0)),"")</f>
        <v/>
      </c>
      <c r="L386" t="str" cm="1">
        <f t="array" ref="L386">IFERROR(_xlfn.LET(
    _xlpm.targetDate, B386,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87" spans="1:12" x14ac:dyDescent="0.3">
      <c r="A387" s="16" t="str">
        <f t="shared" si="10"/>
        <v/>
      </c>
      <c r="B387" s="19"/>
      <c r="C387" s="17" t="str">
        <f t="shared" si="11"/>
        <v/>
      </c>
      <c r="D387" s="29" t="str" cm="1">
        <f t="array" ref="D387">IFERROR(INDEX(Data_Input!$10:$10,MATCH(1,(Data_Input!$7:$7=$F$3)*(Data_Input!$8:$8=$B387),0)),"")</f>
        <v/>
      </c>
      <c r="E387" s="29" t="str" cm="1">
        <f t="array" ref="E387">IFERROR(INDEX(Data_Input!$1:$100, 9, MATCH(1, (Data_Input!$7:$7=$F$3) * (Data_Input!$8:$8=$B387), 0)),"")</f>
        <v/>
      </c>
      <c r="F387" s="20" t="str" cm="1">
        <f t="array" ref="F387">IFERROR(INDEX(Data_Input!$A$1:$ZZ$502, MATCH("예수금", INDEX(Data_Input!$A$1:$ZZ$502, 0, MATCH(1, (Data_Input!$7:$7=$F$3)*(Data_Input!$8:$8=$B387), 0)), 0) + 1, MATCH(1, (Data_Input!$7:$7=$F$3)*(Data_Input!$8:$8=$B387), 0)),"")</f>
        <v/>
      </c>
      <c r="G387" s="20" t="str" cm="1">
        <f t="array" ref="G387">IFERROR(INDEX(Data_Input!$A$1:$ZZ$502, MATCH("총자산", INDEX(Data_Input!$A$1:$ZZ$502, 0, MATCH(1, (Data_Input!$7:$7=$F$3)*(Data_Input!$8:$8=$B387), 0)), 0) + 1, MATCH(1, (Data_Input!$7:$7=$F$3)*(Data_Input!$8:$8=$B387), 0)),"")</f>
        <v/>
      </c>
      <c r="H387" s="20" t="str" cm="1">
        <f t="array" ref="H387">IFERROR(INDEX(Data_Input!$A$1:$ZZ$502, MATCH("매입금액", INDEX(Data_Input!$A$1:$ZZ$502, 0, MATCH(1, (Data_Input!$7:$7=$F$3)*(Data_Input!$8:$8=$B387), 0)), 0) + 1, MATCH(1, (Data_Input!$7:$7=$F$3)*(Data_Input!$8:$8=$B387), 0)),"")</f>
        <v/>
      </c>
      <c r="I387" s="20" t="str" cm="1">
        <f t="array" ref="I387">IFERROR(INDEX(Data_Input!$A$1:$ZZ$502, MATCH("평가금액", INDEX(Data_Input!$A$1:$ZZ$502, 0, MATCH(1, (Data_Input!$7:$7=$F$3)*(Data_Input!$8:$8=$B387), 0)), 0) + 1, MATCH(1, (Data_Input!$7:$7=$F$3)*(Data_Input!$8:$8=$B387), 0)),"")</f>
        <v/>
      </c>
      <c r="J387" s="20" t="str" cm="1">
        <f t="array" ref="J387">IFERROR(INDEX(Data_Input!$A$1:$ZZ$502, MATCH("평가손익", INDEX(Data_Input!$A$1:$ZZ$502, 0, MATCH(1, (Data_Input!$7:$7=$F$3)*(Data_Input!$8:$8=$B387), 0)), 0) + 1, MATCH(1, (Data_Input!$7:$7=$F$3)*(Data_Input!$8:$8=$B387), 0)),"")</f>
        <v/>
      </c>
      <c r="K387" s="14" t="str" cm="1">
        <f t="array" ref="K387">IFERROR(INDEX(Data_Input!$A$1:$ZZ$502, MATCH("총수익률", INDEX(Data_Input!$A$1:$ZZ$502, 0, MATCH(1, (Data_Input!$7:$7=$F$3)*(Data_Input!$8:$8=$B387), 0)), 0) + 1, MATCH(1, (Data_Input!$7:$7=$F$3)*(Data_Input!$8:$8=$B387), 0)),"")</f>
        <v/>
      </c>
      <c r="L387" t="str" cm="1">
        <f t="array" ref="L387">IFERROR(_xlfn.LET(
    _xlpm.targetDate, B387,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88" spans="1:12" x14ac:dyDescent="0.3">
      <c r="A388" s="16" t="str">
        <f t="shared" si="10"/>
        <v/>
      </c>
      <c r="B388" s="19"/>
      <c r="C388" s="17" t="str">
        <f t="shared" si="11"/>
        <v/>
      </c>
      <c r="D388" s="29" t="str" cm="1">
        <f t="array" ref="D388">IFERROR(INDEX(Data_Input!$10:$10,MATCH(1,(Data_Input!$7:$7=$F$3)*(Data_Input!$8:$8=$B388),0)),"")</f>
        <v/>
      </c>
      <c r="E388" s="29" t="str" cm="1">
        <f t="array" ref="E388">IFERROR(INDEX(Data_Input!$1:$100, 9, MATCH(1, (Data_Input!$7:$7=$F$3) * (Data_Input!$8:$8=$B388), 0)),"")</f>
        <v/>
      </c>
      <c r="F388" s="20" t="str" cm="1">
        <f t="array" ref="F388">IFERROR(INDEX(Data_Input!$A$1:$ZZ$502, MATCH("예수금", INDEX(Data_Input!$A$1:$ZZ$502, 0, MATCH(1, (Data_Input!$7:$7=$F$3)*(Data_Input!$8:$8=$B388), 0)), 0) + 1, MATCH(1, (Data_Input!$7:$7=$F$3)*(Data_Input!$8:$8=$B388), 0)),"")</f>
        <v/>
      </c>
      <c r="G388" s="20" t="str" cm="1">
        <f t="array" ref="G388">IFERROR(INDEX(Data_Input!$A$1:$ZZ$502, MATCH("총자산", INDEX(Data_Input!$A$1:$ZZ$502, 0, MATCH(1, (Data_Input!$7:$7=$F$3)*(Data_Input!$8:$8=$B388), 0)), 0) + 1, MATCH(1, (Data_Input!$7:$7=$F$3)*(Data_Input!$8:$8=$B388), 0)),"")</f>
        <v/>
      </c>
      <c r="H388" s="20" t="str" cm="1">
        <f t="array" ref="H388">IFERROR(INDEX(Data_Input!$A$1:$ZZ$502, MATCH("매입금액", INDEX(Data_Input!$A$1:$ZZ$502, 0, MATCH(1, (Data_Input!$7:$7=$F$3)*(Data_Input!$8:$8=$B388), 0)), 0) + 1, MATCH(1, (Data_Input!$7:$7=$F$3)*(Data_Input!$8:$8=$B388), 0)),"")</f>
        <v/>
      </c>
      <c r="I388" s="20" t="str" cm="1">
        <f t="array" ref="I388">IFERROR(INDEX(Data_Input!$A$1:$ZZ$502, MATCH("평가금액", INDEX(Data_Input!$A$1:$ZZ$502, 0, MATCH(1, (Data_Input!$7:$7=$F$3)*(Data_Input!$8:$8=$B388), 0)), 0) + 1, MATCH(1, (Data_Input!$7:$7=$F$3)*(Data_Input!$8:$8=$B388), 0)),"")</f>
        <v/>
      </c>
      <c r="J388" s="20" t="str" cm="1">
        <f t="array" ref="J388">IFERROR(INDEX(Data_Input!$A$1:$ZZ$502, MATCH("평가손익", INDEX(Data_Input!$A$1:$ZZ$502, 0, MATCH(1, (Data_Input!$7:$7=$F$3)*(Data_Input!$8:$8=$B388), 0)), 0) + 1, MATCH(1, (Data_Input!$7:$7=$F$3)*(Data_Input!$8:$8=$B388), 0)),"")</f>
        <v/>
      </c>
      <c r="K388" s="14" t="str" cm="1">
        <f t="array" ref="K388">IFERROR(INDEX(Data_Input!$A$1:$ZZ$502, MATCH("총수익률", INDEX(Data_Input!$A$1:$ZZ$502, 0, MATCH(1, (Data_Input!$7:$7=$F$3)*(Data_Input!$8:$8=$B388), 0)), 0) + 1, MATCH(1, (Data_Input!$7:$7=$F$3)*(Data_Input!$8:$8=$B388), 0)),"")</f>
        <v/>
      </c>
      <c r="L388" t="str" cm="1">
        <f t="array" ref="L388">IFERROR(_xlfn.LET(
    _xlpm.targetDate, B388,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89" spans="1:12" x14ac:dyDescent="0.3">
      <c r="A389" s="16" t="str">
        <f t="shared" si="10"/>
        <v/>
      </c>
      <c r="B389" s="19"/>
      <c r="C389" s="17" t="str">
        <f t="shared" si="11"/>
        <v/>
      </c>
      <c r="D389" s="29" t="str" cm="1">
        <f t="array" ref="D389">IFERROR(INDEX(Data_Input!$10:$10,MATCH(1,(Data_Input!$7:$7=$F$3)*(Data_Input!$8:$8=$B389),0)),"")</f>
        <v/>
      </c>
      <c r="E389" s="29" t="str" cm="1">
        <f t="array" ref="E389">IFERROR(INDEX(Data_Input!$1:$100, 9, MATCH(1, (Data_Input!$7:$7=$F$3) * (Data_Input!$8:$8=$B389), 0)),"")</f>
        <v/>
      </c>
      <c r="F389" s="20" t="str" cm="1">
        <f t="array" ref="F389">IFERROR(INDEX(Data_Input!$A$1:$ZZ$502, MATCH("예수금", INDEX(Data_Input!$A$1:$ZZ$502, 0, MATCH(1, (Data_Input!$7:$7=$F$3)*(Data_Input!$8:$8=$B389), 0)), 0) + 1, MATCH(1, (Data_Input!$7:$7=$F$3)*(Data_Input!$8:$8=$B389), 0)),"")</f>
        <v/>
      </c>
      <c r="G389" s="20" t="str" cm="1">
        <f t="array" ref="G389">IFERROR(INDEX(Data_Input!$A$1:$ZZ$502, MATCH("총자산", INDEX(Data_Input!$A$1:$ZZ$502, 0, MATCH(1, (Data_Input!$7:$7=$F$3)*(Data_Input!$8:$8=$B389), 0)), 0) + 1, MATCH(1, (Data_Input!$7:$7=$F$3)*(Data_Input!$8:$8=$B389), 0)),"")</f>
        <v/>
      </c>
      <c r="H389" s="20" t="str" cm="1">
        <f t="array" ref="H389">IFERROR(INDEX(Data_Input!$A$1:$ZZ$502, MATCH("매입금액", INDEX(Data_Input!$A$1:$ZZ$502, 0, MATCH(1, (Data_Input!$7:$7=$F$3)*(Data_Input!$8:$8=$B389), 0)), 0) + 1, MATCH(1, (Data_Input!$7:$7=$F$3)*(Data_Input!$8:$8=$B389), 0)),"")</f>
        <v/>
      </c>
      <c r="I389" s="20" t="str" cm="1">
        <f t="array" ref="I389">IFERROR(INDEX(Data_Input!$A$1:$ZZ$502, MATCH("평가금액", INDEX(Data_Input!$A$1:$ZZ$502, 0, MATCH(1, (Data_Input!$7:$7=$F$3)*(Data_Input!$8:$8=$B389), 0)), 0) + 1, MATCH(1, (Data_Input!$7:$7=$F$3)*(Data_Input!$8:$8=$B389), 0)),"")</f>
        <v/>
      </c>
      <c r="J389" s="20" t="str" cm="1">
        <f t="array" ref="J389">IFERROR(INDEX(Data_Input!$A$1:$ZZ$502, MATCH("평가손익", INDEX(Data_Input!$A$1:$ZZ$502, 0, MATCH(1, (Data_Input!$7:$7=$F$3)*(Data_Input!$8:$8=$B389), 0)), 0) + 1, MATCH(1, (Data_Input!$7:$7=$F$3)*(Data_Input!$8:$8=$B389), 0)),"")</f>
        <v/>
      </c>
      <c r="K389" s="14" t="str" cm="1">
        <f t="array" ref="K389">IFERROR(INDEX(Data_Input!$A$1:$ZZ$502, MATCH("총수익률", INDEX(Data_Input!$A$1:$ZZ$502, 0, MATCH(1, (Data_Input!$7:$7=$F$3)*(Data_Input!$8:$8=$B389), 0)), 0) + 1, MATCH(1, (Data_Input!$7:$7=$F$3)*(Data_Input!$8:$8=$B389), 0)),"")</f>
        <v/>
      </c>
      <c r="L389" t="str" cm="1">
        <f t="array" ref="L389">IFERROR(_xlfn.LET(
    _xlpm.targetDate, B389,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90" spans="1:12" x14ac:dyDescent="0.3">
      <c r="A390" s="16" t="str">
        <f t="shared" si="10"/>
        <v/>
      </c>
      <c r="B390" s="19"/>
      <c r="C390" s="17" t="str">
        <f t="shared" si="11"/>
        <v/>
      </c>
      <c r="D390" s="29" t="str" cm="1">
        <f t="array" ref="D390">IFERROR(INDEX(Data_Input!$10:$10,MATCH(1,(Data_Input!$7:$7=$F$3)*(Data_Input!$8:$8=$B390),0)),"")</f>
        <v/>
      </c>
      <c r="E390" s="29" t="str" cm="1">
        <f t="array" ref="E390">IFERROR(INDEX(Data_Input!$1:$100, 9, MATCH(1, (Data_Input!$7:$7=$F$3) * (Data_Input!$8:$8=$B390), 0)),"")</f>
        <v/>
      </c>
      <c r="F390" s="20" t="str" cm="1">
        <f t="array" ref="F390">IFERROR(INDEX(Data_Input!$A$1:$ZZ$502, MATCH("예수금", INDEX(Data_Input!$A$1:$ZZ$502, 0, MATCH(1, (Data_Input!$7:$7=$F$3)*(Data_Input!$8:$8=$B390), 0)), 0) + 1, MATCH(1, (Data_Input!$7:$7=$F$3)*(Data_Input!$8:$8=$B390), 0)),"")</f>
        <v/>
      </c>
      <c r="G390" s="20" t="str" cm="1">
        <f t="array" ref="G390">IFERROR(INDEX(Data_Input!$A$1:$ZZ$502, MATCH("총자산", INDEX(Data_Input!$A$1:$ZZ$502, 0, MATCH(1, (Data_Input!$7:$7=$F$3)*(Data_Input!$8:$8=$B390), 0)), 0) + 1, MATCH(1, (Data_Input!$7:$7=$F$3)*(Data_Input!$8:$8=$B390), 0)),"")</f>
        <v/>
      </c>
      <c r="H390" s="20" t="str" cm="1">
        <f t="array" ref="H390">IFERROR(INDEX(Data_Input!$A$1:$ZZ$502, MATCH("매입금액", INDEX(Data_Input!$A$1:$ZZ$502, 0, MATCH(1, (Data_Input!$7:$7=$F$3)*(Data_Input!$8:$8=$B390), 0)), 0) + 1, MATCH(1, (Data_Input!$7:$7=$F$3)*(Data_Input!$8:$8=$B390), 0)),"")</f>
        <v/>
      </c>
      <c r="I390" s="20" t="str" cm="1">
        <f t="array" ref="I390">IFERROR(INDEX(Data_Input!$A$1:$ZZ$502, MATCH("평가금액", INDEX(Data_Input!$A$1:$ZZ$502, 0, MATCH(1, (Data_Input!$7:$7=$F$3)*(Data_Input!$8:$8=$B390), 0)), 0) + 1, MATCH(1, (Data_Input!$7:$7=$F$3)*(Data_Input!$8:$8=$B390), 0)),"")</f>
        <v/>
      </c>
      <c r="J390" s="20" t="str" cm="1">
        <f t="array" ref="J390">IFERROR(INDEX(Data_Input!$A$1:$ZZ$502, MATCH("평가손익", INDEX(Data_Input!$A$1:$ZZ$502, 0, MATCH(1, (Data_Input!$7:$7=$F$3)*(Data_Input!$8:$8=$B390), 0)), 0) + 1, MATCH(1, (Data_Input!$7:$7=$F$3)*(Data_Input!$8:$8=$B390), 0)),"")</f>
        <v/>
      </c>
      <c r="K390" s="14" t="str" cm="1">
        <f t="array" ref="K390">IFERROR(INDEX(Data_Input!$A$1:$ZZ$502, MATCH("총수익률", INDEX(Data_Input!$A$1:$ZZ$502, 0, MATCH(1, (Data_Input!$7:$7=$F$3)*(Data_Input!$8:$8=$B390), 0)), 0) + 1, MATCH(1, (Data_Input!$7:$7=$F$3)*(Data_Input!$8:$8=$B390), 0)),"")</f>
        <v/>
      </c>
      <c r="L390" t="str" cm="1">
        <f t="array" ref="L390">IFERROR(_xlfn.LET(
    _xlpm.targetDate, B390,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91" spans="1:12" x14ac:dyDescent="0.3">
      <c r="A391" s="16" t="str">
        <f t="shared" ref="A391:A399" si="12">IF(B391&gt;0,A390+1,"")</f>
        <v/>
      </c>
      <c r="B391" s="19"/>
      <c r="C391" s="17" t="str">
        <f t="shared" si="11"/>
        <v/>
      </c>
      <c r="D391" s="29" t="str" cm="1">
        <f t="array" ref="D391">IFERROR(INDEX(Data_Input!$10:$10,MATCH(1,(Data_Input!$7:$7=$F$3)*(Data_Input!$8:$8=$B391),0)),"")</f>
        <v/>
      </c>
      <c r="E391" s="29" t="str" cm="1">
        <f t="array" ref="E391">IFERROR(INDEX(Data_Input!$1:$100, 9, MATCH(1, (Data_Input!$7:$7=$F$3) * (Data_Input!$8:$8=$B391), 0)),"")</f>
        <v/>
      </c>
      <c r="F391" s="20" t="str" cm="1">
        <f t="array" ref="F391">IFERROR(INDEX(Data_Input!$A$1:$ZZ$502, MATCH("예수금", INDEX(Data_Input!$A$1:$ZZ$502, 0, MATCH(1, (Data_Input!$7:$7=$F$3)*(Data_Input!$8:$8=$B391), 0)), 0) + 1, MATCH(1, (Data_Input!$7:$7=$F$3)*(Data_Input!$8:$8=$B391), 0)),"")</f>
        <v/>
      </c>
      <c r="G391" s="20" t="str" cm="1">
        <f t="array" ref="G391">IFERROR(INDEX(Data_Input!$A$1:$ZZ$502, MATCH("총자산", INDEX(Data_Input!$A$1:$ZZ$502, 0, MATCH(1, (Data_Input!$7:$7=$F$3)*(Data_Input!$8:$8=$B391), 0)), 0) + 1, MATCH(1, (Data_Input!$7:$7=$F$3)*(Data_Input!$8:$8=$B391), 0)),"")</f>
        <v/>
      </c>
      <c r="H391" s="20" t="str" cm="1">
        <f t="array" ref="H391">IFERROR(INDEX(Data_Input!$A$1:$ZZ$502, MATCH("매입금액", INDEX(Data_Input!$A$1:$ZZ$502, 0, MATCH(1, (Data_Input!$7:$7=$F$3)*(Data_Input!$8:$8=$B391), 0)), 0) + 1, MATCH(1, (Data_Input!$7:$7=$F$3)*(Data_Input!$8:$8=$B391), 0)),"")</f>
        <v/>
      </c>
      <c r="I391" s="20" t="str" cm="1">
        <f t="array" ref="I391">IFERROR(INDEX(Data_Input!$A$1:$ZZ$502, MATCH("평가금액", INDEX(Data_Input!$A$1:$ZZ$502, 0, MATCH(1, (Data_Input!$7:$7=$F$3)*(Data_Input!$8:$8=$B391), 0)), 0) + 1, MATCH(1, (Data_Input!$7:$7=$F$3)*(Data_Input!$8:$8=$B391), 0)),"")</f>
        <v/>
      </c>
      <c r="J391" s="20" t="str" cm="1">
        <f t="array" ref="J391">IFERROR(INDEX(Data_Input!$A$1:$ZZ$502, MATCH("평가손익", INDEX(Data_Input!$A$1:$ZZ$502, 0, MATCH(1, (Data_Input!$7:$7=$F$3)*(Data_Input!$8:$8=$B391), 0)), 0) + 1, MATCH(1, (Data_Input!$7:$7=$F$3)*(Data_Input!$8:$8=$B391), 0)),"")</f>
        <v/>
      </c>
      <c r="K391" s="14" t="str" cm="1">
        <f t="array" ref="K391">IFERROR(INDEX(Data_Input!$A$1:$ZZ$502, MATCH("총수익률", INDEX(Data_Input!$A$1:$ZZ$502, 0, MATCH(1, (Data_Input!$7:$7=$F$3)*(Data_Input!$8:$8=$B391), 0)), 0) + 1, MATCH(1, (Data_Input!$7:$7=$F$3)*(Data_Input!$8:$8=$B391), 0)),"")</f>
        <v/>
      </c>
      <c r="L391" t="str" cm="1">
        <f t="array" ref="L391">IFERROR(_xlfn.LET(
    _xlpm.targetDate, B391,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92" spans="1:12" x14ac:dyDescent="0.3">
      <c r="A392" s="16" t="str">
        <f t="shared" si="12"/>
        <v/>
      </c>
      <c r="B392" s="19"/>
      <c r="C392" s="17" t="str">
        <f t="shared" ref="C392:C399" si="13">IF(B392&gt;0,C391,"")</f>
        <v/>
      </c>
      <c r="D392" s="29" t="str" cm="1">
        <f t="array" ref="D392">IFERROR(INDEX(Data_Input!$10:$10,MATCH(1,(Data_Input!$7:$7=$F$3)*(Data_Input!$8:$8=$B392),0)),"")</f>
        <v/>
      </c>
      <c r="E392" s="29" t="str" cm="1">
        <f t="array" ref="E392">IFERROR(INDEX(Data_Input!$1:$100, 9, MATCH(1, (Data_Input!$7:$7=$F$3) * (Data_Input!$8:$8=$B392), 0)),"")</f>
        <v/>
      </c>
      <c r="F392" s="20" t="str" cm="1">
        <f t="array" ref="F392">IFERROR(INDEX(Data_Input!$A$1:$ZZ$502, MATCH("예수금", INDEX(Data_Input!$A$1:$ZZ$502, 0, MATCH(1, (Data_Input!$7:$7=$F$3)*(Data_Input!$8:$8=$B392), 0)), 0) + 1, MATCH(1, (Data_Input!$7:$7=$F$3)*(Data_Input!$8:$8=$B392), 0)),"")</f>
        <v/>
      </c>
      <c r="G392" s="20" t="str" cm="1">
        <f t="array" ref="G392">IFERROR(INDEX(Data_Input!$A$1:$ZZ$502, MATCH("총자산", INDEX(Data_Input!$A$1:$ZZ$502, 0, MATCH(1, (Data_Input!$7:$7=$F$3)*(Data_Input!$8:$8=$B392), 0)), 0) + 1, MATCH(1, (Data_Input!$7:$7=$F$3)*(Data_Input!$8:$8=$B392), 0)),"")</f>
        <v/>
      </c>
      <c r="H392" s="20" t="str" cm="1">
        <f t="array" ref="H392">IFERROR(INDEX(Data_Input!$A$1:$ZZ$502, MATCH("매입금액", INDEX(Data_Input!$A$1:$ZZ$502, 0, MATCH(1, (Data_Input!$7:$7=$F$3)*(Data_Input!$8:$8=$B392), 0)), 0) + 1, MATCH(1, (Data_Input!$7:$7=$F$3)*(Data_Input!$8:$8=$B392), 0)),"")</f>
        <v/>
      </c>
      <c r="I392" s="20" t="str" cm="1">
        <f t="array" ref="I392">IFERROR(INDEX(Data_Input!$A$1:$ZZ$502, MATCH("평가금액", INDEX(Data_Input!$A$1:$ZZ$502, 0, MATCH(1, (Data_Input!$7:$7=$F$3)*(Data_Input!$8:$8=$B392), 0)), 0) + 1, MATCH(1, (Data_Input!$7:$7=$F$3)*(Data_Input!$8:$8=$B392), 0)),"")</f>
        <v/>
      </c>
      <c r="J392" s="20" t="str" cm="1">
        <f t="array" ref="J392">IFERROR(INDEX(Data_Input!$A$1:$ZZ$502, MATCH("평가손익", INDEX(Data_Input!$A$1:$ZZ$502, 0, MATCH(1, (Data_Input!$7:$7=$F$3)*(Data_Input!$8:$8=$B392), 0)), 0) + 1, MATCH(1, (Data_Input!$7:$7=$F$3)*(Data_Input!$8:$8=$B392), 0)),"")</f>
        <v/>
      </c>
      <c r="K392" s="14" t="str" cm="1">
        <f t="array" ref="K392">IFERROR(INDEX(Data_Input!$A$1:$ZZ$502, MATCH("총수익률", INDEX(Data_Input!$A$1:$ZZ$502, 0, MATCH(1, (Data_Input!$7:$7=$F$3)*(Data_Input!$8:$8=$B392), 0)), 0) + 1, MATCH(1, (Data_Input!$7:$7=$F$3)*(Data_Input!$8:$8=$B392), 0)),"")</f>
        <v/>
      </c>
      <c r="L392" t="str" cm="1">
        <f t="array" ref="L392">IFERROR(_xlfn.LET(
    _xlpm.targetDate, B392,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93" spans="1:12" x14ac:dyDescent="0.3">
      <c r="A393" s="16" t="str">
        <f t="shared" si="12"/>
        <v/>
      </c>
      <c r="B393" s="19"/>
      <c r="C393" s="17" t="str">
        <f t="shared" si="13"/>
        <v/>
      </c>
      <c r="D393" s="29" t="str" cm="1">
        <f t="array" ref="D393">IFERROR(INDEX(Data_Input!$10:$10,MATCH(1,(Data_Input!$7:$7=$F$3)*(Data_Input!$8:$8=$B393),0)),"")</f>
        <v/>
      </c>
      <c r="E393" s="29" t="str" cm="1">
        <f t="array" ref="E393">IFERROR(INDEX(Data_Input!$1:$100, 9, MATCH(1, (Data_Input!$7:$7=$F$3) * (Data_Input!$8:$8=$B393), 0)),"")</f>
        <v/>
      </c>
      <c r="F393" s="20" t="str" cm="1">
        <f t="array" ref="F393">IFERROR(INDEX(Data_Input!$A$1:$ZZ$502, MATCH("예수금", INDEX(Data_Input!$A$1:$ZZ$502, 0, MATCH(1, (Data_Input!$7:$7=$F$3)*(Data_Input!$8:$8=$B393), 0)), 0) + 1, MATCH(1, (Data_Input!$7:$7=$F$3)*(Data_Input!$8:$8=$B393), 0)),"")</f>
        <v/>
      </c>
      <c r="G393" s="20" t="str" cm="1">
        <f t="array" ref="G393">IFERROR(INDEX(Data_Input!$A$1:$ZZ$502, MATCH("총자산", INDEX(Data_Input!$A$1:$ZZ$502, 0, MATCH(1, (Data_Input!$7:$7=$F$3)*(Data_Input!$8:$8=$B393), 0)), 0) + 1, MATCH(1, (Data_Input!$7:$7=$F$3)*(Data_Input!$8:$8=$B393), 0)),"")</f>
        <v/>
      </c>
      <c r="H393" s="20" t="str" cm="1">
        <f t="array" ref="H393">IFERROR(INDEX(Data_Input!$A$1:$ZZ$502, MATCH("매입금액", INDEX(Data_Input!$A$1:$ZZ$502, 0, MATCH(1, (Data_Input!$7:$7=$F$3)*(Data_Input!$8:$8=$B393), 0)), 0) + 1, MATCH(1, (Data_Input!$7:$7=$F$3)*(Data_Input!$8:$8=$B393), 0)),"")</f>
        <v/>
      </c>
      <c r="I393" s="20" t="str" cm="1">
        <f t="array" ref="I393">IFERROR(INDEX(Data_Input!$A$1:$ZZ$502, MATCH("평가금액", INDEX(Data_Input!$A$1:$ZZ$502, 0, MATCH(1, (Data_Input!$7:$7=$F$3)*(Data_Input!$8:$8=$B393), 0)), 0) + 1, MATCH(1, (Data_Input!$7:$7=$F$3)*(Data_Input!$8:$8=$B393), 0)),"")</f>
        <v/>
      </c>
      <c r="J393" s="20" t="str" cm="1">
        <f t="array" ref="J393">IFERROR(INDEX(Data_Input!$A$1:$ZZ$502, MATCH("평가손익", INDEX(Data_Input!$A$1:$ZZ$502, 0, MATCH(1, (Data_Input!$7:$7=$F$3)*(Data_Input!$8:$8=$B393), 0)), 0) + 1, MATCH(1, (Data_Input!$7:$7=$F$3)*(Data_Input!$8:$8=$B393), 0)),"")</f>
        <v/>
      </c>
      <c r="K393" s="14" t="str" cm="1">
        <f t="array" ref="K393">IFERROR(INDEX(Data_Input!$A$1:$ZZ$502, MATCH("총수익률", INDEX(Data_Input!$A$1:$ZZ$502, 0, MATCH(1, (Data_Input!$7:$7=$F$3)*(Data_Input!$8:$8=$B393), 0)), 0) + 1, MATCH(1, (Data_Input!$7:$7=$F$3)*(Data_Input!$8:$8=$B393), 0)),"")</f>
        <v/>
      </c>
      <c r="L393" t="str" cm="1">
        <f t="array" ref="L393">IFERROR(_xlfn.LET(
    _xlpm.targetDate, B393,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94" spans="1:12" x14ac:dyDescent="0.3">
      <c r="A394" s="16" t="str">
        <f t="shared" si="12"/>
        <v/>
      </c>
      <c r="B394" s="19"/>
      <c r="C394" s="17" t="str">
        <f t="shared" si="13"/>
        <v/>
      </c>
      <c r="D394" s="29" t="str" cm="1">
        <f t="array" ref="D394">IFERROR(INDEX(Data_Input!$10:$10,MATCH(1,(Data_Input!$7:$7=$F$3)*(Data_Input!$8:$8=$B394),0)),"")</f>
        <v/>
      </c>
      <c r="E394" s="29" t="str" cm="1">
        <f t="array" ref="E394">IFERROR(INDEX(Data_Input!$1:$100, 9, MATCH(1, (Data_Input!$7:$7=$F$3) * (Data_Input!$8:$8=$B394), 0)),"")</f>
        <v/>
      </c>
      <c r="F394" s="20" t="str" cm="1">
        <f t="array" ref="F394">IFERROR(INDEX(Data_Input!$A$1:$ZZ$502, MATCH("예수금", INDEX(Data_Input!$A$1:$ZZ$502, 0, MATCH(1, (Data_Input!$7:$7=$F$3)*(Data_Input!$8:$8=$B394), 0)), 0) + 1, MATCH(1, (Data_Input!$7:$7=$F$3)*(Data_Input!$8:$8=$B394), 0)),"")</f>
        <v/>
      </c>
      <c r="G394" s="20" t="str" cm="1">
        <f t="array" ref="G394">IFERROR(INDEX(Data_Input!$A$1:$ZZ$502, MATCH("총자산", INDEX(Data_Input!$A$1:$ZZ$502, 0, MATCH(1, (Data_Input!$7:$7=$F$3)*(Data_Input!$8:$8=$B394), 0)), 0) + 1, MATCH(1, (Data_Input!$7:$7=$F$3)*(Data_Input!$8:$8=$B394), 0)),"")</f>
        <v/>
      </c>
      <c r="H394" s="20" t="str" cm="1">
        <f t="array" ref="H394">IFERROR(INDEX(Data_Input!$A$1:$ZZ$502, MATCH("매입금액", INDEX(Data_Input!$A$1:$ZZ$502, 0, MATCH(1, (Data_Input!$7:$7=$F$3)*(Data_Input!$8:$8=$B394), 0)), 0) + 1, MATCH(1, (Data_Input!$7:$7=$F$3)*(Data_Input!$8:$8=$B394), 0)),"")</f>
        <v/>
      </c>
      <c r="I394" s="20" t="str" cm="1">
        <f t="array" ref="I394">IFERROR(INDEX(Data_Input!$A$1:$ZZ$502, MATCH("평가금액", INDEX(Data_Input!$A$1:$ZZ$502, 0, MATCH(1, (Data_Input!$7:$7=$F$3)*(Data_Input!$8:$8=$B394), 0)), 0) + 1, MATCH(1, (Data_Input!$7:$7=$F$3)*(Data_Input!$8:$8=$B394), 0)),"")</f>
        <v/>
      </c>
      <c r="J394" s="20" t="str" cm="1">
        <f t="array" ref="J394">IFERROR(INDEX(Data_Input!$A$1:$ZZ$502, MATCH("평가손익", INDEX(Data_Input!$A$1:$ZZ$502, 0, MATCH(1, (Data_Input!$7:$7=$F$3)*(Data_Input!$8:$8=$B394), 0)), 0) + 1, MATCH(1, (Data_Input!$7:$7=$F$3)*(Data_Input!$8:$8=$B394), 0)),"")</f>
        <v/>
      </c>
      <c r="K394" s="14" t="str" cm="1">
        <f t="array" ref="K394">IFERROR(INDEX(Data_Input!$A$1:$ZZ$502, MATCH("총수익률", INDEX(Data_Input!$A$1:$ZZ$502, 0, MATCH(1, (Data_Input!$7:$7=$F$3)*(Data_Input!$8:$8=$B394), 0)), 0) + 1, MATCH(1, (Data_Input!$7:$7=$F$3)*(Data_Input!$8:$8=$B394), 0)),"")</f>
        <v/>
      </c>
      <c r="L394" t="str" cm="1">
        <f t="array" ref="L394">IFERROR(_xlfn.LET(
    _xlpm.targetDate, B394,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95" spans="1:12" x14ac:dyDescent="0.3">
      <c r="A395" s="16" t="str">
        <f t="shared" si="12"/>
        <v/>
      </c>
      <c r="B395" s="19"/>
      <c r="C395" s="17" t="str">
        <f t="shared" si="13"/>
        <v/>
      </c>
      <c r="D395" s="29" t="str" cm="1">
        <f t="array" ref="D395">IFERROR(INDEX(Data_Input!$10:$10,MATCH(1,(Data_Input!$7:$7=$F$3)*(Data_Input!$8:$8=$B395),0)),"")</f>
        <v/>
      </c>
      <c r="E395" s="29" t="str" cm="1">
        <f t="array" ref="E395">IFERROR(INDEX(Data_Input!$1:$100, 9, MATCH(1, (Data_Input!$7:$7=$F$3) * (Data_Input!$8:$8=$B395), 0)),"")</f>
        <v/>
      </c>
      <c r="F395" s="20" t="str" cm="1">
        <f t="array" ref="F395">IFERROR(INDEX(Data_Input!$A$1:$ZZ$502, MATCH("예수금", INDEX(Data_Input!$A$1:$ZZ$502, 0, MATCH(1, (Data_Input!$7:$7=$F$3)*(Data_Input!$8:$8=$B395), 0)), 0) + 1, MATCH(1, (Data_Input!$7:$7=$F$3)*(Data_Input!$8:$8=$B395), 0)),"")</f>
        <v/>
      </c>
      <c r="G395" s="20" t="str" cm="1">
        <f t="array" ref="G395">IFERROR(INDEX(Data_Input!$A$1:$ZZ$502, MATCH("총자산", INDEX(Data_Input!$A$1:$ZZ$502, 0, MATCH(1, (Data_Input!$7:$7=$F$3)*(Data_Input!$8:$8=$B395), 0)), 0) + 1, MATCH(1, (Data_Input!$7:$7=$F$3)*(Data_Input!$8:$8=$B395), 0)),"")</f>
        <v/>
      </c>
      <c r="H395" s="20" t="str" cm="1">
        <f t="array" ref="H395">IFERROR(INDEX(Data_Input!$A$1:$ZZ$502, MATCH("매입금액", INDEX(Data_Input!$A$1:$ZZ$502, 0, MATCH(1, (Data_Input!$7:$7=$F$3)*(Data_Input!$8:$8=$B395), 0)), 0) + 1, MATCH(1, (Data_Input!$7:$7=$F$3)*(Data_Input!$8:$8=$B395), 0)),"")</f>
        <v/>
      </c>
      <c r="I395" s="20" t="str" cm="1">
        <f t="array" ref="I395">IFERROR(INDEX(Data_Input!$A$1:$ZZ$502, MATCH("평가금액", INDEX(Data_Input!$A$1:$ZZ$502, 0, MATCH(1, (Data_Input!$7:$7=$F$3)*(Data_Input!$8:$8=$B395), 0)), 0) + 1, MATCH(1, (Data_Input!$7:$7=$F$3)*(Data_Input!$8:$8=$B395), 0)),"")</f>
        <v/>
      </c>
      <c r="J395" s="20" t="str" cm="1">
        <f t="array" ref="J395">IFERROR(INDEX(Data_Input!$A$1:$ZZ$502, MATCH("평가손익", INDEX(Data_Input!$A$1:$ZZ$502, 0, MATCH(1, (Data_Input!$7:$7=$F$3)*(Data_Input!$8:$8=$B395), 0)), 0) + 1, MATCH(1, (Data_Input!$7:$7=$F$3)*(Data_Input!$8:$8=$B395), 0)),"")</f>
        <v/>
      </c>
      <c r="K395" s="14" t="str" cm="1">
        <f t="array" ref="K395">IFERROR(INDEX(Data_Input!$A$1:$ZZ$502, MATCH("총수익률", INDEX(Data_Input!$A$1:$ZZ$502, 0, MATCH(1, (Data_Input!$7:$7=$F$3)*(Data_Input!$8:$8=$B395), 0)), 0) + 1, MATCH(1, (Data_Input!$7:$7=$F$3)*(Data_Input!$8:$8=$B395), 0)),"")</f>
        <v/>
      </c>
      <c r="L395" t="str" cm="1">
        <f t="array" ref="L395">IFERROR(_xlfn.LET(
    _xlpm.targetDate, B395,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96" spans="1:12" x14ac:dyDescent="0.3">
      <c r="A396" s="16" t="str">
        <f t="shared" si="12"/>
        <v/>
      </c>
      <c r="B396" s="19"/>
      <c r="C396" s="17" t="str">
        <f t="shared" si="13"/>
        <v/>
      </c>
      <c r="D396" s="29" t="str" cm="1">
        <f t="array" ref="D396">IFERROR(INDEX(Data_Input!$10:$10,MATCH(1,(Data_Input!$7:$7=$F$3)*(Data_Input!$8:$8=$B396),0)),"")</f>
        <v/>
      </c>
      <c r="E396" s="29" t="str" cm="1">
        <f t="array" ref="E396">IFERROR(INDEX(Data_Input!$1:$100, 9, MATCH(1, (Data_Input!$7:$7=$F$3) * (Data_Input!$8:$8=$B396), 0)),"")</f>
        <v/>
      </c>
      <c r="F396" s="20" t="str" cm="1">
        <f t="array" ref="F396">IFERROR(INDEX(Data_Input!$A$1:$ZZ$502, MATCH("예수금", INDEX(Data_Input!$A$1:$ZZ$502, 0, MATCH(1, (Data_Input!$7:$7=$F$3)*(Data_Input!$8:$8=$B396), 0)), 0) + 1, MATCH(1, (Data_Input!$7:$7=$F$3)*(Data_Input!$8:$8=$B396), 0)),"")</f>
        <v/>
      </c>
      <c r="G396" s="20" t="str" cm="1">
        <f t="array" ref="G396">IFERROR(INDEX(Data_Input!$A$1:$ZZ$502, MATCH("총자산", INDEX(Data_Input!$A$1:$ZZ$502, 0, MATCH(1, (Data_Input!$7:$7=$F$3)*(Data_Input!$8:$8=$B396), 0)), 0) + 1, MATCH(1, (Data_Input!$7:$7=$F$3)*(Data_Input!$8:$8=$B396), 0)),"")</f>
        <v/>
      </c>
      <c r="H396" s="20" t="str" cm="1">
        <f t="array" ref="H396">IFERROR(INDEX(Data_Input!$A$1:$ZZ$502, MATCH("매입금액", INDEX(Data_Input!$A$1:$ZZ$502, 0, MATCH(1, (Data_Input!$7:$7=$F$3)*(Data_Input!$8:$8=$B396), 0)), 0) + 1, MATCH(1, (Data_Input!$7:$7=$F$3)*(Data_Input!$8:$8=$B396), 0)),"")</f>
        <v/>
      </c>
      <c r="I396" s="20" t="str" cm="1">
        <f t="array" ref="I396">IFERROR(INDEX(Data_Input!$A$1:$ZZ$502, MATCH("평가금액", INDEX(Data_Input!$A$1:$ZZ$502, 0, MATCH(1, (Data_Input!$7:$7=$F$3)*(Data_Input!$8:$8=$B396), 0)), 0) + 1, MATCH(1, (Data_Input!$7:$7=$F$3)*(Data_Input!$8:$8=$B396), 0)),"")</f>
        <v/>
      </c>
      <c r="J396" s="20" t="str" cm="1">
        <f t="array" ref="J396">IFERROR(INDEX(Data_Input!$A$1:$ZZ$502, MATCH("평가손익", INDEX(Data_Input!$A$1:$ZZ$502, 0, MATCH(1, (Data_Input!$7:$7=$F$3)*(Data_Input!$8:$8=$B396), 0)), 0) + 1, MATCH(1, (Data_Input!$7:$7=$F$3)*(Data_Input!$8:$8=$B396), 0)),"")</f>
        <v/>
      </c>
      <c r="K396" s="14" t="str" cm="1">
        <f t="array" ref="K396">IFERROR(INDEX(Data_Input!$A$1:$ZZ$502, MATCH("총수익률", INDEX(Data_Input!$A$1:$ZZ$502, 0, MATCH(1, (Data_Input!$7:$7=$F$3)*(Data_Input!$8:$8=$B396), 0)), 0) + 1, MATCH(1, (Data_Input!$7:$7=$F$3)*(Data_Input!$8:$8=$B396), 0)),"")</f>
        <v/>
      </c>
      <c r="L396" t="str" cm="1">
        <f t="array" ref="L396">IFERROR(_xlfn.LET(
    _xlpm.targetDate, B396,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97" spans="1:12" x14ac:dyDescent="0.3">
      <c r="A397" s="16" t="str">
        <f t="shared" si="12"/>
        <v/>
      </c>
      <c r="B397" s="19"/>
      <c r="C397" s="17" t="str">
        <f t="shared" si="13"/>
        <v/>
      </c>
      <c r="D397" s="29" t="str" cm="1">
        <f t="array" ref="D397">IFERROR(INDEX(Data_Input!$10:$10,MATCH(1,(Data_Input!$7:$7=$F$3)*(Data_Input!$8:$8=$B397),0)),"")</f>
        <v/>
      </c>
      <c r="E397" s="29" t="str" cm="1">
        <f t="array" ref="E397">IFERROR(INDEX(Data_Input!$1:$100, 9, MATCH(1, (Data_Input!$7:$7=$F$3) * (Data_Input!$8:$8=$B397), 0)),"")</f>
        <v/>
      </c>
      <c r="F397" s="20" t="str" cm="1">
        <f t="array" ref="F397">IFERROR(INDEX(Data_Input!$A$1:$ZZ$502, MATCH("예수금", INDEX(Data_Input!$A$1:$ZZ$502, 0, MATCH(1, (Data_Input!$7:$7=$F$3)*(Data_Input!$8:$8=$B397), 0)), 0) + 1, MATCH(1, (Data_Input!$7:$7=$F$3)*(Data_Input!$8:$8=$B397), 0)),"")</f>
        <v/>
      </c>
      <c r="G397" s="20" t="str" cm="1">
        <f t="array" ref="G397">IFERROR(INDEX(Data_Input!$A$1:$ZZ$502, MATCH("총자산", INDEX(Data_Input!$A$1:$ZZ$502, 0, MATCH(1, (Data_Input!$7:$7=$F$3)*(Data_Input!$8:$8=$B397), 0)), 0) + 1, MATCH(1, (Data_Input!$7:$7=$F$3)*(Data_Input!$8:$8=$B397), 0)),"")</f>
        <v/>
      </c>
      <c r="H397" s="20" t="str" cm="1">
        <f t="array" ref="H397">IFERROR(INDEX(Data_Input!$A$1:$ZZ$502, MATCH("매입금액", INDEX(Data_Input!$A$1:$ZZ$502, 0, MATCH(1, (Data_Input!$7:$7=$F$3)*(Data_Input!$8:$8=$B397), 0)), 0) + 1, MATCH(1, (Data_Input!$7:$7=$F$3)*(Data_Input!$8:$8=$B397), 0)),"")</f>
        <v/>
      </c>
      <c r="I397" s="20" t="str" cm="1">
        <f t="array" ref="I397">IFERROR(INDEX(Data_Input!$A$1:$ZZ$502, MATCH("평가금액", INDEX(Data_Input!$A$1:$ZZ$502, 0, MATCH(1, (Data_Input!$7:$7=$F$3)*(Data_Input!$8:$8=$B397), 0)), 0) + 1, MATCH(1, (Data_Input!$7:$7=$F$3)*(Data_Input!$8:$8=$B397), 0)),"")</f>
        <v/>
      </c>
      <c r="J397" s="20" t="str" cm="1">
        <f t="array" ref="J397">IFERROR(INDEX(Data_Input!$A$1:$ZZ$502, MATCH("평가손익", INDEX(Data_Input!$A$1:$ZZ$502, 0, MATCH(1, (Data_Input!$7:$7=$F$3)*(Data_Input!$8:$8=$B397), 0)), 0) + 1, MATCH(1, (Data_Input!$7:$7=$F$3)*(Data_Input!$8:$8=$B397), 0)),"")</f>
        <v/>
      </c>
      <c r="K397" s="14" t="str" cm="1">
        <f t="array" ref="K397">IFERROR(INDEX(Data_Input!$A$1:$ZZ$502, MATCH("총수익률", INDEX(Data_Input!$A$1:$ZZ$502, 0, MATCH(1, (Data_Input!$7:$7=$F$3)*(Data_Input!$8:$8=$B397), 0)), 0) + 1, MATCH(1, (Data_Input!$7:$7=$F$3)*(Data_Input!$8:$8=$B397), 0)),"")</f>
        <v/>
      </c>
      <c r="L397" t="str" cm="1">
        <f t="array" ref="L397">IFERROR(_xlfn.LET(
    _xlpm.targetDate, B397,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98" spans="1:12" x14ac:dyDescent="0.3">
      <c r="A398" s="16" t="str">
        <f t="shared" si="12"/>
        <v/>
      </c>
      <c r="B398" s="19"/>
      <c r="C398" s="17" t="str">
        <f t="shared" si="13"/>
        <v/>
      </c>
      <c r="D398" s="29" t="str" cm="1">
        <f t="array" ref="D398">IFERROR(INDEX(Data_Input!$10:$10,MATCH(1,(Data_Input!$7:$7=$F$3)*(Data_Input!$8:$8=$B398),0)),"")</f>
        <v/>
      </c>
      <c r="E398" s="29" t="str" cm="1">
        <f t="array" ref="E398">IFERROR(INDEX(Data_Input!$1:$100, 9, MATCH(1, (Data_Input!$7:$7=$F$3) * (Data_Input!$8:$8=$B398), 0)),"")</f>
        <v/>
      </c>
      <c r="F398" s="20" t="str" cm="1">
        <f t="array" ref="F398">IFERROR(INDEX(Data_Input!$A$1:$ZZ$502, MATCH("예수금", INDEX(Data_Input!$A$1:$ZZ$502, 0, MATCH(1, (Data_Input!$7:$7=$F$3)*(Data_Input!$8:$8=$B398), 0)), 0) + 1, MATCH(1, (Data_Input!$7:$7=$F$3)*(Data_Input!$8:$8=$B398), 0)),"")</f>
        <v/>
      </c>
      <c r="G398" s="20" t="str" cm="1">
        <f t="array" ref="G398">IFERROR(INDEX(Data_Input!$A$1:$ZZ$502, MATCH("총자산", INDEX(Data_Input!$A$1:$ZZ$502, 0, MATCH(1, (Data_Input!$7:$7=$F$3)*(Data_Input!$8:$8=$B398), 0)), 0) + 1, MATCH(1, (Data_Input!$7:$7=$F$3)*(Data_Input!$8:$8=$B398), 0)),"")</f>
        <v/>
      </c>
      <c r="H398" s="20" t="str" cm="1">
        <f t="array" ref="H398">IFERROR(INDEX(Data_Input!$A$1:$ZZ$502, MATCH("매입금액", INDEX(Data_Input!$A$1:$ZZ$502, 0, MATCH(1, (Data_Input!$7:$7=$F$3)*(Data_Input!$8:$8=$B398), 0)), 0) + 1, MATCH(1, (Data_Input!$7:$7=$F$3)*(Data_Input!$8:$8=$B398), 0)),"")</f>
        <v/>
      </c>
      <c r="I398" s="20" t="str" cm="1">
        <f t="array" ref="I398">IFERROR(INDEX(Data_Input!$A$1:$ZZ$502, MATCH("평가금액", INDEX(Data_Input!$A$1:$ZZ$502, 0, MATCH(1, (Data_Input!$7:$7=$F$3)*(Data_Input!$8:$8=$B398), 0)), 0) + 1, MATCH(1, (Data_Input!$7:$7=$F$3)*(Data_Input!$8:$8=$B398), 0)),"")</f>
        <v/>
      </c>
      <c r="J398" s="20" t="str" cm="1">
        <f t="array" ref="J398">IFERROR(INDEX(Data_Input!$A$1:$ZZ$502, MATCH("평가손익", INDEX(Data_Input!$A$1:$ZZ$502, 0, MATCH(1, (Data_Input!$7:$7=$F$3)*(Data_Input!$8:$8=$B398), 0)), 0) + 1, MATCH(1, (Data_Input!$7:$7=$F$3)*(Data_Input!$8:$8=$B398), 0)),"")</f>
        <v/>
      </c>
      <c r="K398" s="14" t="str" cm="1">
        <f t="array" ref="K398">IFERROR(INDEX(Data_Input!$A$1:$ZZ$502, MATCH("총수익률", INDEX(Data_Input!$A$1:$ZZ$502, 0, MATCH(1, (Data_Input!$7:$7=$F$3)*(Data_Input!$8:$8=$B398), 0)), 0) + 1, MATCH(1, (Data_Input!$7:$7=$F$3)*(Data_Input!$8:$8=$B398), 0)),"")</f>
        <v/>
      </c>
      <c r="L398" t="str" cm="1">
        <f t="array" ref="L398">IFERROR(_xlfn.LET(
    _xlpm.targetDate, B398,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399" spans="1:12" x14ac:dyDescent="0.3">
      <c r="A399" s="16" t="str">
        <f t="shared" si="12"/>
        <v/>
      </c>
      <c r="B399" s="19"/>
      <c r="C399" s="17" t="str">
        <f t="shared" si="13"/>
        <v/>
      </c>
      <c r="D399" s="29" t="str" cm="1">
        <f t="array" ref="D399">IFERROR(INDEX(Data_Input!$10:$10,MATCH(1,(Data_Input!$7:$7=$F$3)*(Data_Input!$8:$8=$B399),0)),"")</f>
        <v/>
      </c>
      <c r="E399" s="29" t="str" cm="1">
        <f t="array" ref="E399">IFERROR(INDEX(Data_Input!$1:$100, 9, MATCH(1, (Data_Input!$7:$7=$F$3) * (Data_Input!$8:$8=$B399), 0)),"")</f>
        <v/>
      </c>
      <c r="F399" s="20" t="str" cm="1">
        <f t="array" ref="F399">IFERROR(INDEX(Data_Input!$A$1:$ZZ$502, MATCH("예수금", INDEX(Data_Input!$A$1:$ZZ$502, 0, MATCH(1, (Data_Input!$7:$7=$F$3)*(Data_Input!$8:$8=$B399), 0)), 0) + 1, MATCH(1, (Data_Input!$7:$7=$F$3)*(Data_Input!$8:$8=$B399), 0)),"")</f>
        <v/>
      </c>
      <c r="G399" s="20" t="str" cm="1">
        <f t="array" ref="G399">IFERROR(INDEX(Data_Input!$A$1:$ZZ$502, MATCH("총자산", INDEX(Data_Input!$A$1:$ZZ$502, 0, MATCH(1, (Data_Input!$7:$7=$F$3)*(Data_Input!$8:$8=$B399), 0)), 0) + 1, MATCH(1, (Data_Input!$7:$7=$F$3)*(Data_Input!$8:$8=$B399), 0)),"")</f>
        <v/>
      </c>
      <c r="H399" s="20" t="str" cm="1">
        <f t="array" ref="H399">IFERROR(INDEX(Data_Input!$A$1:$ZZ$502, MATCH("매입금액", INDEX(Data_Input!$A$1:$ZZ$502, 0, MATCH(1, (Data_Input!$7:$7=$F$3)*(Data_Input!$8:$8=$B399), 0)), 0) + 1, MATCH(1, (Data_Input!$7:$7=$F$3)*(Data_Input!$8:$8=$B399), 0)),"")</f>
        <v/>
      </c>
      <c r="I399" s="20" t="str" cm="1">
        <f t="array" ref="I399">IFERROR(INDEX(Data_Input!$A$1:$ZZ$502, MATCH("평가금액", INDEX(Data_Input!$A$1:$ZZ$502, 0, MATCH(1, (Data_Input!$7:$7=$F$3)*(Data_Input!$8:$8=$B399), 0)), 0) + 1, MATCH(1, (Data_Input!$7:$7=$F$3)*(Data_Input!$8:$8=$B399), 0)),"")</f>
        <v/>
      </c>
      <c r="J399" s="20" t="str" cm="1">
        <f t="array" ref="J399">IFERROR(INDEX(Data_Input!$A$1:$ZZ$502, MATCH("평가손익", INDEX(Data_Input!$A$1:$ZZ$502, 0, MATCH(1, (Data_Input!$7:$7=$F$3)*(Data_Input!$8:$8=$B399), 0)), 0) + 1, MATCH(1, (Data_Input!$7:$7=$F$3)*(Data_Input!$8:$8=$B399), 0)),"")</f>
        <v/>
      </c>
      <c r="K399" s="14" t="str" cm="1">
        <f t="array" ref="K399">IFERROR(INDEX(Data_Input!$A$1:$ZZ$502, MATCH("총수익률", INDEX(Data_Input!$A$1:$ZZ$502, 0, MATCH(1, (Data_Input!$7:$7=$F$3)*(Data_Input!$8:$8=$B399), 0)), 0) + 1, MATCH(1, (Data_Input!$7:$7=$F$3)*(Data_Input!$8:$8=$B399), 0)),"")</f>
        <v/>
      </c>
      <c r="L399" t="str" cm="1">
        <f t="array" ref="L399">IFERROR(_xlfn.LET(
    _xlpm.targetDate, B399,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</sheetData>
  <autoFilter ref="B5:B399" xr:uid="{F1A347CC-6D7D-4886-8915-E5440F924F03}">
    <sortState xmlns:xlrd2="http://schemas.microsoft.com/office/spreadsheetml/2017/richdata2" ref="B6:B399">
      <sortCondition ref="B5:B399"/>
    </sortState>
  </autoFilter>
  <sortState xmlns:xlrd2="http://schemas.microsoft.com/office/spreadsheetml/2017/richdata2" ref="B6:B9">
    <sortCondition ref="B6:B9"/>
  </sortState>
  <phoneticPr fontId="3" type="noConversion"/>
  <dataValidations disablePrompts="1" count="1">
    <dataValidation type="list" allowBlank="1" showInputMessage="1" showErrorMessage="1" sqref="F3" xr:uid="{35C463FA-9723-452D-875B-4570D13D60D0}">
      <formula1>상품종류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28C5-0ABA-4172-B727-7AF21F553557}">
  <sheetPr>
    <tabColor theme="5" tint="0.79998168889431442"/>
  </sheetPr>
  <dimension ref="A3:IP399"/>
  <sheetViews>
    <sheetView topLeftCell="D1" zoomScale="70" zoomScaleNormal="70" workbookViewId="0">
      <selection activeCell="A19" sqref="A19"/>
    </sheetView>
  </sheetViews>
  <sheetFormatPr defaultRowHeight="16.5" x14ac:dyDescent="0.3"/>
  <cols>
    <col min="1" max="1" width="9" style="4"/>
    <col min="2" max="2" width="12" style="11" customWidth="1"/>
    <col min="3" max="3" width="14.125" customWidth="1"/>
    <col min="4" max="5" width="14.125" style="20" customWidth="1"/>
    <col min="6" max="6" width="16.75" customWidth="1"/>
    <col min="7" max="7" width="16" style="20" customWidth="1"/>
    <col min="8" max="8" width="13.75" style="20" customWidth="1"/>
    <col min="9" max="9" width="13" style="20" customWidth="1"/>
    <col min="10" max="10" width="12.25" style="14" customWidth="1"/>
    <col min="11" max="11" width="9.25" bestFit="1" customWidth="1"/>
    <col min="12" max="12" width="54.5" bestFit="1" customWidth="1"/>
    <col min="13" max="13" width="11.75" style="20" bestFit="1" customWidth="1"/>
    <col min="14" max="14" width="14" style="20" bestFit="1" customWidth="1"/>
    <col min="15" max="17" width="11.75" style="20" bestFit="1" customWidth="1"/>
    <col min="18" max="18" width="10.625" style="20" bestFit="1" customWidth="1"/>
    <col min="19" max="19" width="16.125" style="20" bestFit="1" customWidth="1"/>
    <col min="20" max="20" width="10.625" style="20" bestFit="1" customWidth="1"/>
    <col min="21" max="21" width="8.875" style="20" bestFit="1" customWidth="1"/>
    <col min="22" max="22" width="7.5" style="14" bestFit="1" customWidth="1"/>
    <col min="23" max="23" width="9.25" bestFit="1" customWidth="1"/>
    <col min="24" max="24" width="40.875" bestFit="1" customWidth="1"/>
    <col min="25" max="25" width="11.75" style="20" bestFit="1" customWidth="1"/>
    <col min="26" max="26" width="14" style="20" bestFit="1" customWidth="1"/>
    <col min="27" max="30" width="13" style="20" bestFit="1" customWidth="1"/>
    <col min="31" max="31" width="16.125" style="20" bestFit="1" customWidth="1"/>
    <col min="32" max="32" width="10.625" style="20" bestFit="1" customWidth="1"/>
    <col min="33" max="33" width="8.875" style="20" bestFit="1" customWidth="1"/>
    <col min="34" max="34" width="8.125" style="14" bestFit="1" customWidth="1"/>
    <col min="35" max="35" width="9.25" bestFit="1" customWidth="1"/>
    <col min="36" max="36" width="48.125" style="20" bestFit="1" customWidth="1"/>
    <col min="37" max="37" width="11.75" style="20" bestFit="1" customWidth="1"/>
    <col min="38" max="38" width="14" style="20" bestFit="1" customWidth="1"/>
    <col min="39" max="42" width="13" style="20" bestFit="1" customWidth="1"/>
    <col min="43" max="43" width="16.125" style="20" bestFit="1" customWidth="1"/>
    <col min="44" max="44" width="10.625" style="14" bestFit="1" customWidth="1"/>
    <col min="45" max="45" width="8.875" style="20" bestFit="1" customWidth="1"/>
    <col min="46" max="46" width="7.5" style="20" bestFit="1" customWidth="1"/>
    <col min="47" max="47" width="10.625" style="20" bestFit="1" customWidth="1"/>
    <col min="48" max="48" width="49.75" style="20" bestFit="1" customWidth="1"/>
    <col min="49" max="49" width="13" style="20" bestFit="1" customWidth="1"/>
    <col min="50" max="50" width="14" style="20" bestFit="1" customWidth="1"/>
    <col min="51" max="53" width="13" style="20" bestFit="1" customWidth="1"/>
    <col min="54" max="54" width="10.625" style="14" bestFit="1" customWidth="1"/>
    <col min="55" max="55" width="16.125" style="20" bestFit="1" customWidth="1"/>
    <col min="56" max="56" width="10.625" style="20" bestFit="1" customWidth="1"/>
    <col min="57" max="57" width="8.875" style="20" bestFit="1" customWidth="1"/>
    <col min="58" max="58" width="7.5" style="20" bestFit="1" customWidth="1"/>
    <col min="59" max="59" width="10.625" style="20" bestFit="1" customWidth="1"/>
    <col min="60" max="60" width="48.875" style="20" bestFit="1" customWidth="1"/>
    <col min="61" max="61" width="13" style="20" bestFit="1" customWidth="1"/>
    <col min="62" max="62" width="14" style="20" bestFit="1" customWidth="1"/>
    <col min="63" max="63" width="13" style="20" bestFit="1" customWidth="1"/>
    <col min="64" max="65" width="16.375" style="14" bestFit="1" customWidth="1"/>
    <col min="66" max="66" width="12.25" style="11" bestFit="1" customWidth="1"/>
    <col min="67" max="67" width="16.125" style="20" bestFit="1" customWidth="1"/>
    <col min="68" max="68" width="10.625" style="20" bestFit="1" customWidth="1"/>
    <col min="69" max="69" width="8.875" style="20" bestFit="1" customWidth="1"/>
    <col min="70" max="70" width="7.5" style="20" bestFit="1" customWidth="1"/>
    <col min="71" max="71" width="10.625" style="20" bestFit="1" customWidth="1"/>
    <col min="72" max="72" width="60.625" style="20" bestFit="1" customWidth="1"/>
    <col min="73" max="73" width="11.75" style="20" bestFit="1" customWidth="1"/>
    <col min="74" max="74" width="14" style="14" bestFit="1" customWidth="1"/>
    <col min="75" max="76" width="10.625" bestFit="1" customWidth="1"/>
    <col min="77" max="77" width="13" style="20" bestFit="1" customWidth="1"/>
    <col min="78" max="78" width="10.625" style="20" bestFit="1" customWidth="1"/>
    <col min="79" max="79" width="16.125" style="20" bestFit="1" customWidth="1"/>
    <col min="80" max="80" width="10.625" style="20" bestFit="1" customWidth="1"/>
    <col min="81" max="81" width="8.875" style="20" bestFit="1" customWidth="1"/>
    <col min="82" max="82" width="7.5" style="20" bestFit="1" customWidth="1"/>
    <col min="83" max="83" width="9.25" style="20" bestFit="1" customWidth="1"/>
    <col min="84" max="84" width="26.875" style="14" bestFit="1" customWidth="1"/>
    <col min="85" max="85" width="7.125" bestFit="1" customWidth="1"/>
    <col min="86" max="86" width="14" style="20" bestFit="1" customWidth="1"/>
    <col min="87" max="88" width="13" style="20" bestFit="1" customWidth="1"/>
    <col min="89" max="90" width="10.625" style="20" bestFit="1" customWidth="1"/>
    <col min="91" max="91" width="16.125" style="20" bestFit="1" customWidth="1"/>
    <col min="92" max="92" width="10.625" style="20" bestFit="1" customWidth="1"/>
    <col min="93" max="93" width="8.875" style="20" bestFit="1" customWidth="1"/>
    <col min="94" max="94" width="7.5" style="14" bestFit="1" customWidth="1"/>
    <col min="95" max="95" width="18.125" style="20" bestFit="1" customWidth="1"/>
    <col min="96" max="96" width="26.5" style="20" bestFit="1" customWidth="1"/>
    <col min="97" max="97" width="7.125" style="20" bestFit="1" customWidth="1"/>
    <col min="98" max="98" width="14" style="20" bestFit="1" customWidth="1"/>
    <col min="99" max="100" width="13" style="20" bestFit="1" customWidth="1"/>
    <col min="101" max="102" width="10.625" style="20" bestFit="1" customWidth="1"/>
    <col min="103" max="103" width="16.125" style="20" bestFit="1" customWidth="1"/>
    <col min="104" max="104" width="10.625" style="14" bestFit="1" customWidth="1"/>
    <col min="105" max="105" width="8.875" bestFit="1" customWidth="1"/>
    <col min="106" max="106" width="10.25" bestFit="1" customWidth="1"/>
    <col min="107" max="107" width="9.25" style="20" bestFit="1" customWidth="1"/>
    <col min="108" max="108" width="28.625" style="20" bestFit="1" customWidth="1"/>
    <col min="109" max="109" width="8.125" style="20" bestFit="1" customWidth="1"/>
    <col min="110" max="110" width="14" style="20" bestFit="1" customWidth="1"/>
    <col min="111" max="112" width="13" style="20" bestFit="1" customWidth="1"/>
    <col min="113" max="113" width="10.625" style="20" bestFit="1" customWidth="1"/>
    <col min="114" max="114" width="10.625" style="14" bestFit="1" customWidth="1"/>
    <col min="115" max="115" width="16.125" bestFit="1" customWidth="1"/>
    <col min="116" max="116" width="10.625" bestFit="1" customWidth="1"/>
    <col min="117" max="117" width="8.875" style="20" bestFit="1" customWidth="1"/>
    <col min="118" max="118" width="7.5" style="20" bestFit="1" customWidth="1"/>
    <col min="119" max="119" width="18.125" style="20" bestFit="1" customWidth="1"/>
    <col min="120" max="120" width="26.5" style="20" bestFit="1" customWidth="1"/>
    <col min="121" max="121" width="7.125" style="20" bestFit="1" customWidth="1"/>
    <col min="122" max="122" width="14" style="20" bestFit="1" customWidth="1"/>
    <col min="123" max="123" width="10.625" style="20" bestFit="1" customWidth="1"/>
    <col min="124" max="124" width="13.875" style="14" bestFit="1" customWidth="1"/>
    <col min="125" max="126" width="10.625" bestFit="1" customWidth="1"/>
    <col min="127" max="127" width="16.125" style="20" bestFit="1" customWidth="1"/>
    <col min="128" max="128" width="10.625" style="20" bestFit="1" customWidth="1"/>
    <col min="129" max="129" width="8.875" style="20" bestFit="1" customWidth="1"/>
    <col min="130" max="130" width="7.5" style="20" bestFit="1" customWidth="1"/>
    <col min="131" max="131" width="9.25" style="20" bestFit="1" customWidth="1"/>
    <col min="132" max="132" width="7.5" style="20" bestFit="1" customWidth="1"/>
    <col min="133" max="133" width="7.125" style="20" bestFit="1" customWidth="1"/>
    <col min="134" max="134" width="14" style="14" bestFit="1" customWidth="1"/>
    <col min="135" max="136" width="10.625" bestFit="1" customWidth="1"/>
    <col min="137" max="138" width="10.625" style="20" bestFit="1" customWidth="1"/>
    <col min="139" max="139" width="16.125" style="20" bestFit="1" customWidth="1"/>
    <col min="140" max="140" width="10.625" style="20" bestFit="1" customWidth="1"/>
    <col min="141" max="141" width="8.875" style="20" bestFit="1" customWidth="1"/>
    <col min="142" max="142" width="7.5" style="20" bestFit="1" customWidth="1"/>
    <col min="143" max="143" width="9.25" style="20" bestFit="1" customWidth="1"/>
    <col min="144" max="144" width="7.5" style="14" bestFit="1" customWidth="1"/>
    <col min="145" max="145" width="7.125" bestFit="1" customWidth="1"/>
    <col min="146" max="146" width="14" bestFit="1" customWidth="1"/>
    <col min="147" max="150" width="10.625" style="20" bestFit="1" customWidth="1"/>
    <col min="151" max="151" width="16.125" style="20" bestFit="1" customWidth="1"/>
    <col min="152" max="152" width="10.625" style="20" bestFit="1" customWidth="1"/>
    <col min="153" max="153" width="8.875" style="20" bestFit="1" customWidth="1"/>
    <col min="154" max="154" width="7.5" style="14" bestFit="1" customWidth="1"/>
    <col min="155" max="155" width="9.25" bestFit="1" customWidth="1"/>
    <col min="156" max="156" width="7.5" bestFit="1" customWidth="1"/>
    <col min="157" max="157" width="7.125" style="20" bestFit="1" customWidth="1"/>
    <col min="158" max="158" width="14" style="20" bestFit="1" customWidth="1"/>
    <col min="159" max="162" width="10.625" style="20" bestFit="1" customWidth="1"/>
    <col min="163" max="163" width="16.125" style="20" bestFit="1" customWidth="1"/>
    <col min="164" max="164" width="10.625" style="14" bestFit="1" customWidth="1"/>
    <col min="165" max="165" width="8.875" bestFit="1" customWidth="1"/>
    <col min="166" max="166" width="7.5" bestFit="1" customWidth="1"/>
    <col min="167" max="167" width="9.25" style="20" bestFit="1" customWidth="1"/>
    <col min="168" max="168" width="7.5" style="20" bestFit="1" customWidth="1"/>
    <col min="169" max="169" width="7.125" style="20" bestFit="1" customWidth="1"/>
    <col min="170" max="170" width="14" style="20" bestFit="1" customWidth="1"/>
    <col min="171" max="173" width="10.625" style="20" bestFit="1" customWidth="1"/>
    <col min="174" max="174" width="10.625" style="14" bestFit="1" customWidth="1"/>
    <col min="175" max="175" width="16.125" bestFit="1" customWidth="1"/>
    <col min="176" max="176" width="10.625" bestFit="1" customWidth="1"/>
    <col min="177" max="177" width="8.875" style="20" bestFit="1" customWidth="1"/>
    <col min="178" max="178" width="7.5" style="20" bestFit="1" customWidth="1"/>
    <col min="179" max="179" width="9.25" style="20" bestFit="1" customWidth="1"/>
    <col min="180" max="180" width="7.5" style="20" bestFit="1" customWidth="1"/>
    <col min="181" max="181" width="7.125" style="20" bestFit="1" customWidth="1"/>
    <col min="182" max="182" width="14" style="20" bestFit="1" customWidth="1"/>
    <col min="183" max="183" width="10.625" style="20" bestFit="1" customWidth="1"/>
    <col min="184" max="184" width="10.625" style="14" bestFit="1" customWidth="1"/>
    <col min="185" max="186" width="10.625" bestFit="1" customWidth="1"/>
    <col min="187" max="187" width="16.125" style="20" bestFit="1" customWidth="1"/>
    <col min="188" max="188" width="10.625" style="20" bestFit="1" customWidth="1"/>
    <col min="189" max="189" width="8.875" style="20" bestFit="1" customWidth="1"/>
    <col min="190" max="190" width="7.5" style="20" bestFit="1" customWidth="1"/>
    <col min="191" max="191" width="9.25" style="20" bestFit="1" customWidth="1"/>
    <col min="192" max="192" width="7.5" style="20" bestFit="1" customWidth="1"/>
    <col min="193" max="193" width="7.125" style="20" bestFit="1" customWidth="1"/>
    <col min="194" max="194" width="14" style="14" bestFit="1" customWidth="1"/>
    <col min="196" max="196" width="7.125" bestFit="1" customWidth="1"/>
    <col min="197" max="197" width="6.75" style="20" bestFit="1" customWidth="1"/>
    <col min="198" max="198" width="14" style="20" bestFit="1" customWidth="1"/>
    <col min="199" max="202" width="10.5" style="20" bestFit="1" customWidth="1"/>
    <col min="203" max="203" width="16.125" style="20" bestFit="1" customWidth="1"/>
    <col min="204" max="204" width="7.125" style="14" bestFit="1" customWidth="1"/>
  </cols>
  <sheetData>
    <row r="3" spans="1:250" ht="25.5" customHeight="1" x14ac:dyDescent="0.3">
      <c r="A3" s="13" t="s">
        <v>69</v>
      </c>
      <c r="B3" s="56"/>
      <c r="C3" s="12"/>
      <c r="E3" s="45" t="s">
        <v>82</v>
      </c>
      <c r="F3" s="45" t="s">
        <v>22</v>
      </c>
    </row>
    <row r="5" spans="1:250" s="31" customFormat="1" x14ac:dyDescent="0.3">
      <c r="A5" s="21" t="s">
        <v>40</v>
      </c>
      <c r="B5" s="18" t="s">
        <v>41</v>
      </c>
      <c r="C5" s="21" t="s">
        <v>1</v>
      </c>
      <c r="D5" s="32" t="s">
        <v>72</v>
      </c>
      <c r="E5" s="32" t="s">
        <v>73</v>
      </c>
      <c r="F5" s="31" t="s">
        <v>60</v>
      </c>
      <c r="G5" s="33" t="s">
        <v>58</v>
      </c>
      <c r="H5" s="33" t="s">
        <v>44</v>
      </c>
      <c r="I5" s="33" t="s">
        <v>45</v>
      </c>
      <c r="J5" s="34" t="s">
        <v>59</v>
      </c>
      <c r="K5" s="22" t="s">
        <v>46</v>
      </c>
      <c r="L5" s="22" t="s">
        <v>47</v>
      </c>
      <c r="M5" s="35" t="s">
        <v>61</v>
      </c>
      <c r="N5" s="35" t="s">
        <v>62</v>
      </c>
      <c r="O5" s="35" t="s">
        <v>44</v>
      </c>
      <c r="P5" s="35" t="s">
        <v>43</v>
      </c>
      <c r="Q5" s="35" t="s">
        <v>64</v>
      </c>
      <c r="R5" s="35" t="s">
        <v>66</v>
      </c>
      <c r="S5" s="35" t="s">
        <v>67</v>
      </c>
      <c r="T5" s="35" t="s">
        <v>162</v>
      </c>
      <c r="U5" s="35" t="s">
        <v>163</v>
      </c>
      <c r="V5" s="36" t="s">
        <v>68</v>
      </c>
      <c r="W5" s="31" t="s">
        <v>5</v>
      </c>
      <c r="X5" s="31" t="s">
        <v>6</v>
      </c>
      <c r="Y5" s="33" t="s">
        <v>7</v>
      </c>
      <c r="Z5" s="33" t="s">
        <v>8</v>
      </c>
      <c r="AA5" s="33" t="s">
        <v>3</v>
      </c>
      <c r="AB5" s="33" t="s">
        <v>9</v>
      </c>
      <c r="AC5" s="33" t="s">
        <v>63</v>
      </c>
      <c r="AD5" s="33" t="s">
        <v>65</v>
      </c>
      <c r="AE5" s="33" t="s">
        <v>10</v>
      </c>
      <c r="AF5" s="33" t="s">
        <v>162</v>
      </c>
      <c r="AG5" s="33" t="s">
        <v>163</v>
      </c>
      <c r="AH5" s="34" t="s">
        <v>11</v>
      </c>
      <c r="AI5" s="22" t="s">
        <v>46</v>
      </c>
      <c r="AJ5" s="22" t="s">
        <v>47</v>
      </c>
      <c r="AK5" s="35" t="s">
        <v>61</v>
      </c>
      <c r="AL5" s="35" t="s">
        <v>62</v>
      </c>
      <c r="AM5" s="35" t="s">
        <v>44</v>
      </c>
      <c r="AN5" s="35" t="s">
        <v>43</v>
      </c>
      <c r="AO5" s="35" t="s">
        <v>64</v>
      </c>
      <c r="AP5" s="35" t="s">
        <v>66</v>
      </c>
      <c r="AQ5" s="35" t="s">
        <v>67</v>
      </c>
      <c r="AR5" s="35" t="s">
        <v>162</v>
      </c>
      <c r="AS5" s="35" t="s">
        <v>163</v>
      </c>
      <c r="AT5" s="36" t="s">
        <v>52</v>
      </c>
      <c r="AU5" s="31" t="s">
        <v>5</v>
      </c>
      <c r="AV5" s="31" t="s">
        <v>6</v>
      </c>
      <c r="AW5" s="33" t="s">
        <v>7</v>
      </c>
      <c r="AX5" s="33" t="s">
        <v>8</v>
      </c>
      <c r="AY5" s="33" t="s">
        <v>3</v>
      </c>
      <c r="AZ5" s="33" t="s">
        <v>9</v>
      </c>
      <c r="BA5" s="33" t="s">
        <v>63</v>
      </c>
      <c r="BB5" s="33" t="s">
        <v>65</v>
      </c>
      <c r="BC5" s="33" t="s">
        <v>10</v>
      </c>
      <c r="BD5" s="33" t="s">
        <v>162</v>
      </c>
      <c r="BE5" s="33" t="s">
        <v>163</v>
      </c>
      <c r="BF5" s="34" t="s">
        <v>11</v>
      </c>
      <c r="BG5" s="22" t="s">
        <v>46</v>
      </c>
      <c r="BH5" s="22" t="s">
        <v>47</v>
      </c>
      <c r="BI5" s="35" t="s">
        <v>61</v>
      </c>
      <c r="BJ5" s="35" t="s">
        <v>62</v>
      </c>
      <c r="BK5" s="35" t="s">
        <v>44</v>
      </c>
      <c r="BL5" s="35" t="s">
        <v>43</v>
      </c>
      <c r="BM5" s="35" t="s">
        <v>64</v>
      </c>
      <c r="BN5" s="35" t="s">
        <v>66</v>
      </c>
      <c r="BO5" s="35" t="s">
        <v>67</v>
      </c>
      <c r="BP5" s="35" t="s">
        <v>162</v>
      </c>
      <c r="BQ5" s="35" t="s">
        <v>163</v>
      </c>
      <c r="BR5" s="36" t="s">
        <v>52</v>
      </c>
      <c r="BS5" s="31" t="s">
        <v>5</v>
      </c>
      <c r="BT5" s="31" t="s">
        <v>6</v>
      </c>
      <c r="BU5" s="33" t="s">
        <v>7</v>
      </c>
      <c r="BV5" s="33" t="s">
        <v>8</v>
      </c>
      <c r="BW5" s="33" t="s">
        <v>3</v>
      </c>
      <c r="BX5" s="33" t="s">
        <v>9</v>
      </c>
      <c r="BY5" s="33" t="s">
        <v>63</v>
      </c>
      <c r="BZ5" s="33" t="s">
        <v>65</v>
      </c>
      <c r="CA5" s="33" t="s">
        <v>10</v>
      </c>
      <c r="CB5" s="33" t="s">
        <v>162</v>
      </c>
      <c r="CC5" s="33" t="s">
        <v>163</v>
      </c>
      <c r="CD5" s="34" t="s">
        <v>11</v>
      </c>
      <c r="CE5" s="22" t="s">
        <v>46</v>
      </c>
      <c r="CF5" s="22" t="s">
        <v>47</v>
      </c>
      <c r="CG5" s="35" t="s">
        <v>61</v>
      </c>
      <c r="CH5" s="35" t="s">
        <v>62</v>
      </c>
      <c r="CI5" s="35" t="s">
        <v>44</v>
      </c>
      <c r="CJ5" s="35" t="s">
        <v>43</v>
      </c>
      <c r="CK5" s="35" t="s">
        <v>64</v>
      </c>
      <c r="CL5" s="35" t="s">
        <v>66</v>
      </c>
      <c r="CM5" s="35" t="s">
        <v>67</v>
      </c>
      <c r="CN5" s="35" t="s">
        <v>162</v>
      </c>
      <c r="CO5" s="35" t="s">
        <v>163</v>
      </c>
      <c r="CP5" s="36" t="s">
        <v>52</v>
      </c>
      <c r="CQ5" s="31" t="s">
        <v>5</v>
      </c>
      <c r="CR5" s="31" t="s">
        <v>6</v>
      </c>
      <c r="CS5" s="33" t="s">
        <v>7</v>
      </c>
      <c r="CT5" s="33" t="s">
        <v>8</v>
      </c>
      <c r="CU5" s="33" t="s">
        <v>3</v>
      </c>
      <c r="CV5" s="33" t="s">
        <v>9</v>
      </c>
      <c r="CW5" s="33" t="s">
        <v>63</v>
      </c>
      <c r="CX5" s="33" t="s">
        <v>65</v>
      </c>
      <c r="CY5" s="33" t="s">
        <v>10</v>
      </c>
      <c r="CZ5" s="33" t="s">
        <v>162</v>
      </c>
      <c r="DA5" s="33" t="s">
        <v>163</v>
      </c>
      <c r="DB5" s="34" t="s">
        <v>11</v>
      </c>
      <c r="DC5" s="22" t="s">
        <v>46</v>
      </c>
      <c r="DD5" s="22" t="s">
        <v>47</v>
      </c>
      <c r="DE5" s="35" t="s">
        <v>61</v>
      </c>
      <c r="DF5" s="35" t="s">
        <v>62</v>
      </c>
      <c r="DG5" s="35" t="s">
        <v>44</v>
      </c>
      <c r="DH5" s="35" t="s">
        <v>43</v>
      </c>
      <c r="DI5" s="35" t="s">
        <v>64</v>
      </c>
      <c r="DJ5" s="35" t="s">
        <v>66</v>
      </c>
      <c r="DK5" s="35" t="s">
        <v>67</v>
      </c>
      <c r="DL5" s="35" t="s">
        <v>162</v>
      </c>
      <c r="DM5" s="35" t="s">
        <v>163</v>
      </c>
      <c r="DN5" s="36" t="s">
        <v>52</v>
      </c>
      <c r="DO5" s="31" t="s">
        <v>5</v>
      </c>
      <c r="DP5" s="31" t="s">
        <v>6</v>
      </c>
      <c r="DQ5" s="33" t="s">
        <v>7</v>
      </c>
      <c r="DR5" s="33" t="s">
        <v>8</v>
      </c>
      <c r="DS5" s="33" t="s">
        <v>3</v>
      </c>
      <c r="DT5" s="33" t="s">
        <v>9</v>
      </c>
      <c r="DU5" s="33" t="s">
        <v>63</v>
      </c>
      <c r="DV5" s="33" t="s">
        <v>65</v>
      </c>
      <c r="DW5" s="33" t="s">
        <v>10</v>
      </c>
      <c r="DX5" s="33" t="s">
        <v>162</v>
      </c>
      <c r="DY5" s="33" t="s">
        <v>163</v>
      </c>
      <c r="DZ5" s="34" t="s">
        <v>11</v>
      </c>
      <c r="EA5" s="22" t="s">
        <v>46</v>
      </c>
      <c r="EB5" s="22" t="s">
        <v>47</v>
      </c>
      <c r="EC5" s="35" t="s">
        <v>61</v>
      </c>
      <c r="ED5" s="35" t="s">
        <v>62</v>
      </c>
      <c r="EE5" s="35" t="s">
        <v>44</v>
      </c>
      <c r="EF5" s="35" t="s">
        <v>43</v>
      </c>
      <c r="EG5" s="35" t="s">
        <v>64</v>
      </c>
      <c r="EH5" s="35" t="s">
        <v>66</v>
      </c>
      <c r="EI5" s="35" t="s">
        <v>67</v>
      </c>
      <c r="EJ5" s="35" t="s">
        <v>162</v>
      </c>
      <c r="EK5" s="35" t="s">
        <v>163</v>
      </c>
      <c r="EL5" s="36" t="s">
        <v>52</v>
      </c>
      <c r="EM5" s="31" t="s">
        <v>5</v>
      </c>
      <c r="EN5" s="31" t="s">
        <v>6</v>
      </c>
      <c r="EO5" s="33" t="s">
        <v>7</v>
      </c>
      <c r="EP5" s="33" t="s">
        <v>8</v>
      </c>
      <c r="EQ5" s="33" t="s">
        <v>3</v>
      </c>
      <c r="ER5" s="33" t="s">
        <v>9</v>
      </c>
      <c r="ES5" s="33" t="s">
        <v>63</v>
      </c>
      <c r="ET5" s="33" t="s">
        <v>65</v>
      </c>
      <c r="EU5" s="33" t="s">
        <v>10</v>
      </c>
      <c r="EV5" s="33" t="s">
        <v>162</v>
      </c>
      <c r="EW5" s="33" t="s">
        <v>163</v>
      </c>
      <c r="EX5" s="34" t="s">
        <v>11</v>
      </c>
      <c r="EY5" s="22" t="s">
        <v>46</v>
      </c>
      <c r="EZ5" s="22" t="s">
        <v>47</v>
      </c>
      <c r="FA5" s="35" t="s">
        <v>61</v>
      </c>
      <c r="FB5" s="35" t="s">
        <v>62</v>
      </c>
      <c r="FC5" s="35" t="s">
        <v>44</v>
      </c>
      <c r="FD5" s="35" t="s">
        <v>43</v>
      </c>
      <c r="FE5" s="35" t="s">
        <v>64</v>
      </c>
      <c r="FF5" s="35" t="s">
        <v>66</v>
      </c>
      <c r="FG5" s="35" t="s">
        <v>67</v>
      </c>
      <c r="FH5" s="35" t="s">
        <v>162</v>
      </c>
      <c r="FI5" s="35" t="s">
        <v>163</v>
      </c>
      <c r="FJ5" s="36" t="s">
        <v>52</v>
      </c>
      <c r="FK5" s="31" t="s">
        <v>5</v>
      </c>
      <c r="FL5" s="31" t="s">
        <v>6</v>
      </c>
      <c r="FM5" s="33" t="s">
        <v>7</v>
      </c>
      <c r="FN5" s="33" t="s">
        <v>8</v>
      </c>
      <c r="FO5" s="33" t="s">
        <v>3</v>
      </c>
      <c r="FP5" s="33" t="s">
        <v>9</v>
      </c>
      <c r="FQ5" s="33" t="s">
        <v>63</v>
      </c>
      <c r="FR5" s="33" t="s">
        <v>65</v>
      </c>
      <c r="FS5" s="33" t="s">
        <v>10</v>
      </c>
      <c r="FT5" s="33" t="s">
        <v>162</v>
      </c>
      <c r="FU5" s="33" t="s">
        <v>163</v>
      </c>
      <c r="FV5" s="34" t="s">
        <v>11</v>
      </c>
      <c r="FW5" s="22" t="s">
        <v>46</v>
      </c>
      <c r="FX5" s="22" t="s">
        <v>47</v>
      </c>
      <c r="FY5" s="35" t="s">
        <v>61</v>
      </c>
      <c r="FZ5" s="35" t="s">
        <v>62</v>
      </c>
      <c r="GA5" s="35" t="s">
        <v>44</v>
      </c>
      <c r="GB5" s="35" t="s">
        <v>43</v>
      </c>
      <c r="GC5" s="35" t="s">
        <v>64</v>
      </c>
      <c r="GD5" s="35" t="s">
        <v>66</v>
      </c>
      <c r="GE5" s="35" t="s">
        <v>67</v>
      </c>
      <c r="GF5" s="35" t="s">
        <v>162</v>
      </c>
      <c r="GG5" s="35" t="s">
        <v>163</v>
      </c>
      <c r="GH5" s="36" t="s">
        <v>52</v>
      </c>
      <c r="GI5" s="31" t="s">
        <v>5</v>
      </c>
      <c r="GJ5" s="31" t="s">
        <v>6</v>
      </c>
      <c r="GK5" s="33" t="s">
        <v>7</v>
      </c>
      <c r="GL5" s="33" t="s">
        <v>8</v>
      </c>
      <c r="GM5" s="33" t="s">
        <v>3</v>
      </c>
      <c r="GN5" s="33" t="s">
        <v>9</v>
      </c>
      <c r="GO5" s="33" t="s">
        <v>63</v>
      </c>
      <c r="GP5" s="33" t="s">
        <v>65</v>
      </c>
      <c r="GQ5" s="33" t="s">
        <v>10</v>
      </c>
      <c r="GR5" s="33" t="s">
        <v>162</v>
      </c>
      <c r="GS5" s="33" t="s">
        <v>163</v>
      </c>
      <c r="GT5" s="34" t="s">
        <v>11</v>
      </c>
      <c r="GU5" s="22" t="s">
        <v>46</v>
      </c>
      <c r="GV5" s="22" t="s">
        <v>47</v>
      </c>
      <c r="GW5" s="35" t="s">
        <v>61</v>
      </c>
      <c r="GX5" s="35" t="s">
        <v>62</v>
      </c>
      <c r="GY5" s="35" t="s">
        <v>44</v>
      </c>
      <c r="GZ5" s="35" t="s">
        <v>43</v>
      </c>
      <c r="HA5" s="35" t="s">
        <v>64</v>
      </c>
      <c r="HB5" s="35" t="s">
        <v>66</v>
      </c>
      <c r="HC5" s="35" t="s">
        <v>67</v>
      </c>
      <c r="HD5" s="35" t="s">
        <v>162</v>
      </c>
      <c r="HE5" s="35" t="s">
        <v>163</v>
      </c>
      <c r="HF5" s="36" t="s">
        <v>52</v>
      </c>
      <c r="HG5" s="31" t="s">
        <v>5</v>
      </c>
      <c r="HH5" s="31" t="s">
        <v>6</v>
      </c>
      <c r="HI5" s="33" t="s">
        <v>7</v>
      </c>
      <c r="HJ5" s="33" t="s">
        <v>8</v>
      </c>
      <c r="HK5" s="33" t="s">
        <v>3</v>
      </c>
      <c r="HL5" s="33" t="s">
        <v>9</v>
      </c>
      <c r="HM5" s="33" t="s">
        <v>63</v>
      </c>
      <c r="HN5" s="33" t="s">
        <v>65</v>
      </c>
      <c r="HO5" s="33" t="s">
        <v>10</v>
      </c>
      <c r="HP5" s="33" t="s">
        <v>162</v>
      </c>
      <c r="HQ5" s="33" t="s">
        <v>163</v>
      </c>
      <c r="HR5" s="34" t="s">
        <v>11</v>
      </c>
      <c r="HS5" s="22" t="s">
        <v>46</v>
      </c>
      <c r="HT5" s="22" t="s">
        <v>47</v>
      </c>
      <c r="HU5" s="35" t="s">
        <v>61</v>
      </c>
      <c r="HV5" s="35" t="s">
        <v>62</v>
      </c>
      <c r="HW5" s="35" t="s">
        <v>44</v>
      </c>
      <c r="HX5" s="35" t="s">
        <v>43</v>
      </c>
      <c r="HY5" s="35" t="s">
        <v>64</v>
      </c>
      <c r="HZ5" s="35" t="s">
        <v>66</v>
      </c>
      <c r="IA5" s="35" t="s">
        <v>67</v>
      </c>
      <c r="IB5" s="35" t="s">
        <v>162</v>
      </c>
      <c r="IC5" s="35" t="s">
        <v>163</v>
      </c>
      <c r="ID5" s="36" t="s">
        <v>52</v>
      </c>
      <c r="IE5" s="31" t="s">
        <v>5</v>
      </c>
      <c r="IF5" s="31" t="s">
        <v>6</v>
      </c>
      <c r="IG5" s="33" t="s">
        <v>7</v>
      </c>
      <c r="IH5" s="33" t="s">
        <v>8</v>
      </c>
      <c r="II5" s="33" t="s">
        <v>3</v>
      </c>
      <c r="IJ5" s="33" t="s">
        <v>9</v>
      </c>
      <c r="IK5" s="33" t="s">
        <v>63</v>
      </c>
      <c r="IL5" s="33" t="s">
        <v>65</v>
      </c>
      <c r="IM5" s="33" t="s">
        <v>10</v>
      </c>
      <c r="IN5" s="33" t="s">
        <v>162</v>
      </c>
      <c r="IO5" s="33" t="s">
        <v>163</v>
      </c>
      <c r="IP5" s="34" t="s">
        <v>11</v>
      </c>
    </row>
    <row r="6" spans="1:250" x14ac:dyDescent="0.3">
      <c r="A6" s="16">
        <v>1</v>
      </c>
      <c r="B6" s="19" cm="1">
        <f t="array" ref="B6:B8">IFERROR(_xlfn._xlws.SORT(_xlfn.TOCOL(_xlfn.UNIQUE(_xlfn._xlws.FILTER(Data_Input!$B$8:$ZZ$8,Data_Input!$B$7:$ZZ$7=$F$3))),1,1),"")</f>
        <v>45992</v>
      </c>
      <c r="C6" s="17" t="str">
        <f>IF(B6&gt;0,IF($F$3=Data_Input!$I$2,Data_Input!$C$2, IF($F$3=Data_Input!$I$3,Data_Input!$C$3,IF($F$3=Data_Input!$I$4,Data_Input!$C$4,""))),"")</f>
        <v>204-03-53***8</v>
      </c>
      <c r="D6" s="42" cm="1">
        <f t="array" ref="D6">IFERROR(INDEX(Data_Input!$1:$100, 10, MATCH(1, (Data_Input!$7:$7=$F$3) * (Data_Input!$8:$8=$B6), 0)), "")</f>
        <v>0</v>
      </c>
      <c r="E6" s="29" cm="1">
        <f t="array" ref="E6">IFERROR(INDEX(Data_Input!$1:$100, 9, MATCH(1, (Data_Input!$7:$7=$F$3) * (Data_Input!$8:$8=$B6), 0)),"")</f>
        <v>0</v>
      </c>
      <c r="F6" s="20" t="str" cm="1">
        <f t="array" ref="F6">IFERROR(INDEX(Data_Input!$A$1:$ZZ$502, MATCH("플랜번호", INDEX(Data_Input!$A$1:$ZZ$502, 0, MATCH(1, (Data_Input!$7:$7="IRP")*(Data_Input!$8:$8=$B6), 0)), 0) + 1, MATCH(1, (Data_Input!$7:$7=$F$3)*(Data_Input!$8:$8=$B6), 0)),"")</f>
        <v>S0124210712831</v>
      </c>
      <c r="G6" s="20" t="str" cm="1">
        <f t="array" ref="G6">IFERROR(INDEX(Data_Input!$A$1:$ZZ$502, MATCH("플랜명", INDEX(Data_Input!$A$1:$ZZ$502, 0, MATCH(1, (Data_Input!$7:$7="IRP")*(Data_Input!$8:$8=$B6), 0)), 0) + 1, MATCH(1, (Data_Input!$7:$7=$F$3)*(Data_Input!$8:$8=$B6), 0)),"")</f>
        <v>김명화_개인IRP</v>
      </c>
      <c r="H6" s="20" cm="1">
        <f t="array" ref="H6">IFERROR(INDEX(Data_Input!$A$1:$ZZ$502, MATCH("평가금액", INDEX(Data_Input!$A$1:$ZZ$502, 0, MATCH(1, (Data_Input!$7:$7="IRP")*(Data_Input!$8:$8=$B6), 0)), 0) + 1, MATCH(1, (Data_Input!$7:$7=$F$3)*(Data_Input!$8:$8=$B6), 0)),"")</f>
        <v>116370580</v>
      </c>
      <c r="I6" s="20" cm="1">
        <f t="array" ref="I6">IFERROR(INDEX(Data_Input!$A$1:$ZZ$502, MATCH("평가손익", INDEX(Data_Input!$A$1:$ZZ$502, 0, MATCH(1, (Data_Input!$7:$7="IRP")*(Data_Input!$8:$8=$B6), 0)), 0) + 1, MATCH(1, (Data_Input!$7:$7=$F$3)*(Data_Input!$8:$8=$B6), 0)),"")</f>
        <v>20742418</v>
      </c>
      <c r="J6" s="14" cm="1">
        <f t="array" ref="J6">IFERROR(INDEX(Data_Input!$A$1:$ZZ$502, MATCH("누적수익률", INDEX(Data_Input!$A$1:$ZZ$502, 0, MATCH(1, (Data_Input!$7:$7="IRP")*(Data_Input!$8:$8=$B6), 0)), 0) + 1, MATCH(1, (Data_Input!$7:$7=$F$3)*(Data_Input!$8:$8=$B6), 0))/100,"")</f>
        <v>0.37240000000000001</v>
      </c>
      <c r="K6" t="str" cm="1">
        <f t="array" ref="K6:DB6">IFERROR(_xlfn.LET(
    _xlpm.targetDate, B6,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>수익증권</v>
      </c>
      <c r="L6" t="str">
        <v>미래에셋인도중소형포커스증권자투자신탁1호(주식)C-P2e</v>
      </c>
      <c r="M6" s="20">
        <v>1743983</v>
      </c>
      <c r="N6" s="20">
        <v>3248.72</v>
      </c>
      <c r="O6" s="20">
        <v>5665713</v>
      </c>
      <c r="P6" s="20">
        <v>5570000</v>
      </c>
      <c r="Q6" s="20">
        <v>5570000</v>
      </c>
      <c r="R6" s="20">
        <v>0</v>
      </c>
      <c r="S6" s="20">
        <v>0</v>
      </c>
      <c r="T6" s="20" t="str">
        <v>-</v>
      </c>
      <c r="U6" s="20" t="str">
        <v>-</v>
      </c>
      <c r="V6" s="14">
        <v>1.7180000000000001E-2</v>
      </c>
      <c r="W6" t="str">
        <v>수익증권</v>
      </c>
      <c r="X6" t="str">
        <v>마이다스책임투자증권투자신탁(주식)C-Pe2</v>
      </c>
      <c r="Y6" s="20">
        <v>7627192</v>
      </c>
      <c r="Z6" s="20">
        <v>2471.58</v>
      </c>
      <c r="AA6" s="20">
        <v>18851220</v>
      </c>
      <c r="AB6" s="20">
        <v>11110352</v>
      </c>
      <c r="AC6" s="20">
        <v>13051372</v>
      </c>
      <c r="AD6" s="20">
        <v>2981193</v>
      </c>
      <c r="AE6" s="20">
        <v>0</v>
      </c>
      <c r="AF6" s="20" t="str">
        <v>-</v>
      </c>
      <c r="AG6" s="20" t="str">
        <v>-</v>
      </c>
      <c r="AH6" s="14">
        <v>0.69673000000000007</v>
      </c>
      <c r="AI6" t="str">
        <v>수익증권</v>
      </c>
      <c r="AJ6" s="20" t="str">
        <v>AB미국그로스증권투자신탁(주식-재간접형)Ce-P2</v>
      </c>
      <c r="AK6" s="20">
        <v>7852261</v>
      </c>
      <c r="AL6" s="20">
        <v>2942.86</v>
      </c>
      <c r="AM6" s="20">
        <v>23108108</v>
      </c>
      <c r="AN6" s="20">
        <v>18090735</v>
      </c>
      <c r="AO6" s="20">
        <v>36715755</v>
      </c>
      <c r="AP6" s="20">
        <v>20189462</v>
      </c>
      <c r="AQ6" s="20">
        <v>0</v>
      </c>
      <c r="AR6" s="14" t="str">
        <v>-</v>
      </c>
      <c r="AS6" s="20" t="str">
        <v>-</v>
      </c>
      <c r="AT6" s="20">
        <v>0.27734000000000003</v>
      </c>
      <c r="AU6" s="20" t="str">
        <v>수익증권</v>
      </c>
      <c r="AV6" s="20" t="str">
        <v>한국투자연금베트남증권자투자신탁(주식혼합)C-Re</v>
      </c>
      <c r="AW6" s="20">
        <v>8790361</v>
      </c>
      <c r="AX6" s="20">
        <v>1179.3499999999999</v>
      </c>
      <c r="AY6" s="20">
        <v>10366913</v>
      </c>
      <c r="AZ6" s="20">
        <v>10250000</v>
      </c>
      <c r="BA6" s="20">
        <v>10250000</v>
      </c>
      <c r="BB6" s="14">
        <v>0</v>
      </c>
      <c r="BC6" s="20">
        <v>0</v>
      </c>
      <c r="BD6" s="20" t="str">
        <v>-</v>
      </c>
      <c r="BE6" s="20" t="str">
        <v>-</v>
      </c>
      <c r="BF6" s="20">
        <v>1.141E-2</v>
      </c>
      <c r="BG6" s="20" t="str">
        <v>수익증권</v>
      </c>
      <c r="BH6" s="20" t="str">
        <v>우리하이플러스채권증권자투자신탁1호(채권)C-Pe</v>
      </c>
      <c r="BI6" s="20">
        <v>14191487</v>
      </c>
      <c r="BJ6" s="20">
        <v>1040.3</v>
      </c>
      <c r="BK6" s="20">
        <v>14763406</v>
      </c>
      <c r="BL6" s="14">
        <v>12860000</v>
      </c>
      <c r="BM6" s="14">
        <v>13385000</v>
      </c>
      <c r="BN6" s="11">
        <v>525814</v>
      </c>
      <c r="BO6" s="20">
        <v>0</v>
      </c>
      <c r="BP6" s="20" t="str">
        <v>-</v>
      </c>
      <c r="BQ6" s="20" t="str">
        <v>-</v>
      </c>
      <c r="BR6" s="20">
        <v>0.14801</v>
      </c>
      <c r="BS6" s="20" t="str">
        <v>수익증권</v>
      </c>
      <c r="BT6" s="20" t="str">
        <v>한국투자글로벌AI&amp;반도체TOP10증권자투자신탁UH(주식)C-Re</v>
      </c>
      <c r="BU6" s="20">
        <v>7932805</v>
      </c>
      <c r="BV6" s="14">
        <v>2837.16</v>
      </c>
      <c r="BW6">
        <v>22506638</v>
      </c>
      <c r="BX6">
        <v>22780000</v>
      </c>
      <c r="BY6" s="20">
        <v>22780000</v>
      </c>
      <c r="BZ6" s="20">
        <v>0</v>
      </c>
      <c r="CA6" s="20">
        <v>0</v>
      </c>
      <c r="CB6" s="20" t="str">
        <v>-</v>
      </c>
      <c r="CC6" s="20" t="str">
        <v>-</v>
      </c>
      <c r="CD6" s="20">
        <v>-1.2E-2</v>
      </c>
      <c r="CE6" s="20" t="str">
        <v>ETF</v>
      </c>
      <c r="CF6" s="14" t="str">
        <v>ACE 미국30년국채액티브(H)</v>
      </c>
      <c r="CG6">
        <v>1410</v>
      </c>
      <c r="CH6" s="20">
        <v>7850</v>
      </c>
      <c r="CI6" s="20">
        <v>11068500</v>
      </c>
      <c r="CJ6" s="20">
        <v>11611350</v>
      </c>
      <c r="CK6" s="20">
        <v>0</v>
      </c>
      <c r="CL6" s="20">
        <v>0</v>
      </c>
      <c r="CM6" s="20">
        <v>0</v>
      </c>
      <c r="CN6" s="20" t="str">
        <v>-</v>
      </c>
      <c r="CO6" s="20" t="str">
        <v>-</v>
      </c>
      <c r="CP6" s="14">
        <v>-4.675E-2</v>
      </c>
      <c r="CQ6" s="20" t="str">
        <v>현금성자산(원화)</v>
      </c>
      <c r="CR6" s="20" t="str">
        <v>자동운용상품(고유계정대)</v>
      </c>
      <c r="CS6" s="20">
        <v>0</v>
      </c>
      <c r="CT6" s="20">
        <v>0</v>
      </c>
      <c r="CU6" s="20">
        <v>10040082</v>
      </c>
      <c r="CV6" s="20">
        <v>10040082</v>
      </c>
      <c r="CW6" s="20">
        <v>0</v>
      </c>
      <c r="CX6" s="20">
        <v>0</v>
      </c>
      <c r="CY6" s="20">
        <v>0</v>
      </c>
      <c r="CZ6" s="14" t="str">
        <v>-</v>
      </c>
      <c r="DA6" t="str">
        <v>-</v>
      </c>
      <c r="DB6">
        <v>0</v>
      </c>
    </row>
    <row r="7" spans="1:250" x14ac:dyDescent="0.3">
      <c r="A7" s="16">
        <f t="shared" ref="A7:A70" si="0">IF(B7&gt;0,A6+1,"")</f>
        <v>2</v>
      </c>
      <c r="B7" s="18">
        <v>46023</v>
      </c>
      <c r="C7" s="17" t="str">
        <f>IF(B7&gt;0,C6,"")</f>
        <v>204-03-53***8</v>
      </c>
      <c r="D7" s="42" cm="1">
        <f t="array" ref="D7">IFERROR(INDEX(Data_Input!$1:$100, 10, MATCH(1, (Data_Input!$7:$7=$F$3) * (Data_Input!$8:$8=$B7), 0)), "")</f>
        <v>80000000</v>
      </c>
      <c r="E7" s="29" cm="1">
        <f t="array" ref="E7">IFERROR(INDEX(Data_Input!$1:$100, 9, MATCH(1, (Data_Input!$7:$7=$F$3) * (Data_Input!$8:$8=$B7), 0)),"")</f>
        <v>300000</v>
      </c>
      <c r="F7" s="20" t="str" cm="1">
        <f t="array" ref="F7">IFERROR(INDEX(Data_Input!$A$1:$ZZ$502, MATCH("플랜번호", INDEX(Data_Input!$A$1:$ZZ$502, 0, MATCH(1, (Data_Input!$7:$7="IRP")*(Data_Input!$8:$8=$B7), 0)), 0) + 1, MATCH(1, (Data_Input!$7:$7=$F$3)*(Data_Input!$8:$8=$B7), 0)),"")</f>
        <v>S0124210712831</v>
      </c>
      <c r="G7" s="20" t="str" cm="1">
        <f t="array" ref="G7">IFERROR(INDEX(Data_Input!$A$1:$ZZ$502, MATCH("플랜명", INDEX(Data_Input!$A$1:$ZZ$502, 0, MATCH(1, (Data_Input!$7:$7="IRP")*(Data_Input!$8:$8=$B7), 0)), 0) + 1, MATCH(1, (Data_Input!$7:$7=$F$3)*(Data_Input!$8:$8=$B7), 0)),"")</f>
        <v>김명화_개인IRP</v>
      </c>
      <c r="H7" s="20" cm="1">
        <f t="array" ref="H7">IFERROR(INDEX(Data_Input!$A$1:$ZZ$502, MATCH("평가금액", INDEX(Data_Input!$A$1:$ZZ$502, 0, MATCH(1, (Data_Input!$7:$7="IRP")*(Data_Input!$8:$8=$B7), 0)), 0) + 1, MATCH(1, (Data_Input!$7:$7=$F$3)*(Data_Input!$8:$8=$B7), 0)),"")</f>
        <v>117707779</v>
      </c>
      <c r="I7" s="20" cm="1">
        <f t="array" ref="I7">IFERROR(INDEX(Data_Input!$A$1:$ZZ$502, MATCH("평가손익", INDEX(Data_Input!$A$1:$ZZ$502, 0, MATCH(1, (Data_Input!$7:$7="IRP")*(Data_Input!$8:$8=$B7), 0)), 0) + 1, MATCH(1, (Data_Input!$7:$7=$F$3)*(Data_Input!$8:$8=$B7), 0)),"")</f>
        <v>21829617</v>
      </c>
      <c r="J7" s="14" cm="1">
        <f t="array" ref="J7">IFERROR(INDEX(Data_Input!$A$1:$ZZ$502, MATCH("누적수익률", INDEX(Data_Input!$A$1:$ZZ$502, 0, MATCH(1, (Data_Input!$7:$7="IRP")*(Data_Input!$8:$8=$B7), 0)), 0) + 1, MATCH(1, (Data_Input!$7:$7=$F$3)*(Data_Input!$8:$8=$B7), 0))/100,"")</f>
        <v>0.38919999999999999</v>
      </c>
      <c r="K7" t="str" cm="1">
        <f t="array" ref="K7:DB7">IFERROR(_xlfn.LET(
    _xlpm.targetDate, B7,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>수익증권</v>
      </c>
      <c r="L7" t="str">
        <v>미래에셋인도중소형포커스증권자투자신탁1호(주식)C-P2e</v>
      </c>
      <c r="M7" s="20">
        <v>1743983</v>
      </c>
      <c r="N7" s="20">
        <v>3107.13</v>
      </c>
      <c r="O7" s="20">
        <v>5418782</v>
      </c>
      <c r="P7" s="20">
        <v>5570000</v>
      </c>
      <c r="Q7" s="20">
        <v>5570000</v>
      </c>
      <c r="R7" s="20">
        <v>0</v>
      </c>
      <c r="S7" s="20">
        <v>0</v>
      </c>
      <c r="T7" s="20" t="str">
        <v>-</v>
      </c>
      <c r="U7" s="20" t="str">
        <v>-</v>
      </c>
      <c r="V7" s="14">
        <v>-2.7149999999999997E-2</v>
      </c>
      <c r="W7" t="str">
        <v>수익증권</v>
      </c>
      <c r="X7" t="str">
        <v>마이다스책임투자증권투자신탁(주식)C-Pe2</v>
      </c>
      <c r="Y7" s="20">
        <v>7627192</v>
      </c>
      <c r="Z7" s="20">
        <v>2649.32</v>
      </c>
      <c r="AA7" s="20">
        <v>20206876</v>
      </c>
      <c r="AB7" s="20">
        <v>11110352</v>
      </c>
      <c r="AC7" s="20">
        <v>13051372</v>
      </c>
      <c r="AD7" s="20">
        <v>2981193</v>
      </c>
      <c r="AE7" s="20">
        <v>0</v>
      </c>
      <c r="AF7" s="20" t="str">
        <v>-</v>
      </c>
      <c r="AG7" s="20" t="str">
        <v>-</v>
      </c>
      <c r="AH7" s="14">
        <v>0.81873999999999991</v>
      </c>
      <c r="AI7" t="str">
        <v>수익증권</v>
      </c>
      <c r="AJ7" s="20" t="str">
        <v>AB미국그로스증권투자신탁(주식-재간접형)Ce-P2</v>
      </c>
      <c r="AK7" s="20">
        <v>7852261</v>
      </c>
      <c r="AL7" s="20">
        <v>2932.42</v>
      </c>
      <c r="AM7" s="20">
        <v>23026130</v>
      </c>
      <c r="AN7" s="20">
        <v>18090735</v>
      </c>
      <c r="AO7" s="20">
        <v>36715755</v>
      </c>
      <c r="AP7" s="20">
        <v>20189462</v>
      </c>
      <c r="AQ7" s="20">
        <v>0</v>
      </c>
      <c r="AR7" s="14" t="str">
        <v>-</v>
      </c>
      <c r="AS7" s="20" t="str">
        <v>-</v>
      </c>
      <c r="AT7" s="20">
        <v>0.27281</v>
      </c>
      <c r="AU7" s="20" t="str">
        <v>수익증권</v>
      </c>
      <c r="AV7" s="20" t="str">
        <v>한국투자연금베트남증권자투자신탁(주식혼합)C-Re</v>
      </c>
      <c r="AW7" s="20">
        <v>10546825</v>
      </c>
      <c r="AX7" s="20">
        <v>1016.58</v>
      </c>
      <c r="AY7" s="20">
        <v>10721693</v>
      </c>
      <c r="AZ7" s="20">
        <v>10250000</v>
      </c>
      <c r="BA7" s="20">
        <v>10250000</v>
      </c>
      <c r="BB7" s="14">
        <v>0</v>
      </c>
      <c r="BC7" s="20">
        <v>0</v>
      </c>
      <c r="BD7" s="20" t="str">
        <v>-</v>
      </c>
      <c r="BE7" s="20" t="str">
        <v>-</v>
      </c>
      <c r="BF7" s="20">
        <v>4.6020000000000005E-2</v>
      </c>
      <c r="BG7" s="20" t="str">
        <v>수익증권</v>
      </c>
      <c r="BH7" s="20" t="str">
        <v>우리하이플러스채권증권자투자신탁1호(채권)C-Pe</v>
      </c>
      <c r="BI7" s="20">
        <v>14191487</v>
      </c>
      <c r="BJ7" s="20">
        <v>1043.73</v>
      </c>
      <c r="BK7" s="20">
        <v>14812084</v>
      </c>
      <c r="BL7" s="14">
        <v>12860000</v>
      </c>
      <c r="BM7" s="14">
        <v>13385000</v>
      </c>
      <c r="BN7" s="11">
        <v>525814</v>
      </c>
      <c r="BO7" s="20">
        <v>0</v>
      </c>
      <c r="BP7" s="20" t="str">
        <v>-</v>
      </c>
      <c r="BQ7" s="20" t="str">
        <v>-</v>
      </c>
      <c r="BR7" s="20">
        <v>0.15179999999999999</v>
      </c>
      <c r="BS7" s="20" t="str">
        <v>수익증권</v>
      </c>
      <c r="BT7" s="20" t="str">
        <v>한국투자글로벌AI&amp;반도체TOP10증권자투자신탁UH(주식)C-Re</v>
      </c>
      <c r="BU7" s="20">
        <v>7932805</v>
      </c>
      <c r="BV7" s="14">
        <v>2817.08</v>
      </c>
      <c r="BW7">
        <v>22347347</v>
      </c>
      <c r="BX7">
        <v>22780000</v>
      </c>
      <c r="BY7" s="20">
        <v>22780000</v>
      </c>
      <c r="BZ7" s="20">
        <v>0</v>
      </c>
      <c r="CA7" s="20">
        <v>0</v>
      </c>
      <c r="CB7" s="20" t="str">
        <v>-</v>
      </c>
      <c r="CC7" s="20" t="str">
        <v>-</v>
      </c>
      <c r="CD7" s="20">
        <v>-1.899E-2</v>
      </c>
      <c r="CE7" s="20" t="str">
        <v>ETF</v>
      </c>
      <c r="CF7" s="14" t="str">
        <v>ACE 미국30년국채액티브(H)</v>
      </c>
      <c r="CG7">
        <v>1410</v>
      </c>
      <c r="CH7" s="20">
        <v>7680</v>
      </c>
      <c r="CI7" s="20">
        <v>10828800</v>
      </c>
      <c r="CJ7" s="20">
        <v>11611350</v>
      </c>
      <c r="CK7" s="20">
        <v>0</v>
      </c>
      <c r="CL7" s="20">
        <v>0</v>
      </c>
      <c r="CM7" s="20">
        <v>0</v>
      </c>
      <c r="CN7" s="20" t="str">
        <v>-</v>
      </c>
      <c r="CO7" s="20" t="str">
        <v>-</v>
      </c>
      <c r="CP7" s="14">
        <v>-6.7400000000000002E-2</v>
      </c>
      <c r="CQ7" s="20" t="str">
        <v>현금성자산(원화)</v>
      </c>
      <c r="CR7" s="20" t="str">
        <v>자동운용상품(고유계정대)</v>
      </c>
      <c r="CS7" s="20">
        <v>0</v>
      </c>
      <c r="CT7" s="20">
        <v>0</v>
      </c>
      <c r="CU7" s="20">
        <v>10346067</v>
      </c>
      <c r="CV7" s="20">
        <v>10346067</v>
      </c>
      <c r="CW7" s="20">
        <v>0</v>
      </c>
      <c r="CX7" s="20">
        <v>0</v>
      </c>
      <c r="CY7" s="20">
        <v>0</v>
      </c>
      <c r="CZ7" s="14" t="str">
        <v>-</v>
      </c>
      <c r="DA7" t="str">
        <v>-</v>
      </c>
      <c r="DB7">
        <v>0</v>
      </c>
    </row>
    <row r="8" spans="1:250" x14ac:dyDescent="0.3">
      <c r="A8" s="16">
        <f t="shared" si="0"/>
        <v>3</v>
      </c>
      <c r="B8" s="18">
        <v>46064</v>
      </c>
      <c r="C8" s="17" t="str">
        <f t="shared" ref="C8:C71" si="1">IF(B8&gt;0,C7,"")</f>
        <v>204-03-53***8</v>
      </c>
      <c r="D8" s="42" cm="1">
        <f t="array" ref="D8">IFERROR(INDEX(Data_Input!$1:$100, 10, MATCH(1, (Data_Input!$7:$7=$F$3) * (Data_Input!$8:$8=$B8), 0)), "")</f>
        <v>80000000</v>
      </c>
      <c r="E8" s="29" cm="1">
        <f t="array" ref="E8">IFERROR(INDEX(Data_Input!$1:$100, 9, MATCH(1, (Data_Input!$7:$7=$F$3) * (Data_Input!$8:$8=$B8), 0)),"")</f>
        <v>300000</v>
      </c>
      <c r="F8" s="20" t="str" cm="1">
        <f t="array" ref="F8">IFERROR(INDEX(Data_Input!$A$1:$ZZ$502, MATCH("플랜번호", INDEX(Data_Input!$A$1:$ZZ$502, 0, MATCH(1, (Data_Input!$7:$7="IRP")*(Data_Input!$8:$8=$B8), 0)), 0) + 1, MATCH(1, (Data_Input!$7:$7=$F$3)*(Data_Input!$8:$8=$B8), 0)),"")</f>
        <v>S0124210712831</v>
      </c>
      <c r="G8" s="20" t="str" cm="1">
        <f t="array" ref="G8">IFERROR(INDEX(Data_Input!$A$1:$ZZ$502, MATCH("플랜명", INDEX(Data_Input!$A$1:$ZZ$502, 0, MATCH(1, (Data_Input!$7:$7="IRP")*(Data_Input!$8:$8=$B8), 0)), 0) + 1, MATCH(1, (Data_Input!$7:$7=$F$3)*(Data_Input!$8:$8=$B8), 0)),"")</f>
        <v>김명화_개인IRP</v>
      </c>
      <c r="H8" s="20" cm="1">
        <f t="array" ref="H8">IFERROR(INDEX(Data_Input!$A$1:$ZZ$502, MATCH("평가금액", INDEX(Data_Input!$A$1:$ZZ$502, 0, MATCH(1, (Data_Input!$7:$7="IRP")*(Data_Input!$8:$8=$B8), 0)), 0) + 1, MATCH(1, (Data_Input!$7:$7=$F$3)*(Data_Input!$8:$8=$B8), 0)),"")</f>
        <v>122628271</v>
      </c>
      <c r="I8" s="20" cm="1">
        <f t="array" ref="I8">IFERROR(INDEX(Data_Input!$A$1:$ZZ$502, MATCH("평가손익", INDEX(Data_Input!$A$1:$ZZ$502, 0, MATCH(1, (Data_Input!$7:$7="IRP")*(Data_Input!$8:$8=$B8), 0)), 0) + 1, MATCH(1, (Data_Input!$7:$7=$F$3)*(Data_Input!$8:$8=$B8), 0)),"")</f>
        <v>26500109</v>
      </c>
      <c r="J8" s="14" cm="1">
        <f t="array" ref="J8">IFERROR(INDEX(Data_Input!$A$1:$ZZ$502, MATCH("누적수익률", INDEX(Data_Input!$A$1:$ZZ$502, 0, MATCH(1, (Data_Input!$7:$7="IRP")*(Data_Input!$8:$8=$B8), 0)), 0) + 1, MATCH(1, (Data_Input!$7:$7=$F$3)*(Data_Input!$8:$8=$B8), 0))/100,"")</f>
        <v>0.46779999999999999</v>
      </c>
      <c r="K8" t="str" cm="1">
        <f t="array" ref="K8:DZ8">IFERROR(_xlfn.LET(
    _xlpm.targetDate, B8,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>수익증권</v>
      </c>
      <c r="L8" t="str">
        <v>미래에셋인도중소형포커스증권자투자신탁1호(주식)C-P2e</v>
      </c>
      <c r="M8" s="20">
        <v>1743983</v>
      </c>
      <c r="N8" s="20">
        <v>3092.24</v>
      </c>
      <c r="O8" s="20">
        <v>5392814</v>
      </c>
      <c r="P8" s="20">
        <v>5570000</v>
      </c>
      <c r="Q8" s="20">
        <v>5570000</v>
      </c>
      <c r="R8" s="20">
        <v>0</v>
      </c>
      <c r="S8" s="20">
        <v>0</v>
      </c>
      <c r="T8" s="20" t="str">
        <v>-</v>
      </c>
      <c r="U8" s="20" t="str">
        <v>-</v>
      </c>
      <c r="V8" s="14">
        <v>-3.1809999999999998E-2</v>
      </c>
      <c r="W8" t="str">
        <v>수익증권</v>
      </c>
      <c r="X8" t="str">
        <v>마이다스책임투자증권투자신탁(주식)C-Pe2</v>
      </c>
      <c r="Y8" s="20">
        <v>4017661</v>
      </c>
      <c r="Z8" s="20">
        <v>3290.15</v>
      </c>
      <c r="AA8" s="20">
        <v>13218710</v>
      </c>
      <c r="AB8" s="20">
        <v>5647761</v>
      </c>
      <c r="AC8" s="20">
        <v>13051372</v>
      </c>
      <c r="AD8" s="20">
        <v>14041194</v>
      </c>
      <c r="AE8" s="20">
        <v>0</v>
      </c>
      <c r="AF8" s="20" t="str">
        <v>-</v>
      </c>
      <c r="AG8" s="20" t="str">
        <v>-</v>
      </c>
      <c r="AH8" s="14">
        <v>1.3405199999999999</v>
      </c>
      <c r="AI8" t="str">
        <v>수익증권</v>
      </c>
      <c r="AJ8" s="20" t="str">
        <v>AB미국그로스증권투자신탁(주식-재간접형)Ce-P2</v>
      </c>
      <c r="AK8" s="20">
        <v>6310605</v>
      </c>
      <c r="AL8" s="20">
        <v>2844.5</v>
      </c>
      <c r="AM8" s="20">
        <v>17950518</v>
      </c>
      <c r="AN8" s="20">
        <v>15337523</v>
      </c>
      <c r="AO8" s="20">
        <v>36715755</v>
      </c>
      <c r="AP8" s="20">
        <v>24659463</v>
      </c>
      <c r="AQ8" s="20">
        <v>0</v>
      </c>
      <c r="AR8" s="14" t="str">
        <v>-</v>
      </c>
      <c r="AS8" s="20" t="str">
        <v>-</v>
      </c>
      <c r="AT8" s="20">
        <v>0.17036999999999999</v>
      </c>
      <c r="AU8" s="20" t="str">
        <v>수익증권</v>
      </c>
      <c r="AV8" s="20" t="str">
        <v>한국투자연금베트남증권자투자신탁(주식혼합)C-Re</v>
      </c>
      <c r="AW8" s="20">
        <v>10546825</v>
      </c>
      <c r="AX8" s="20">
        <v>1040.32</v>
      </c>
      <c r="AY8" s="20">
        <v>10972074</v>
      </c>
      <c r="AZ8" s="20">
        <v>10250000</v>
      </c>
      <c r="BA8" s="20">
        <v>10250000</v>
      </c>
      <c r="BB8" s="14">
        <v>0</v>
      </c>
      <c r="BC8" s="20">
        <v>0</v>
      </c>
      <c r="BD8" s="20" t="str">
        <v>-</v>
      </c>
      <c r="BE8" s="20" t="str">
        <v>-</v>
      </c>
      <c r="BF8" s="20">
        <v>7.0449999999999999E-2</v>
      </c>
      <c r="BG8" s="20" t="str">
        <v>수익증권</v>
      </c>
      <c r="BH8" s="20" t="str">
        <v>우리하이플러스채권증권자투자신탁1호(채권)C-Pe</v>
      </c>
      <c r="BI8" s="20">
        <v>25866799</v>
      </c>
      <c r="BJ8" s="20">
        <v>1044.0899999999999</v>
      </c>
      <c r="BK8" s="20">
        <v>27007269</v>
      </c>
      <c r="BL8" s="14">
        <v>25060000</v>
      </c>
      <c r="BM8" s="14">
        <v>25585000</v>
      </c>
      <c r="BN8" s="11">
        <v>525814</v>
      </c>
      <c r="BO8" s="20">
        <v>0</v>
      </c>
      <c r="BP8" s="20" t="str">
        <v>-</v>
      </c>
      <c r="BQ8" s="20" t="str">
        <v>-</v>
      </c>
      <c r="BR8" s="20">
        <v>7.7699999999999991E-2</v>
      </c>
      <c r="BS8" s="20" t="str">
        <v>수익증권</v>
      </c>
      <c r="BT8" s="20" t="str">
        <v>한국투자글로벌AI&amp;반도체TOP10증권자투자신탁UH(주식)C-Re</v>
      </c>
      <c r="BU8" s="20">
        <v>7932805</v>
      </c>
      <c r="BV8" s="14">
        <v>2986.92</v>
      </c>
      <c r="BW8">
        <v>23694654</v>
      </c>
      <c r="BX8">
        <v>22780000</v>
      </c>
      <c r="BY8" s="20">
        <v>22780000</v>
      </c>
      <c r="BZ8" s="20">
        <v>0</v>
      </c>
      <c r="CA8" s="20">
        <v>0</v>
      </c>
      <c r="CB8" s="20" t="str">
        <v>-</v>
      </c>
      <c r="CC8" s="20" t="str">
        <v>-</v>
      </c>
      <c r="CD8" s="20">
        <v>4.0149999999999998E-2</v>
      </c>
      <c r="CE8" s="20" t="str">
        <v>ETF</v>
      </c>
      <c r="CF8" s="14" t="str">
        <v>WON 미국우주항공방산</v>
      </c>
      <c r="CG8">
        <v>228</v>
      </c>
      <c r="CH8" s="20">
        <v>27185</v>
      </c>
      <c r="CI8" s="20">
        <v>6198180</v>
      </c>
      <c r="CJ8" s="20">
        <v>6144600</v>
      </c>
      <c r="CK8" s="20">
        <v>0</v>
      </c>
      <c r="CL8" s="20">
        <v>0</v>
      </c>
      <c r="CM8" s="20">
        <v>0</v>
      </c>
      <c r="CN8" s="20" t="str">
        <v>-</v>
      </c>
      <c r="CO8" s="20" t="str">
        <v>-</v>
      </c>
      <c r="CP8" s="14">
        <v>8.7200000000000003E-3</v>
      </c>
      <c r="CQ8" s="20" t="str">
        <v>ETF</v>
      </c>
      <c r="CR8" s="20" t="str">
        <v>KODEX 로봇액티브</v>
      </c>
      <c r="CS8" s="20">
        <v>201</v>
      </c>
      <c r="CT8" s="20">
        <v>34405</v>
      </c>
      <c r="CU8" s="20">
        <v>6915405</v>
      </c>
      <c r="CV8" s="20">
        <v>7363635</v>
      </c>
      <c r="CW8" s="20">
        <v>0</v>
      </c>
      <c r="CX8" s="20">
        <v>0</v>
      </c>
      <c r="CY8" s="20">
        <v>0</v>
      </c>
      <c r="CZ8" s="14" t="str">
        <v>-</v>
      </c>
      <c r="DA8" t="str">
        <v>-</v>
      </c>
      <c r="DB8">
        <v>-6.087E-2</v>
      </c>
      <c r="DC8" s="20" t="str">
        <v>ETF</v>
      </c>
      <c r="DD8" s="20" t="str">
        <v>ACE 미국30년국채액티브(H)</v>
      </c>
      <c r="DE8" s="20">
        <v>1410</v>
      </c>
      <c r="DF8" s="20">
        <v>7635</v>
      </c>
      <c r="DG8" s="20">
        <v>10765350</v>
      </c>
      <c r="DH8" s="20">
        <v>11611350</v>
      </c>
      <c r="DI8" s="20">
        <v>0</v>
      </c>
      <c r="DJ8" s="14">
        <v>0</v>
      </c>
      <c r="DK8">
        <v>0</v>
      </c>
      <c r="DL8" t="str">
        <v>-</v>
      </c>
      <c r="DM8" s="20" t="str">
        <v>-</v>
      </c>
      <c r="DN8" s="20">
        <v>-7.2859999999999994E-2</v>
      </c>
      <c r="DO8" s="20" t="str">
        <v>현금성자산(원화)</v>
      </c>
      <c r="DP8" s="20" t="str">
        <v>자동운용상품(고유계정대)</v>
      </c>
      <c r="DQ8" s="20">
        <v>0</v>
      </c>
      <c r="DR8" s="20">
        <v>0</v>
      </c>
      <c r="DS8" s="20">
        <v>513297</v>
      </c>
      <c r="DT8" s="14">
        <v>513297</v>
      </c>
      <c r="DU8">
        <v>0</v>
      </c>
      <c r="DV8">
        <v>0</v>
      </c>
      <c r="DW8" s="20">
        <v>0</v>
      </c>
      <c r="DX8" s="20" t="str">
        <v>-</v>
      </c>
      <c r="DY8" s="20" t="str">
        <v>-</v>
      </c>
      <c r="DZ8" s="20">
        <v>0</v>
      </c>
    </row>
    <row r="9" spans="1:250" x14ac:dyDescent="0.3">
      <c r="A9" s="16" t="str">
        <f t="shared" si="0"/>
        <v/>
      </c>
      <c r="B9" s="18"/>
      <c r="C9" s="17" t="str">
        <f t="shared" si="1"/>
        <v/>
      </c>
      <c r="D9" s="42" t="str" cm="1">
        <f t="array" ref="D9">IFERROR(INDEX(Data_Input!$1:$100, 10, MATCH(1, (Data_Input!$7:$7=$F$3) * (Data_Input!$8:$8=$B9), 0)), "")</f>
        <v/>
      </c>
      <c r="E9" s="29" t="str" cm="1">
        <f t="array" ref="E9">IFERROR(INDEX(Data_Input!$1:$100, 9, MATCH(1, (Data_Input!$7:$7=$F$3) * (Data_Input!$8:$8=$B9), 0)),"")</f>
        <v/>
      </c>
      <c r="F9" s="20" t="str" cm="1">
        <f t="array" ref="F9">IFERROR(INDEX(Data_Input!$A$1:$ZZ$502, MATCH("플랜번호", INDEX(Data_Input!$A$1:$ZZ$502, 0, MATCH(1, (Data_Input!$7:$7="IRP")*(Data_Input!$8:$8=$B9), 0)), 0) + 1, MATCH(1, (Data_Input!$7:$7=$F$3)*(Data_Input!$8:$8=$B9), 0)),"")</f>
        <v/>
      </c>
      <c r="G9" s="20" t="str" cm="1">
        <f t="array" ref="G9">IFERROR(INDEX(Data_Input!$A$1:$ZZ$502, MATCH("플랜명", INDEX(Data_Input!$A$1:$ZZ$502, 0, MATCH(1, (Data_Input!$7:$7="IRP")*(Data_Input!$8:$8=$B9), 0)), 0) + 1, MATCH(1, (Data_Input!$7:$7=$F$3)*(Data_Input!$8:$8=$B9), 0)),"")</f>
        <v/>
      </c>
      <c r="H9" s="20" t="str" cm="1">
        <f t="array" ref="H9">IFERROR(INDEX(Data_Input!$A$1:$ZZ$502, MATCH("평가금액", INDEX(Data_Input!$A$1:$ZZ$502, 0, MATCH(1, (Data_Input!$7:$7="IRP")*(Data_Input!$8:$8=$B9), 0)), 0) + 1, MATCH(1, (Data_Input!$7:$7=$F$3)*(Data_Input!$8:$8=$B9), 0)),"")</f>
        <v/>
      </c>
      <c r="I9" s="20" t="str" cm="1">
        <f t="array" ref="I9">IFERROR(INDEX(Data_Input!$A$1:$ZZ$502, MATCH("평가손익", INDEX(Data_Input!$A$1:$ZZ$502, 0, MATCH(1, (Data_Input!$7:$7="IRP")*(Data_Input!$8:$8=$B9), 0)), 0) + 1, MATCH(1, (Data_Input!$7:$7=$F$3)*(Data_Input!$8:$8=$B9), 0)),"")</f>
        <v/>
      </c>
      <c r="J9" s="14" t="str" cm="1">
        <f t="array" ref="J9">IFERROR(INDEX(Data_Input!$A$1:$ZZ$502, MATCH("누적수익률", INDEX(Data_Input!$A$1:$ZZ$502, 0, MATCH(1, (Data_Input!$7:$7="IRP")*(Data_Input!$8:$8=$B9), 0)), 0) + 1, MATCH(1, (Data_Input!$7:$7=$F$3)*(Data_Input!$8:$8=$B9), 0))/100,"")</f>
        <v/>
      </c>
      <c r="K9" t="str" cm="1">
        <f t="array" ref="K9">IFERROR(_xlfn.LET(
    _xlpm.targetDate, B9,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0" spans="1:250" x14ac:dyDescent="0.3">
      <c r="A10" s="16" t="str">
        <f t="shared" si="0"/>
        <v/>
      </c>
      <c r="B10" s="19"/>
      <c r="C10" s="17" t="str">
        <f t="shared" si="1"/>
        <v/>
      </c>
      <c r="D10" s="42" t="str" cm="1">
        <f t="array" ref="D10">IFERROR(INDEX(Data_Input!$1:$100, 10, MATCH(1, (Data_Input!$7:$7=$F$3) * (Data_Input!$8:$8=$B10), 0)), "")</f>
        <v/>
      </c>
      <c r="E10" s="29" t="str" cm="1">
        <f t="array" ref="E10">IFERROR(INDEX(Data_Input!$1:$100, 9, MATCH(1, (Data_Input!$7:$7=$F$3) * (Data_Input!$8:$8=$B10), 0)),"")</f>
        <v/>
      </c>
      <c r="F10" s="20" t="str" cm="1">
        <f t="array" ref="F10">IFERROR(INDEX(Data_Input!$A$1:$ZZ$502, MATCH("플랜번호", INDEX(Data_Input!$A$1:$ZZ$502, 0, MATCH(1, (Data_Input!$7:$7="IRP")*(Data_Input!$8:$8=$B10), 0)), 0) + 1, MATCH(1, (Data_Input!$7:$7=$F$3)*(Data_Input!$8:$8=$B10), 0)),"")</f>
        <v/>
      </c>
      <c r="G10" s="20" t="str" cm="1">
        <f t="array" ref="G10">IFERROR(INDEX(Data_Input!$A$1:$ZZ$502, MATCH("플랜명", INDEX(Data_Input!$A$1:$ZZ$502, 0, MATCH(1, (Data_Input!$7:$7="IRP")*(Data_Input!$8:$8=$B10), 0)), 0) + 1, MATCH(1, (Data_Input!$7:$7=$F$3)*(Data_Input!$8:$8=$B10), 0)),"")</f>
        <v/>
      </c>
      <c r="H10" s="20" t="str" cm="1">
        <f t="array" ref="H10">IFERROR(INDEX(Data_Input!$A$1:$ZZ$502, MATCH("평가금액", INDEX(Data_Input!$A$1:$ZZ$502, 0, MATCH(1, (Data_Input!$7:$7="IRP")*(Data_Input!$8:$8=$B10), 0)), 0) + 1, MATCH(1, (Data_Input!$7:$7=$F$3)*(Data_Input!$8:$8=$B10), 0)),"")</f>
        <v/>
      </c>
      <c r="I10" s="20" t="str" cm="1">
        <f t="array" ref="I10">IFERROR(INDEX(Data_Input!$A$1:$ZZ$502, MATCH("평가손익", INDEX(Data_Input!$A$1:$ZZ$502, 0, MATCH(1, (Data_Input!$7:$7="IRP")*(Data_Input!$8:$8=$B10), 0)), 0) + 1, MATCH(1, (Data_Input!$7:$7=$F$3)*(Data_Input!$8:$8=$B10), 0)),"")</f>
        <v/>
      </c>
      <c r="J10" s="14" t="str" cm="1">
        <f t="array" ref="J10">IFERROR(INDEX(Data_Input!$A$1:$ZZ$502, MATCH("누적수익률", INDEX(Data_Input!$A$1:$ZZ$502, 0, MATCH(1, (Data_Input!$7:$7="IRP")*(Data_Input!$8:$8=$B10), 0)), 0) + 1, MATCH(1, (Data_Input!$7:$7=$F$3)*(Data_Input!$8:$8=$B10), 0))/100,"")</f>
        <v/>
      </c>
      <c r="K10" t="str" cm="1">
        <f t="array" ref="K10">IFERROR(_xlfn.LET(
    _xlpm.targetDate, B10,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1" spans="1:250" x14ac:dyDescent="0.3">
      <c r="A11" s="16" t="str">
        <f t="shared" si="0"/>
        <v/>
      </c>
      <c r="B11" s="19"/>
      <c r="C11" s="17" t="str">
        <f t="shared" si="1"/>
        <v/>
      </c>
      <c r="D11" s="42" t="str" cm="1">
        <f t="array" ref="D11">IFERROR(INDEX(Data_Input!$1:$100, 10, MATCH(1, (Data_Input!$7:$7=$F$3) * (Data_Input!$8:$8=$B11), 0)), "")</f>
        <v/>
      </c>
      <c r="E11" s="29" t="str" cm="1">
        <f t="array" ref="E11">IFERROR(INDEX(Data_Input!$1:$100, 9, MATCH(1, (Data_Input!$7:$7=$F$3) * (Data_Input!$8:$8=$B11), 0)),"")</f>
        <v/>
      </c>
      <c r="F11" s="20" t="str" cm="1">
        <f t="array" ref="F11">IFERROR(INDEX(Data_Input!$A$1:$ZZ$502, MATCH("플랜번호", INDEX(Data_Input!$A$1:$ZZ$502, 0, MATCH(1, (Data_Input!$7:$7="IRP")*(Data_Input!$8:$8=$B11), 0)), 0) + 1, MATCH(1, (Data_Input!$7:$7=$F$3)*(Data_Input!$8:$8=$B11), 0)),"")</f>
        <v/>
      </c>
      <c r="G11" s="20" t="str" cm="1">
        <f t="array" ref="G11">IFERROR(INDEX(Data_Input!$A$1:$ZZ$502, MATCH("플랜명", INDEX(Data_Input!$A$1:$ZZ$502, 0, MATCH(1, (Data_Input!$7:$7="IRP")*(Data_Input!$8:$8=$B11), 0)), 0) + 1, MATCH(1, (Data_Input!$7:$7=$F$3)*(Data_Input!$8:$8=$B11), 0)),"")</f>
        <v/>
      </c>
      <c r="H11" s="20" t="str" cm="1">
        <f t="array" ref="H11">IFERROR(INDEX(Data_Input!$A$1:$ZZ$502, MATCH("평가금액", INDEX(Data_Input!$A$1:$ZZ$502, 0, MATCH(1, (Data_Input!$7:$7="IRP")*(Data_Input!$8:$8=$B11), 0)), 0) + 1, MATCH(1, (Data_Input!$7:$7=$F$3)*(Data_Input!$8:$8=$B11), 0)),"")</f>
        <v/>
      </c>
      <c r="I11" s="20" t="str" cm="1">
        <f t="array" ref="I11">IFERROR(INDEX(Data_Input!$A$1:$ZZ$502, MATCH("평가손익", INDEX(Data_Input!$A$1:$ZZ$502, 0, MATCH(1, (Data_Input!$7:$7="IRP")*(Data_Input!$8:$8=$B11), 0)), 0) + 1, MATCH(1, (Data_Input!$7:$7=$F$3)*(Data_Input!$8:$8=$B11), 0)),"")</f>
        <v/>
      </c>
      <c r="J11" s="14" t="str" cm="1">
        <f t="array" ref="J11">IFERROR(INDEX(Data_Input!$A$1:$ZZ$502, MATCH("누적수익률", INDEX(Data_Input!$A$1:$ZZ$502, 0, MATCH(1, (Data_Input!$7:$7="IRP")*(Data_Input!$8:$8=$B11), 0)), 0) + 1, MATCH(1, (Data_Input!$7:$7=$F$3)*(Data_Input!$8:$8=$B11), 0))/100,"")</f>
        <v/>
      </c>
      <c r="K11" t="str" cm="1">
        <f t="array" ref="K11">IFERROR(_xlfn.LET(
    _xlpm.targetDate, B11,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2" spans="1:250" x14ac:dyDescent="0.3">
      <c r="A12" s="16" t="str">
        <f t="shared" si="0"/>
        <v/>
      </c>
      <c r="B12" s="19"/>
      <c r="C12" s="17" t="str">
        <f t="shared" si="1"/>
        <v/>
      </c>
      <c r="D12" s="42" t="str" cm="1">
        <f t="array" ref="D12">IFERROR(INDEX(Data_Input!$1:$100, 10, MATCH(1, (Data_Input!$7:$7=$F$3) * (Data_Input!$8:$8=$B12), 0)), "")</f>
        <v/>
      </c>
      <c r="E12" s="29" t="str" cm="1">
        <f t="array" ref="E12">IFERROR(INDEX(Data_Input!$1:$100, 9, MATCH(1, (Data_Input!$7:$7=$F$3) * (Data_Input!$8:$8=$B12), 0)),"")</f>
        <v/>
      </c>
      <c r="F12" s="20" t="str" cm="1">
        <f t="array" ref="F12">IFERROR(INDEX(Data_Input!$A$1:$ZZ$502, MATCH("플랜번호", INDEX(Data_Input!$A$1:$ZZ$502, 0, MATCH(1, (Data_Input!$7:$7="IRP")*(Data_Input!$8:$8=$B12), 0)), 0) + 1, MATCH(1, (Data_Input!$7:$7=$F$3)*(Data_Input!$8:$8=$B12), 0)),"")</f>
        <v/>
      </c>
      <c r="G12" s="20" t="str" cm="1">
        <f t="array" ref="G12">IFERROR(INDEX(Data_Input!$A$1:$ZZ$502, MATCH("플랜명", INDEX(Data_Input!$A$1:$ZZ$502, 0, MATCH(1, (Data_Input!$7:$7="IRP")*(Data_Input!$8:$8=$B12), 0)), 0) + 1, MATCH(1, (Data_Input!$7:$7=$F$3)*(Data_Input!$8:$8=$B12), 0)),"")</f>
        <v/>
      </c>
      <c r="H12" s="20" t="str" cm="1">
        <f t="array" ref="H12">IFERROR(INDEX(Data_Input!$A$1:$ZZ$502, MATCH("평가금액", INDEX(Data_Input!$A$1:$ZZ$502, 0, MATCH(1, (Data_Input!$7:$7="IRP")*(Data_Input!$8:$8=$B12), 0)), 0) + 1, MATCH(1, (Data_Input!$7:$7=$F$3)*(Data_Input!$8:$8=$B12), 0)),"")</f>
        <v/>
      </c>
      <c r="I12" s="20" t="str" cm="1">
        <f t="array" ref="I12">IFERROR(INDEX(Data_Input!$A$1:$ZZ$502, MATCH("평가손익", INDEX(Data_Input!$A$1:$ZZ$502, 0, MATCH(1, (Data_Input!$7:$7="IRP")*(Data_Input!$8:$8=$B12), 0)), 0) + 1, MATCH(1, (Data_Input!$7:$7=$F$3)*(Data_Input!$8:$8=$B12), 0)),"")</f>
        <v/>
      </c>
      <c r="J12" s="14" t="str" cm="1">
        <f t="array" ref="J12">IFERROR(INDEX(Data_Input!$A$1:$ZZ$502, MATCH("누적수익률", INDEX(Data_Input!$A$1:$ZZ$502, 0, MATCH(1, (Data_Input!$7:$7="IRP")*(Data_Input!$8:$8=$B12), 0)), 0) + 1, MATCH(1, (Data_Input!$7:$7=$F$3)*(Data_Input!$8:$8=$B12), 0))/100,"")</f>
        <v/>
      </c>
      <c r="K12" t="str" cm="1">
        <f t="array" ref="K12">IFERROR(_xlfn.LET(
    _xlpm.targetDate, B12,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3" spans="1:250" x14ac:dyDescent="0.3">
      <c r="A13" s="16" t="str">
        <f t="shared" si="0"/>
        <v/>
      </c>
      <c r="B13" s="19"/>
      <c r="C13" s="17" t="str">
        <f t="shared" si="1"/>
        <v/>
      </c>
      <c r="D13" s="42" t="str" cm="1">
        <f t="array" ref="D13">IFERROR(INDEX(Data_Input!$1:$100, 10, MATCH(1, (Data_Input!$7:$7=$F$3) * (Data_Input!$8:$8=$B13), 0)), "")</f>
        <v/>
      </c>
      <c r="E13" s="29" t="str" cm="1">
        <f t="array" ref="E13">IFERROR(INDEX(Data_Input!$1:$100, 9, MATCH(1, (Data_Input!$7:$7=$F$3) * (Data_Input!$8:$8=$B13), 0)),"")</f>
        <v/>
      </c>
      <c r="F13" s="20" t="str" cm="1">
        <f t="array" ref="F13">IFERROR(INDEX(Data_Input!$A$1:$ZZ$502, MATCH("플랜번호", INDEX(Data_Input!$A$1:$ZZ$502, 0, MATCH(1, (Data_Input!$7:$7="IRP")*(Data_Input!$8:$8=$B13), 0)), 0) + 1, MATCH(1, (Data_Input!$7:$7=$F$3)*(Data_Input!$8:$8=$B13), 0)),"")</f>
        <v/>
      </c>
      <c r="G13" s="20" t="str" cm="1">
        <f t="array" ref="G13">IFERROR(INDEX(Data_Input!$A$1:$ZZ$502, MATCH("플랜명", INDEX(Data_Input!$A$1:$ZZ$502, 0, MATCH(1, (Data_Input!$7:$7="IRP")*(Data_Input!$8:$8=$B13), 0)), 0) + 1, MATCH(1, (Data_Input!$7:$7=$F$3)*(Data_Input!$8:$8=$B13), 0)),"")</f>
        <v/>
      </c>
      <c r="H13" s="20" t="str" cm="1">
        <f t="array" ref="H13">IFERROR(INDEX(Data_Input!$A$1:$ZZ$502, MATCH("평가금액", INDEX(Data_Input!$A$1:$ZZ$502, 0, MATCH(1, (Data_Input!$7:$7="IRP")*(Data_Input!$8:$8=$B13), 0)), 0) + 1, MATCH(1, (Data_Input!$7:$7=$F$3)*(Data_Input!$8:$8=$B13), 0)),"")</f>
        <v/>
      </c>
      <c r="I13" s="20" t="str" cm="1">
        <f t="array" ref="I13">IFERROR(INDEX(Data_Input!$A$1:$ZZ$502, MATCH("평가손익", INDEX(Data_Input!$A$1:$ZZ$502, 0, MATCH(1, (Data_Input!$7:$7="IRP")*(Data_Input!$8:$8=$B13), 0)), 0) + 1, MATCH(1, (Data_Input!$7:$7=$F$3)*(Data_Input!$8:$8=$B13), 0)),"")</f>
        <v/>
      </c>
      <c r="J13" s="14" t="str" cm="1">
        <f t="array" ref="J13">IFERROR(INDEX(Data_Input!$A$1:$ZZ$502, MATCH("누적수익률", INDEX(Data_Input!$A$1:$ZZ$502, 0, MATCH(1, (Data_Input!$7:$7="IRP")*(Data_Input!$8:$8=$B13), 0)), 0) + 1, MATCH(1, (Data_Input!$7:$7=$F$3)*(Data_Input!$8:$8=$B13), 0))/100,"")</f>
        <v/>
      </c>
      <c r="K13" t="str" cm="1">
        <f t="array" ref="K13">IFERROR(_xlfn.LET(
    _xlpm.targetDate, B13,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4" spans="1:250" x14ac:dyDescent="0.3">
      <c r="A14" s="16" t="str">
        <f t="shared" si="0"/>
        <v/>
      </c>
      <c r="B14" s="19"/>
      <c r="C14" s="17" t="str">
        <f t="shared" si="1"/>
        <v/>
      </c>
      <c r="D14" s="42" t="str" cm="1">
        <f t="array" ref="D14">IFERROR(INDEX(Data_Input!$1:$100, 10, MATCH(1, (Data_Input!$7:$7=$F$3) * (Data_Input!$8:$8=$B14), 0)), "")</f>
        <v/>
      </c>
      <c r="E14" s="29" t="str" cm="1">
        <f t="array" ref="E14">IFERROR(INDEX(Data_Input!$1:$100, 9, MATCH(1, (Data_Input!$7:$7=$F$3) * (Data_Input!$8:$8=$B14), 0)),"")</f>
        <v/>
      </c>
      <c r="F14" s="20" t="str" cm="1">
        <f t="array" ref="F14">IFERROR(INDEX(Data_Input!$A$1:$ZZ$502, MATCH("플랜번호", INDEX(Data_Input!$A$1:$ZZ$502, 0, MATCH(1, (Data_Input!$7:$7="IRP")*(Data_Input!$8:$8=$B14), 0)), 0) + 1, MATCH(1, (Data_Input!$7:$7=$F$3)*(Data_Input!$8:$8=$B14), 0)),"")</f>
        <v/>
      </c>
      <c r="G14" s="20" t="str" cm="1">
        <f t="array" ref="G14">IFERROR(INDEX(Data_Input!$A$1:$ZZ$502, MATCH("플랜명", INDEX(Data_Input!$A$1:$ZZ$502, 0, MATCH(1, (Data_Input!$7:$7="IRP")*(Data_Input!$8:$8=$B14), 0)), 0) + 1, MATCH(1, (Data_Input!$7:$7=$F$3)*(Data_Input!$8:$8=$B14), 0)),"")</f>
        <v/>
      </c>
      <c r="H14" s="20" t="str" cm="1">
        <f t="array" ref="H14">IFERROR(INDEX(Data_Input!$A$1:$ZZ$502, MATCH("평가금액", INDEX(Data_Input!$A$1:$ZZ$502, 0, MATCH(1, (Data_Input!$7:$7="IRP")*(Data_Input!$8:$8=$B14), 0)), 0) + 1, MATCH(1, (Data_Input!$7:$7=$F$3)*(Data_Input!$8:$8=$B14), 0)),"")</f>
        <v/>
      </c>
      <c r="I14" s="20" t="str" cm="1">
        <f t="array" ref="I14">IFERROR(INDEX(Data_Input!$A$1:$ZZ$502, MATCH("평가손익", INDEX(Data_Input!$A$1:$ZZ$502, 0, MATCH(1, (Data_Input!$7:$7="IRP")*(Data_Input!$8:$8=$B14), 0)), 0) + 1, MATCH(1, (Data_Input!$7:$7=$F$3)*(Data_Input!$8:$8=$B14), 0)),"")</f>
        <v/>
      </c>
      <c r="J14" s="14" t="str" cm="1">
        <f t="array" ref="J14">IFERROR(INDEX(Data_Input!$A$1:$ZZ$502, MATCH("누적수익률", INDEX(Data_Input!$A$1:$ZZ$502, 0, MATCH(1, (Data_Input!$7:$7="IRP")*(Data_Input!$8:$8=$B14), 0)), 0) + 1, MATCH(1, (Data_Input!$7:$7=$F$3)*(Data_Input!$8:$8=$B14), 0))/100,"")</f>
        <v/>
      </c>
      <c r="K14" t="str" cm="1">
        <f t="array" ref="K14">IFERROR(_xlfn.LET(
    _xlpm.targetDate, B14,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5" spans="1:250" x14ac:dyDescent="0.3">
      <c r="A15" s="16" t="str">
        <f t="shared" si="0"/>
        <v/>
      </c>
      <c r="B15" s="19"/>
      <c r="C15" s="17" t="str">
        <f t="shared" si="1"/>
        <v/>
      </c>
      <c r="D15" s="42" t="str" cm="1">
        <f t="array" ref="D15">IFERROR(INDEX(Data_Input!$1:$100, 10, MATCH(1, (Data_Input!$7:$7=$F$3) * (Data_Input!$8:$8=$B15), 0)), "")</f>
        <v/>
      </c>
      <c r="E15" s="29" t="str" cm="1">
        <f t="array" ref="E15">IFERROR(INDEX(Data_Input!$1:$100, 9, MATCH(1, (Data_Input!$7:$7=$F$3) * (Data_Input!$8:$8=$B15), 0)),"")</f>
        <v/>
      </c>
      <c r="F15" s="20" t="str" cm="1">
        <f t="array" ref="F15">IFERROR(INDEX(Data_Input!$A$1:$ZZ$502, MATCH("플랜번호", INDEX(Data_Input!$A$1:$ZZ$502, 0, MATCH(1, (Data_Input!$7:$7="IRP")*(Data_Input!$8:$8=$B15), 0)), 0) + 1, MATCH(1, (Data_Input!$7:$7=$F$3)*(Data_Input!$8:$8=$B15), 0)),"")</f>
        <v/>
      </c>
      <c r="G15" s="20" t="str" cm="1">
        <f t="array" ref="G15">IFERROR(INDEX(Data_Input!$A$1:$ZZ$502, MATCH("플랜명", INDEX(Data_Input!$A$1:$ZZ$502, 0, MATCH(1, (Data_Input!$7:$7="IRP")*(Data_Input!$8:$8=$B15), 0)), 0) + 1, MATCH(1, (Data_Input!$7:$7=$F$3)*(Data_Input!$8:$8=$B15), 0)),"")</f>
        <v/>
      </c>
      <c r="H15" s="20" t="str" cm="1">
        <f t="array" ref="H15">IFERROR(INDEX(Data_Input!$A$1:$ZZ$502, MATCH("평가금액", INDEX(Data_Input!$A$1:$ZZ$502, 0, MATCH(1, (Data_Input!$7:$7="IRP")*(Data_Input!$8:$8=$B15), 0)), 0) + 1, MATCH(1, (Data_Input!$7:$7=$F$3)*(Data_Input!$8:$8=$B15), 0)),"")</f>
        <v/>
      </c>
      <c r="I15" s="20" t="str" cm="1">
        <f t="array" ref="I15">IFERROR(INDEX(Data_Input!$A$1:$ZZ$502, MATCH("평가손익", INDEX(Data_Input!$A$1:$ZZ$502, 0, MATCH(1, (Data_Input!$7:$7="IRP")*(Data_Input!$8:$8=$B15), 0)), 0) + 1, MATCH(1, (Data_Input!$7:$7=$F$3)*(Data_Input!$8:$8=$B15), 0)),"")</f>
        <v/>
      </c>
      <c r="J15" s="14" t="str" cm="1">
        <f t="array" ref="J15">IFERROR(INDEX(Data_Input!$A$1:$ZZ$502, MATCH("누적수익률", INDEX(Data_Input!$A$1:$ZZ$502, 0, MATCH(1, (Data_Input!$7:$7="IRP")*(Data_Input!$8:$8=$B15), 0)), 0) + 1, MATCH(1, (Data_Input!$7:$7=$F$3)*(Data_Input!$8:$8=$B15), 0))/100,"")</f>
        <v/>
      </c>
      <c r="K15" t="str" cm="1">
        <f t="array" ref="K15">IFERROR(_xlfn.LET(
    _xlpm.targetDate, B15,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6" spans="1:250" x14ac:dyDescent="0.3">
      <c r="A16" s="16" t="str">
        <f t="shared" si="0"/>
        <v/>
      </c>
      <c r="B16" s="19"/>
      <c r="C16" s="17" t="str">
        <f t="shared" si="1"/>
        <v/>
      </c>
      <c r="D16" s="42" t="str" cm="1">
        <f t="array" ref="D16">IFERROR(INDEX(Data_Input!$1:$100, 10, MATCH(1, (Data_Input!$7:$7=$F$3) * (Data_Input!$8:$8=$B16), 0)), "")</f>
        <v/>
      </c>
      <c r="E16" s="29" t="str" cm="1">
        <f t="array" ref="E16">IFERROR(INDEX(Data_Input!$1:$100, 9, MATCH(1, (Data_Input!$7:$7=$F$3) * (Data_Input!$8:$8=$B16), 0)),"")</f>
        <v/>
      </c>
      <c r="F16" s="20" t="str" cm="1">
        <f t="array" ref="F16">IFERROR(INDEX(Data_Input!$A$1:$ZZ$502, MATCH("플랜번호", INDEX(Data_Input!$A$1:$ZZ$502, 0, MATCH(1, (Data_Input!$7:$7="IRP")*(Data_Input!$8:$8=$B16), 0)), 0) + 1, MATCH(1, (Data_Input!$7:$7=$F$3)*(Data_Input!$8:$8=$B16), 0)),"")</f>
        <v/>
      </c>
      <c r="G16" s="20" t="str" cm="1">
        <f t="array" ref="G16">IFERROR(INDEX(Data_Input!$A$1:$ZZ$502, MATCH("플랜명", INDEX(Data_Input!$A$1:$ZZ$502, 0, MATCH(1, (Data_Input!$7:$7="IRP")*(Data_Input!$8:$8=$B16), 0)), 0) + 1, MATCH(1, (Data_Input!$7:$7=$F$3)*(Data_Input!$8:$8=$B16), 0)),"")</f>
        <v/>
      </c>
      <c r="H16" s="20" t="str" cm="1">
        <f t="array" ref="H16">IFERROR(INDEX(Data_Input!$A$1:$ZZ$502, MATCH("평가금액", INDEX(Data_Input!$A$1:$ZZ$502, 0, MATCH(1, (Data_Input!$7:$7="IRP")*(Data_Input!$8:$8=$B16), 0)), 0) + 1, MATCH(1, (Data_Input!$7:$7=$F$3)*(Data_Input!$8:$8=$B16), 0)),"")</f>
        <v/>
      </c>
      <c r="I16" s="20" t="str" cm="1">
        <f t="array" ref="I16">IFERROR(INDEX(Data_Input!$A$1:$ZZ$502, MATCH("평가손익", INDEX(Data_Input!$A$1:$ZZ$502, 0, MATCH(1, (Data_Input!$7:$7="IRP")*(Data_Input!$8:$8=$B16), 0)), 0) + 1, MATCH(1, (Data_Input!$7:$7=$F$3)*(Data_Input!$8:$8=$B16), 0)),"")</f>
        <v/>
      </c>
      <c r="J16" s="14" t="str" cm="1">
        <f t="array" ref="J16">IFERROR(INDEX(Data_Input!$A$1:$ZZ$502, MATCH("누적수익률", INDEX(Data_Input!$A$1:$ZZ$502, 0, MATCH(1, (Data_Input!$7:$7="IRP")*(Data_Input!$8:$8=$B16), 0)), 0) + 1, MATCH(1, (Data_Input!$7:$7=$F$3)*(Data_Input!$8:$8=$B16), 0))/100,"")</f>
        <v/>
      </c>
      <c r="K16" t="str" cm="1">
        <f t="array" ref="K16">IFERROR(_xlfn.LET(
    _xlpm.targetDate, B16,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7" spans="1:11" x14ac:dyDescent="0.3">
      <c r="A17" s="16" t="str">
        <f t="shared" si="0"/>
        <v/>
      </c>
      <c r="B17" s="19"/>
      <c r="C17" s="17" t="str">
        <f t="shared" si="1"/>
        <v/>
      </c>
      <c r="D17" s="42" t="str" cm="1">
        <f t="array" ref="D17">IFERROR(INDEX(Data_Input!$1:$100, 10, MATCH(1, (Data_Input!$7:$7=$F$3) * (Data_Input!$8:$8=$B17), 0)), "")</f>
        <v/>
      </c>
      <c r="E17" s="29" t="str" cm="1">
        <f t="array" ref="E17">IFERROR(INDEX(Data_Input!$1:$100, 9, MATCH(1, (Data_Input!$7:$7=$F$3) * (Data_Input!$8:$8=$B17), 0)),"")</f>
        <v/>
      </c>
      <c r="F17" s="20" t="str" cm="1">
        <f t="array" ref="F17">IFERROR(INDEX(Data_Input!$A$1:$ZZ$502, MATCH("플랜번호", INDEX(Data_Input!$A$1:$ZZ$502, 0, MATCH(1, (Data_Input!$7:$7="IRP")*(Data_Input!$8:$8=$B17), 0)), 0) + 1, MATCH(1, (Data_Input!$7:$7=$F$3)*(Data_Input!$8:$8=$B17), 0)),"")</f>
        <v/>
      </c>
      <c r="G17" s="20" t="str" cm="1">
        <f t="array" ref="G17">IFERROR(INDEX(Data_Input!$A$1:$ZZ$502, MATCH("플랜명", INDEX(Data_Input!$A$1:$ZZ$502, 0, MATCH(1, (Data_Input!$7:$7="IRP")*(Data_Input!$8:$8=$B17), 0)), 0) + 1, MATCH(1, (Data_Input!$7:$7=$F$3)*(Data_Input!$8:$8=$B17), 0)),"")</f>
        <v/>
      </c>
      <c r="H17" s="20" t="str" cm="1">
        <f t="array" ref="H17">IFERROR(INDEX(Data_Input!$A$1:$ZZ$502, MATCH("평가금액", INDEX(Data_Input!$A$1:$ZZ$502, 0, MATCH(1, (Data_Input!$7:$7="IRP")*(Data_Input!$8:$8=$B17), 0)), 0) + 1, MATCH(1, (Data_Input!$7:$7=$F$3)*(Data_Input!$8:$8=$B17), 0)),"")</f>
        <v/>
      </c>
      <c r="I17" s="20" t="str" cm="1">
        <f t="array" ref="I17">IFERROR(INDEX(Data_Input!$A$1:$ZZ$502, MATCH("평가손익", INDEX(Data_Input!$A$1:$ZZ$502, 0, MATCH(1, (Data_Input!$7:$7="IRP")*(Data_Input!$8:$8=$B17), 0)), 0) + 1, MATCH(1, (Data_Input!$7:$7=$F$3)*(Data_Input!$8:$8=$B17), 0)),"")</f>
        <v/>
      </c>
      <c r="J17" s="14" t="str" cm="1">
        <f t="array" ref="J17">IFERROR(INDEX(Data_Input!$A$1:$ZZ$502, MATCH("누적수익률", INDEX(Data_Input!$A$1:$ZZ$502, 0, MATCH(1, (Data_Input!$7:$7="IRP")*(Data_Input!$8:$8=$B17), 0)), 0) + 1, MATCH(1, (Data_Input!$7:$7=$F$3)*(Data_Input!$8:$8=$B17), 0))/100,"")</f>
        <v/>
      </c>
      <c r="K17" t="str" cm="1">
        <f t="array" ref="K17">IFERROR(_xlfn.LET(
    _xlpm.targetDate, B17,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8" spans="1:11" x14ac:dyDescent="0.3">
      <c r="A18" s="16" t="str">
        <f t="shared" si="0"/>
        <v/>
      </c>
      <c r="B18" s="19"/>
      <c r="C18" s="17" t="str">
        <f t="shared" si="1"/>
        <v/>
      </c>
      <c r="D18" s="42" t="str" cm="1">
        <f t="array" ref="D18">IFERROR(INDEX(Data_Input!$1:$100, 10, MATCH(1, (Data_Input!$7:$7=$F$3) * (Data_Input!$8:$8=$B18), 0)), "")</f>
        <v/>
      </c>
      <c r="E18" s="29" t="str" cm="1">
        <f t="array" ref="E18">IFERROR(INDEX(Data_Input!$1:$100, 9, MATCH(1, (Data_Input!$7:$7=$F$3) * (Data_Input!$8:$8=$B18), 0)),"")</f>
        <v/>
      </c>
      <c r="F18" s="20" t="str" cm="1">
        <f t="array" ref="F18">IFERROR(INDEX(Data_Input!$A$1:$ZZ$502, MATCH("플랜번호", INDEX(Data_Input!$A$1:$ZZ$502, 0, MATCH(1, (Data_Input!$7:$7="IRP")*(Data_Input!$8:$8=$B18), 0)), 0) + 1, MATCH(1, (Data_Input!$7:$7=$F$3)*(Data_Input!$8:$8=$B18), 0)),"")</f>
        <v/>
      </c>
      <c r="G18" s="20" t="str" cm="1">
        <f t="array" ref="G18">IFERROR(INDEX(Data_Input!$A$1:$ZZ$502, MATCH("플랜명", INDEX(Data_Input!$A$1:$ZZ$502, 0, MATCH(1, (Data_Input!$7:$7="IRP")*(Data_Input!$8:$8=$B18), 0)), 0) + 1, MATCH(1, (Data_Input!$7:$7=$F$3)*(Data_Input!$8:$8=$B18), 0)),"")</f>
        <v/>
      </c>
      <c r="H18" s="20" t="str" cm="1">
        <f t="array" ref="H18">IFERROR(INDEX(Data_Input!$A$1:$ZZ$502, MATCH("평가금액", INDEX(Data_Input!$A$1:$ZZ$502, 0, MATCH(1, (Data_Input!$7:$7="IRP")*(Data_Input!$8:$8=$B18), 0)), 0) + 1, MATCH(1, (Data_Input!$7:$7=$F$3)*(Data_Input!$8:$8=$B18), 0)),"")</f>
        <v/>
      </c>
      <c r="I18" s="20" t="str" cm="1">
        <f t="array" ref="I18">IFERROR(INDEX(Data_Input!$A$1:$ZZ$502, MATCH("평가손익", INDEX(Data_Input!$A$1:$ZZ$502, 0, MATCH(1, (Data_Input!$7:$7="IRP")*(Data_Input!$8:$8=$B18), 0)), 0) + 1, MATCH(1, (Data_Input!$7:$7=$F$3)*(Data_Input!$8:$8=$B18), 0)),"")</f>
        <v/>
      </c>
      <c r="J18" s="14" t="str" cm="1">
        <f t="array" ref="J18">IFERROR(INDEX(Data_Input!$A$1:$ZZ$502, MATCH("누적수익률", INDEX(Data_Input!$A$1:$ZZ$502, 0, MATCH(1, (Data_Input!$7:$7="IRP")*(Data_Input!$8:$8=$B18), 0)), 0) + 1, MATCH(1, (Data_Input!$7:$7=$F$3)*(Data_Input!$8:$8=$B18), 0))/100,"")</f>
        <v/>
      </c>
      <c r="K18" t="str" cm="1">
        <f t="array" ref="K18">IFERROR(_xlfn.LET(
    _xlpm.targetDate, B18,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9" spans="1:11" x14ac:dyDescent="0.3">
      <c r="A19" s="16" t="str">
        <f t="shared" si="0"/>
        <v/>
      </c>
      <c r="B19" s="19"/>
      <c r="C19" s="17" t="str">
        <f t="shared" si="1"/>
        <v/>
      </c>
      <c r="D19" s="42" t="str" cm="1">
        <f t="array" ref="D19">IFERROR(INDEX(Data_Input!$1:$100, 10, MATCH(1, (Data_Input!$7:$7=$F$3) * (Data_Input!$8:$8=$B19), 0)), "")</f>
        <v/>
      </c>
      <c r="E19" s="29" t="str" cm="1">
        <f t="array" ref="E19">IFERROR(INDEX(Data_Input!$1:$100, 9, MATCH(1, (Data_Input!$7:$7=$F$3) * (Data_Input!$8:$8=$B19), 0)),"")</f>
        <v/>
      </c>
      <c r="F19" s="20" t="str" cm="1">
        <f t="array" ref="F19">IFERROR(INDEX(Data_Input!$A$1:$ZZ$502, MATCH("플랜번호", INDEX(Data_Input!$A$1:$ZZ$502, 0, MATCH(1, (Data_Input!$7:$7="IRP")*(Data_Input!$8:$8=$B19), 0)), 0) + 1, MATCH(1, (Data_Input!$7:$7=$F$3)*(Data_Input!$8:$8=$B19), 0)),"")</f>
        <v/>
      </c>
      <c r="G19" s="20" t="str" cm="1">
        <f t="array" ref="G19">IFERROR(INDEX(Data_Input!$A$1:$ZZ$502, MATCH("플랜명", INDEX(Data_Input!$A$1:$ZZ$502, 0, MATCH(1, (Data_Input!$7:$7="IRP")*(Data_Input!$8:$8=$B19), 0)), 0) + 1, MATCH(1, (Data_Input!$7:$7=$F$3)*(Data_Input!$8:$8=$B19), 0)),"")</f>
        <v/>
      </c>
      <c r="H19" s="20" t="str" cm="1">
        <f t="array" ref="H19">IFERROR(INDEX(Data_Input!$A$1:$ZZ$502, MATCH("평가금액", INDEX(Data_Input!$A$1:$ZZ$502, 0, MATCH(1, (Data_Input!$7:$7="IRP")*(Data_Input!$8:$8=$B19), 0)), 0) + 1, MATCH(1, (Data_Input!$7:$7=$F$3)*(Data_Input!$8:$8=$B19), 0)),"")</f>
        <v/>
      </c>
      <c r="I19" s="20" t="str" cm="1">
        <f t="array" ref="I19">IFERROR(INDEX(Data_Input!$A$1:$ZZ$502, MATCH("평가손익", INDEX(Data_Input!$A$1:$ZZ$502, 0, MATCH(1, (Data_Input!$7:$7="IRP")*(Data_Input!$8:$8=$B19), 0)), 0) + 1, MATCH(1, (Data_Input!$7:$7=$F$3)*(Data_Input!$8:$8=$B19), 0)),"")</f>
        <v/>
      </c>
      <c r="J19" s="14" t="str" cm="1">
        <f t="array" ref="J19">IFERROR(INDEX(Data_Input!$A$1:$ZZ$502, MATCH("누적수익률", INDEX(Data_Input!$A$1:$ZZ$502, 0, MATCH(1, (Data_Input!$7:$7="IRP")*(Data_Input!$8:$8=$B19), 0)), 0) + 1, MATCH(1, (Data_Input!$7:$7=$F$3)*(Data_Input!$8:$8=$B19), 0))/100,"")</f>
        <v/>
      </c>
      <c r="K19" t="str" cm="1">
        <f t="array" ref="K19">IFERROR(_xlfn.LET(
    _xlpm.targetDate, B19,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0" spans="1:11" x14ac:dyDescent="0.3">
      <c r="A20" s="16" t="str">
        <f t="shared" si="0"/>
        <v/>
      </c>
      <c r="B20" s="19"/>
      <c r="C20" s="17" t="str">
        <f t="shared" si="1"/>
        <v/>
      </c>
      <c r="D20" s="42" t="str" cm="1">
        <f t="array" ref="D20">IFERROR(INDEX(Data_Input!$1:$100, 10, MATCH(1, (Data_Input!$7:$7=$F$3) * (Data_Input!$8:$8=$B20), 0)), "")</f>
        <v/>
      </c>
      <c r="E20" s="29" t="str" cm="1">
        <f t="array" ref="E20">IFERROR(INDEX(Data_Input!$1:$100, 9, MATCH(1, (Data_Input!$7:$7=$F$3) * (Data_Input!$8:$8=$B20), 0)),"")</f>
        <v/>
      </c>
      <c r="F20" s="20" t="str" cm="1">
        <f t="array" ref="F20">IFERROR(INDEX(Data_Input!$A$1:$ZZ$502, MATCH("플랜번호", INDEX(Data_Input!$A$1:$ZZ$502, 0, MATCH(1, (Data_Input!$7:$7="IRP")*(Data_Input!$8:$8=$B20), 0)), 0) + 1, MATCH(1, (Data_Input!$7:$7=$F$3)*(Data_Input!$8:$8=$B20), 0)),"")</f>
        <v/>
      </c>
      <c r="G20" s="20" t="str" cm="1">
        <f t="array" ref="G20">IFERROR(INDEX(Data_Input!$A$1:$ZZ$502, MATCH("플랜명", INDEX(Data_Input!$A$1:$ZZ$502, 0, MATCH(1, (Data_Input!$7:$7="IRP")*(Data_Input!$8:$8=$B20), 0)), 0) + 1, MATCH(1, (Data_Input!$7:$7=$F$3)*(Data_Input!$8:$8=$B20), 0)),"")</f>
        <v/>
      </c>
      <c r="H20" s="20" t="str" cm="1">
        <f t="array" ref="H20">IFERROR(INDEX(Data_Input!$A$1:$ZZ$502, MATCH("평가금액", INDEX(Data_Input!$A$1:$ZZ$502, 0, MATCH(1, (Data_Input!$7:$7="IRP")*(Data_Input!$8:$8=$B20), 0)), 0) + 1, MATCH(1, (Data_Input!$7:$7=$F$3)*(Data_Input!$8:$8=$B20), 0)),"")</f>
        <v/>
      </c>
      <c r="I20" s="20" t="str" cm="1">
        <f t="array" ref="I20">IFERROR(INDEX(Data_Input!$A$1:$ZZ$502, MATCH("평가손익", INDEX(Data_Input!$A$1:$ZZ$502, 0, MATCH(1, (Data_Input!$7:$7="IRP")*(Data_Input!$8:$8=$B20), 0)), 0) + 1, MATCH(1, (Data_Input!$7:$7=$F$3)*(Data_Input!$8:$8=$B20), 0)),"")</f>
        <v/>
      </c>
      <c r="J20" s="14" t="str" cm="1">
        <f t="array" ref="J20">IFERROR(INDEX(Data_Input!$A$1:$ZZ$502, MATCH("누적수익률", INDEX(Data_Input!$A$1:$ZZ$502, 0, MATCH(1, (Data_Input!$7:$7="IRP")*(Data_Input!$8:$8=$B20), 0)), 0) + 1, MATCH(1, (Data_Input!$7:$7=$F$3)*(Data_Input!$8:$8=$B20), 0))/100,"")</f>
        <v/>
      </c>
      <c r="K20" t="str" cm="1">
        <f t="array" ref="K20">IFERROR(_xlfn.LET(
    _xlpm.targetDate, B20,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1" spans="1:11" x14ac:dyDescent="0.3">
      <c r="A21" s="16" t="str">
        <f t="shared" si="0"/>
        <v/>
      </c>
      <c r="B21" s="19"/>
      <c r="C21" s="17" t="str">
        <f t="shared" si="1"/>
        <v/>
      </c>
      <c r="D21" s="42" t="str" cm="1">
        <f t="array" ref="D21">IFERROR(INDEX(Data_Input!$1:$100, 10, MATCH(1, (Data_Input!$7:$7=$F$3) * (Data_Input!$8:$8=$B21), 0)), "")</f>
        <v/>
      </c>
      <c r="E21" s="29" t="str" cm="1">
        <f t="array" ref="E21">IFERROR(INDEX(Data_Input!$1:$100, 9, MATCH(1, (Data_Input!$7:$7=$F$3) * (Data_Input!$8:$8=$B21), 0)),"")</f>
        <v/>
      </c>
      <c r="F21" s="20" t="str" cm="1">
        <f t="array" ref="F21">IFERROR(INDEX(Data_Input!$A$1:$ZZ$502, MATCH("플랜번호", INDEX(Data_Input!$A$1:$ZZ$502, 0, MATCH(1, (Data_Input!$7:$7="IRP")*(Data_Input!$8:$8=$B21), 0)), 0) + 1, MATCH(1, (Data_Input!$7:$7=$F$3)*(Data_Input!$8:$8=$B21), 0)),"")</f>
        <v/>
      </c>
      <c r="G21" s="20" t="str" cm="1">
        <f t="array" ref="G21">IFERROR(INDEX(Data_Input!$A$1:$ZZ$502, MATCH("플랜명", INDEX(Data_Input!$A$1:$ZZ$502, 0, MATCH(1, (Data_Input!$7:$7="IRP")*(Data_Input!$8:$8=$B21), 0)), 0) + 1, MATCH(1, (Data_Input!$7:$7=$F$3)*(Data_Input!$8:$8=$B21), 0)),"")</f>
        <v/>
      </c>
      <c r="H21" s="20" t="str" cm="1">
        <f t="array" ref="H21">IFERROR(INDEX(Data_Input!$A$1:$ZZ$502, MATCH("평가금액", INDEX(Data_Input!$A$1:$ZZ$502, 0, MATCH(1, (Data_Input!$7:$7="IRP")*(Data_Input!$8:$8=$B21), 0)), 0) + 1, MATCH(1, (Data_Input!$7:$7=$F$3)*(Data_Input!$8:$8=$B21), 0)),"")</f>
        <v/>
      </c>
      <c r="I21" s="20" t="str" cm="1">
        <f t="array" ref="I21">IFERROR(INDEX(Data_Input!$A$1:$ZZ$502, MATCH("평가손익", INDEX(Data_Input!$A$1:$ZZ$502, 0, MATCH(1, (Data_Input!$7:$7="IRP")*(Data_Input!$8:$8=$B21), 0)), 0) + 1, MATCH(1, (Data_Input!$7:$7=$F$3)*(Data_Input!$8:$8=$B21), 0)),"")</f>
        <v/>
      </c>
      <c r="J21" s="14" t="str" cm="1">
        <f t="array" ref="J21">IFERROR(INDEX(Data_Input!$A$1:$ZZ$502, MATCH("누적수익률", INDEX(Data_Input!$A$1:$ZZ$502, 0, MATCH(1, (Data_Input!$7:$7="IRP")*(Data_Input!$8:$8=$B21), 0)), 0) + 1, MATCH(1, (Data_Input!$7:$7=$F$3)*(Data_Input!$8:$8=$B21), 0))/100,"")</f>
        <v/>
      </c>
      <c r="K21" t="str" cm="1">
        <f t="array" ref="K21">IFERROR(_xlfn.LET(
    _xlpm.targetDate, B21,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2" spans="1:11" x14ac:dyDescent="0.3">
      <c r="A22" s="16" t="str">
        <f t="shared" si="0"/>
        <v/>
      </c>
      <c r="B22" s="19"/>
      <c r="C22" s="17" t="str">
        <f t="shared" si="1"/>
        <v/>
      </c>
      <c r="D22" s="42" t="str" cm="1">
        <f t="array" ref="D22">IFERROR(INDEX(Data_Input!$1:$100, 10, MATCH(1, (Data_Input!$7:$7=$F$3) * (Data_Input!$8:$8=$B22), 0)), "")</f>
        <v/>
      </c>
      <c r="E22" s="29" t="str" cm="1">
        <f t="array" ref="E22">IFERROR(INDEX(Data_Input!$1:$100, 9, MATCH(1, (Data_Input!$7:$7=$F$3) * (Data_Input!$8:$8=$B22), 0)),"")</f>
        <v/>
      </c>
      <c r="F22" s="20" t="str" cm="1">
        <f t="array" ref="F22">IFERROR(INDEX(Data_Input!$A$1:$ZZ$502, MATCH("플랜번호", INDEX(Data_Input!$A$1:$ZZ$502, 0, MATCH(1, (Data_Input!$7:$7="IRP")*(Data_Input!$8:$8=$B22), 0)), 0) + 1, MATCH(1, (Data_Input!$7:$7=$F$3)*(Data_Input!$8:$8=$B22), 0)),"")</f>
        <v/>
      </c>
      <c r="G22" s="20" t="str" cm="1">
        <f t="array" ref="G22">IFERROR(INDEX(Data_Input!$A$1:$ZZ$502, MATCH("플랜명", INDEX(Data_Input!$A$1:$ZZ$502, 0, MATCH(1, (Data_Input!$7:$7="IRP")*(Data_Input!$8:$8=$B22), 0)), 0) + 1, MATCH(1, (Data_Input!$7:$7=$F$3)*(Data_Input!$8:$8=$B22), 0)),"")</f>
        <v/>
      </c>
      <c r="H22" s="20" t="str" cm="1">
        <f t="array" ref="H22">IFERROR(INDEX(Data_Input!$A$1:$ZZ$502, MATCH("평가금액", INDEX(Data_Input!$A$1:$ZZ$502, 0, MATCH(1, (Data_Input!$7:$7="IRP")*(Data_Input!$8:$8=$B22), 0)), 0) + 1, MATCH(1, (Data_Input!$7:$7=$F$3)*(Data_Input!$8:$8=$B22), 0)),"")</f>
        <v/>
      </c>
      <c r="I22" s="20" t="str" cm="1">
        <f t="array" ref="I22">IFERROR(INDEX(Data_Input!$A$1:$ZZ$502, MATCH("평가손익", INDEX(Data_Input!$A$1:$ZZ$502, 0, MATCH(1, (Data_Input!$7:$7="IRP")*(Data_Input!$8:$8=$B22), 0)), 0) + 1, MATCH(1, (Data_Input!$7:$7=$F$3)*(Data_Input!$8:$8=$B22), 0)),"")</f>
        <v/>
      </c>
      <c r="J22" s="14" t="str" cm="1">
        <f t="array" ref="J22">IFERROR(INDEX(Data_Input!$A$1:$ZZ$502, MATCH("누적수익률", INDEX(Data_Input!$A$1:$ZZ$502, 0, MATCH(1, (Data_Input!$7:$7="IRP")*(Data_Input!$8:$8=$B22), 0)), 0) + 1, MATCH(1, (Data_Input!$7:$7=$F$3)*(Data_Input!$8:$8=$B22), 0))/100,"")</f>
        <v/>
      </c>
      <c r="K22" t="str" cm="1">
        <f t="array" ref="K22">IFERROR(_xlfn.LET(
    _xlpm.targetDate, B22,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3" spans="1:11" x14ac:dyDescent="0.3">
      <c r="A23" s="16" t="str">
        <f t="shared" si="0"/>
        <v/>
      </c>
      <c r="B23" s="19"/>
      <c r="C23" s="17" t="str">
        <f t="shared" si="1"/>
        <v/>
      </c>
      <c r="D23" s="42" t="str" cm="1">
        <f t="array" ref="D23">IFERROR(INDEX(Data_Input!$1:$100, 10, MATCH(1, (Data_Input!$7:$7=$F$3) * (Data_Input!$8:$8=$B23), 0)), "")</f>
        <v/>
      </c>
      <c r="E23" s="29" t="str" cm="1">
        <f t="array" ref="E23">IFERROR(INDEX(Data_Input!$1:$100, 9, MATCH(1, (Data_Input!$7:$7=$F$3) * (Data_Input!$8:$8=$B23), 0)),"")</f>
        <v/>
      </c>
      <c r="F23" s="20" t="str" cm="1">
        <f t="array" ref="F23">IFERROR(INDEX(Data_Input!$A$1:$ZZ$502, MATCH("플랜번호", INDEX(Data_Input!$A$1:$ZZ$502, 0, MATCH(1, (Data_Input!$7:$7="IRP")*(Data_Input!$8:$8=$B23), 0)), 0) + 1, MATCH(1, (Data_Input!$7:$7=$F$3)*(Data_Input!$8:$8=$B23), 0)),"")</f>
        <v/>
      </c>
      <c r="G23" s="20" t="str" cm="1">
        <f t="array" ref="G23">IFERROR(INDEX(Data_Input!$A$1:$ZZ$502, MATCH("플랜명", INDEX(Data_Input!$A$1:$ZZ$502, 0, MATCH(1, (Data_Input!$7:$7="IRP")*(Data_Input!$8:$8=$B23), 0)), 0) + 1, MATCH(1, (Data_Input!$7:$7=$F$3)*(Data_Input!$8:$8=$B23), 0)),"")</f>
        <v/>
      </c>
      <c r="H23" s="20" t="str" cm="1">
        <f t="array" ref="H23">IFERROR(INDEX(Data_Input!$A$1:$ZZ$502, MATCH("평가금액", INDEX(Data_Input!$A$1:$ZZ$502, 0, MATCH(1, (Data_Input!$7:$7="IRP")*(Data_Input!$8:$8=$B23), 0)), 0) + 1, MATCH(1, (Data_Input!$7:$7=$F$3)*(Data_Input!$8:$8=$B23), 0)),"")</f>
        <v/>
      </c>
      <c r="I23" s="20" t="str" cm="1">
        <f t="array" ref="I23">IFERROR(INDEX(Data_Input!$A$1:$ZZ$502, MATCH("평가손익", INDEX(Data_Input!$A$1:$ZZ$502, 0, MATCH(1, (Data_Input!$7:$7="IRP")*(Data_Input!$8:$8=$B23), 0)), 0) + 1, MATCH(1, (Data_Input!$7:$7=$F$3)*(Data_Input!$8:$8=$B23), 0)),"")</f>
        <v/>
      </c>
      <c r="J23" s="14" t="str" cm="1">
        <f t="array" ref="J23">IFERROR(INDEX(Data_Input!$A$1:$ZZ$502, MATCH("누적수익률", INDEX(Data_Input!$A$1:$ZZ$502, 0, MATCH(1, (Data_Input!$7:$7="IRP")*(Data_Input!$8:$8=$B23), 0)), 0) + 1, MATCH(1, (Data_Input!$7:$7=$F$3)*(Data_Input!$8:$8=$B23), 0))/100,"")</f>
        <v/>
      </c>
      <c r="K23" t="str" cm="1">
        <f t="array" ref="K23">IFERROR(_xlfn.LET(
    _xlpm.targetDate, B23,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4" spans="1:11" x14ac:dyDescent="0.3">
      <c r="A24" s="16" t="str">
        <f t="shared" si="0"/>
        <v/>
      </c>
      <c r="B24" s="19"/>
      <c r="C24" s="17" t="str">
        <f t="shared" si="1"/>
        <v/>
      </c>
      <c r="D24" s="42" t="str" cm="1">
        <f t="array" ref="D24">IFERROR(INDEX(Data_Input!$1:$100, 10, MATCH(1, (Data_Input!$7:$7=$F$3) * (Data_Input!$8:$8=$B24), 0)), "")</f>
        <v/>
      </c>
      <c r="E24" s="29" t="str" cm="1">
        <f t="array" ref="E24">IFERROR(INDEX(Data_Input!$1:$100, 9, MATCH(1, (Data_Input!$7:$7=$F$3) * (Data_Input!$8:$8=$B24), 0)),"")</f>
        <v/>
      </c>
      <c r="F24" s="20" t="str" cm="1">
        <f t="array" ref="F24">IFERROR(INDEX(Data_Input!$A$1:$ZZ$502, MATCH("플랜번호", INDEX(Data_Input!$A$1:$ZZ$502, 0, MATCH(1, (Data_Input!$7:$7="IRP")*(Data_Input!$8:$8=$B24), 0)), 0) + 1, MATCH(1, (Data_Input!$7:$7=$F$3)*(Data_Input!$8:$8=$B24), 0)),"")</f>
        <v/>
      </c>
      <c r="G24" s="20" t="str" cm="1">
        <f t="array" ref="G24">IFERROR(INDEX(Data_Input!$A$1:$ZZ$502, MATCH("플랜명", INDEX(Data_Input!$A$1:$ZZ$502, 0, MATCH(1, (Data_Input!$7:$7="IRP")*(Data_Input!$8:$8=$B24), 0)), 0) + 1, MATCH(1, (Data_Input!$7:$7=$F$3)*(Data_Input!$8:$8=$B24), 0)),"")</f>
        <v/>
      </c>
      <c r="H24" s="20" t="str" cm="1">
        <f t="array" ref="H24">IFERROR(INDEX(Data_Input!$A$1:$ZZ$502, MATCH("평가금액", INDEX(Data_Input!$A$1:$ZZ$502, 0, MATCH(1, (Data_Input!$7:$7="IRP")*(Data_Input!$8:$8=$B24), 0)), 0) + 1, MATCH(1, (Data_Input!$7:$7=$F$3)*(Data_Input!$8:$8=$B24), 0)),"")</f>
        <v/>
      </c>
      <c r="I24" s="20" t="str" cm="1">
        <f t="array" ref="I24">IFERROR(INDEX(Data_Input!$A$1:$ZZ$502, MATCH("평가손익", INDEX(Data_Input!$A$1:$ZZ$502, 0, MATCH(1, (Data_Input!$7:$7="IRP")*(Data_Input!$8:$8=$B24), 0)), 0) + 1, MATCH(1, (Data_Input!$7:$7=$F$3)*(Data_Input!$8:$8=$B24), 0)),"")</f>
        <v/>
      </c>
      <c r="J24" s="14" t="str" cm="1">
        <f t="array" ref="J24">IFERROR(INDEX(Data_Input!$A$1:$ZZ$502, MATCH("누적수익률", INDEX(Data_Input!$A$1:$ZZ$502, 0, MATCH(1, (Data_Input!$7:$7="IRP")*(Data_Input!$8:$8=$B24), 0)), 0) + 1, MATCH(1, (Data_Input!$7:$7=$F$3)*(Data_Input!$8:$8=$B24), 0))/100,"")</f>
        <v/>
      </c>
      <c r="K24" t="str" cm="1">
        <f t="array" ref="K24">IFERROR(_xlfn.LET(
    _xlpm.targetDate, B24,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5" spans="1:11" x14ac:dyDescent="0.3">
      <c r="A25" s="16" t="str">
        <f t="shared" si="0"/>
        <v/>
      </c>
      <c r="B25" s="19"/>
      <c r="C25" s="17" t="str">
        <f t="shared" si="1"/>
        <v/>
      </c>
      <c r="D25" s="42" t="str" cm="1">
        <f t="array" ref="D25">IFERROR(INDEX(Data_Input!$1:$100, 10, MATCH(1, (Data_Input!$7:$7=$F$3) * (Data_Input!$8:$8=$B25), 0)), "")</f>
        <v/>
      </c>
      <c r="E25" s="29" t="str" cm="1">
        <f t="array" ref="E25">IFERROR(INDEX(Data_Input!$1:$100, 9, MATCH(1, (Data_Input!$7:$7=$F$3) * (Data_Input!$8:$8=$B25), 0)),"")</f>
        <v/>
      </c>
      <c r="F25" s="20" t="str" cm="1">
        <f t="array" ref="F25">IFERROR(INDEX(Data_Input!$A$1:$ZZ$502, MATCH("플랜번호", INDEX(Data_Input!$A$1:$ZZ$502, 0, MATCH(1, (Data_Input!$7:$7="IRP")*(Data_Input!$8:$8=$B25), 0)), 0) + 1, MATCH(1, (Data_Input!$7:$7=$F$3)*(Data_Input!$8:$8=$B25), 0)),"")</f>
        <v/>
      </c>
      <c r="G25" s="20" t="str" cm="1">
        <f t="array" ref="G25">IFERROR(INDEX(Data_Input!$A$1:$ZZ$502, MATCH("플랜명", INDEX(Data_Input!$A$1:$ZZ$502, 0, MATCH(1, (Data_Input!$7:$7="IRP")*(Data_Input!$8:$8=$B25), 0)), 0) + 1, MATCH(1, (Data_Input!$7:$7=$F$3)*(Data_Input!$8:$8=$B25), 0)),"")</f>
        <v/>
      </c>
      <c r="H25" s="20" t="str" cm="1">
        <f t="array" ref="H25">IFERROR(INDEX(Data_Input!$A$1:$ZZ$502, MATCH("평가금액", INDEX(Data_Input!$A$1:$ZZ$502, 0, MATCH(1, (Data_Input!$7:$7="IRP")*(Data_Input!$8:$8=$B25), 0)), 0) + 1, MATCH(1, (Data_Input!$7:$7=$F$3)*(Data_Input!$8:$8=$B25), 0)),"")</f>
        <v/>
      </c>
      <c r="I25" s="20" t="str" cm="1">
        <f t="array" ref="I25">IFERROR(INDEX(Data_Input!$A$1:$ZZ$502, MATCH("평가손익", INDEX(Data_Input!$A$1:$ZZ$502, 0, MATCH(1, (Data_Input!$7:$7="IRP")*(Data_Input!$8:$8=$B25), 0)), 0) + 1, MATCH(1, (Data_Input!$7:$7=$F$3)*(Data_Input!$8:$8=$B25), 0)),"")</f>
        <v/>
      </c>
      <c r="J25" s="14" t="str" cm="1">
        <f t="array" ref="J25">IFERROR(INDEX(Data_Input!$A$1:$ZZ$502, MATCH("누적수익률", INDEX(Data_Input!$A$1:$ZZ$502, 0, MATCH(1, (Data_Input!$7:$7="IRP")*(Data_Input!$8:$8=$B25), 0)), 0) + 1, MATCH(1, (Data_Input!$7:$7=$F$3)*(Data_Input!$8:$8=$B25), 0))/100,"")</f>
        <v/>
      </c>
      <c r="K25" t="str" cm="1">
        <f t="array" ref="K25">IFERROR(_xlfn.LET(
    _xlpm.targetDate, B25,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6" spans="1:11" x14ac:dyDescent="0.3">
      <c r="A26" s="16" t="str">
        <f t="shared" si="0"/>
        <v/>
      </c>
      <c r="B26" s="19"/>
      <c r="C26" s="17" t="str">
        <f t="shared" si="1"/>
        <v/>
      </c>
      <c r="D26" s="42" t="str" cm="1">
        <f t="array" ref="D26">IFERROR(INDEX(Data_Input!$1:$100, 10, MATCH(1, (Data_Input!$7:$7=$F$3) * (Data_Input!$8:$8=$B26), 0)), "")</f>
        <v/>
      </c>
      <c r="E26" s="29" t="str" cm="1">
        <f t="array" ref="E26">IFERROR(INDEX(Data_Input!$1:$100, 9, MATCH(1, (Data_Input!$7:$7=$F$3) * (Data_Input!$8:$8=$B26), 0)),"")</f>
        <v/>
      </c>
      <c r="F26" s="20" t="str" cm="1">
        <f t="array" ref="F26">IFERROR(INDEX(Data_Input!$A$1:$ZZ$502, MATCH("플랜번호", INDEX(Data_Input!$A$1:$ZZ$502, 0, MATCH(1, (Data_Input!$7:$7="IRP")*(Data_Input!$8:$8=$B26), 0)), 0) + 1, MATCH(1, (Data_Input!$7:$7=$F$3)*(Data_Input!$8:$8=$B26), 0)),"")</f>
        <v/>
      </c>
      <c r="G26" s="20" t="str" cm="1">
        <f t="array" ref="G26">IFERROR(INDEX(Data_Input!$A$1:$ZZ$502, MATCH("플랜명", INDEX(Data_Input!$A$1:$ZZ$502, 0, MATCH(1, (Data_Input!$7:$7="IRP")*(Data_Input!$8:$8=$B26), 0)), 0) + 1, MATCH(1, (Data_Input!$7:$7=$F$3)*(Data_Input!$8:$8=$B26), 0)),"")</f>
        <v/>
      </c>
      <c r="H26" s="20" t="str" cm="1">
        <f t="array" ref="H26">IFERROR(INDEX(Data_Input!$A$1:$ZZ$502, MATCH("평가금액", INDEX(Data_Input!$A$1:$ZZ$502, 0, MATCH(1, (Data_Input!$7:$7="IRP")*(Data_Input!$8:$8=$B26), 0)), 0) + 1, MATCH(1, (Data_Input!$7:$7=$F$3)*(Data_Input!$8:$8=$B26), 0)),"")</f>
        <v/>
      </c>
      <c r="I26" s="20" t="str" cm="1">
        <f t="array" ref="I26">IFERROR(INDEX(Data_Input!$A$1:$ZZ$502, MATCH("평가손익", INDEX(Data_Input!$A$1:$ZZ$502, 0, MATCH(1, (Data_Input!$7:$7="IRP")*(Data_Input!$8:$8=$B26), 0)), 0) + 1, MATCH(1, (Data_Input!$7:$7=$F$3)*(Data_Input!$8:$8=$B26), 0)),"")</f>
        <v/>
      </c>
      <c r="J26" s="14" t="str" cm="1">
        <f t="array" ref="J26">IFERROR(INDEX(Data_Input!$A$1:$ZZ$502, MATCH("누적수익률", INDEX(Data_Input!$A$1:$ZZ$502, 0, MATCH(1, (Data_Input!$7:$7="IRP")*(Data_Input!$8:$8=$B26), 0)), 0) + 1, MATCH(1, (Data_Input!$7:$7=$F$3)*(Data_Input!$8:$8=$B26), 0))/100,"")</f>
        <v/>
      </c>
      <c r="K26" t="str" cm="1">
        <f t="array" ref="K26">IFERROR(_xlfn.LET(
    _xlpm.targetDate, B26,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7" spans="1:11" x14ac:dyDescent="0.3">
      <c r="A27" s="16" t="str">
        <f t="shared" si="0"/>
        <v/>
      </c>
      <c r="B27" s="19"/>
      <c r="C27" s="17" t="str">
        <f t="shared" si="1"/>
        <v/>
      </c>
      <c r="D27" s="42" t="str" cm="1">
        <f t="array" ref="D27">IFERROR(INDEX(Data_Input!$1:$100, 10, MATCH(1, (Data_Input!$7:$7=$F$3) * (Data_Input!$8:$8=$B27), 0)), "")</f>
        <v/>
      </c>
      <c r="E27" s="29" t="str" cm="1">
        <f t="array" ref="E27">IFERROR(INDEX(Data_Input!$1:$100, 9, MATCH(1, (Data_Input!$7:$7=$F$3) * (Data_Input!$8:$8=$B27), 0)),"")</f>
        <v/>
      </c>
      <c r="F27" s="20" t="str" cm="1">
        <f t="array" ref="F27">IFERROR(INDEX(Data_Input!$A$1:$ZZ$502, MATCH("플랜번호", INDEX(Data_Input!$A$1:$ZZ$502, 0, MATCH(1, (Data_Input!$7:$7="IRP")*(Data_Input!$8:$8=$B27), 0)), 0) + 1, MATCH(1, (Data_Input!$7:$7=$F$3)*(Data_Input!$8:$8=$B27), 0)),"")</f>
        <v/>
      </c>
      <c r="G27" s="20" t="str" cm="1">
        <f t="array" ref="G27">IFERROR(INDEX(Data_Input!$A$1:$ZZ$502, MATCH("플랜명", INDEX(Data_Input!$A$1:$ZZ$502, 0, MATCH(1, (Data_Input!$7:$7="IRP")*(Data_Input!$8:$8=$B27), 0)), 0) + 1, MATCH(1, (Data_Input!$7:$7=$F$3)*(Data_Input!$8:$8=$B27), 0)),"")</f>
        <v/>
      </c>
      <c r="H27" s="20" t="str" cm="1">
        <f t="array" ref="H27">IFERROR(INDEX(Data_Input!$A$1:$ZZ$502, MATCH("평가금액", INDEX(Data_Input!$A$1:$ZZ$502, 0, MATCH(1, (Data_Input!$7:$7="IRP")*(Data_Input!$8:$8=$B27), 0)), 0) + 1, MATCH(1, (Data_Input!$7:$7=$F$3)*(Data_Input!$8:$8=$B27), 0)),"")</f>
        <v/>
      </c>
      <c r="I27" s="20" t="str" cm="1">
        <f t="array" ref="I27">IFERROR(INDEX(Data_Input!$A$1:$ZZ$502, MATCH("평가손익", INDEX(Data_Input!$A$1:$ZZ$502, 0, MATCH(1, (Data_Input!$7:$7="IRP")*(Data_Input!$8:$8=$B27), 0)), 0) + 1, MATCH(1, (Data_Input!$7:$7=$F$3)*(Data_Input!$8:$8=$B27), 0)),"")</f>
        <v/>
      </c>
      <c r="J27" s="14" t="str" cm="1">
        <f t="array" ref="J27">IFERROR(INDEX(Data_Input!$A$1:$ZZ$502, MATCH("누적수익률", INDEX(Data_Input!$A$1:$ZZ$502, 0, MATCH(1, (Data_Input!$7:$7="IRP")*(Data_Input!$8:$8=$B27), 0)), 0) + 1, MATCH(1, (Data_Input!$7:$7=$F$3)*(Data_Input!$8:$8=$B27), 0))/100,"")</f>
        <v/>
      </c>
      <c r="K27" t="str" cm="1">
        <f t="array" ref="K27">IFERROR(_xlfn.LET(
    _xlpm.targetDate, B27,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8" spans="1:11" x14ac:dyDescent="0.3">
      <c r="A28" s="16" t="str">
        <f t="shared" si="0"/>
        <v/>
      </c>
      <c r="B28" s="19"/>
      <c r="C28" s="17" t="str">
        <f t="shared" si="1"/>
        <v/>
      </c>
      <c r="D28" s="42" t="str" cm="1">
        <f t="array" ref="D28">IFERROR(INDEX(Data_Input!$1:$100, 10, MATCH(1, (Data_Input!$7:$7=$F$3) * (Data_Input!$8:$8=$B28), 0)), "")</f>
        <v/>
      </c>
      <c r="E28" s="29" t="str" cm="1">
        <f t="array" ref="E28">IFERROR(INDEX(Data_Input!$1:$100, 9, MATCH(1, (Data_Input!$7:$7=$F$3) * (Data_Input!$8:$8=$B28), 0)),"")</f>
        <v/>
      </c>
      <c r="F28" s="20" t="str" cm="1">
        <f t="array" ref="F28">IFERROR(INDEX(Data_Input!$A$1:$ZZ$502, MATCH("플랜번호", INDEX(Data_Input!$A$1:$ZZ$502, 0, MATCH(1, (Data_Input!$7:$7="IRP")*(Data_Input!$8:$8=$B28), 0)), 0) + 1, MATCH(1, (Data_Input!$7:$7=$F$3)*(Data_Input!$8:$8=$B28), 0)),"")</f>
        <v/>
      </c>
      <c r="G28" s="20" t="str" cm="1">
        <f t="array" ref="G28">IFERROR(INDEX(Data_Input!$A$1:$ZZ$502, MATCH("플랜명", INDEX(Data_Input!$A$1:$ZZ$502, 0, MATCH(1, (Data_Input!$7:$7="IRP")*(Data_Input!$8:$8=$B28), 0)), 0) + 1, MATCH(1, (Data_Input!$7:$7=$F$3)*(Data_Input!$8:$8=$B28), 0)),"")</f>
        <v/>
      </c>
      <c r="H28" s="20" t="str" cm="1">
        <f t="array" ref="H28">IFERROR(INDEX(Data_Input!$A$1:$ZZ$502, MATCH("평가금액", INDEX(Data_Input!$A$1:$ZZ$502, 0, MATCH(1, (Data_Input!$7:$7="IRP")*(Data_Input!$8:$8=$B28), 0)), 0) + 1, MATCH(1, (Data_Input!$7:$7=$F$3)*(Data_Input!$8:$8=$B28), 0)),"")</f>
        <v/>
      </c>
      <c r="I28" s="20" t="str" cm="1">
        <f t="array" ref="I28">IFERROR(INDEX(Data_Input!$A$1:$ZZ$502, MATCH("평가손익", INDEX(Data_Input!$A$1:$ZZ$502, 0, MATCH(1, (Data_Input!$7:$7="IRP")*(Data_Input!$8:$8=$B28), 0)), 0) + 1, MATCH(1, (Data_Input!$7:$7=$F$3)*(Data_Input!$8:$8=$B28), 0)),"")</f>
        <v/>
      </c>
      <c r="J28" s="14" t="str" cm="1">
        <f t="array" ref="J28">IFERROR(INDEX(Data_Input!$A$1:$ZZ$502, MATCH("누적수익률", INDEX(Data_Input!$A$1:$ZZ$502, 0, MATCH(1, (Data_Input!$7:$7="IRP")*(Data_Input!$8:$8=$B28), 0)), 0) + 1, MATCH(1, (Data_Input!$7:$7=$F$3)*(Data_Input!$8:$8=$B28), 0))/100,"")</f>
        <v/>
      </c>
      <c r="K28" t="str" cm="1">
        <f t="array" ref="K28">IFERROR(_xlfn.LET(
    _xlpm.targetDate, B28,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9" spans="1:11" x14ac:dyDescent="0.3">
      <c r="A29" s="16" t="str">
        <f t="shared" si="0"/>
        <v/>
      </c>
      <c r="B29" s="19"/>
      <c r="C29" s="17" t="str">
        <f t="shared" si="1"/>
        <v/>
      </c>
      <c r="D29" s="42" t="str" cm="1">
        <f t="array" ref="D29">IFERROR(INDEX(Data_Input!$1:$100, 10, MATCH(1, (Data_Input!$7:$7=$F$3) * (Data_Input!$8:$8=$B29), 0)), "")</f>
        <v/>
      </c>
      <c r="E29" s="29" t="str" cm="1">
        <f t="array" ref="E29">IFERROR(INDEX(Data_Input!$1:$100, 9, MATCH(1, (Data_Input!$7:$7=$F$3) * (Data_Input!$8:$8=$B29), 0)),"")</f>
        <v/>
      </c>
      <c r="F29" s="20" t="str" cm="1">
        <f t="array" ref="F29">IFERROR(INDEX(Data_Input!$A$1:$ZZ$502, MATCH("플랜번호", INDEX(Data_Input!$A$1:$ZZ$502, 0, MATCH(1, (Data_Input!$7:$7="IRP")*(Data_Input!$8:$8=$B29), 0)), 0) + 1, MATCH(1, (Data_Input!$7:$7=$F$3)*(Data_Input!$8:$8=$B29), 0)),"")</f>
        <v/>
      </c>
      <c r="G29" s="20" t="str" cm="1">
        <f t="array" ref="G29">IFERROR(INDEX(Data_Input!$A$1:$ZZ$502, MATCH("플랜명", INDEX(Data_Input!$A$1:$ZZ$502, 0, MATCH(1, (Data_Input!$7:$7="IRP")*(Data_Input!$8:$8=$B29), 0)), 0) + 1, MATCH(1, (Data_Input!$7:$7=$F$3)*(Data_Input!$8:$8=$B29), 0)),"")</f>
        <v/>
      </c>
      <c r="H29" s="20" t="str" cm="1">
        <f t="array" ref="H29">IFERROR(INDEX(Data_Input!$A$1:$ZZ$502, MATCH("평가금액", INDEX(Data_Input!$A$1:$ZZ$502, 0, MATCH(1, (Data_Input!$7:$7="IRP")*(Data_Input!$8:$8=$B29), 0)), 0) + 1, MATCH(1, (Data_Input!$7:$7=$F$3)*(Data_Input!$8:$8=$B29), 0)),"")</f>
        <v/>
      </c>
      <c r="I29" s="20" t="str" cm="1">
        <f t="array" ref="I29">IFERROR(INDEX(Data_Input!$A$1:$ZZ$502, MATCH("평가손익", INDEX(Data_Input!$A$1:$ZZ$502, 0, MATCH(1, (Data_Input!$7:$7="IRP")*(Data_Input!$8:$8=$B29), 0)), 0) + 1, MATCH(1, (Data_Input!$7:$7=$F$3)*(Data_Input!$8:$8=$B29), 0)),"")</f>
        <v/>
      </c>
      <c r="J29" s="14" t="str" cm="1">
        <f t="array" ref="J29">IFERROR(INDEX(Data_Input!$A$1:$ZZ$502, MATCH("누적수익률", INDEX(Data_Input!$A$1:$ZZ$502, 0, MATCH(1, (Data_Input!$7:$7="IRP")*(Data_Input!$8:$8=$B29), 0)), 0) + 1, MATCH(1, (Data_Input!$7:$7=$F$3)*(Data_Input!$8:$8=$B29), 0))/100,"")</f>
        <v/>
      </c>
      <c r="K29" t="str" cm="1">
        <f t="array" ref="K29">IFERROR(_xlfn.LET(
    _xlpm.targetDate, B29,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0" spans="1:11" x14ac:dyDescent="0.3">
      <c r="A30" s="16" t="str">
        <f t="shared" si="0"/>
        <v/>
      </c>
      <c r="B30" s="19"/>
      <c r="C30" s="17" t="str">
        <f t="shared" si="1"/>
        <v/>
      </c>
      <c r="D30" s="42" t="str" cm="1">
        <f t="array" ref="D30">IFERROR(INDEX(Data_Input!$1:$100, 10, MATCH(1, (Data_Input!$7:$7=$F$3) * (Data_Input!$8:$8=$B30), 0)), "")</f>
        <v/>
      </c>
      <c r="E30" s="29" t="str" cm="1">
        <f t="array" ref="E30">IFERROR(INDEX(Data_Input!$1:$100, 9, MATCH(1, (Data_Input!$7:$7=$F$3) * (Data_Input!$8:$8=$B30), 0)),"")</f>
        <v/>
      </c>
      <c r="F30" s="20" t="str" cm="1">
        <f t="array" ref="F30">IFERROR(INDEX(Data_Input!$A$1:$ZZ$502, MATCH("플랜번호", INDEX(Data_Input!$A$1:$ZZ$502, 0, MATCH(1, (Data_Input!$7:$7="IRP")*(Data_Input!$8:$8=$B30), 0)), 0) + 1, MATCH(1, (Data_Input!$7:$7=$F$3)*(Data_Input!$8:$8=$B30), 0)),"")</f>
        <v/>
      </c>
      <c r="G30" s="20" t="str" cm="1">
        <f t="array" ref="G30">IFERROR(INDEX(Data_Input!$A$1:$ZZ$502, MATCH("플랜명", INDEX(Data_Input!$A$1:$ZZ$502, 0, MATCH(1, (Data_Input!$7:$7="IRP")*(Data_Input!$8:$8=$B30), 0)), 0) + 1, MATCH(1, (Data_Input!$7:$7=$F$3)*(Data_Input!$8:$8=$B30), 0)),"")</f>
        <v/>
      </c>
      <c r="H30" s="20" t="str" cm="1">
        <f t="array" ref="H30">IFERROR(INDEX(Data_Input!$A$1:$ZZ$502, MATCH("평가금액", INDEX(Data_Input!$A$1:$ZZ$502, 0, MATCH(1, (Data_Input!$7:$7="IRP")*(Data_Input!$8:$8=$B30), 0)), 0) + 1, MATCH(1, (Data_Input!$7:$7=$F$3)*(Data_Input!$8:$8=$B30), 0)),"")</f>
        <v/>
      </c>
      <c r="I30" s="20" t="str" cm="1">
        <f t="array" ref="I30">IFERROR(INDEX(Data_Input!$A$1:$ZZ$502, MATCH("평가손익", INDEX(Data_Input!$A$1:$ZZ$502, 0, MATCH(1, (Data_Input!$7:$7="IRP")*(Data_Input!$8:$8=$B30), 0)), 0) + 1, MATCH(1, (Data_Input!$7:$7=$F$3)*(Data_Input!$8:$8=$B30), 0)),"")</f>
        <v/>
      </c>
      <c r="J30" s="14" t="str" cm="1">
        <f t="array" ref="J30">IFERROR(INDEX(Data_Input!$A$1:$ZZ$502, MATCH("누적수익률", INDEX(Data_Input!$A$1:$ZZ$502, 0, MATCH(1, (Data_Input!$7:$7="IRP")*(Data_Input!$8:$8=$B30), 0)), 0) + 1, MATCH(1, (Data_Input!$7:$7=$F$3)*(Data_Input!$8:$8=$B30), 0))/100,"")</f>
        <v/>
      </c>
      <c r="K30" t="str" cm="1">
        <f t="array" ref="K30">IFERROR(_xlfn.LET(
    _xlpm.targetDate, B30,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1" spans="1:11" x14ac:dyDescent="0.3">
      <c r="A31" s="16" t="str">
        <f t="shared" si="0"/>
        <v/>
      </c>
      <c r="B31" s="19"/>
      <c r="C31" s="17" t="str">
        <f t="shared" si="1"/>
        <v/>
      </c>
      <c r="D31" s="42" t="str" cm="1">
        <f t="array" ref="D31">IFERROR(INDEX(Data_Input!$1:$100, 10, MATCH(1, (Data_Input!$7:$7=$F$3) * (Data_Input!$8:$8=$B31), 0)), "")</f>
        <v/>
      </c>
      <c r="E31" s="29" t="str" cm="1">
        <f t="array" ref="E31">IFERROR(INDEX(Data_Input!$1:$100, 9, MATCH(1, (Data_Input!$7:$7=$F$3) * (Data_Input!$8:$8=$B31), 0)),"")</f>
        <v/>
      </c>
      <c r="F31" s="20" t="str" cm="1">
        <f t="array" ref="F31">IFERROR(INDEX(Data_Input!$A$1:$ZZ$502, MATCH("플랜번호", INDEX(Data_Input!$A$1:$ZZ$502, 0, MATCH(1, (Data_Input!$7:$7="IRP")*(Data_Input!$8:$8=$B31), 0)), 0) + 1, MATCH(1, (Data_Input!$7:$7=$F$3)*(Data_Input!$8:$8=$B31), 0)),"")</f>
        <v/>
      </c>
      <c r="G31" s="20" t="str" cm="1">
        <f t="array" ref="G31">IFERROR(INDEX(Data_Input!$A$1:$ZZ$502, MATCH("플랜명", INDEX(Data_Input!$A$1:$ZZ$502, 0, MATCH(1, (Data_Input!$7:$7="IRP")*(Data_Input!$8:$8=$B31), 0)), 0) + 1, MATCH(1, (Data_Input!$7:$7=$F$3)*(Data_Input!$8:$8=$B31), 0)),"")</f>
        <v/>
      </c>
      <c r="H31" s="20" t="str" cm="1">
        <f t="array" ref="H31">IFERROR(INDEX(Data_Input!$A$1:$ZZ$502, MATCH("평가금액", INDEX(Data_Input!$A$1:$ZZ$502, 0, MATCH(1, (Data_Input!$7:$7="IRP")*(Data_Input!$8:$8=$B31), 0)), 0) + 1, MATCH(1, (Data_Input!$7:$7=$F$3)*(Data_Input!$8:$8=$B31), 0)),"")</f>
        <v/>
      </c>
      <c r="I31" s="20" t="str" cm="1">
        <f t="array" ref="I31">IFERROR(INDEX(Data_Input!$A$1:$ZZ$502, MATCH("평가손익", INDEX(Data_Input!$A$1:$ZZ$502, 0, MATCH(1, (Data_Input!$7:$7="IRP")*(Data_Input!$8:$8=$B31), 0)), 0) + 1, MATCH(1, (Data_Input!$7:$7=$F$3)*(Data_Input!$8:$8=$B31), 0)),"")</f>
        <v/>
      </c>
      <c r="J31" s="14" t="str" cm="1">
        <f t="array" ref="J31">IFERROR(INDEX(Data_Input!$A$1:$ZZ$502, MATCH("누적수익률", INDEX(Data_Input!$A$1:$ZZ$502, 0, MATCH(1, (Data_Input!$7:$7="IRP")*(Data_Input!$8:$8=$B31), 0)), 0) + 1, MATCH(1, (Data_Input!$7:$7=$F$3)*(Data_Input!$8:$8=$B31), 0))/100,"")</f>
        <v/>
      </c>
      <c r="K31" t="str" cm="1">
        <f t="array" ref="K31">IFERROR(_xlfn.LET(
    _xlpm.targetDate, B31,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2" spans="1:11" x14ac:dyDescent="0.3">
      <c r="A32" s="16" t="str">
        <f t="shared" si="0"/>
        <v/>
      </c>
      <c r="B32" s="19"/>
      <c r="C32" s="17" t="str">
        <f t="shared" si="1"/>
        <v/>
      </c>
      <c r="D32" s="42" t="str" cm="1">
        <f t="array" ref="D32">IFERROR(INDEX(Data_Input!$1:$100, 10, MATCH(1, (Data_Input!$7:$7=$F$3) * (Data_Input!$8:$8=$B32), 0)), "")</f>
        <v/>
      </c>
      <c r="E32" s="29" t="str" cm="1">
        <f t="array" ref="E32">IFERROR(INDEX(Data_Input!$1:$100, 9, MATCH(1, (Data_Input!$7:$7=$F$3) * (Data_Input!$8:$8=$B32), 0)),"")</f>
        <v/>
      </c>
      <c r="F32" s="20" t="str" cm="1">
        <f t="array" ref="F32">IFERROR(INDEX(Data_Input!$A$1:$ZZ$502, MATCH("플랜번호", INDEX(Data_Input!$A$1:$ZZ$502, 0, MATCH(1, (Data_Input!$7:$7="IRP")*(Data_Input!$8:$8=$B32), 0)), 0) + 1, MATCH(1, (Data_Input!$7:$7=$F$3)*(Data_Input!$8:$8=$B32), 0)),"")</f>
        <v/>
      </c>
      <c r="G32" s="20" t="str" cm="1">
        <f t="array" ref="G32">IFERROR(INDEX(Data_Input!$A$1:$ZZ$502, MATCH("플랜명", INDEX(Data_Input!$A$1:$ZZ$502, 0, MATCH(1, (Data_Input!$7:$7="IRP")*(Data_Input!$8:$8=$B32), 0)), 0) + 1, MATCH(1, (Data_Input!$7:$7=$F$3)*(Data_Input!$8:$8=$B32), 0)),"")</f>
        <v/>
      </c>
      <c r="H32" s="20" t="str" cm="1">
        <f t="array" ref="H32">IFERROR(INDEX(Data_Input!$A$1:$ZZ$502, MATCH("평가금액", INDEX(Data_Input!$A$1:$ZZ$502, 0, MATCH(1, (Data_Input!$7:$7="IRP")*(Data_Input!$8:$8=$B32), 0)), 0) + 1, MATCH(1, (Data_Input!$7:$7=$F$3)*(Data_Input!$8:$8=$B32), 0)),"")</f>
        <v/>
      </c>
      <c r="I32" s="20" t="str" cm="1">
        <f t="array" ref="I32">IFERROR(INDEX(Data_Input!$A$1:$ZZ$502, MATCH("평가손익", INDEX(Data_Input!$A$1:$ZZ$502, 0, MATCH(1, (Data_Input!$7:$7="IRP")*(Data_Input!$8:$8=$B32), 0)), 0) + 1, MATCH(1, (Data_Input!$7:$7=$F$3)*(Data_Input!$8:$8=$B32), 0)),"")</f>
        <v/>
      </c>
      <c r="J32" s="14" t="str" cm="1">
        <f t="array" ref="J32">IFERROR(INDEX(Data_Input!$A$1:$ZZ$502, MATCH("누적수익률", INDEX(Data_Input!$A$1:$ZZ$502, 0, MATCH(1, (Data_Input!$7:$7="IRP")*(Data_Input!$8:$8=$B32), 0)), 0) + 1, MATCH(1, (Data_Input!$7:$7=$F$3)*(Data_Input!$8:$8=$B32), 0))/100,"")</f>
        <v/>
      </c>
      <c r="K32" t="str" cm="1">
        <f t="array" ref="K32">IFERROR(_xlfn.LET(
    _xlpm.targetDate, B32,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3" spans="1:11" x14ac:dyDescent="0.3">
      <c r="A33" s="16" t="str">
        <f t="shared" si="0"/>
        <v/>
      </c>
      <c r="B33" s="19"/>
      <c r="C33" s="17" t="str">
        <f t="shared" si="1"/>
        <v/>
      </c>
      <c r="D33" s="42" t="str" cm="1">
        <f t="array" ref="D33">IFERROR(INDEX(Data_Input!$1:$100, 10, MATCH(1, (Data_Input!$7:$7=$F$3) * (Data_Input!$8:$8=$B33), 0)), "")</f>
        <v/>
      </c>
      <c r="E33" s="29" t="str" cm="1">
        <f t="array" ref="E33">IFERROR(INDEX(Data_Input!$1:$100, 9, MATCH(1, (Data_Input!$7:$7=$F$3) * (Data_Input!$8:$8=$B33), 0)),"")</f>
        <v/>
      </c>
      <c r="F33" s="20" t="str" cm="1">
        <f t="array" ref="F33">IFERROR(INDEX(Data_Input!$A$1:$ZZ$502, MATCH("플랜번호", INDEX(Data_Input!$A$1:$ZZ$502, 0, MATCH(1, (Data_Input!$7:$7="IRP")*(Data_Input!$8:$8=$B33), 0)), 0) + 1, MATCH(1, (Data_Input!$7:$7=$F$3)*(Data_Input!$8:$8=$B33), 0)),"")</f>
        <v/>
      </c>
      <c r="G33" s="20" t="str" cm="1">
        <f t="array" ref="G33">IFERROR(INDEX(Data_Input!$A$1:$ZZ$502, MATCH("플랜명", INDEX(Data_Input!$A$1:$ZZ$502, 0, MATCH(1, (Data_Input!$7:$7="IRP")*(Data_Input!$8:$8=$B33), 0)), 0) + 1, MATCH(1, (Data_Input!$7:$7=$F$3)*(Data_Input!$8:$8=$B33), 0)),"")</f>
        <v/>
      </c>
      <c r="H33" s="20" t="str" cm="1">
        <f t="array" ref="H33">IFERROR(INDEX(Data_Input!$A$1:$ZZ$502, MATCH("평가금액", INDEX(Data_Input!$A$1:$ZZ$502, 0, MATCH(1, (Data_Input!$7:$7="IRP")*(Data_Input!$8:$8=$B33), 0)), 0) + 1, MATCH(1, (Data_Input!$7:$7=$F$3)*(Data_Input!$8:$8=$B33), 0)),"")</f>
        <v/>
      </c>
      <c r="I33" s="20" t="str" cm="1">
        <f t="array" ref="I33">IFERROR(INDEX(Data_Input!$A$1:$ZZ$502, MATCH("평가손익", INDEX(Data_Input!$A$1:$ZZ$502, 0, MATCH(1, (Data_Input!$7:$7="IRP")*(Data_Input!$8:$8=$B33), 0)), 0) + 1, MATCH(1, (Data_Input!$7:$7=$F$3)*(Data_Input!$8:$8=$B33), 0)),"")</f>
        <v/>
      </c>
      <c r="J33" s="14" t="str" cm="1">
        <f t="array" ref="J33">IFERROR(INDEX(Data_Input!$A$1:$ZZ$502, MATCH("누적수익률", INDEX(Data_Input!$A$1:$ZZ$502, 0, MATCH(1, (Data_Input!$7:$7="IRP")*(Data_Input!$8:$8=$B33), 0)), 0) + 1, MATCH(1, (Data_Input!$7:$7=$F$3)*(Data_Input!$8:$8=$B33), 0))/100,"")</f>
        <v/>
      </c>
      <c r="K33" t="str" cm="1">
        <f t="array" ref="K33">IFERROR(_xlfn.LET(
    _xlpm.targetDate, B33,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4" spans="1:11" x14ac:dyDescent="0.3">
      <c r="A34" s="16" t="str">
        <f t="shared" si="0"/>
        <v/>
      </c>
      <c r="B34" s="19"/>
      <c r="C34" s="17" t="str">
        <f t="shared" si="1"/>
        <v/>
      </c>
      <c r="D34" s="42" t="str" cm="1">
        <f t="array" ref="D34">IFERROR(INDEX(Data_Input!$1:$100, 10, MATCH(1, (Data_Input!$7:$7=$F$3) * (Data_Input!$8:$8=$B34), 0)), "")</f>
        <v/>
      </c>
      <c r="E34" s="29" t="str" cm="1">
        <f t="array" ref="E34">IFERROR(INDEX(Data_Input!$1:$100, 9, MATCH(1, (Data_Input!$7:$7=$F$3) * (Data_Input!$8:$8=$B34), 0)),"")</f>
        <v/>
      </c>
      <c r="F34" s="20" t="str" cm="1">
        <f t="array" ref="F34">IFERROR(INDEX(Data_Input!$A$1:$ZZ$502, MATCH("플랜번호", INDEX(Data_Input!$A$1:$ZZ$502, 0, MATCH(1, (Data_Input!$7:$7="IRP")*(Data_Input!$8:$8=$B34), 0)), 0) + 1, MATCH(1, (Data_Input!$7:$7=$F$3)*(Data_Input!$8:$8=$B34), 0)),"")</f>
        <v/>
      </c>
      <c r="G34" s="20" t="str" cm="1">
        <f t="array" ref="G34">IFERROR(INDEX(Data_Input!$A$1:$ZZ$502, MATCH("플랜명", INDEX(Data_Input!$A$1:$ZZ$502, 0, MATCH(1, (Data_Input!$7:$7="IRP")*(Data_Input!$8:$8=$B34), 0)), 0) + 1, MATCH(1, (Data_Input!$7:$7=$F$3)*(Data_Input!$8:$8=$B34), 0)),"")</f>
        <v/>
      </c>
      <c r="H34" s="20" t="str" cm="1">
        <f t="array" ref="H34">IFERROR(INDEX(Data_Input!$A$1:$ZZ$502, MATCH("평가금액", INDEX(Data_Input!$A$1:$ZZ$502, 0, MATCH(1, (Data_Input!$7:$7="IRP")*(Data_Input!$8:$8=$B34), 0)), 0) + 1, MATCH(1, (Data_Input!$7:$7=$F$3)*(Data_Input!$8:$8=$B34), 0)),"")</f>
        <v/>
      </c>
      <c r="I34" s="20" t="str" cm="1">
        <f t="array" ref="I34">IFERROR(INDEX(Data_Input!$A$1:$ZZ$502, MATCH("평가손익", INDEX(Data_Input!$A$1:$ZZ$502, 0, MATCH(1, (Data_Input!$7:$7="IRP")*(Data_Input!$8:$8=$B34), 0)), 0) + 1, MATCH(1, (Data_Input!$7:$7=$F$3)*(Data_Input!$8:$8=$B34), 0)),"")</f>
        <v/>
      </c>
      <c r="J34" s="14" t="str" cm="1">
        <f t="array" ref="J34">IFERROR(INDEX(Data_Input!$A$1:$ZZ$502, MATCH("누적수익률", INDEX(Data_Input!$A$1:$ZZ$502, 0, MATCH(1, (Data_Input!$7:$7="IRP")*(Data_Input!$8:$8=$B34), 0)), 0) + 1, MATCH(1, (Data_Input!$7:$7=$F$3)*(Data_Input!$8:$8=$B34), 0))/100,"")</f>
        <v/>
      </c>
      <c r="K34" t="str" cm="1">
        <f t="array" ref="K34">IFERROR(_xlfn.LET(
    _xlpm.targetDate, B34,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5" spans="1:11" x14ac:dyDescent="0.3">
      <c r="A35" s="16" t="str">
        <f t="shared" si="0"/>
        <v/>
      </c>
      <c r="B35" s="19"/>
      <c r="C35" s="17" t="str">
        <f t="shared" si="1"/>
        <v/>
      </c>
      <c r="D35" s="42" t="str" cm="1">
        <f t="array" ref="D35">IFERROR(INDEX(Data_Input!$1:$100, 10, MATCH(1, (Data_Input!$7:$7=$F$3) * (Data_Input!$8:$8=$B35), 0)), "")</f>
        <v/>
      </c>
      <c r="E35" s="29" t="str" cm="1">
        <f t="array" ref="E35">IFERROR(INDEX(Data_Input!$1:$100, 9, MATCH(1, (Data_Input!$7:$7=$F$3) * (Data_Input!$8:$8=$B35), 0)),"")</f>
        <v/>
      </c>
      <c r="F35" s="20" t="str" cm="1">
        <f t="array" ref="F35">IFERROR(INDEX(Data_Input!$A$1:$ZZ$502, MATCH("플랜번호", INDEX(Data_Input!$A$1:$ZZ$502, 0, MATCH(1, (Data_Input!$7:$7="IRP")*(Data_Input!$8:$8=$B35), 0)), 0) + 1, MATCH(1, (Data_Input!$7:$7=$F$3)*(Data_Input!$8:$8=$B35), 0)),"")</f>
        <v/>
      </c>
      <c r="G35" s="20" t="str" cm="1">
        <f t="array" ref="G35">IFERROR(INDEX(Data_Input!$A$1:$ZZ$502, MATCH("플랜명", INDEX(Data_Input!$A$1:$ZZ$502, 0, MATCH(1, (Data_Input!$7:$7="IRP")*(Data_Input!$8:$8=$B35), 0)), 0) + 1, MATCH(1, (Data_Input!$7:$7=$F$3)*(Data_Input!$8:$8=$B35), 0)),"")</f>
        <v/>
      </c>
      <c r="H35" s="20" t="str" cm="1">
        <f t="array" ref="H35">IFERROR(INDEX(Data_Input!$A$1:$ZZ$502, MATCH("평가금액", INDEX(Data_Input!$A$1:$ZZ$502, 0, MATCH(1, (Data_Input!$7:$7="IRP")*(Data_Input!$8:$8=$B35), 0)), 0) + 1, MATCH(1, (Data_Input!$7:$7=$F$3)*(Data_Input!$8:$8=$B35), 0)),"")</f>
        <v/>
      </c>
      <c r="I35" s="20" t="str" cm="1">
        <f t="array" ref="I35">IFERROR(INDEX(Data_Input!$A$1:$ZZ$502, MATCH("평가손익", INDEX(Data_Input!$A$1:$ZZ$502, 0, MATCH(1, (Data_Input!$7:$7="IRP")*(Data_Input!$8:$8=$B35), 0)), 0) + 1, MATCH(1, (Data_Input!$7:$7=$F$3)*(Data_Input!$8:$8=$B35), 0)),"")</f>
        <v/>
      </c>
      <c r="J35" s="14" t="str" cm="1">
        <f t="array" ref="J35">IFERROR(INDEX(Data_Input!$A$1:$ZZ$502, MATCH("누적수익률", INDEX(Data_Input!$A$1:$ZZ$502, 0, MATCH(1, (Data_Input!$7:$7="IRP")*(Data_Input!$8:$8=$B35), 0)), 0) + 1, MATCH(1, (Data_Input!$7:$7=$F$3)*(Data_Input!$8:$8=$B35), 0))/100,"")</f>
        <v/>
      </c>
      <c r="K35" t="str" cm="1">
        <f t="array" ref="K35">IFERROR(_xlfn.LET(
    _xlpm.targetDate, B35,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6" spans="1:11" x14ac:dyDescent="0.3">
      <c r="A36" s="16" t="str">
        <f t="shared" si="0"/>
        <v/>
      </c>
      <c r="B36" s="19"/>
      <c r="C36" s="17" t="str">
        <f t="shared" si="1"/>
        <v/>
      </c>
      <c r="D36" s="42" t="str" cm="1">
        <f t="array" ref="D36">IFERROR(INDEX(Data_Input!$1:$100, 10, MATCH(1, (Data_Input!$7:$7=$F$3) * (Data_Input!$8:$8=$B36), 0)), "")</f>
        <v/>
      </c>
      <c r="E36" s="29" t="str" cm="1">
        <f t="array" ref="E36">IFERROR(INDEX(Data_Input!$1:$100, 9, MATCH(1, (Data_Input!$7:$7=$F$3) * (Data_Input!$8:$8=$B36), 0)),"")</f>
        <v/>
      </c>
      <c r="F36" s="20" t="str" cm="1">
        <f t="array" ref="F36">IFERROR(INDEX(Data_Input!$A$1:$ZZ$502, MATCH("플랜번호", INDEX(Data_Input!$A$1:$ZZ$502, 0, MATCH(1, (Data_Input!$7:$7="IRP")*(Data_Input!$8:$8=$B36), 0)), 0) + 1, MATCH(1, (Data_Input!$7:$7=$F$3)*(Data_Input!$8:$8=$B36), 0)),"")</f>
        <v/>
      </c>
      <c r="G36" s="20" t="str" cm="1">
        <f t="array" ref="G36">IFERROR(INDEX(Data_Input!$A$1:$ZZ$502, MATCH("플랜명", INDEX(Data_Input!$A$1:$ZZ$502, 0, MATCH(1, (Data_Input!$7:$7="IRP")*(Data_Input!$8:$8=$B36), 0)), 0) + 1, MATCH(1, (Data_Input!$7:$7=$F$3)*(Data_Input!$8:$8=$B36), 0)),"")</f>
        <v/>
      </c>
      <c r="H36" s="20" t="str" cm="1">
        <f t="array" ref="H36">IFERROR(INDEX(Data_Input!$A$1:$ZZ$502, MATCH("평가금액", INDEX(Data_Input!$A$1:$ZZ$502, 0, MATCH(1, (Data_Input!$7:$7="IRP")*(Data_Input!$8:$8=$B36), 0)), 0) + 1, MATCH(1, (Data_Input!$7:$7=$F$3)*(Data_Input!$8:$8=$B36), 0)),"")</f>
        <v/>
      </c>
      <c r="I36" s="20" t="str" cm="1">
        <f t="array" ref="I36">IFERROR(INDEX(Data_Input!$A$1:$ZZ$502, MATCH("평가손익", INDEX(Data_Input!$A$1:$ZZ$502, 0, MATCH(1, (Data_Input!$7:$7="IRP")*(Data_Input!$8:$8=$B36), 0)), 0) + 1, MATCH(1, (Data_Input!$7:$7=$F$3)*(Data_Input!$8:$8=$B36), 0)),"")</f>
        <v/>
      </c>
      <c r="J36" s="14" t="str" cm="1">
        <f t="array" ref="J36">IFERROR(INDEX(Data_Input!$A$1:$ZZ$502, MATCH("누적수익률", INDEX(Data_Input!$A$1:$ZZ$502, 0, MATCH(1, (Data_Input!$7:$7="IRP")*(Data_Input!$8:$8=$B36), 0)), 0) + 1, MATCH(1, (Data_Input!$7:$7=$F$3)*(Data_Input!$8:$8=$B36), 0))/100,"")</f>
        <v/>
      </c>
      <c r="K36" t="str" cm="1">
        <f t="array" ref="K36">IFERROR(_xlfn.LET(
    _xlpm.targetDate, B36,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7" spans="1:11" x14ac:dyDescent="0.3">
      <c r="A37" s="16" t="str">
        <f t="shared" si="0"/>
        <v/>
      </c>
      <c r="B37" s="19"/>
      <c r="C37" s="17" t="str">
        <f t="shared" si="1"/>
        <v/>
      </c>
      <c r="D37" s="42" t="str" cm="1">
        <f t="array" ref="D37">IFERROR(INDEX(Data_Input!$1:$100, 10, MATCH(1, (Data_Input!$7:$7=$F$3) * (Data_Input!$8:$8=$B37), 0)), "")</f>
        <v/>
      </c>
      <c r="E37" s="29" t="str" cm="1">
        <f t="array" ref="E37">IFERROR(INDEX(Data_Input!$1:$100, 9, MATCH(1, (Data_Input!$7:$7=$F$3) * (Data_Input!$8:$8=$B37), 0)),"")</f>
        <v/>
      </c>
      <c r="F37" s="20" t="str" cm="1">
        <f t="array" ref="F37">IFERROR(INDEX(Data_Input!$A$1:$ZZ$502, MATCH("플랜번호", INDEX(Data_Input!$A$1:$ZZ$502, 0, MATCH(1, (Data_Input!$7:$7="IRP")*(Data_Input!$8:$8=$B37), 0)), 0) + 1, MATCH(1, (Data_Input!$7:$7=$F$3)*(Data_Input!$8:$8=$B37), 0)),"")</f>
        <v/>
      </c>
      <c r="G37" s="20" t="str" cm="1">
        <f t="array" ref="G37">IFERROR(INDEX(Data_Input!$A$1:$ZZ$502, MATCH("플랜명", INDEX(Data_Input!$A$1:$ZZ$502, 0, MATCH(1, (Data_Input!$7:$7="IRP")*(Data_Input!$8:$8=$B37), 0)), 0) + 1, MATCH(1, (Data_Input!$7:$7=$F$3)*(Data_Input!$8:$8=$B37), 0)),"")</f>
        <v/>
      </c>
      <c r="H37" s="20" t="str" cm="1">
        <f t="array" ref="H37">IFERROR(INDEX(Data_Input!$A$1:$ZZ$502, MATCH("평가금액", INDEX(Data_Input!$A$1:$ZZ$502, 0, MATCH(1, (Data_Input!$7:$7="IRP")*(Data_Input!$8:$8=$B37), 0)), 0) + 1, MATCH(1, (Data_Input!$7:$7=$F$3)*(Data_Input!$8:$8=$B37), 0)),"")</f>
        <v/>
      </c>
      <c r="I37" s="20" t="str" cm="1">
        <f t="array" ref="I37">IFERROR(INDEX(Data_Input!$A$1:$ZZ$502, MATCH("평가손익", INDEX(Data_Input!$A$1:$ZZ$502, 0, MATCH(1, (Data_Input!$7:$7="IRP")*(Data_Input!$8:$8=$B37), 0)), 0) + 1, MATCH(1, (Data_Input!$7:$7=$F$3)*(Data_Input!$8:$8=$B37), 0)),"")</f>
        <v/>
      </c>
      <c r="J37" s="14" t="str" cm="1">
        <f t="array" ref="J37">IFERROR(INDEX(Data_Input!$A$1:$ZZ$502, MATCH("누적수익률", INDEX(Data_Input!$A$1:$ZZ$502, 0, MATCH(1, (Data_Input!$7:$7="IRP")*(Data_Input!$8:$8=$B37), 0)), 0) + 1, MATCH(1, (Data_Input!$7:$7=$F$3)*(Data_Input!$8:$8=$B37), 0))/100,"")</f>
        <v/>
      </c>
      <c r="K37" t="str" cm="1">
        <f t="array" ref="K37">IFERROR(_xlfn.LET(
    _xlpm.targetDate, B37,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8" spans="1:11" x14ac:dyDescent="0.3">
      <c r="A38" s="16" t="str">
        <f t="shared" si="0"/>
        <v/>
      </c>
      <c r="B38" s="19"/>
      <c r="C38" s="17" t="str">
        <f t="shared" si="1"/>
        <v/>
      </c>
      <c r="D38" s="42" t="str" cm="1">
        <f t="array" ref="D38">IFERROR(INDEX(Data_Input!$1:$100, 10, MATCH(1, (Data_Input!$7:$7=$F$3) * (Data_Input!$8:$8=$B38), 0)), "")</f>
        <v/>
      </c>
      <c r="E38" s="29" t="str" cm="1">
        <f t="array" ref="E38">IFERROR(INDEX(Data_Input!$1:$100, 9, MATCH(1, (Data_Input!$7:$7=$F$3) * (Data_Input!$8:$8=$B38), 0)),"")</f>
        <v/>
      </c>
      <c r="F38" s="20" t="str" cm="1">
        <f t="array" ref="F38">IFERROR(INDEX(Data_Input!$A$1:$ZZ$502, MATCH("플랜번호", INDEX(Data_Input!$A$1:$ZZ$502, 0, MATCH(1, (Data_Input!$7:$7="IRP")*(Data_Input!$8:$8=$B38), 0)), 0) + 1, MATCH(1, (Data_Input!$7:$7=$F$3)*(Data_Input!$8:$8=$B38), 0)),"")</f>
        <v/>
      </c>
      <c r="G38" s="20" t="str" cm="1">
        <f t="array" ref="G38">IFERROR(INDEX(Data_Input!$A$1:$ZZ$502, MATCH("플랜명", INDEX(Data_Input!$A$1:$ZZ$502, 0, MATCH(1, (Data_Input!$7:$7="IRP")*(Data_Input!$8:$8=$B38), 0)), 0) + 1, MATCH(1, (Data_Input!$7:$7=$F$3)*(Data_Input!$8:$8=$B38), 0)),"")</f>
        <v/>
      </c>
      <c r="H38" s="20" t="str" cm="1">
        <f t="array" ref="H38">IFERROR(INDEX(Data_Input!$A$1:$ZZ$502, MATCH("평가금액", INDEX(Data_Input!$A$1:$ZZ$502, 0, MATCH(1, (Data_Input!$7:$7="IRP")*(Data_Input!$8:$8=$B38), 0)), 0) + 1, MATCH(1, (Data_Input!$7:$7=$F$3)*(Data_Input!$8:$8=$B38), 0)),"")</f>
        <v/>
      </c>
      <c r="I38" s="20" t="str" cm="1">
        <f t="array" ref="I38">IFERROR(INDEX(Data_Input!$A$1:$ZZ$502, MATCH("평가손익", INDEX(Data_Input!$A$1:$ZZ$502, 0, MATCH(1, (Data_Input!$7:$7="IRP")*(Data_Input!$8:$8=$B38), 0)), 0) + 1, MATCH(1, (Data_Input!$7:$7=$F$3)*(Data_Input!$8:$8=$B38), 0)),"")</f>
        <v/>
      </c>
      <c r="J38" s="14" t="str" cm="1">
        <f t="array" ref="J38">IFERROR(INDEX(Data_Input!$A$1:$ZZ$502, MATCH("누적수익률", INDEX(Data_Input!$A$1:$ZZ$502, 0, MATCH(1, (Data_Input!$7:$7="IRP")*(Data_Input!$8:$8=$B38), 0)), 0) + 1, MATCH(1, (Data_Input!$7:$7=$F$3)*(Data_Input!$8:$8=$B38), 0))/100,"")</f>
        <v/>
      </c>
      <c r="K38" t="str" cm="1">
        <f t="array" ref="K38">IFERROR(_xlfn.LET(
    _xlpm.targetDate, B38,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9" spans="1:11" x14ac:dyDescent="0.3">
      <c r="A39" s="16" t="str">
        <f t="shared" si="0"/>
        <v/>
      </c>
      <c r="B39" s="19"/>
      <c r="C39" s="17" t="str">
        <f t="shared" si="1"/>
        <v/>
      </c>
      <c r="D39" s="42" t="str" cm="1">
        <f t="array" ref="D39">IFERROR(INDEX(Data_Input!$1:$100, 10, MATCH(1, (Data_Input!$7:$7=$F$3) * (Data_Input!$8:$8=$B39), 0)), "")</f>
        <v/>
      </c>
      <c r="E39" s="29" t="str" cm="1">
        <f t="array" ref="E39">IFERROR(INDEX(Data_Input!$1:$100, 9, MATCH(1, (Data_Input!$7:$7=$F$3) * (Data_Input!$8:$8=$B39), 0)),"")</f>
        <v/>
      </c>
      <c r="F39" s="20" t="str" cm="1">
        <f t="array" ref="F39">IFERROR(INDEX(Data_Input!$A$1:$ZZ$502, MATCH("플랜번호", INDEX(Data_Input!$A$1:$ZZ$502, 0, MATCH(1, (Data_Input!$7:$7="IRP")*(Data_Input!$8:$8=$B39), 0)), 0) + 1, MATCH(1, (Data_Input!$7:$7=$F$3)*(Data_Input!$8:$8=$B39), 0)),"")</f>
        <v/>
      </c>
      <c r="G39" s="20" t="str" cm="1">
        <f t="array" ref="G39">IFERROR(INDEX(Data_Input!$A$1:$ZZ$502, MATCH("플랜명", INDEX(Data_Input!$A$1:$ZZ$502, 0, MATCH(1, (Data_Input!$7:$7="IRP")*(Data_Input!$8:$8=$B39), 0)), 0) + 1, MATCH(1, (Data_Input!$7:$7=$F$3)*(Data_Input!$8:$8=$B39), 0)),"")</f>
        <v/>
      </c>
      <c r="H39" s="20" t="str" cm="1">
        <f t="array" ref="H39">IFERROR(INDEX(Data_Input!$A$1:$ZZ$502, MATCH("평가금액", INDEX(Data_Input!$A$1:$ZZ$502, 0, MATCH(1, (Data_Input!$7:$7="IRP")*(Data_Input!$8:$8=$B39), 0)), 0) + 1, MATCH(1, (Data_Input!$7:$7=$F$3)*(Data_Input!$8:$8=$B39), 0)),"")</f>
        <v/>
      </c>
      <c r="I39" s="20" t="str" cm="1">
        <f t="array" ref="I39">IFERROR(INDEX(Data_Input!$A$1:$ZZ$502, MATCH("평가손익", INDEX(Data_Input!$A$1:$ZZ$502, 0, MATCH(1, (Data_Input!$7:$7="IRP")*(Data_Input!$8:$8=$B39), 0)), 0) + 1, MATCH(1, (Data_Input!$7:$7=$F$3)*(Data_Input!$8:$8=$B39), 0)),"")</f>
        <v/>
      </c>
      <c r="J39" s="14" t="str" cm="1">
        <f t="array" ref="J39">IFERROR(INDEX(Data_Input!$A$1:$ZZ$502, MATCH("누적수익률", INDEX(Data_Input!$A$1:$ZZ$502, 0, MATCH(1, (Data_Input!$7:$7="IRP")*(Data_Input!$8:$8=$B39), 0)), 0) + 1, MATCH(1, (Data_Input!$7:$7=$F$3)*(Data_Input!$8:$8=$B39), 0))/100,"")</f>
        <v/>
      </c>
      <c r="K39" t="str" cm="1">
        <f t="array" ref="K39">IFERROR(_xlfn.LET(
    _xlpm.targetDate, B39,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40" spans="1:11" x14ac:dyDescent="0.3">
      <c r="A40" s="16" t="str">
        <f t="shared" si="0"/>
        <v/>
      </c>
      <c r="B40" s="19"/>
      <c r="C40" s="17" t="str">
        <f t="shared" si="1"/>
        <v/>
      </c>
      <c r="D40" s="42" t="str" cm="1">
        <f t="array" ref="D40">IFERROR(INDEX(Data_Input!$1:$100, 10, MATCH(1, (Data_Input!$7:$7=$F$3) * (Data_Input!$8:$8=$B40), 0)), "")</f>
        <v/>
      </c>
      <c r="E40" s="29" t="str" cm="1">
        <f t="array" ref="E40">IFERROR(INDEX(Data_Input!$1:$100, 9, MATCH(1, (Data_Input!$7:$7=$F$3) * (Data_Input!$8:$8=$B40), 0)),"")</f>
        <v/>
      </c>
      <c r="F40" s="20" t="str" cm="1">
        <f t="array" ref="F40">IFERROR(INDEX(Data_Input!$A$1:$ZZ$502, MATCH("플랜번호", INDEX(Data_Input!$A$1:$ZZ$502, 0, MATCH(1, (Data_Input!$7:$7="IRP")*(Data_Input!$8:$8=$B40), 0)), 0) + 1, MATCH(1, (Data_Input!$7:$7=$F$3)*(Data_Input!$8:$8=$B40), 0)),"")</f>
        <v/>
      </c>
      <c r="G40" s="20" t="str" cm="1">
        <f t="array" ref="G40">IFERROR(INDEX(Data_Input!$A$1:$ZZ$502, MATCH("플랜명", INDEX(Data_Input!$A$1:$ZZ$502, 0, MATCH(1, (Data_Input!$7:$7="IRP")*(Data_Input!$8:$8=$B40), 0)), 0) + 1, MATCH(1, (Data_Input!$7:$7=$F$3)*(Data_Input!$8:$8=$B40), 0)),"")</f>
        <v/>
      </c>
      <c r="H40" s="20" t="str" cm="1">
        <f t="array" ref="H40">IFERROR(INDEX(Data_Input!$A$1:$ZZ$502, MATCH("평가금액", INDEX(Data_Input!$A$1:$ZZ$502, 0, MATCH(1, (Data_Input!$7:$7="IRP")*(Data_Input!$8:$8=$B40), 0)), 0) + 1, MATCH(1, (Data_Input!$7:$7=$F$3)*(Data_Input!$8:$8=$B40), 0)),"")</f>
        <v/>
      </c>
      <c r="I40" s="20" t="str" cm="1">
        <f t="array" ref="I40">IFERROR(INDEX(Data_Input!$A$1:$ZZ$502, MATCH("평가손익", INDEX(Data_Input!$A$1:$ZZ$502, 0, MATCH(1, (Data_Input!$7:$7="IRP")*(Data_Input!$8:$8=$B40), 0)), 0) + 1, MATCH(1, (Data_Input!$7:$7=$F$3)*(Data_Input!$8:$8=$B40), 0)),"")</f>
        <v/>
      </c>
      <c r="J40" s="14" t="str" cm="1">
        <f t="array" ref="J40">IFERROR(INDEX(Data_Input!$A$1:$ZZ$502, MATCH("누적수익률", INDEX(Data_Input!$A$1:$ZZ$502, 0, MATCH(1, (Data_Input!$7:$7="IRP")*(Data_Input!$8:$8=$B40), 0)), 0) + 1, MATCH(1, (Data_Input!$7:$7=$F$3)*(Data_Input!$8:$8=$B40), 0))/100,"")</f>
        <v/>
      </c>
      <c r="K40" t="str" cm="1">
        <f t="array" ref="K40">IFERROR(_xlfn.LET(
    _xlpm.targetDate, B40,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41" spans="1:11" x14ac:dyDescent="0.3">
      <c r="A41" s="16" t="str">
        <f t="shared" si="0"/>
        <v/>
      </c>
      <c r="B41" s="19"/>
      <c r="C41" s="17" t="str">
        <f t="shared" si="1"/>
        <v/>
      </c>
      <c r="D41" s="42" t="str" cm="1">
        <f t="array" ref="D41">IFERROR(INDEX(Data_Input!$1:$100, 10, MATCH(1, (Data_Input!$7:$7=$F$3) * (Data_Input!$8:$8=$B41), 0)), "")</f>
        <v/>
      </c>
      <c r="E41" s="29" t="str" cm="1">
        <f t="array" ref="E41">IFERROR(INDEX(Data_Input!$1:$100, 9, MATCH(1, (Data_Input!$7:$7=$F$3) * (Data_Input!$8:$8=$B41), 0)),"")</f>
        <v/>
      </c>
      <c r="F41" s="20" t="str" cm="1">
        <f t="array" ref="F41">IFERROR(INDEX(Data_Input!$A$1:$ZZ$502, MATCH("플랜번호", INDEX(Data_Input!$A$1:$ZZ$502, 0, MATCH(1, (Data_Input!$7:$7="IRP")*(Data_Input!$8:$8=$B41), 0)), 0) + 1, MATCH(1, (Data_Input!$7:$7=$F$3)*(Data_Input!$8:$8=$B41), 0)),"")</f>
        <v/>
      </c>
      <c r="G41" s="20" t="str" cm="1">
        <f t="array" ref="G41">IFERROR(INDEX(Data_Input!$A$1:$ZZ$502, MATCH("플랜명", INDEX(Data_Input!$A$1:$ZZ$502, 0, MATCH(1, (Data_Input!$7:$7="IRP")*(Data_Input!$8:$8=$B41), 0)), 0) + 1, MATCH(1, (Data_Input!$7:$7=$F$3)*(Data_Input!$8:$8=$B41), 0)),"")</f>
        <v/>
      </c>
      <c r="H41" s="20" t="str" cm="1">
        <f t="array" ref="H41">IFERROR(INDEX(Data_Input!$A$1:$ZZ$502, MATCH("평가금액", INDEX(Data_Input!$A$1:$ZZ$502, 0, MATCH(1, (Data_Input!$7:$7="IRP")*(Data_Input!$8:$8=$B41), 0)), 0) + 1, MATCH(1, (Data_Input!$7:$7=$F$3)*(Data_Input!$8:$8=$B41), 0)),"")</f>
        <v/>
      </c>
      <c r="I41" s="20" t="str" cm="1">
        <f t="array" ref="I41">IFERROR(INDEX(Data_Input!$A$1:$ZZ$502, MATCH("평가손익", INDEX(Data_Input!$A$1:$ZZ$502, 0, MATCH(1, (Data_Input!$7:$7="IRP")*(Data_Input!$8:$8=$B41), 0)), 0) + 1, MATCH(1, (Data_Input!$7:$7=$F$3)*(Data_Input!$8:$8=$B41), 0)),"")</f>
        <v/>
      </c>
      <c r="J41" s="14" t="str" cm="1">
        <f t="array" ref="J41">IFERROR(INDEX(Data_Input!$A$1:$ZZ$502, MATCH("누적수익률", INDEX(Data_Input!$A$1:$ZZ$502, 0, MATCH(1, (Data_Input!$7:$7="IRP")*(Data_Input!$8:$8=$B41), 0)), 0) + 1, MATCH(1, (Data_Input!$7:$7=$F$3)*(Data_Input!$8:$8=$B41), 0))/100,"")</f>
        <v/>
      </c>
      <c r="K41" t="str" cm="1">
        <f t="array" ref="K41">IFERROR(_xlfn.LET(
    _xlpm.targetDate, B41,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42" spans="1:11" x14ac:dyDescent="0.3">
      <c r="A42" s="16" t="str">
        <f t="shared" si="0"/>
        <v/>
      </c>
      <c r="B42" s="19"/>
      <c r="C42" s="17" t="str">
        <f t="shared" si="1"/>
        <v/>
      </c>
      <c r="D42" s="42" t="str" cm="1">
        <f t="array" ref="D42">IFERROR(INDEX(Data_Input!$1:$100, 10, MATCH(1, (Data_Input!$7:$7=$F$3) * (Data_Input!$8:$8=$B42), 0)), "")</f>
        <v/>
      </c>
      <c r="E42" s="29" t="str" cm="1">
        <f t="array" ref="E42">IFERROR(INDEX(Data_Input!$1:$100, 9, MATCH(1, (Data_Input!$7:$7=$F$3) * (Data_Input!$8:$8=$B42), 0)),"")</f>
        <v/>
      </c>
      <c r="F42" s="20" t="str" cm="1">
        <f t="array" ref="F42">IFERROR(INDEX(Data_Input!$A$1:$ZZ$502, MATCH("플랜번호", INDEX(Data_Input!$A$1:$ZZ$502, 0, MATCH(1, (Data_Input!$7:$7="IRP")*(Data_Input!$8:$8=$B42), 0)), 0) + 1, MATCH(1, (Data_Input!$7:$7=$F$3)*(Data_Input!$8:$8=$B42), 0)),"")</f>
        <v/>
      </c>
      <c r="G42" s="20" t="str" cm="1">
        <f t="array" ref="G42">IFERROR(INDEX(Data_Input!$A$1:$ZZ$502, MATCH("플랜명", INDEX(Data_Input!$A$1:$ZZ$502, 0, MATCH(1, (Data_Input!$7:$7="IRP")*(Data_Input!$8:$8=$B42), 0)), 0) + 1, MATCH(1, (Data_Input!$7:$7=$F$3)*(Data_Input!$8:$8=$B42), 0)),"")</f>
        <v/>
      </c>
      <c r="H42" s="20" t="str" cm="1">
        <f t="array" ref="H42">IFERROR(INDEX(Data_Input!$A$1:$ZZ$502, MATCH("평가금액", INDEX(Data_Input!$A$1:$ZZ$502, 0, MATCH(1, (Data_Input!$7:$7="IRP")*(Data_Input!$8:$8=$B42), 0)), 0) + 1, MATCH(1, (Data_Input!$7:$7=$F$3)*(Data_Input!$8:$8=$B42), 0)),"")</f>
        <v/>
      </c>
      <c r="I42" s="20" t="str" cm="1">
        <f t="array" ref="I42">IFERROR(INDEX(Data_Input!$A$1:$ZZ$502, MATCH("평가손익", INDEX(Data_Input!$A$1:$ZZ$502, 0, MATCH(1, (Data_Input!$7:$7="IRP")*(Data_Input!$8:$8=$B42), 0)), 0) + 1, MATCH(1, (Data_Input!$7:$7=$F$3)*(Data_Input!$8:$8=$B42), 0)),"")</f>
        <v/>
      </c>
      <c r="J42" s="14" t="str" cm="1">
        <f t="array" ref="J42">IFERROR(INDEX(Data_Input!$A$1:$ZZ$502, MATCH("누적수익률", INDEX(Data_Input!$A$1:$ZZ$502, 0, MATCH(1, (Data_Input!$7:$7="IRP")*(Data_Input!$8:$8=$B42), 0)), 0) + 1, MATCH(1, (Data_Input!$7:$7=$F$3)*(Data_Input!$8:$8=$B42), 0))/100,"")</f>
        <v/>
      </c>
      <c r="K42" t="str" cm="1">
        <f t="array" ref="K42">IFERROR(_xlfn.LET(
    _xlpm.targetDate, B42,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43" spans="1:11" x14ac:dyDescent="0.3">
      <c r="A43" s="16" t="str">
        <f t="shared" si="0"/>
        <v/>
      </c>
      <c r="B43" s="19"/>
      <c r="C43" s="17" t="str">
        <f t="shared" si="1"/>
        <v/>
      </c>
      <c r="D43" s="42" t="str" cm="1">
        <f t="array" ref="D43">IFERROR(INDEX(Data_Input!$1:$100, 10, MATCH(1, (Data_Input!$7:$7=$F$3) * (Data_Input!$8:$8=$B43), 0)), "")</f>
        <v/>
      </c>
      <c r="E43" s="29" t="str" cm="1">
        <f t="array" ref="E43">IFERROR(INDEX(Data_Input!$1:$100, 9, MATCH(1, (Data_Input!$7:$7=$F$3) * (Data_Input!$8:$8=$B43), 0)),"")</f>
        <v/>
      </c>
      <c r="F43" s="20" t="str" cm="1">
        <f t="array" ref="F43">IFERROR(INDEX(Data_Input!$A$1:$ZZ$502, MATCH("플랜번호", INDEX(Data_Input!$A$1:$ZZ$502, 0, MATCH(1, (Data_Input!$7:$7="IRP")*(Data_Input!$8:$8=$B43), 0)), 0) + 1, MATCH(1, (Data_Input!$7:$7=$F$3)*(Data_Input!$8:$8=$B43), 0)),"")</f>
        <v/>
      </c>
      <c r="G43" s="20" t="str" cm="1">
        <f t="array" ref="G43">IFERROR(INDEX(Data_Input!$A$1:$ZZ$502, MATCH("플랜명", INDEX(Data_Input!$A$1:$ZZ$502, 0, MATCH(1, (Data_Input!$7:$7="IRP")*(Data_Input!$8:$8=$B43), 0)), 0) + 1, MATCH(1, (Data_Input!$7:$7=$F$3)*(Data_Input!$8:$8=$B43), 0)),"")</f>
        <v/>
      </c>
      <c r="H43" s="20" t="str" cm="1">
        <f t="array" ref="H43">IFERROR(INDEX(Data_Input!$A$1:$ZZ$502, MATCH("평가금액", INDEX(Data_Input!$A$1:$ZZ$502, 0, MATCH(1, (Data_Input!$7:$7="IRP")*(Data_Input!$8:$8=$B43), 0)), 0) + 1, MATCH(1, (Data_Input!$7:$7=$F$3)*(Data_Input!$8:$8=$B43), 0)),"")</f>
        <v/>
      </c>
      <c r="I43" s="20" t="str" cm="1">
        <f t="array" ref="I43">IFERROR(INDEX(Data_Input!$A$1:$ZZ$502, MATCH("평가손익", INDEX(Data_Input!$A$1:$ZZ$502, 0, MATCH(1, (Data_Input!$7:$7="IRP")*(Data_Input!$8:$8=$B43), 0)), 0) + 1, MATCH(1, (Data_Input!$7:$7=$F$3)*(Data_Input!$8:$8=$B43), 0)),"")</f>
        <v/>
      </c>
      <c r="J43" s="14" t="str" cm="1">
        <f t="array" ref="J43">IFERROR(INDEX(Data_Input!$A$1:$ZZ$502, MATCH("누적수익률", INDEX(Data_Input!$A$1:$ZZ$502, 0, MATCH(1, (Data_Input!$7:$7="IRP")*(Data_Input!$8:$8=$B43), 0)), 0) + 1, MATCH(1, (Data_Input!$7:$7=$F$3)*(Data_Input!$8:$8=$B43), 0))/100,"")</f>
        <v/>
      </c>
      <c r="K43" t="str" cm="1">
        <f t="array" ref="K43">IFERROR(_xlfn.LET(
    _xlpm.targetDate, B43,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44" spans="1:11" x14ac:dyDescent="0.3">
      <c r="A44" s="16" t="str">
        <f t="shared" si="0"/>
        <v/>
      </c>
      <c r="B44" s="19"/>
      <c r="C44" s="17" t="str">
        <f t="shared" si="1"/>
        <v/>
      </c>
      <c r="D44" s="42" t="str" cm="1">
        <f t="array" ref="D44">IFERROR(INDEX(Data_Input!$1:$100, 10, MATCH(1, (Data_Input!$7:$7=$F$3) * (Data_Input!$8:$8=$B44), 0)), "")</f>
        <v/>
      </c>
      <c r="E44" s="29" t="str" cm="1">
        <f t="array" ref="E44">IFERROR(INDEX(Data_Input!$1:$100, 9, MATCH(1, (Data_Input!$7:$7=$F$3) * (Data_Input!$8:$8=$B44), 0)),"")</f>
        <v/>
      </c>
      <c r="F44" s="20" t="str" cm="1">
        <f t="array" ref="F44">IFERROR(INDEX(Data_Input!$A$1:$ZZ$502, MATCH("플랜번호", INDEX(Data_Input!$A$1:$ZZ$502, 0, MATCH(1, (Data_Input!$7:$7="IRP")*(Data_Input!$8:$8=$B44), 0)), 0) + 1, MATCH(1, (Data_Input!$7:$7=$F$3)*(Data_Input!$8:$8=$B44), 0)),"")</f>
        <v/>
      </c>
      <c r="G44" s="20" t="str" cm="1">
        <f t="array" ref="G44">IFERROR(INDEX(Data_Input!$A$1:$ZZ$502, MATCH("플랜명", INDEX(Data_Input!$A$1:$ZZ$502, 0, MATCH(1, (Data_Input!$7:$7="IRP")*(Data_Input!$8:$8=$B44), 0)), 0) + 1, MATCH(1, (Data_Input!$7:$7=$F$3)*(Data_Input!$8:$8=$B44), 0)),"")</f>
        <v/>
      </c>
      <c r="H44" s="20" t="str" cm="1">
        <f t="array" ref="H44">IFERROR(INDEX(Data_Input!$A$1:$ZZ$502, MATCH("평가금액", INDEX(Data_Input!$A$1:$ZZ$502, 0, MATCH(1, (Data_Input!$7:$7="IRP")*(Data_Input!$8:$8=$B44), 0)), 0) + 1, MATCH(1, (Data_Input!$7:$7=$F$3)*(Data_Input!$8:$8=$B44), 0)),"")</f>
        <v/>
      </c>
      <c r="I44" s="20" t="str" cm="1">
        <f t="array" ref="I44">IFERROR(INDEX(Data_Input!$A$1:$ZZ$502, MATCH("평가손익", INDEX(Data_Input!$A$1:$ZZ$502, 0, MATCH(1, (Data_Input!$7:$7="IRP")*(Data_Input!$8:$8=$B44), 0)), 0) + 1, MATCH(1, (Data_Input!$7:$7=$F$3)*(Data_Input!$8:$8=$B44), 0)),"")</f>
        <v/>
      </c>
      <c r="J44" s="14" t="str" cm="1">
        <f t="array" ref="J44">IFERROR(INDEX(Data_Input!$A$1:$ZZ$502, MATCH("누적수익률", INDEX(Data_Input!$A$1:$ZZ$502, 0, MATCH(1, (Data_Input!$7:$7="IRP")*(Data_Input!$8:$8=$B44), 0)), 0) + 1, MATCH(1, (Data_Input!$7:$7=$F$3)*(Data_Input!$8:$8=$B44), 0))/100,"")</f>
        <v/>
      </c>
      <c r="K44" t="str" cm="1">
        <f t="array" ref="K44">IFERROR(_xlfn.LET(
    _xlpm.targetDate, B44,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45" spans="1:11" x14ac:dyDescent="0.3">
      <c r="A45" s="16" t="str">
        <f t="shared" si="0"/>
        <v/>
      </c>
      <c r="B45" s="19"/>
      <c r="C45" s="17" t="str">
        <f t="shared" si="1"/>
        <v/>
      </c>
      <c r="D45" s="42" t="str" cm="1">
        <f t="array" ref="D45">IFERROR(INDEX(Data_Input!$1:$100, 10, MATCH(1, (Data_Input!$7:$7=$F$3) * (Data_Input!$8:$8=$B45), 0)), "")</f>
        <v/>
      </c>
      <c r="E45" s="29" t="str" cm="1">
        <f t="array" ref="E45">IFERROR(INDEX(Data_Input!$1:$100, 9, MATCH(1, (Data_Input!$7:$7=$F$3) * (Data_Input!$8:$8=$B45), 0)),"")</f>
        <v/>
      </c>
      <c r="F45" s="20" t="str" cm="1">
        <f t="array" ref="F45">IFERROR(INDEX(Data_Input!$A$1:$ZZ$502, MATCH("플랜번호", INDEX(Data_Input!$A$1:$ZZ$502, 0, MATCH(1, (Data_Input!$7:$7="IRP")*(Data_Input!$8:$8=$B45), 0)), 0) + 1, MATCH(1, (Data_Input!$7:$7=$F$3)*(Data_Input!$8:$8=$B45), 0)),"")</f>
        <v/>
      </c>
      <c r="G45" s="20" t="str" cm="1">
        <f t="array" ref="G45">IFERROR(INDEX(Data_Input!$A$1:$ZZ$502, MATCH("플랜명", INDEX(Data_Input!$A$1:$ZZ$502, 0, MATCH(1, (Data_Input!$7:$7="IRP")*(Data_Input!$8:$8=$B45), 0)), 0) + 1, MATCH(1, (Data_Input!$7:$7=$F$3)*(Data_Input!$8:$8=$B45), 0)),"")</f>
        <v/>
      </c>
      <c r="H45" s="20" t="str" cm="1">
        <f t="array" ref="H45">IFERROR(INDEX(Data_Input!$A$1:$ZZ$502, MATCH("평가금액", INDEX(Data_Input!$A$1:$ZZ$502, 0, MATCH(1, (Data_Input!$7:$7="IRP")*(Data_Input!$8:$8=$B45), 0)), 0) + 1, MATCH(1, (Data_Input!$7:$7=$F$3)*(Data_Input!$8:$8=$B45), 0)),"")</f>
        <v/>
      </c>
      <c r="I45" s="20" t="str" cm="1">
        <f t="array" ref="I45">IFERROR(INDEX(Data_Input!$A$1:$ZZ$502, MATCH("평가손익", INDEX(Data_Input!$A$1:$ZZ$502, 0, MATCH(1, (Data_Input!$7:$7="IRP")*(Data_Input!$8:$8=$B45), 0)), 0) + 1, MATCH(1, (Data_Input!$7:$7=$F$3)*(Data_Input!$8:$8=$B45), 0)),"")</f>
        <v/>
      </c>
      <c r="J45" s="14" t="str" cm="1">
        <f t="array" ref="J45">IFERROR(INDEX(Data_Input!$A$1:$ZZ$502, MATCH("누적수익률", INDEX(Data_Input!$A$1:$ZZ$502, 0, MATCH(1, (Data_Input!$7:$7="IRP")*(Data_Input!$8:$8=$B45), 0)), 0) + 1, MATCH(1, (Data_Input!$7:$7=$F$3)*(Data_Input!$8:$8=$B45), 0))/100,"")</f>
        <v/>
      </c>
      <c r="K45" t="str" cm="1">
        <f t="array" ref="K45">IFERROR(_xlfn.LET(
    _xlpm.targetDate, B45,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46" spans="1:11" x14ac:dyDescent="0.3">
      <c r="A46" s="16" t="str">
        <f t="shared" si="0"/>
        <v/>
      </c>
      <c r="B46" s="19"/>
      <c r="C46" s="17" t="str">
        <f t="shared" si="1"/>
        <v/>
      </c>
      <c r="D46" s="42" t="str" cm="1">
        <f t="array" ref="D46">IFERROR(INDEX(Data_Input!$1:$100, 10, MATCH(1, (Data_Input!$7:$7=$F$3) * (Data_Input!$8:$8=$B46), 0)), "")</f>
        <v/>
      </c>
      <c r="E46" s="29" t="str" cm="1">
        <f t="array" ref="E46">IFERROR(INDEX(Data_Input!$1:$100, 9, MATCH(1, (Data_Input!$7:$7=$F$3) * (Data_Input!$8:$8=$B46), 0)),"")</f>
        <v/>
      </c>
      <c r="F46" s="20" t="str" cm="1">
        <f t="array" ref="F46">IFERROR(INDEX(Data_Input!$A$1:$ZZ$502, MATCH("플랜번호", INDEX(Data_Input!$A$1:$ZZ$502, 0, MATCH(1, (Data_Input!$7:$7="IRP")*(Data_Input!$8:$8=$B46), 0)), 0) + 1, MATCH(1, (Data_Input!$7:$7=$F$3)*(Data_Input!$8:$8=$B46), 0)),"")</f>
        <v/>
      </c>
      <c r="G46" s="20" t="str" cm="1">
        <f t="array" ref="G46">IFERROR(INDEX(Data_Input!$A$1:$ZZ$502, MATCH("플랜명", INDEX(Data_Input!$A$1:$ZZ$502, 0, MATCH(1, (Data_Input!$7:$7="IRP")*(Data_Input!$8:$8=$B46), 0)), 0) + 1, MATCH(1, (Data_Input!$7:$7=$F$3)*(Data_Input!$8:$8=$B46), 0)),"")</f>
        <v/>
      </c>
      <c r="H46" s="20" t="str" cm="1">
        <f t="array" ref="H46">IFERROR(INDEX(Data_Input!$A$1:$ZZ$502, MATCH("평가금액", INDEX(Data_Input!$A$1:$ZZ$502, 0, MATCH(1, (Data_Input!$7:$7="IRP")*(Data_Input!$8:$8=$B46), 0)), 0) + 1, MATCH(1, (Data_Input!$7:$7=$F$3)*(Data_Input!$8:$8=$B46), 0)),"")</f>
        <v/>
      </c>
      <c r="I46" s="20" t="str" cm="1">
        <f t="array" ref="I46">IFERROR(INDEX(Data_Input!$A$1:$ZZ$502, MATCH("평가손익", INDEX(Data_Input!$A$1:$ZZ$502, 0, MATCH(1, (Data_Input!$7:$7="IRP")*(Data_Input!$8:$8=$B46), 0)), 0) + 1, MATCH(1, (Data_Input!$7:$7=$F$3)*(Data_Input!$8:$8=$B46), 0)),"")</f>
        <v/>
      </c>
      <c r="J46" s="14" t="str" cm="1">
        <f t="array" ref="J46">IFERROR(INDEX(Data_Input!$A$1:$ZZ$502, MATCH("누적수익률", INDEX(Data_Input!$A$1:$ZZ$502, 0, MATCH(1, (Data_Input!$7:$7="IRP")*(Data_Input!$8:$8=$B46), 0)), 0) + 1, MATCH(1, (Data_Input!$7:$7=$F$3)*(Data_Input!$8:$8=$B46), 0))/100,"")</f>
        <v/>
      </c>
      <c r="K46" t="str" cm="1">
        <f t="array" ref="K46">IFERROR(_xlfn.LET(
    _xlpm.targetDate, B46,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47" spans="1:11" x14ac:dyDescent="0.3">
      <c r="A47" s="16" t="str">
        <f t="shared" si="0"/>
        <v/>
      </c>
      <c r="B47" s="19"/>
      <c r="C47" s="17" t="str">
        <f t="shared" si="1"/>
        <v/>
      </c>
      <c r="D47" s="42" t="str" cm="1">
        <f t="array" ref="D47">IFERROR(INDEX(Data_Input!$1:$100, 10, MATCH(1, (Data_Input!$7:$7=$F$3) * (Data_Input!$8:$8=$B47), 0)), "")</f>
        <v/>
      </c>
      <c r="E47" s="29" t="str" cm="1">
        <f t="array" ref="E47">IFERROR(INDEX(Data_Input!$1:$100, 9, MATCH(1, (Data_Input!$7:$7=$F$3) * (Data_Input!$8:$8=$B47), 0)),"")</f>
        <v/>
      </c>
      <c r="F47" s="20" t="str" cm="1">
        <f t="array" ref="F47">IFERROR(INDEX(Data_Input!$A$1:$ZZ$502, MATCH("플랜번호", INDEX(Data_Input!$A$1:$ZZ$502, 0, MATCH(1, (Data_Input!$7:$7="IRP")*(Data_Input!$8:$8=$B47), 0)), 0) + 1, MATCH(1, (Data_Input!$7:$7=$F$3)*(Data_Input!$8:$8=$B47), 0)),"")</f>
        <v/>
      </c>
      <c r="G47" s="20" t="str" cm="1">
        <f t="array" ref="G47">IFERROR(INDEX(Data_Input!$A$1:$ZZ$502, MATCH("플랜명", INDEX(Data_Input!$A$1:$ZZ$502, 0, MATCH(1, (Data_Input!$7:$7="IRP")*(Data_Input!$8:$8=$B47), 0)), 0) + 1, MATCH(1, (Data_Input!$7:$7=$F$3)*(Data_Input!$8:$8=$B47), 0)),"")</f>
        <v/>
      </c>
      <c r="H47" s="20" t="str" cm="1">
        <f t="array" ref="H47">IFERROR(INDEX(Data_Input!$A$1:$ZZ$502, MATCH("평가금액", INDEX(Data_Input!$A$1:$ZZ$502, 0, MATCH(1, (Data_Input!$7:$7="IRP")*(Data_Input!$8:$8=$B47), 0)), 0) + 1, MATCH(1, (Data_Input!$7:$7=$F$3)*(Data_Input!$8:$8=$B47), 0)),"")</f>
        <v/>
      </c>
      <c r="I47" s="20" t="str" cm="1">
        <f t="array" ref="I47">IFERROR(INDEX(Data_Input!$A$1:$ZZ$502, MATCH("평가손익", INDEX(Data_Input!$A$1:$ZZ$502, 0, MATCH(1, (Data_Input!$7:$7="IRP")*(Data_Input!$8:$8=$B47), 0)), 0) + 1, MATCH(1, (Data_Input!$7:$7=$F$3)*(Data_Input!$8:$8=$B47), 0)),"")</f>
        <v/>
      </c>
      <c r="J47" s="14" t="str" cm="1">
        <f t="array" ref="J47">IFERROR(INDEX(Data_Input!$A$1:$ZZ$502, MATCH("누적수익률", INDEX(Data_Input!$A$1:$ZZ$502, 0, MATCH(1, (Data_Input!$7:$7="IRP")*(Data_Input!$8:$8=$B47), 0)), 0) + 1, MATCH(1, (Data_Input!$7:$7=$F$3)*(Data_Input!$8:$8=$B47), 0))/100,"")</f>
        <v/>
      </c>
      <c r="K47" t="str" cm="1">
        <f t="array" ref="K47">IFERROR(_xlfn.LET(
    _xlpm.targetDate, B47,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48" spans="1:11" x14ac:dyDescent="0.3">
      <c r="A48" s="16" t="str">
        <f t="shared" si="0"/>
        <v/>
      </c>
      <c r="B48" s="19"/>
      <c r="C48" s="17" t="str">
        <f t="shared" si="1"/>
        <v/>
      </c>
      <c r="D48" s="42" t="str" cm="1">
        <f t="array" ref="D48">IFERROR(INDEX(Data_Input!$1:$100, 10, MATCH(1, (Data_Input!$7:$7=$F$3) * (Data_Input!$8:$8=$B48), 0)), "")</f>
        <v/>
      </c>
      <c r="E48" s="29" t="str" cm="1">
        <f t="array" ref="E48">IFERROR(INDEX(Data_Input!$1:$100, 9, MATCH(1, (Data_Input!$7:$7=$F$3) * (Data_Input!$8:$8=$B48), 0)),"")</f>
        <v/>
      </c>
      <c r="F48" s="20" t="str" cm="1">
        <f t="array" ref="F48">IFERROR(INDEX(Data_Input!$A$1:$ZZ$502, MATCH("플랜번호", INDEX(Data_Input!$A$1:$ZZ$502, 0, MATCH(1, (Data_Input!$7:$7="IRP")*(Data_Input!$8:$8=$B48), 0)), 0) + 1, MATCH(1, (Data_Input!$7:$7=$F$3)*(Data_Input!$8:$8=$B48), 0)),"")</f>
        <v/>
      </c>
      <c r="G48" s="20" t="str" cm="1">
        <f t="array" ref="G48">IFERROR(INDEX(Data_Input!$A$1:$ZZ$502, MATCH("플랜명", INDEX(Data_Input!$A$1:$ZZ$502, 0, MATCH(1, (Data_Input!$7:$7="IRP")*(Data_Input!$8:$8=$B48), 0)), 0) + 1, MATCH(1, (Data_Input!$7:$7=$F$3)*(Data_Input!$8:$8=$B48), 0)),"")</f>
        <v/>
      </c>
      <c r="H48" s="20" t="str" cm="1">
        <f t="array" ref="H48">IFERROR(INDEX(Data_Input!$A$1:$ZZ$502, MATCH("평가금액", INDEX(Data_Input!$A$1:$ZZ$502, 0, MATCH(1, (Data_Input!$7:$7="IRP")*(Data_Input!$8:$8=$B48), 0)), 0) + 1, MATCH(1, (Data_Input!$7:$7=$F$3)*(Data_Input!$8:$8=$B48), 0)),"")</f>
        <v/>
      </c>
      <c r="I48" s="20" t="str" cm="1">
        <f t="array" ref="I48">IFERROR(INDEX(Data_Input!$A$1:$ZZ$502, MATCH("평가손익", INDEX(Data_Input!$A$1:$ZZ$502, 0, MATCH(1, (Data_Input!$7:$7="IRP")*(Data_Input!$8:$8=$B48), 0)), 0) + 1, MATCH(1, (Data_Input!$7:$7=$F$3)*(Data_Input!$8:$8=$B48), 0)),"")</f>
        <v/>
      </c>
      <c r="J48" s="14" t="str" cm="1">
        <f t="array" ref="J48">IFERROR(INDEX(Data_Input!$A$1:$ZZ$502, MATCH("누적수익률", INDEX(Data_Input!$A$1:$ZZ$502, 0, MATCH(1, (Data_Input!$7:$7="IRP")*(Data_Input!$8:$8=$B48), 0)), 0) + 1, MATCH(1, (Data_Input!$7:$7=$F$3)*(Data_Input!$8:$8=$B48), 0))/100,"")</f>
        <v/>
      </c>
      <c r="K48" t="str" cm="1">
        <f t="array" ref="K48">IFERROR(_xlfn.LET(
    _xlpm.targetDate, B48,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49" spans="1:11" x14ac:dyDescent="0.3">
      <c r="A49" s="16" t="str">
        <f t="shared" si="0"/>
        <v/>
      </c>
      <c r="B49" s="19"/>
      <c r="C49" s="17" t="str">
        <f t="shared" si="1"/>
        <v/>
      </c>
      <c r="D49" s="42" t="str" cm="1">
        <f t="array" ref="D49">IFERROR(INDEX(Data_Input!$1:$100, 10, MATCH(1, (Data_Input!$7:$7=$F$3) * (Data_Input!$8:$8=$B49), 0)), "")</f>
        <v/>
      </c>
      <c r="E49" s="29" t="str" cm="1">
        <f t="array" ref="E49">IFERROR(INDEX(Data_Input!$1:$100, 9, MATCH(1, (Data_Input!$7:$7=$F$3) * (Data_Input!$8:$8=$B49), 0)),"")</f>
        <v/>
      </c>
      <c r="F49" s="20" t="str" cm="1">
        <f t="array" ref="F49">IFERROR(INDEX(Data_Input!$A$1:$ZZ$502, MATCH("플랜번호", INDEX(Data_Input!$A$1:$ZZ$502, 0, MATCH(1, (Data_Input!$7:$7="IRP")*(Data_Input!$8:$8=$B49), 0)), 0) + 1, MATCH(1, (Data_Input!$7:$7=$F$3)*(Data_Input!$8:$8=$B49), 0)),"")</f>
        <v/>
      </c>
      <c r="G49" s="20" t="str" cm="1">
        <f t="array" ref="G49">IFERROR(INDEX(Data_Input!$A$1:$ZZ$502, MATCH("플랜명", INDEX(Data_Input!$A$1:$ZZ$502, 0, MATCH(1, (Data_Input!$7:$7="IRP")*(Data_Input!$8:$8=$B49), 0)), 0) + 1, MATCH(1, (Data_Input!$7:$7=$F$3)*(Data_Input!$8:$8=$B49), 0)),"")</f>
        <v/>
      </c>
      <c r="H49" s="20" t="str" cm="1">
        <f t="array" ref="H49">IFERROR(INDEX(Data_Input!$A$1:$ZZ$502, MATCH("평가금액", INDEX(Data_Input!$A$1:$ZZ$502, 0, MATCH(1, (Data_Input!$7:$7="IRP")*(Data_Input!$8:$8=$B49), 0)), 0) + 1, MATCH(1, (Data_Input!$7:$7=$F$3)*(Data_Input!$8:$8=$B49), 0)),"")</f>
        <v/>
      </c>
      <c r="I49" s="20" t="str" cm="1">
        <f t="array" ref="I49">IFERROR(INDEX(Data_Input!$A$1:$ZZ$502, MATCH("평가손익", INDEX(Data_Input!$A$1:$ZZ$502, 0, MATCH(1, (Data_Input!$7:$7="IRP")*(Data_Input!$8:$8=$B49), 0)), 0) + 1, MATCH(1, (Data_Input!$7:$7=$F$3)*(Data_Input!$8:$8=$B49), 0)),"")</f>
        <v/>
      </c>
      <c r="J49" s="14" t="str" cm="1">
        <f t="array" ref="J49">IFERROR(INDEX(Data_Input!$A$1:$ZZ$502, MATCH("누적수익률", INDEX(Data_Input!$A$1:$ZZ$502, 0, MATCH(1, (Data_Input!$7:$7="IRP")*(Data_Input!$8:$8=$B49), 0)), 0) + 1, MATCH(1, (Data_Input!$7:$7=$F$3)*(Data_Input!$8:$8=$B49), 0))/100,"")</f>
        <v/>
      </c>
      <c r="K49" t="str" cm="1">
        <f t="array" ref="K49">IFERROR(_xlfn.LET(
    _xlpm.targetDate, B49,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50" spans="1:11" x14ac:dyDescent="0.3">
      <c r="A50" s="16" t="str">
        <f t="shared" si="0"/>
        <v/>
      </c>
      <c r="B50" s="19"/>
      <c r="C50" s="17" t="str">
        <f t="shared" si="1"/>
        <v/>
      </c>
      <c r="D50" s="42" t="str" cm="1">
        <f t="array" ref="D50">IFERROR(INDEX(Data_Input!$1:$100, 10, MATCH(1, (Data_Input!$7:$7=$F$3) * (Data_Input!$8:$8=$B50), 0)), "")</f>
        <v/>
      </c>
      <c r="E50" s="29" t="str" cm="1">
        <f t="array" ref="E50">IFERROR(INDEX(Data_Input!$1:$100, 9, MATCH(1, (Data_Input!$7:$7=$F$3) * (Data_Input!$8:$8=$B50), 0)),"")</f>
        <v/>
      </c>
      <c r="F50" s="20" t="str" cm="1">
        <f t="array" ref="F50">IFERROR(INDEX(Data_Input!$A$1:$ZZ$502, MATCH("플랜번호", INDEX(Data_Input!$A$1:$ZZ$502, 0, MATCH(1, (Data_Input!$7:$7="IRP")*(Data_Input!$8:$8=$B50), 0)), 0) + 1, MATCH(1, (Data_Input!$7:$7=$F$3)*(Data_Input!$8:$8=$B50), 0)),"")</f>
        <v/>
      </c>
      <c r="G50" s="20" t="str" cm="1">
        <f t="array" ref="G50">IFERROR(INDEX(Data_Input!$A$1:$ZZ$502, MATCH("플랜명", INDEX(Data_Input!$A$1:$ZZ$502, 0, MATCH(1, (Data_Input!$7:$7="IRP")*(Data_Input!$8:$8=$B50), 0)), 0) + 1, MATCH(1, (Data_Input!$7:$7=$F$3)*(Data_Input!$8:$8=$B50), 0)),"")</f>
        <v/>
      </c>
      <c r="H50" s="20" t="str" cm="1">
        <f t="array" ref="H50">IFERROR(INDEX(Data_Input!$A$1:$ZZ$502, MATCH("평가금액", INDEX(Data_Input!$A$1:$ZZ$502, 0, MATCH(1, (Data_Input!$7:$7="IRP")*(Data_Input!$8:$8=$B50), 0)), 0) + 1, MATCH(1, (Data_Input!$7:$7=$F$3)*(Data_Input!$8:$8=$B50), 0)),"")</f>
        <v/>
      </c>
      <c r="I50" s="20" t="str" cm="1">
        <f t="array" ref="I50">IFERROR(INDEX(Data_Input!$A$1:$ZZ$502, MATCH("평가손익", INDEX(Data_Input!$A$1:$ZZ$502, 0, MATCH(1, (Data_Input!$7:$7="IRP")*(Data_Input!$8:$8=$B50), 0)), 0) + 1, MATCH(1, (Data_Input!$7:$7=$F$3)*(Data_Input!$8:$8=$B50), 0)),"")</f>
        <v/>
      </c>
      <c r="J50" s="14" t="str" cm="1">
        <f t="array" ref="J50">IFERROR(INDEX(Data_Input!$A$1:$ZZ$502, MATCH("누적수익률", INDEX(Data_Input!$A$1:$ZZ$502, 0, MATCH(1, (Data_Input!$7:$7="IRP")*(Data_Input!$8:$8=$B50), 0)), 0) + 1, MATCH(1, (Data_Input!$7:$7=$F$3)*(Data_Input!$8:$8=$B50), 0))/100,"")</f>
        <v/>
      </c>
      <c r="K50" t="str" cm="1">
        <f t="array" ref="K50">IFERROR(_xlfn.LET(
    _xlpm.targetDate, B50,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51" spans="1:11" x14ac:dyDescent="0.3">
      <c r="A51" s="16" t="str">
        <f t="shared" si="0"/>
        <v/>
      </c>
      <c r="B51" s="19"/>
      <c r="C51" s="17" t="str">
        <f t="shared" si="1"/>
        <v/>
      </c>
      <c r="D51" s="42" t="str" cm="1">
        <f t="array" ref="D51">IFERROR(INDEX(Data_Input!$1:$100, 10, MATCH(1, (Data_Input!$7:$7=$F$3) * (Data_Input!$8:$8=$B51), 0)), "")</f>
        <v/>
      </c>
      <c r="E51" s="29" t="str" cm="1">
        <f t="array" ref="E51">IFERROR(INDEX(Data_Input!$1:$100, 9, MATCH(1, (Data_Input!$7:$7=$F$3) * (Data_Input!$8:$8=$B51), 0)),"")</f>
        <v/>
      </c>
      <c r="F51" s="20" t="str" cm="1">
        <f t="array" ref="F51">IFERROR(INDEX(Data_Input!$A$1:$ZZ$502, MATCH("플랜번호", INDEX(Data_Input!$A$1:$ZZ$502, 0, MATCH(1, (Data_Input!$7:$7="IRP")*(Data_Input!$8:$8=$B51), 0)), 0) + 1, MATCH(1, (Data_Input!$7:$7=$F$3)*(Data_Input!$8:$8=$B51), 0)),"")</f>
        <v/>
      </c>
      <c r="G51" s="20" t="str" cm="1">
        <f t="array" ref="G51">IFERROR(INDEX(Data_Input!$A$1:$ZZ$502, MATCH("플랜명", INDEX(Data_Input!$A$1:$ZZ$502, 0, MATCH(1, (Data_Input!$7:$7="IRP")*(Data_Input!$8:$8=$B51), 0)), 0) + 1, MATCH(1, (Data_Input!$7:$7=$F$3)*(Data_Input!$8:$8=$B51), 0)),"")</f>
        <v/>
      </c>
      <c r="H51" s="20" t="str" cm="1">
        <f t="array" ref="H51">IFERROR(INDEX(Data_Input!$A$1:$ZZ$502, MATCH("평가금액", INDEX(Data_Input!$A$1:$ZZ$502, 0, MATCH(1, (Data_Input!$7:$7="IRP")*(Data_Input!$8:$8=$B51), 0)), 0) + 1, MATCH(1, (Data_Input!$7:$7=$F$3)*(Data_Input!$8:$8=$B51), 0)),"")</f>
        <v/>
      </c>
      <c r="I51" s="20" t="str" cm="1">
        <f t="array" ref="I51">IFERROR(INDEX(Data_Input!$A$1:$ZZ$502, MATCH("평가손익", INDEX(Data_Input!$A$1:$ZZ$502, 0, MATCH(1, (Data_Input!$7:$7="IRP")*(Data_Input!$8:$8=$B51), 0)), 0) + 1, MATCH(1, (Data_Input!$7:$7=$F$3)*(Data_Input!$8:$8=$B51), 0)),"")</f>
        <v/>
      </c>
      <c r="J51" s="14" t="str" cm="1">
        <f t="array" ref="J51">IFERROR(INDEX(Data_Input!$A$1:$ZZ$502, MATCH("누적수익률", INDEX(Data_Input!$A$1:$ZZ$502, 0, MATCH(1, (Data_Input!$7:$7="IRP")*(Data_Input!$8:$8=$B51), 0)), 0) + 1, MATCH(1, (Data_Input!$7:$7=$F$3)*(Data_Input!$8:$8=$B51), 0))/100,"")</f>
        <v/>
      </c>
      <c r="K51" t="str" cm="1">
        <f t="array" ref="K51">IFERROR(_xlfn.LET(
    _xlpm.targetDate, B51,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52" spans="1:11" x14ac:dyDescent="0.3">
      <c r="A52" s="16" t="str">
        <f t="shared" si="0"/>
        <v/>
      </c>
      <c r="B52" s="19"/>
      <c r="C52" s="17" t="str">
        <f t="shared" si="1"/>
        <v/>
      </c>
      <c r="D52" s="42" t="str" cm="1">
        <f t="array" ref="D52">IFERROR(INDEX(Data_Input!$1:$100, 10, MATCH(1, (Data_Input!$7:$7=$F$3) * (Data_Input!$8:$8=$B52), 0)), "")</f>
        <v/>
      </c>
      <c r="E52" s="29" t="str" cm="1">
        <f t="array" ref="E52">IFERROR(INDEX(Data_Input!$1:$100, 9, MATCH(1, (Data_Input!$7:$7=$F$3) * (Data_Input!$8:$8=$B52), 0)),"")</f>
        <v/>
      </c>
      <c r="F52" s="20" t="str" cm="1">
        <f t="array" ref="F52">IFERROR(INDEX(Data_Input!$A$1:$ZZ$502, MATCH("플랜번호", INDEX(Data_Input!$A$1:$ZZ$502, 0, MATCH(1, (Data_Input!$7:$7="IRP")*(Data_Input!$8:$8=$B52), 0)), 0) + 1, MATCH(1, (Data_Input!$7:$7=$F$3)*(Data_Input!$8:$8=$B52), 0)),"")</f>
        <v/>
      </c>
      <c r="G52" s="20" t="str" cm="1">
        <f t="array" ref="G52">IFERROR(INDEX(Data_Input!$A$1:$ZZ$502, MATCH("플랜명", INDEX(Data_Input!$A$1:$ZZ$502, 0, MATCH(1, (Data_Input!$7:$7="IRP")*(Data_Input!$8:$8=$B52), 0)), 0) + 1, MATCH(1, (Data_Input!$7:$7=$F$3)*(Data_Input!$8:$8=$B52), 0)),"")</f>
        <v/>
      </c>
      <c r="H52" s="20" t="str" cm="1">
        <f t="array" ref="H52">IFERROR(INDEX(Data_Input!$A$1:$ZZ$502, MATCH("평가금액", INDEX(Data_Input!$A$1:$ZZ$502, 0, MATCH(1, (Data_Input!$7:$7="IRP")*(Data_Input!$8:$8=$B52), 0)), 0) + 1, MATCH(1, (Data_Input!$7:$7=$F$3)*(Data_Input!$8:$8=$B52), 0)),"")</f>
        <v/>
      </c>
      <c r="I52" s="20" t="str" cm="1">
        <f t="array" ref="I52">IFERROR(INDEX(Data_Input!$A$1:$ZZ$502, MATCH("평가손익", INDEX(Data_Input!$A$1:$ZZ$502, 0, MATCH(1, (Data_Input!$7:$7="IRP")*(Data_Input!$8:$8=$B52), 0)), 0) + 1, MATCH(1, (Data_Input!$7:$7=$F$3)*(Data_Input!$8:$8=$B52), 0)),"")</f>
        <v/>
      </c>
      <c r="J52" s="14" t="str" cm="1">
        <f t="array" ref="J52">IFERROR(INDEX(Data_Input!$A$1:$ZZ$502, MATCH("누적수익률", INDEX(Data_Input!$A$1:$ZZ$502, 0, MATCH(1, (Data_Input!$7:$7="IRP")*(Data_Input!$8:$8=$B52), 0)), 0) + 1, MATCH(1, (Data_Input!$7:$7=$F$3)*(Data_Input!$8:$8=$B52), 0))/100,"")</f>
        <v/>
      </c>
      <c r="K52" t="str" cm="1">
        <f t="array" ref="K52">IFERROR(_xlfn.LET(
    _xlpm.targetDate, B52,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53" spans="1:11" x14ac:dyDescent="0.3">
      <c r="A53" s="16" t="str">
        <f t="shared" si="0"/>
        <v/>
      </c>
      <c r="B53" s="19"/>
      <c r="C53" s="17" t="str">
        <f t="shared" si="1"/>
        <v/>
      </c>
      <c r="D53" s="42" t="str" cm="1">
        <f t="array" ref="D53">IFERROR(INDEX(Data_Input!$1:$100, 10, MATCH(1, (Data_Input!$7:$7=$F$3) * (Data_Input!$8:$8=$B53), 0)), "")</f>
        <v/>
      </c>
      <c r="E53" s="29" t="str" cm="1">
        <f t="array" ref="E53">IFERROR(INDEX(Data_Input!$1:$100, 9, MATCH(1, (Data_Input!$7:$7=$F$3) * (Data_Input!$8:$8=$B53), 0)),"")</f>
        <v/>
      </c>
      <c r="F53" s="20" t="str" cm="1">
        <f t="array" ref="F53">IFERROR(INDEX(Data_Input!$A$1:$ZZ$502, MATCH("플랜번호", INDEX(Data_Input!$A$1:$ZZ$502, 0, MATCH(1, (Data_Input!$7:$7="IRP")*(Data_Input!$8:$8=$B53), 0)), 0) + 1, MATCH(1, (Data_Input!$7:$7=$F$3)*(Data_Input!$8:$8=$B53), 0)),"")</f>
        <v/>
      </c>
      <c r="G53" s="20" t="str" cm="1">
        <f t="array" ref="G53">IFERROR(INDEX(Data_Input!$A$1:$ZZ$502, MATCH("플랜명", INDEX(Data_Input!$A$1:$ZZ$502, 0, MATCH(1, (Data_Input!$7:$7="IRP")*(Data_Input!$8:$8=$B53), 0)), 0) + 1, MATCH(1, (Data_Input!$7:$7=$F$3)*(Data_Input!$8:$8=$B53), 0)),"")</f>
        <v/>
      </c>
      <c r="H53" s="20" t="str" cm="1">
        <f t="array" ref="H53">IFERROR(INDEX(Data_Input!$A$1:$ZZ$502, MATCH("평가금액", INDEX(Data_Input!$A$1:$ZZ$502, 0, MATCH(1, (Data_Input!$7:$7="IRP")*(Data_Input!$8:$8=$B53), 0)), 0) + 1, MATCH(1, (Data_Input!$7:$7=$F$3)*(Data_Input!$8:$8=$B53), 0)),"")</f>
        <v/>
      </c>
      <c r="I53" s="20" t="str" cm="1">
        <f t="array" ref="I53">IFERROR(INDEX(Data_Input!$A$1:$ZZ$502, MATCH("평가손익", INDEX(Data_Input!$A$1:$ZZ$502, 0, MATCH(1, (Data_Input!$7:$7="IRP")*(Data_Input!$8:$8=$B53), 0)), 0) + 1, MATCH(1, (Data_Input!$7:$7=$F$3)*(Data_Input!$8:$8=$B53), 0)),"")</f>
        <v/>
      </c>
      <c r="J53" s="14" t="str" cm="1">
        <f t="array" ref="J53">IFERROR(INDEX(Data_Input!$A$1:$ZZ$502, MATCH("누적수익률", INDEX(Data_Input!$A$1:$ZZ$502, 0, MATCH(1, (Data_Input!$7:$7="IRP")*(Data_Input!$8:$8=$B53), 0)), 0) + 1, MATCH(1, (Data_Input!$7:$7=$F$3)*(Data_Input!$8:$8=$B53), 0))/100,"")</f>
        <v/>
      </c>
      <c r="K53" t="str" cm="1">
        <f t="array" ref="K53">IFERROR(_xlfn.LET(
    _xlpm.targetDate, B53,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54" spans="1:11" x14ac:dyDescent="0.3">
      <c r="A54" s="16" t="str">
        <f t="shared" si="0"/>
        <v/>
      </c>
      <c r="B54" s="19"/>
      <c r="C54" s="17" t="str">
        <f t="shared" si="1"/>
        <v/>
      </c>
      <c r="D54" s="42" t="str" cm="1">
        <f t="array" ref="D54">IFERROR(INDEX(Data_Input!$1:$100, 10, MATCH(1, (Data_Input!$7:$7=$F$3) * (Data_Input!$8:$8=$B54), 0)), "")</f>
        <v/>
      </c>
      <c r="E54" s="29" t="str" cm="1">
        <f t="array" ref="E54">IFERROR(INDEX(Data_Input!$1:$100, 9, MATCH(1, (Data_Input!$7:$7=$F$3) * (Data_Input!$8:$8=$B54), 0)),"")</f>
        <v/>
      </c>
      <c r="F54" s="20" t="str" cm="1">
        <f t="array" ref="F54">IFERROR(INDEX(Data_Input!$A$1:$ZZ$502, MATCH("플랜번호", INDEX(Data_Input!$A$1:$ZZ$502, 0, MATCH(1, (Data_Input!$7:$7="IRP")*(Data_Input!$8:$8=$B54), 0)), 0) + 1, MATCH(1, (Data_Input!$7:$7=$F$3)*(Data_Input!$8:$8=$B54), 0)),"")</f>
        <v/>
      </c>
      <c r="G54" s="20" t="str" cm="1">
        <f t="array" ref="G54">IFERROR(INDEX(Data_Input!$A$1:$ZZ$502, MATCH("플랜명", INDEX(Data_Input!$A$1:$ZZ$502, 0, MATCH(1, (Data_Input!$7:$7="IRP")*(Data_Input!$8:$8=$B54), 0)), 0) + 1, MATCH(1, (Data_Input!$7:$7=$F$3)*(Data_Input!$8:$8=$B54), 0)),"")</f>
        <v/>
      </c>
      <c r="H54" s="20" t="str" cm="1">
        <f t="array" ref="H54">IFERROR(INDEX(Data_Input!$A$1:$ZZ$502, MATCH("평가금액", INDEX(Data_Input!$A$1:$ZZ$502, 0, MATCH(1, (Data_Input!$7:$7="IRP")*(Data_Input!$8:$8=$B54), 0)), 0) + 1, MATCH(1, (Data_Input!$7:$7=$F$3)*(Data_Input!$8:$8=$B54), 0)),"")</f>
        <v/>
      </c>
      <c r="I54" s="20" t="str" cm="1">
        <f t="array" ref="I54">IFERROR(INDEX(Data_Input!$A$1:$ZZ$502, MATCH("평가손익", INDEX(Data_Input!$A$1:$ZZ$502, 0, MATCH(1, (Data_Input!$7:$7="IRP")*(Data_Input!$8:$8=$B54), 0)), 0) + 1, MATCH(1, (Data_Input!$7:$7=$F$3)*(Data_Input!$8:$8=$B54), 0)),"")</f>
        <v/>
      </c>
      <c r="J54" s="14" t="str" cm="1">
        <f t="array" ref="J54">IFERROR(INDEX(Data_Input!$A$1:$ZZ$502, MATCH("누적수익률", INDEX(Data_Input!$A$1:$ZZ$502, 0, MATCH(1, (Data_Input!$7:$7="IRP")*(Data_Input!$8:$8=$B54), 0)), 0) + 1, MATCH(1, (Data_Input!$7:$7=$F$3)*(Data_Input!$8:$8=$B54), 0))/100,"")</f>
        <v/>
      </c>
      <c r="K54" t="str" cm="1">
        <f t="array" ref="K54">IFERROR(_xlfn.LET(
    _xlpm.targetDate, B54,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55" spans="1:11" x14ac:dyDescent="0.3">
      <c r="A55" s="16" t="str">
        <f t="shared" si="0"/>
        <v/>
      </c>
      <c r="B55" s="19"/>
      <c r="C55" s="17" t="str">
        <f t="shared" si="1"/>
        <v/>
      </c>
      <c r="D55" s="42" t="str" cm="1">
        <f t="array" ref="D55">IFERROR(INDEX(Data_Input!$1:$100, 10, MATCH(1, (Data_Input!$7:$7=$F$3) * (Data_Input!$8:$8=$B55), 0)), "")</f>
        <v/>
      </c>
      <c r="E55" s="29" t="str" cm="1">
        <f t="array" ref="E55">IFERROR(INDEX(Data_Input!$1:$100, 9, MATCH(1, (Data_Input!$7:$7=$F$3) * (Data_Input!$8:$8=$B55), 0)),"")</f>
        <v/>
      </c>
      <c r="F55" s="20" t="str" cm="1">
        <f t="array" ref="F55">IFERROR(INDEX(Data_Input!$A$1:$ZZ$502, MATCH("플랜번호", INDEX(Data_Input!$A$1:$ZZ$502, 0, MATCH(1, (Data_Input!$7:$7="IRP")*(Data_Input!$8:$8=$B55), 0)), 0) + 1, MATCH(1, (Data_Input!$7:$7=$F$3)*(Data_Input!$8:$8=$B55), 0)),"")</f>
        <v/>
      </c>
      <c r="G55" s="20" t="str" cm="1">
        <f t="array" ref="G55">IFERROR(INDEX(Data_Input!$A$1:$ZZ$502, MATCH("플랜명", INDEX(Data_Input!$A$1:$ZZ$502, 0, MATCH(1, (Data_Input!$7:$7="IRP")*(Data_Input!$8:$8=$B55), 0)), 0) + 1, MATCH(1, (Data_Input!$7:$7=$F$3)*(Data_Input!$8:$8=$B55), 0)),"")</f>
        <v/>
      </c>
      <c r="H55" s="20" t="str" cm="1">
        <f t="array" ref="H55">IFERROR(INDEX(Data_Input!$A$1:$ZZ$502, MATCH("평가금액", INDEX(Data_Input!$A$1:$ZZ$502, 0, MATCH(1, (Data_Input!$7:$7="IRP")*(Data_Input!$8:$8=$B55), 0)), 0) + 1, MATCH(1, (Data_Input!$7:$7=$F$3)*(Data_Input!$8:$8=$B55), 0)),"")</f>
        <v/>
      </c>
      <c r="I55" s="20" t="str" cm="1">
        <f t="array" ref="I55">IFERROR(INDEX(Data_Input!$A$1:$ZZ$502, MATCH("평가손익", INDEX(Data_Input!$A$1:$ZZ$502, 0, MATCH(1, (Data_Input!$7:$7="IRP")*(Data_Input!$8:$8=$B55), 0)), 0) + 1, MATCH(1, (Data_Input!$7:$7=$F$3)*(Data_Input!$8:$8=$B55), 0)),"")</f>
        <v/>
      </c>
      <c r="J55" s="14" t="str" cm="1">
        <f t="array" ref="J55">IFERROR(INDEX(Data_Input!$A$1:$ZZ$502, MATCH("누적수익률", INDEX(Data_Input!$A$1:$ZZ$502, 0, MATCH(1, (Data_Input!$7:$7="IRP")*(Data_Input!$8:$8=$B55), 0)), 0) + 1, MATCH(1, (Data_Input!$7:$7=$F$3)*(Data_Input!$8:$8=$B55), 0))/100,"")</f>
        <v/>
      </c>
      <c r="K55" t="str" cm="1">
        <f t="array" ref="K55">IFERROR(_xlfn.LET(
    _xlpm.targetDate, B55,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56" spans="1:11" x14ac:dyDescent="0.3">
      <c r="A56" s="16" t="str">
        <f t="shared" si="0"/>
        <v/>
      </c>
      <c r="B56" s="19"/>
      <c r="C56" s="17" t="str">
        <f t="shared" si="1"/>
        <v/>
      </c>
      <c r="D56" s="42" t="str" cm="1">
        <f t="array" ref="D56">IFERROR(INDEX(Data_Input!$1:$100, 10, MATCH(1, (Data_Input!$7:$7=$F$3) * (Data_Input!$8:$8=$B56), 0)), "")</f>
        <v/>
      </c>
      <c r="E56" s="29" t="str" cm="1">
        <f t="array" ref="E56">IFERROR(INDEX(Data_Input!$1:$100, 9, MATCH(1, (Data_Input!$7:$7=$F$3) * (Data_Input!$8:$8=$B56), 0)),"")</f>
        <v/>
      </c>
      <c r="F56" s="20" t="str" cm="1">
        <f t="array" ref="F56">IFERROR(INDEX(Data_Input!$A$1:$ZZ$502, MATCH("플랜번호", INDEX(Data_Input!$A$1:$ZZ$502, 0, MATCH(1, (Data_Input!$7:$7="IRP")*(Data_Input!$8:$8=$B56), 0)), 0) + 1, MATCH(1, (Data_Input!$7:$7=$F$3)*(Data_Input!$8:$8=$B56), 0)),"")</f>
        <v/>
      </c>
      <c r="G56" s="20" t="str" cm="1">
        <f t="array" ref="G56">IFERROR(INDEX(Data_Input!$A$1:$ZZ$502, MATCH("플랜명", INDEX(Data_Input!$A$1:$ZZ$502, 0, MATCH(1, (Data_Input!$7:$7="IRP")*(Data_Input!$8:$8=$B56), 0)), 0) + 1, MATCH(1, (Data_Input!$7:$7=$F$3)*(Data_Input!$8:$8=$B56), 0)),"")</f>
        <v/>
      </c>
      <c r="H56" s="20" t="str" cm="1">
        <f t="array" ref="H56">IFERROR(INDEX(Data_Input!$A$1:$ZZ$502, MATCH("평가금액", INDEX(Data_Input!$A$1:$ZZ$502, 0, MATCH(1, (Data_Input!$7:$7="IRP")*(Data_Input!$8:$8=$B56), 0)), 0) + 1, MATCH(1, (Data_Input!$7:$7=$F$3)*(Data_Input!$8:$8=$B56), 0)),"")</f>
        <v/>
      </c>
      <c r="I56" s="20" t="str" cm="1">
        <f t="array" ref="I56">IFERROR(INDEX(Data_Input!$A$1:$ZZ$502, MATCH("평가손익", INDEX(Data_Input!$A$1:$ZZ$502, 0, MATCH(1, (Data_Input!$7:$7="IRP")*(Data_Input!$8:$8=$B56), 0)), 0) + 1, MATCH(1, (Data_Input!$7:$7=$F$3)*(Data_Input!$8:$8=$B56), 0)),"")</f>
        <v/>
      </c>
      <c r="J56" s="14" t="str" cm="1">
        <f t="array" ref="J56">IFERROR(INDEX(Data_Input!$A$1:$ZZ$502, MATCH("누적수익률", INDEX(Data_Input!$A$1:$ZZ$502, 0, MATCH(1, (Data_Input!$7:$7="IRP")*(Data_Input!$8:$8=$B56), 0)), 0) + 1, MATCH(1, (Data_Input!$7:$7=$F$3)*(Data_Input!$8:$8=$B56), 0))/100,"")</f>
        <v/>
      </c>
      <c r="K56" t="str" cm="1">
        <f t="array" ref="K56">IFERROR(_xlfn.LET(
    _xlpm.targetDate, B56,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57" spans="1:11" x14ac:dyDescent="0.3">
      <c r="A57" s="16" t="str">
        <f t="shared" si="0"/>
        <v/>
      </c>
      <c r="B57" s="19"/>
      <c r="C57" s="17" t="str">
        <f t="shared" si="1"/>
        <v/>
      </c>
      <c r="D57" s="42" t="str" cm="1">
        <f t="array" ref="D57">IFERROR(INDEX(Data_Input!$1:$100, 10, MATCH(1, (Data_Input!$7:$7=$F$3) * (Data_Input!$8:$8=$B57), 0)), "")</f>
        <v/>
      </c>
      <c r="E57" s="29" t="str" cm="1">
        <f t="array" ref="E57">IFERROR(INDEX(Data_Input!$1:$100, 9, MATCH(1, (Data_Input!$7:$7=$F$3) * (Data_Input!$8:$8=$B57), 0)),"")</f>
        <v/>
      </c>
      <c r="F57" s="20" t="str" cm="1">
        <f t="array" ref="F57">IFERROR(INDEX(Data_Input!$A$1:$ZZ$502, MATCH("플랜번호", INDEX(Data_Input!$A$1:$ZZ$502, 0, MATCH(1, (Data_Input!$7:$7="IRP")*(Data_Input!$8:$8=$B57), 0)), 0) + 1, MATCH(1, (Data_Input!$7:$7=$F$3)*(Data_Input!$8:$8=$B57), 0)),"")</f>
        <v/>
      </c>
      <c r="G57" s="20" t="str" cm="1">
        <f t="array" ref="G57">IFERROR(INDEX(Data_Input!$A$1:$ZZ$502, MATCH("플랜명", INDEX(Data_Input!$A$1:$ZZ$502, 0, MATCH(1, (Data_Input!$7:$7="IRP")*(Data_Input!$8:$8=$B57), 0)), 0) + 1, MATCH(1, (Data_Input!$7:$7=$F$3)*(Data_Input!$8:$8=$B57), 0)),"")</f>
        <v/>
      </c>
      <c r="H57" s="20" t="str" cm="1">
        <f t="array" ref="H57">IFERROR(INDEX(Data_Input!$A$1:$ZZ$502, MATCH("평가금액", INDEX(Data_Input!$A$1:$ZZ$502, 0, MATCH(1, (Data_Input!$7:$7="IRP")*(Data_Input!$8:$8=$B57), 0)), 0) + 1, MATCH(1, (Data_Input!$7:$7=$F$3)*(Data_Input!$8:$8=$B57), 0)),"")</f>
        <v/>
      </c>
      <c r="I57" s="20" t="str" cm="1">
        <f t="array" ref="I57">IFERROR(INDEX(Data_Input!$A$1:$ZZ$502, MATCH("평가손익", INDEX(Data_Input!$A$1:$ZZ$502, 0, MATCH(1, (Data_Input!$7:$7="IRP")*(Data_Input!$8:$8=$B57), 0)), 0) + 1, MATCH(1, (Data_Input!$7:$7=$F$3)*(Data_Input!$8:$8=$B57), 0)),"")</f>
        <v/>
      </c>
      <c r="J57" s="14" t="str" cm="1">
        <f t="array" ref="J57">IFERROR(INDEX(Data_Input!$A$1:$ZZ$502, MATCH("누적수익률", INDEX(Data_Input!$A$1:$ZZ$502, 0, MATCH(1, (Data_Input!$7:$7="IRP")*(Data_Input!$8:$8=$B57), 0)), 0) + 1, MATCH(1, (Data_Input!$7:$7=$F$3)*(Data_Input!$8:$8=$B57), 0))/100,"")</f>
        <v/>
      </c>
      <c r="K57" t="str" cm="1">
        <f t="array" ref="K57">IFERROR(_xlfn.LET(
    _xlpm.targetDate, B57,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58" spans="1:11" x14ac:dyDescent="0.3">
      <c r="A58" s="16" t="str">
        <f t="shared" si="0"/>
        <v/>
      </c>
      <c r="B58" s="19"/>
      <c r="C58" s="17" t="str">
        <f t="shared" si="1"/>
        <v/>
      </c>
      <c r="D58" s="42" t="str" cm="1">
        <f t="array" ref="D58">IFERROR(INDEX(Data_Input!$1:$100, 10, MATCH(1, (Data_Input!$7:$7=$F$3) * (Data_Input!$8:$8=$B58), 0)), "")</f>
        <v/>
      </c>
      <c r="E58" s="29" t="str" cm="1">
        <f t="array" ref="E58">IFERROR(INDEX(Data_Input!$1:$100, 9, MATCH(1, (Data_Input!$7:$7=$F$3) * (Data_Input!$8:$8=$B58), 0)),"")</f>
        <v/>
      </c>
      <c r="F58" s="20" t="str" cm="1">
        <f t="array" ref="F58">IFERROR(INDEX(Data_Input!$A$1:$ZZ$502, MATCH("플랜번호", INDEX(Data_Input!$A$1:$ZZ$502, 0, MATCH(1, (Data_Input!$7:$7="IRP")*(Data_Input!$8:$8=$B58), 0)), 0) + 1, MATCH(1, (Data_Input!$7:$7=$F$3)*(Data_Input!$8:$8=$B58), 0)),"")</f>
        <v/>
      </c>
      <c r="G58" s="20" t="str" cm="1">
        <f t="array" ref="G58">IFERROR(INDEX(Data_Input!$A$1:$ZZ$502, MATCH("플랜명", INDEX(Data_Input!$A$1:$ZZ$502, 0, MATCH(1, (Data_Input!$7:$7="IRP")*(Data_Input!$8:$8=$B58), 0)), 0) + 1, MATCH(1, (Data_Input!$7:$7=$F$3)*(Data_Input!$8:$8=$B58), 0)),"")</f>
        <v/>
      </c>
      <c r="H58" s="20" t="str" cm="1">
        <f t="array" ref="H58">IFERROR(INDEX(Data_Input!$A$1:$ZZ$502, MATCH("평가금액", INDEX(Data_Input!$A$1:$ZZ$502, 0, MATCH(1, (Data_Input!$7:$7="IRP")*(Data_Input!$8:$8=$B58), 0)), 0) + 1, MATCH(1, (Data_Input!$7:$7=$F$3)*(Data_Input!$8:$8=$B58), 0)),"")</f>
        <v/>
      </c>
      <c r="I58" s="20" t="str" cm="1">
        <f t="array" ref="I58">IFERROR(INDEX(Data_Input!$A$1:$ZZ$502, MATCH("평가손익", INDEX(Data_Input!$A$1:$ZZ$502, 0, MATCH(1, (Data_Input!$7:$7="IRP")*(Data_Input!$8:$8=$B58), 0)), 0) + 1, MATCH(1, (Data_Input!$7:$7=$F$3)*(Data_Input!$8:$8=$B58), 0)),"")</f>
        <v/>
      </c>
      <c r="J58" s="14" t="str" cm="1">
        <f t="array" ref="J58">IFERROR(INDEX(Data_Input!$A$1:$ZZ$502, MATCH("누적수익률", INDEX(Data_Input!$A$1:$ZZ$502, 0, MATCH(1, (Data_Input!$7:$7="IRP")*(Data_Input!$8:$8=$B58), 0)), 0) + 1, MATCH(1, (Data_Input!$7:$7=$F$3)*(Data_Input!$8:$8=$B58), 0))/100,"")</f>
        <v/>
      </c>
      <c r="K58" t="str" cm="1">
        <f t="array" ref="K58">IFERROR(_xlfn.LET(
    _xlpm.targetDate, B58,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59" spans="1:11" x14ac:dyDescent="0.3">
      <c r="A59" s="16" t="str">
        <f t="shared" si="0"/>
        <v/>
      </c>
      <c r="B59" s="19"/>
      <c r="C59" s="17" t="str">
        <f t="shared" si="1"/>
        <v/>
      </c>
      <c r="D59" s="42" t="str" cm="1">
        <f t="array" ref="D59">IFERROR(INDEX(Data_Input!$1:$100, 10, MATCH(1, (Data_Input!$7:$7=$F$3) * (Data_Input!$8:$8=$B59), 0)), "")</f>
        <v/>
      </c>
      <c r="E59" s="29" t="str" cm="1">
        <f t="array" ref="E59">IFERROR(INDEX(Data_Input!$1:$100, 9, MATCH(1, (Data_Input!$7:$7=$F$3) * (Data_Input!$8:$8=$B59), 0)),"")</f>
        <v/>
      </c>
      <c r="F59" s="20" t="str" cm="1">
        <f t="array" ref="F59">IFERROR(INDEX(Data_Input!$A$1:$ZZ$502, MATCH("플랜번호", INDEX(Data_Input!$A$1:$ZZ$502, 0, MATCH(1, (Data_Input!$7:$7="IRP")*(Data_Input!$8:$8=$B59), 0)), 0) + 1, MATCH(1, (Data_Input!$7:$7=$F$3)*(Data_Input!$8:$8=$B59), 0)),"")</f>
        <v/>
      </c>
      <c r="G59" s="20" t="str" cm="1">
        <f t="array" ref="G59">IFERROR(INDEX(Data_Input!$A$1:$ZZ$502, MATCH("플랜명", INDEX(Data_Input!$A$1:$ZZ$502, 0, MATCH(1, (Data_Input!$7:$7="IRP")*(Data_Input!$8:$8=$B59), 0)), 0) + 1, MATCH(1, (Data_Input!$7:$7=$F$3)*(Data_Input!$8:$8=$B59), 0)),"")</f>
        <v/>
      </c>
      <c r="H59" s="20" t="str" cm="1">
        <f t="array" ref="H59">IFERROR(INDEX(Data_Input!$A$1:$ZZ$502, MATCH("평가금액", INDEX(Data_Input!$A$1:$ZZ$502, 0, MATCH(1, (Data_Input!$7:$7="IRP")*(Data_Input!$8:$8=$B59), 0)), 0) + 1, MATCH(1, (Data_Input!$7:$7=$F$3)*(Data_Input!$8:$8=$B59), 0)),"")</f>
        <v/>
      </c>
      <c r="I59" s="20" t="str" cm="1">
        <f t="array" ref="I59">IFERROR(INDEX(Data_Input!$A$1:$ZZ$502, MATCH("평가손익", INDEX(Data_Input!$A$1:$ZZ$502, 0, MATCH(1, (Data_Input!$7:$7="IRP")*(Data_Input!$8:$8=$B59), 0)), 0) + 1, MATCH(1, (Data_Input!$7:$7=$F$3)*(Data_Input!$8:$8=$B59), 0)),"")</f>
        <v/>
      </c>
      <c r="J59" s="14" t="str" cm="1">
        <f t="array" ref="J59">IFERROR(INDEX(Data_Input!$A$1:$ZZ$502, MATCH("누적수익률", INDEX(Data_Input!$A$1:$ZZ$502, 0, MATCH(1, (Data_Input!$7:$7="IRP")*(Data_Input!$8:$8=$B59), 0)), 0) + 1, MATCH(1, (Data_Input!$7:$7=$F$3)*(Data_Input!$8:$8=$B59), 0))/100,"")</f>
        <v/>
      </c>
      <c r="K59" t="str" cm="1">
        <f t="array" ref="K59">IFERROR(_xlfn.LET(
    _xlpm.targetDate, B59,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60" spans="1:11" x14ac:dyDescent="0.3">
      <c r="A60" s="16" t="str">
        <f t="shared" si="0"/>
        <v/>
      </c>
      <c r="B60" s="19"/>
      <c r="C60" s="17" t="str">
        <f t="shared" si="1"/>
        <v/>
      </c>
      <c r="D60" s="42" t="str" cm="1">
        <f t="array" ref="D60">IFERROR(INDEX(Data_Input!$1:$100, 10, MATCH(1, (Data_Input!$7:$7=$F$3) * (Data_Input!$8:$8=$B60), 0)), "")</f>
        <v/>
      </c>
      <c r="E60" s="29" t="str" cm="1">
        <f t="array" ref="E60">IFERROR(INDEX(Data_Input!$1:$100, 9, MATCH(1, (Data_Input!$7:$7=$F$3) * (Data_Input!$8:$8=$B60), 0)),"")</f>
        <v/>
      </c>
      <c r="F60" s="20" t="str" cm="1">
        <f t="array" ref="F60">IFERROR(INDEX(Data_Input!$A$1:$ZZ$502, MATCH("플랜번호", INDEX(Data_Input!$A$1:$ZZ$502, 0, MATCH(1, (Data_Input!$7:$7="IRP")*(Data_Input!$8:$8=$B60), 0)), 0) + 1, MATCH(1, (Data_Input!$7:$7=$F$3)*(Data_Input!$8:$8=$B60), 0)),"")</f>
        <v/>
      </c>
      <c r="G60" s="20" t="str" cm="1">
        <f t="array" ref="G60">IFERROR(INDEX(Data_Input!$A$1:$ZZ$502, MATCH("플랜명", INDEX(Data_Input!$A$1:$ZZ$502, 0, MATCH(1, (Data_Input!$7:$7="IRP")*(Data_Input!$8:$8=$B60), 0)), 0) + 1, MATCH(1, (Data_Input!$7:$7=$F$3)*(Data_Input!$8:$8=$B60), 0)),"")</f>
        <v/>
      </c>
      <c r="H60" s="20" t="str" cm="1">
        <f t="array" ref="H60">IFERROR(INDEX(Data_Input!$A$1:$ZZ$502, MATCH("평가금액", INDEX(Data_Input!$A$1:$ZZ$502, 0, MATCH(1, (Data_Input!$7:$7="IRP")*(Data_Input!$8:$8=$B60), 0)), 0) + 1, MATCH(1, (Data_Input!$7:$7=$F$3)*(Data_Input!$8:$8=$B60), 0)),"")</f>
        <v/>
      </c>
      <c r="I60" s="20" t="str" cm="1">
        <f t="array" ref="I60">IFERROR(INDEX(Data_Input!$A$1:$ZZ$502, MATCH("평가손익", INDEX(Data_Input!$A$1:$ZZ$502, 0, MATCH(1, (Data_Input!$7:$7="IRP")*(Data_Input!$8:$8=$B60), 0)), 0) + 1, MATCH(1, (Data_Input!$7:$7=$F$3)*(Data_Input!$8:$8=$B60), 0)),"")</f>
        <v/>
      </c>
      <c r="J60" s="14" t="str" cm="1">
        <f t="array" ref="J60">IFERROR(INDEX(Data_Input!$A$1:$ZZ$502, MATCH("누적수익률", INDEX(Data_Input!$A$1:$ZZ$502, 0, MATCH(1, (Data_Input!$7:$7="IRP")*(Data_Input!$8:$8=$B60), 0)), 0) + 1, MATCH(1, (Data_Input!$7:$7=$F$3)*(Data_Input!$8:$8=$B60), 0))/100,"")</f>
        <v/>
      </c>
      <c r="K60" t="str" cm="1">
        <f t="array" ref="K60">IFERROR(_xlfn.LET(
    _xlpm.targetDate, B60,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61" spans="1:11" x14ac:dyDescent="0.3">
      <c r="A61" s="16" t="str">
        <f t="shared" si="0"/>
        <v/>
      </c>
      <c r="B61" s="19"/>
      <c r="C61" s="17" t="str">
        <f t="shared" si="1"/>
        <v/>
      </c>
      <c r="D61" s="42" t="str" cm="1">
        <f t="array" ref="D61">IFERROR(INDEX(Data_Input!$1:$100, 10, MATCH(1, (Data_Input!$7:$7=$F$3) * (Data_Input!$8:$8=$B61), 0)), "")</f>
        <v/>
      </c>
      <c r="E61" s="29" t="str" cm="1">
        <f t="array" ref="E61">IFERROR(INDEX(Data_Input!$1:$100, 9, MATCH(1, (Data_Input!$7:$7=$F$3) * (Data_Input!$8:$8=$B61), 0)),"")</f>
        <v/>
      </c>
      <c r="F61" s="20" t="str" cm="1">
        <f t="array" ref="F61">IFERROR(INDEX(Data_Input!$A$1:$ZZ$502, MATCH("플랜번호", INDEX(Data_Input!$A$1:$ZZ$502, 0, MATCH(1, (Data_Input!$7:$7="IRP")*(Data_Input!$8:$8=$B61), 0)), 0) + 1, MATCH(1, (Data_Input!$7:$7=$F$3)*(Data_Input!$8:$8=$B61), 0)),"")</f>
        <v/>
      </c>
      <c r="G61" s="20" t="str" cm="1">
        <f t="array" ref="G61">IFERROR(INDEX(Data_Input!$A$1:$ZZ$502, MATCH("플랜명", INDEX(Data_Input!$A$1:$ZZ$502, 0, MATCH(1, (Data_Input!$7:$7="IRP")*(Data_Input!$8:$8=$B61), 0)), 0) + 1, MATCH(1, (Data_Input!$7:$7=$F$3)*(Data_Input!$8:$8=$B61), 0)),"")</f>
        <v/>
      </c>
      <c r="H61" s="20" t="str" cm="1">
        <f t="array" ref="H61">IFERROR(INDEX(Data_Input!$A$1:$ZZ$502, MATCH("평가금액", INDEX(Data_Input!$A$1:$ZZ$502, 0, MATCH(1, (Data_Input!$7:$7="IRP")*(Data_Input!$8:$8=$B61), 0)), 0) + 1, MATCH(1, (Data_Input!$7:$7=$F$3)*(Data_Input!$8:$8=$B61), 0)),"")</f>
        <v/>
      </c>
      <c r="I61" s="20" t="str" cm="1">
        <f t="array" ref="I61">IFERROR(INDEX(Data_Input!$A$1:$ZZ$502, MATCH("평가손익", INDEX(Data_Input!$A$1:$ZZ$502, 0, MATCH(1, (Data_Input!$7:$7="IRP")*(Data_Input!$8:$8=$B61), 0)), 0) + 1, MATCH(1, (Data_Input!$7:$7=$F$3)*(Data_Input!$8:$8=$B61), 0)),"")</f>
        <v/>
      </c>
      <c r="J61" s="14" t="str" cm="1">
        <f t="array" ref="J61">IFERROR(INDEX(Data_Input!$A$1:$ZZ$502, MATCH("누적수익률", INDEX(Data_Input!$A$1:$ZZ$502, 0, MATCH(1, (Data_Input!$7:$7="IRP")*(Data_Input!$8:$8=$B61), 0)), 0) + 1, MATCH(1, (Data_Input!$7:$7=$F$3)*(Data_Input!$8:$8=$B61), 0))/100,"")</f>
        <v/>
      </c>
      <c r="K61" t="str" cm="1">
        <f t="array" ref="K61">IFERROR(_xlfn.LET(
    _xlpm.targetDate, B61,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62" spans="1:11" x14ac:dyDescent="0.3">
      <c r="A62" s="16" t="str">
        <f t="shared" si="0"/>
        <v/>
      </c>
      <c r="B62" s="19"/>
      <c r="C62" s="17" t="str">
        <f t="shared" si="1"/>
        <v/>
      </c>
      <c r="D62" s="42" t="str" cm="1">
        <f t="array" ref="D62">IFERROR(INDEX(Data_Input!$1:$100, 10, MATCH(1, (Data_Input!$7:$7=$F$3) * (Data_Input!$8:$8=$B62), 0)), "")</f>
        <v/>
      </c>
      <c r="E62" s="29" t="str" cm="1">
        <f t="array" ref="E62">IFERROR(INDEX(Data_Input!$1:$100, 9, MATCH(1, (Data_Input!$7:$7=$F$3) * (Data_Input!$8:$8=$B62), 0)),"")</f>
        <v/>
      </c>
      <c r="F62" s="20" t="str" cm="1">
        <f t="array" ref="F62">IFERROR(INDEX(Data_Input!$A$1:$ZZ$502, MATCH("플랜번호", INDEX(Data_Input!$A$1:$ZZ$502, 0, MATCH(1, (Data_Input!$7:$7="IRP")*(Data_Input!$8:$8=$B62), 0)), 0) + 1, MATCH(1, (Data_Input!$7:$7=$F$3)*(Data_Input!$8:$8=$B62), 0)),"")</f>
        <v/>
      </c>
      <c r="G62" s="20" t="str" cm="1">
        <f t="array" ref="G62">IFERROR(INDEX(Data_Input!$A$1:$ZZ$502, MATCH("플랜명", INDEX(Data_Input!$A$1:$ZZ$502, 0, MATCH(1, (Data_Input!$7:$7="IRP")*(Data_Input!$8:$8=$B62), 0)), 0) + 1, MATCH(1, (Data_Input!$7:$7=$F$3)*(Data_Input!$8:$8=$B62), 0)),"")</f>
        <v/>
      </c>
      <c r="H62" s="20" t="str" cm="1">
        <f t="array" ref="H62">IFERROR(INDEX(Data_Input!$A$1:$ZZ$502, MATCH("평가금액", INDEX(Data_Input!$A$1:$ZZ$502, 0, MATCH(1, (Data_Input!$7:$7="IRP")*(Data_Input!$8:$8=$B62), 0)), 0) + 1, MATCH(1, (Data_Input!$7:$7=$F$3)*(Data_Input!$8:$8=$B62), 0)),"")</f>
        <v/>
      </c>
      <c r="I62" s="20" t="str" cm="1">
        <f t="array" ref="I62">IFERROR(INDEX(Data_Input!$A$1:$ZZ$502, MATCH("평가손익", INDEX(Data_Input!$A$1:$ZZ$502, 0, MATCH(1, (Data_Input!$7:$7="IRP")*(Data_Input!$8:$8=$B62), 0)), 0) + 1, MATCH(1, (Data_Input!$7:$7=$F$3)*(Data_Input!$8:$8=$B62), 0)),"")</f>
        <v/>
      </c>
      <c r="J62" s="14" t="str" cm="1">
        <f t="array" ref="J62">IFERROR(INDEX(Data_Input!$A$1:$ZZ$502, MATCH("누적수익률", INDEX(Data_Input!$A$1:$ZZ$502, 0, MATCH(1, (Data_Input!$7:$7="IRP")*(Data_Input!$8:$8=$B62), 0)), 0) + 1, MATCH(1, (Data_Input!$7:$7=$F$3)*(Data_Input!$8:$8=$B62), 0))/100,"")</f>
        <v/>
      </c>
      <c r="K62" t="str" cm="1">
        <f t="array" ref="K62">IFERROR(_xlfn.LET(
    _xlpm.targetDate, B62,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63" spans="1:11" x14ac:dyDescent="0.3">
      <c r="A63" s="16" t="str">
        <f t="shared" si="0"/>
        <v/>
      </c>
      <c r="B63" s="19"/>
      <c r="C63" s="17" t="str">
        <f t="shared" si="1"/>
        <v/>
      </c>
      <c r="D63" s="42" t="str" cm="1">
        <f t="array" ref="D63">IFERROR(INDEX(Data_Input!$1:$100, 10, MATCH(1, (Data_Input!$7:$7=$F$3) * (Data_Input!$8:$8=$B63), 0)), "")</f>
        <v/>
      </c>
      <c r="E63" s="29" t="str" cm="1">
        <f t="array" ref="E63">IFERROR(INDEX(Data_Input!$1:$100, 9, MATCH(1, (Data_Input!$7:$7=$F$3) * (Data_Input!$8:$8=$B63), 0)),"")</f>
        <v/>
      </c>
      <c r="F63" s="20" t="str" cm="1">
        <f t="array" ref="F63">IFERROR(INDEX(Data_Input!$A$1:$ZZ$502, MATCH("플랜번호", INDEX(Data_Input!$A$1:$ZZ$502, 0, MATCH(1, (Data_Input!$7:$7="IRP")*(Data_Input!$8:$8=$B63), 0)), 0) + 1, MATCH(1, (Data_Input!$7:$7=$F$3)*(Data_Input!$8:$8=$B63), 0)),"")</f>
        <v/>
      </c>
      <c r="G63" s="20" t="str" cm="1">
        <f t="array" ref="G63">IFERROR(INDEX(Data_Input!$A$1:$ZZ$502, MATCH("플랜명", INDEX(Data_Input!$A$1:$ZZ$502, 0, MATCH(1, (Data_Input!$7:$7="IRP")*(Data_Input!$8:$8=$B63), 0)), 0) + 1, MATCH(1, (Data_Input!$7:$7=$F$3)*(Data_Input!$8:$8=$B63), 0)),"")</f>
        <v/>
      </c>
      <c r="H63" s="20" t="str" cm="1">
        <f t="array" ref="H63">IFERROR(INDEX(Data_Input!$A$1:$ZZ$502, MATCH("평가금액", INDEX(Data_Input!$A$1:$ZZ$502, 0, MATCH(1, (Data_Input!$7:$7="IRP")*(Data_Input!$8:$8=$B63), 0)), 0) + 1, MATCH(1, (Data_Input!$7:$7=$F$3)*(Data_Input!$8:$8=$B63), 0)),"")</f>
        <v/>
      </c>
      <c r="I63" s="20" t="str" cm="1">
        <f t="array" ref="I63">IFERROR(INDEX(Data_Input!$A$1:$ZZ$502, MATCH("평가손익", INDEX(Data_Input!$A$1:$ZZ$502, 0, MATCH(1, (Data_Input!$7:$7="IRP")*(Data_Input!$8:$8=$B63), 0)), 0) + 1, MATCH(1, (Data_Input!$7:$7=$F$3)*(Data_Input!$8:$8=$B63), 0)),"")</f>
        <v/>
      </c>
      <c r="J63" s="14" t="str" cm="1">
        <f t="array" ref="J63">IFERROR(INDEX(Data_Input!$A$1:$ZZ$502, MATCH("누적수익률", INDEX(Data_Input!$A$1:$ZZ$502, 0, MATCH(1, (Data_Input!$7:$7="IRP")*(Data_Input!$8:$8=$B63), 0)), 0) + 1, MATCH(1, (Data_Input!$7:$7=$F$3)*(Data_Input!$8:$8=$B63), 0))/100,"")</f>
        <v/>
      </c>
      <c r="K63" t="str" cm="1">
        <f t="array" ref="K63">IFERROR(_xlfn.LET(
    _xlpm.targetDate, B63,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64" spans="1:11" x14ac:dyDescent="0.3">
      <c r="A64" s="16" t="str">
        <f t="shared" si="0"/>
        <v/>
      </c>
      <c r="B64" s="19"/>
      <c r="C64" s="17" t="str">
        <f t="shared" si="1"/>
        <v/>
      </c>
      <c r="D64" s="42" t="str" cm="1">
        <f t="array" ref="D64">IFERROR(INDEX(Data_Input!$1:$100, 10, MATCH(1, (Data_Input!$7:$7=$F$3) * (Data_Input!$8:$8=$B64), 0)), "")</f>
        <v/>
      </c>
      <c r="E64" s="29" t="str" cm="1">
        <f t="array" ref="E64">IFERROR(INDEX(Data_Input!$1:$100, 9, MATCH(1, (Data_Input!$7:$7=$F$3) * (Data_Input!$8:$8=$B64), 0)),"")</f>
        <v/>
      </c>
      <c r="F64" s="20" t="str" cm="1">
        <f t="array" ref="F64">IFERROR(INDEX(Data_Input!$A$1:$ZZ$502, MATCH("플랜번호", INDEX(Data_Input!$A$1:$ZZ$502, 0, MATCH(1, (Data_Input!$7:$7="IRP")*(Data_Input!$8:$8=$B64), 0)), 0) + 1, MATCH(1, (Data_Input!$7:$7=$F$3)*(Data_Input!$8:$8=$B64), 0)),"")</f>
        <v/>
      </c>
      <c r="G64" s="20" t="str" cm="1">
        <f t="array" ref="G64">IFERROR(INDEX(Data_Input!$A$1:$ZZ$502, MATCH("플랜명", INDEX(Data_Input!$A$1:$ZZ$502, 0, MATCH(1, (Data_Input!$7:$7="IRP")*(Data_Input!$8:$8=$B64), 0)), 0) + 1, MATCH(1, (Data_Input!$7:$7=$F$3)*(Data_Input!$8:$8=$B64), 0)),"")</f>
        <v/>
      </c>
      <c r="H64" s="20" t="str" cm="1">
        <f t="array" ref="H64">IFERROR(INDEX(Data_Input!$A$1:$ZZ$502, MATCH("평가금액", INDEX(Data_Input!$A$1:$ZZ$502, 0, MATCH(1, (Data_Input!$7:$7="IRP")*(Data_Input!$8:$8=$B64), 0)), 0) + 1, MATCH(1, (Data_Input!$7:$7=$F$3)*(Data_Input!$8:$8=$B64), 0)),"")</f>
        <v/>
      </c>
      <c r="I64" s="20" t="str" cm="1">
        <f t="array" ref="I64">IFERROR(INDEX(Data_Input!$A$1:$ZZ$502, MATCH("평가손익", INDEX(Data_Input!$A$1:$ZZ$502, 0, MATCH(1, (Data_Input!$7:$7="IRP")*(Data_Input!$8:$8=$B64), 0)), 0) + 1, MATCH(1, (Data_Input!$7:$7=$F$3)*(Data_Input!$8:$8=$B64), 0)),"")</f>
        <v/>
      </c>
      <c r="J64" s="14" t="str" cm="1">
        <f t="array" ref="J64">IFERROR(INDEX(Data_Input!$A$1:$ZZ$502, MATCH("누적수익률", INDEX(Data_Input!$A$1:$ZZ$502, 0, MATCH(1, (Data_Input!$7:$7="IRP")*(Data_Input!$8:$8=$B64), 0)), 0) + 1, MATCH(1, (Data_Input!$7:$7=$F$3)*(Data_Input!$8:$8=$B64), 0))/100,"")</f>
        <v/>
      </c>
      <c r="K64" t="str" cm="1">
        <f t="array" ref="K64">IFERROR(_xlfn.LET(
    _xlpm.targetDate, B64,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65" spans="1:11" x14ac:dyDescent="0.3">
      <c r="A65" s="16" t="str">
        <f t="shared" si="0"/>
        <v/>
      </c>
      <c r="B65" s="19"/>
      <c r="C65" s="17" t="str">
        <f t="shared" si="1"/>
        <v/>
      </c>
      <c r="D65" s="42" t="str" cm="1">
        <f t="array" ref="D65">IFERROR(INDEX(Data_Input!$1:$100, 10, MATCH(1, (Data_Input!$7:$7=$F$3) * (Data_Input!$8:$8=$B65), 0)), "")</f>
        <v/>
      </c>
      <c r="E65" s="29" t="str" cm="1">
        <f t="array" ref="E65">IFERROR(INDEX(Data_Input!$1:$100, 9, MATCH(1, (Data_Input!$7:$7=$F$3) * (Data_Input!$8:$8=$B65), 0)),"")</f>
        <v/>
      </c>
      <c r="F65" s="20" t="str" cm="1">
        <f t="array" ref="F65">IFERROR(INDEX(Data_Input!$A$1:$ZZ$502, MATCH("플랜번호", INDEX(Data_Input!$A$1:$ZZ$502, 0, MATCH(1, (Data_Input!$7:$7="IRP")*(Data_Input!$8:$8=$B65), 0)), 0) + 1, MATCH(1, (Data_Input!$7:$7=$F$3)*(Data_Input!$8:$8=$B65), 0)),"")</f>
        <v/>
      </c>
      <c r="G65" s="20" t="str" cm="1">
        <f t="array" ref="G65">IFERROR(INDEX(Data_Input!$A$1:$ZZ$502, MATCH("플랜명", INDEX(Data_Input!$A$1:$ZZ$502, 0, MATCH(1, (Data_Input!$7:$7="IRP")*(Data_Input!$8:$8=$B65), 0)), 0) + 1, MATCH(1, (Data_Input!$7:$7=$F$3)*(Data_Input!$8:$8=$B65), 0)),"")</f>
        <v/>
      </c>
      <c r="H65" s="20" t="str" cm="1">
        <f t="array" ref="H65">IFERROR(INDEX(Data_Input!$A$1:$ZZ$502, MATCH("평가금액", INDEX(Data_Input!$A$1:$ZZ$502, 0, MATCH(1, (Data_Input!$7:$7="IRP")*(Data_Input!$8:$8=$B65), 0)), 0) + 1, MATCH(1, (Data_Input!$7:$7=$F$3)*(Data_Input!$8:$8=$B65), 0)),"")</f>
        <v/>
      </c>
      <c r="I65" s="20" t="str" cm="1">
        <f t="array" ref="I65">IFERROR(INDEX(Data_Input!$A$1:$ZZ$502, MATCH("평가손익", INDEX(Data_Input!$A$1:$ZZ$502, 0, MATCH(1, (Data_Input!$7:$7="IRP")*(Data_Input!$8:$8=$B65), 0)), 0) + 1, MATCH(1, (Data_Input!$7:$7=$F$3)*(Data_Input!$8:$8=$B65), 0)),"")</f>
        <v/>
      </c>
      <c r="J65" s="14" t="str" cm="1">
        <f t="array" ref="J65">IFERROR(INDEX(Data_Input!$A$1:$ZZ$502, MATCH("누적수익률", INDEX(Data_Input!$A$1:$ZZ$502, 0, MATCH(1, (Data_Input!$7:$7="IRP")*(Data_Input!$8:$8=$B65), 0)), 0) + 1, MATCH(1, (Data_Input!$7:$7=$F$3)*(Data_Input!$8:$8=$B65), 0))/100,"")</f>
        <v/>
      </c>
      <c r="K65" t="str" cm="1">
        <f t="array" ref="K65">IFERROR(_xlfn.LET(
    _xlpm.targetDate, B65,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66" spans="1:11" x14ac:dyDescent="0.3">
      <c r="A66" s="16" t="str">
        <f t="shared" si="0"/>
        <v/>
      </c>
      <c r="B66" s="19"/>
      <c r="C66" s="17" t="str">
        <f t="shared" si="1"/>
        <v/>
      </c>
      <c r="D66" s="42" t="str" cm="1">
        <f t="array" ref="D66">IFERROR(INDEX(Data_Input!$1:$100, 10, MATCH(1, (Data_Input!$7:$7=$F$3) * (Data_Input!$8:$8=$B66), 0)), "")</f>
        <v/>
      </c>
      <c r="E66" s="29" t="str" cm="1">
        <f t="array" ref="E66">IFERROR(INDEX(Data_Input!$1:$100, 9, MATCH(1, (Data_Input!$7:$7=$F$3) * (Data_Input!$8:$8=$B66), 0)),"")</f>
        <v/>
      </c>
      <c r="F66" s="20" t="str" cm="1">
        <f t="array" ref="F66">IFERROR(INDEX(Data_Input!$A$1:$ZZ$502, MATCH("플랜번호", INDEX(Data_Input!$A$1:$ZZ$502, 0, MATCH(1, (Data_Input!$7:$7="IRP")*(Data_Input!$8:$8=$B66), 0)), 0) + 1, MATCH(1, (Data_Input!$7:$7=$F$3)*(Data_Input!$8:$8=$B66), 0)),"")</f>
        <v/>
      </c>
      <c r="G66" s="20" t="str" cm="1">
        <f t="array" ref="G66">IFERROR(INDEX(Data_Input!$A$1:$ZZ$502, MATCH("플랜명", INDEX(Data_Input!$A$1:$ZZ$502, 0, MATCH(1, (Data_Input!$7:$7="IRP")*(Data_Input!$8:$8=$B66), 0)), 0) + 1, MATCH(1, (Data_Input!$7:$7=$F$3)*(Data_Input!$8:$8=$B66), 0)),"")</f>
        <v/>
      </c>
      <c r="H66" s="20" t="str" cm="1">
        <f t="array" ref="H66">IFERROR(INDEX(Data_Input!$A$1:$ZZ$502, MATCH("평가금액", INDEX(Data_Input!$A$1:$ZZ$502, 0, MATCH(1, (Data_Input!$7:$7="IRP")*(Data_Input!$8:$8=$B66), 0)), 0) + 1, MATCH(1, (Data_Input!$7:$7=$F$3)*(Data_Input!$8:$8=$B66), 0)),"")</f>
        <v/>
      </c>
      <c r="I66" s="20" t="str" cm="1">
        <f t="array" ref="I66">IFERROR(INDEX(Data_Input!$A$1:$ZZ$502, MATCH("평가손익", INDEX(Data_Input!$A$1:$ZZ$502, 0, MATCH(1, (Data_Input!$7:$7="IRP")*(Data_Input!$8:$8=$B66), 0)), 0) + 1, MATCH(1, (Data_Input!$7:$7=$F$3)*(Data_Input!$8:$8=$B66), 0)),"")</f>
        <v/>
      </c>
      <c r="J66" s="14" t="str" cm="1">
        <f t="array" ref="J66">IFERROR(INDEX(Data_Input!$A$1:$ZZ$502, MATCH("누적수익률", INDEX(Data_Input!$A$1:$ZZ$502, 0, MATCH(1, (Data_Input!$7:$7="IRP")*(Data_Input!$8:$8=$B66), 0)), 0) + 1, MATCH(1, (Data_Input!$7:$7=$F$3)*(Data_Input!$8:$8=$B66), 0))/100,"")</f>
        <v/>
      </c>
      <c r="K66" t="str" cm="1">
        <f t="array" ref="K66">IFERROR(_xlfn.LET(
    _xlpm.targetDate, B66,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67" spans="1:11" x14ac:dyDescent="0.3">
      <c r="A67" s="16" t="str">
        <f t="shared" si="0"/>
        <v/>
      </c>
      <c r="B67" s="19"/>
      <c r="C67" s="17" t="str">
        <f t="shared" si="1"/>
        <v/>
      </c>
      <c r="D67" s="42" t="str" cm="1">
        <f t="array" ref="D67">IFERROR(INDEX(Data_Input!$1:$100, 10, MATCH(1, (Data_Input!$7:$7=$F$3) * (Data_Input!$8:$8=$B67), 0)), "")</f>
        <v/>
      </c>
      <c r="E67" s="29" t="str" cm="1">
        <f t="array" ref="E67">IFERROR(INDEX(Data_Input!$1:$100, 9, MATCH(1, (Data_Input!$7:$7=$F$3) * (Data_Input!$8:$8=$B67), 0)),"")</f>
        <v/>
      </c>
      <c r="F67" s="20" t="str" cm="1">
        <f t="array" ref="F67">IFERROR(INDEX(Data_Input!$A$1:$ZZ$502, MATCH("플랜번호", INDEX(Data_Input!$A$1:$ZZ$502, 0, MATCH(1, (Data_Input!$7:$7="IRP")*(Data_Input!$8:$8=$B67), 0)), 0) + 1, MATCH(1, (Data_Input!$7:$7=$F$3)*(Data_Input!$8:$8=$B67), 0)),"")</f>
        <v/>
      </c>
      <c r="G67" s="20" t="str" cm="1">
        <f t="array" ref="G67">IFERROR(INDEX(Data_Input!$A$1:$ZZ$502, MATCH("플랜명", INDEX(Data_Input!$A$1:$ZZ$502, 0, MATCH(1, (Data_Input!$7:$7="IRP")*(Data_Input!$8:$8=$B67), 0)), 0) + 1, MATCH(1, (Data_Input!$7:$7=$F$3)*(Data_Input!$8:$8=$B67), 0)),"")</f>
        <v/>
      </c>
      <c r="H67" s="20" t="str" cm="1">
        <f t="array" ref="H67">IFERROR(INDEX(Data_Input!$A$1:$ZZ$502, MATCH("평가금액", INDEX(Data_Input!$A$1:$ZZ$502, 0, MATCH(1, (Data_Input!$7:$7="IRP")*(Data_Input!$8:$8=$B67), 0)), 0) + 1, MATCH(1, (Data_Input!$7:$7=$F$3)*(Data_Input!$8:$8=$B67), 0)),"")</f>
        <v/>
      </c>
      <c r="I67" s="20" t="str" cm="1">
        <f t="array" ref="I67">IFERROR(INDEX(Data_Input!$A$1:$ZZ$502, MATCH("평가손익", INDEX(Data_Input!$A$1:$ZZ$502, 0, MATCH(1, (Data_Input!$7:$7="IRP")*(Data_Input!$8:$8=$B67), 0)), 0) + 1, MATCH(1, (Data_Input!$7:$7=$F$3)*(Data_Input!$8:$8=$B67), 0)),"")</f>
        <v/>
      </c>
      <c r="J67" s="14" t="str" cm="1">
        <f t="array" ref="J67">IFERROR(INDEX(Data_Input!$A$1:$ZZ$502, MATCH("누적수익률", INDEX(Data_Input!$A$1:$ZZ$502, 0, MATCH(1, (Data_Input!$7:$7="IRP")*(Data_Input!$8:$8=$B67), 0)), 0) + 1, MATCH(1, (Data_Input!$7:$7=$F$3)*(Data_Input!$8:$8=$B67), 0))/100,"")</f>
        <v/>
      </c>
      <c r="K67" t="str" cm="1">
        <f t="array" ref="K67">IFERROR(_xlfn.LET(
    _xlpm.targetDate, B67,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68" spans="1:11" x14ac:dyDescent="0.3">
      <c r="A68" s="16" t="str">
        <f t="shared" si="0"/>
        <v/>
      </c>
      <c r="B68" s="19"/>
      <c r="C68" s="17" t="str">
        <f t="shared" si="1"/>
        <v/>
      </c>
      <c r="D68" s="42" t="str" cm="1">
        <f t="array" ref="D68">IFERROR(INDEX(Data_Input!$1:$100, 10, MATCH(1, (Data_Input!$7:$7=$F$3) * (Data_Input!$8:$8=$B68), 0)), "")</f>
        <v/>
      </c>
      <c r="E68" s="29" t="str" cm="1">
        <f t="array" ref="E68">IFERROR(INDEX(Data_Input!$1:$100, 9, MATCH(1, (Data_Input!$7:$7=$F$3) * (Data_Input!$8:$8=$B68), 0)),"")</f>
        <v/>
      </c>
      <c r="F68" s="20" t="str" cm="1">
        <f t="array" ref="F68">IFERROR(INDEX(Data_Input!$A$1:$ZZ$502, MATCH("플랜번호", INDEX(Data_Input!$A$1:$ZZ$502, 0, MATCH(1, (Data_Input!$7:$7="IRP")*(Data_Input!$8:$8=$B68), 0)), 0) + 1, MATCH(1, (Data_Input!$7:$7=$F$3)*(Data_Input!$8:$8=$B68), 0)),"")</f>
        <v/>
      </c>
      <c r="G68" s="20" t="str" cm="1">
        <f t="array" ref="G68">IFERROR(INDEX(Data_Input!$A$1:$ZZ$502, MATCH("플랜명", INDEX(Data_Input!$A$1:$ZZ$502, 0, MATCH(1, (Data_Input!$7:$7="IRP")*(Data_Input!$8:$8=$B68), 0)), 0) + 1, MATCH(1, (Data_Input!$7:$7=$F$3)*(Data_Input!$8:$8=$B68), 0)),"")</f>
        <v/>
      </c>
      <c r="H68" s="20" t="str" cm="1">
        <f t="array" ref="H68">IFERROR(INDEX(Data_Input!$A$1:$ZZ$502, MATCH("평가금액", INDEX(Data_Input!$A$1:$ZZ$502, 0, MATCH(1, (Data_Input!$7:$7="IRP")*(Data_Input!$8:$8=$B68), 0)), 0) + 1, MATCH(1, (Data_Input!$7:$7=$F$3)*(Data_Input!$8:$8=$B68), 0)),"")</f>
        <v/>
      </c>
      <c r="I68" s="20" t="str" cm="1">
        <f t="array" ref="I68">IFERROR(INDEX(Data_Input!$A$1:$ZZ$502, MATCH("평가손익", INDEX(Data_Input!$A$1:$ZZ$502, 0, MATCH(1, (Data_Input!$7:$7="IRP")*(Data_Input!$8:$8=$B68), 0)), 0) + 1, MATCH(1, (Data_Input!$7:$7=$F$3)*(Data_Input!$8:$8=$B68), 0)),"")</f>
        <v/>
      </c>
      <c r="J68" s="14" t="str" cm="1">
        <f t="array" ref="J68">IFERROR(INDEX(Data_Input!$A$1:$ZZ$502, MATCH("누적수익률", INDEX(Data_Input!$A$1:$ZZ$502, 0, MATCH(1, (Data_Input!$7:$7="IRP")*(Data_Input!$8:$8=$B68), 0)), 0) + 1, MATCH(1, (Data_Input!$7:$7=$F$3)*(Data_Input!$8:$8=$B68), 0))/100,"")</f>
        <v/>
      </c>
      <c r="K68" t="str" cm="1">
        <f t="array" ref="K68">IFERROR(_xlfn.LET(
    _xlpm.targetDate, B68,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69" spans="1:11" x14ac:dyDescent="0.3">
      <c r="A69" s="16" t="str">
        <f t="shared" si="0"/>
        <v/>
      </c>
      <c r="B69" s="19"/>
      <c r="C69" s="17" t="str">
        <f t="shared" si="1"/>
        <v/>
      </c>
      <c r="D69" s="42" t="str" cm="1">
        <f t="array" ref="D69">IFERROR(INDEX(Data_Input!$1:$100, 10, MATCH(1, (Data_Input!$7:$7=$F$3) * (Data_Input!$8:$8=$B69), 0)), "")</f>
        <v/>
      </c>
      <c r="E69" s="29" t="str" cm="1">
        <f t="array" ref="E69">IFERROR(INDEX(Data_Input!$1:$100, 9, MATCH(1, (Data_Input!$7:$7=$F$3) * (Data_Input!$8:$8=$B69), 0)),"")</f>
        <v/>
      </c>
      <c r="F69" s="20" t="str" cm="1">
        <f t="array" ref="F69">IFERROR(INDEX(Data_Input!$A$1:$ZZ$502, MATCH("플랜번호", INDEX(Data_Input!$A$1:$ZZ$502, 0, MATCH(1, (Data_Input!$7:$7="IRP")*(Data_Input!$8:$8=$B69), 0)), 0) + 1, MATCH(1, (Data_Input!$7:$7=$F$3)*(Data_Input!$8:$8=$B69), 0)),"")</f>
        <v/>
      </c>
      <c r="G69" s="20" t="str" cm="1">
        <f t="array" ref="G69">IFERROR(INDEX(Data_Input!$A$1:$ZZ$502, MATCH("플랜명", INDEX(Data_Input!$A$1:$ZZ$502, 0, MATCH(1, (Data_Input!$7:$7="IRP")*(Data_Input!$8:$8=$B69), 0)), 0) + 1, MATCH(1, (Data_Input!$7:$7=$F$3)*(Data_Input!$8:$8=$B69), 0)),"")</f>
        <v/>
      </c>
      <c r="H69" s="20" t="str" cm="1">
        <f t="array" ref="H69">IFERROR(INDEX(Data_Input!$A$1:$ZZ$502, MATCH("평가금액", INDEX(Data_Input!$A$1:$ZZ$502, 0, MATCH(1, (Data_Input!$7:$7="IRP")*(Data_Input!$8:$8=$B69), 0)), 0) + 1, MATCH(1, (Data_Input!$7:$7=$F$3)*(Data_Input!$8:$8=$B69), 0)),"")</f>
        <v/>
      </c>
      <c r="I69" s="20" t="str" cm="1">
        <f t="array" ref="I69">IFERROR(INDEX(Data_Input!$A$1:$ZZ$502, MATCH("평가손익", INDEX(Data_Input!$A$1:$ZZ$502, 0, MATCH(1, (Data_Input!$7:$7="IRP")*(Data_Input!$8:$8=$B69), 0)), 0) + 1, MATCH(1, (Data_Input!$7:$7=$F$3)*(Data_Input!$8:$8=$B69), 0)),"")</f>
        <v/>
      </c>
      <c r="J69" s="14" t="str" cm="1">
        <f t="array" ref="J69">IFERROR(INDEX(Data_Input!$A$1:$ZZ$502, MATCH("누적수익률", INDEX(Data_Input!$A$1:$ZZ$502, 0, MATCH(1, (Data_Input!$7:$7="IRP")*(Data_Input!$8:$8=$B69), 0)), 0) + 1, MATCH(1, (Data_Input!$7:$7=$F$3)*(Data_Input!$8:$8=$B69), 0))/100,"")</f>
        <v/>
      </c>
      <c r="K69" t="str" cm="1">
        <f t="array" ref="K69">IFERROR(_xlfn.LET(
    _xlpm.targetDate, B69,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70" spans="1:11" x14ac:dyDescent="0.3">
      <c r="A70" s="16" t="str">
        <f t="shared" si="0"/>
        <v/>
      </c>
      <c r="B70" s="19"/>
      <c r="C70" s="17" t="str">
        <f t="shared" si="1"/>
        <v/>
      </c>
      <c r="D70" s="42" t="str" cm="1">
        <f t="array" ref="D70">IFERROR(INDEX(Data_Input!$1:$100, 10, MATCH(1, (Data_Input!$7:$7=$F$3) * (Data_Input!$8:$8=$B70), 0)), "")</f>
        <v/>
      </c>
      <c r="E70" s="29" t="str" cm="1">
        <f t="array" ref="E70">IFERROR(INDEX(Data_Input!$1:$100, 9, MATCH(1, (Data_Input!$7:$7=$F$3) * (Data_Input!$8:$8=$B70), 0)),"")</f>
        <v/>
      </c>
      <c r="F70" s="20" t="str" cm="1">
        <f t="array" ref="F70">IFERROR(INDEX(Data_Input!$A$1:$ZZ$502, MATCH("플랜번호", INDEX(Data_Input!$A$1:$ZZ$502, 0, MATCH(1, (Data_Input!$7:$7="IRP")*(Data_Input!$8:$8=$B70), 0)), 0) + 1, MATCH(1, (Data_Input!$7:$7=$F$3)*(Data_Input!$8:$8=$B70), 0)),"")</f>
        <v/>
      </c>
      <c r="G70" s="20" t="str" cm="1">
        <f t="array" ref="G70">IFERROR(INDEX(Data_Input!$A$1:$ZZ$502, MATCH("플랜명", INDEX(Data_Input!$A$1:$ZZ$502, 0, MATCH(1, (Data_Input!$7:$7="IRP")*(Data_Input!$8:$8=$B70), 0)), 0) + 1, MATCH(1, (Data_Input!$7:$7=$F$3)*(Data_Input!$8:$8=$B70), 0)),"")</f>
        <v/>
      </c>
      <c r="H70" s="20" t="str" cm="1">
        <f t="array" ref="H70">IFERROR(INDEX(Data_Input!$A$1:$ZZ$502, MATCH("평가금액", INDEX(Data_Input!$A$1:$ZZ$502, 0, MATCH(1, (Data_Input!$7:$7="IRP")*(Data_Input!$8:$8=$B70), 0)), 0) + 1, MATCH(1, (Data_Input!$7:$7=$F$3)*(Data_Input!$8:$8=$B70), 0)),"")</f>
        <v/>
      </c>
      <c r="I70" s="20" t="str" cm="1">
        <f t="array" ref="I70">IFERROR(INDEX(Data_Input!$A$1:$ZZ$502, MATCH("평가손익", INDEX(Data_Input!$A$1:$ZZ$502, 0, MATCH(1, (Data_Input!$7:$7="IRP")*(Data_Input!$8:$8=$B70), 0)), 0) + 1, MATCH(1, (Data_Input!$7:$7=$F$3)*(Data_Input!$8:$8=$B70), 0)),"")</f>
        <v/>
      </c>
      <c r="J70" s="14" t="str" cm="1">
        <f t="array" ref="J70">IFERROR(INDEX(Data_Input!$A$1:$ZZ$502, MATCH("누적수익률", INDEX(Data_Input!$A$1:$ZZ$502, 0, MATCH(1, (Data_Input!$7:$7="IRP")*(Data_Input!$8:$8=$B70), 0)), 0) + 1, MATCH(1, (Data_Input!$7:$7=$F$3)*(Data_Input!$8:$8=$B70), 0))/100,"")</f>
        <v/>
      </c>
      <c r="K70" t="str" cm="1">
        <f t="array" ref="K70">IFERROR(_xlfn.LET(
    _xlpm.targetDate, B70,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71" spans="1:11" x14ac:dyDescent="0.3">
      <c r="A71" s="16" t="str">
        <f t="shared" ref="A71:A134" si="2">IF(B71&gt;0,A70+1,"")</f>
        <v/>
      </c>
      <c r="B71" s="19"/>
      <c r="C71" s="17" t="str">
        <f t="shared" si="1"/>
        <v/>
      </c>
      <c r="D71" s="42" t="str" cm="1">
        <f t="array" ref="D71">IFERROR(INDEX(Data_Input!$1:$100, 10, MATCH(1, (Data_Input!$7:$7=$F$3) * (Data_Input!$8:$8=$B71), 0)), "")</f>
        <v/>
      </c>
      <c r="E71" s="29" t="str" cm="1">
        <f t="array" ref="E71">IFERROR(INDEX(Data_Input!$1:$100, 9, MATCH(1, (Data_Input!$7:$7=$F$3) * (Data_Input!$8:$8=$B71), 0)),"")</f>
        <v/>
      </c>
      <c r="F71" s="20" t="str" cm="1">
        <f t="array" ref="F71">IFERROR(INDEX(Data_Input!$A$1:$ZZ$502, MATCH("플랜번호", INDEX(Data_Input!$A$1:$ZZ$502, 0, MATCH(1, (Data_Input!$7:$7="IRP")*(Data_Input!$8:$8=$B71), 0)), 0) + 1, MATCH(1, (Data_Input!$7:$7=$F$3)*(Data_Input!$8:$8=$B71), 0)),"")</f>
        <v/>
      </c>
      <c r="G71" s="20" t="str" cm="1">
        <f t="array" ref="G71">IFERROR(INDEX(Data_Input!$A$1:$ZZ$502, MATCH("플랜명", INDEX(Data_Input!$A$1:$ZZ$502, 0, MATCH(1, (Data_Input!$7:$7="IRP")*(Data_Input!$8:$8=$B71), 0)), 0) + 1, MATCH(1, (Data_Input!$7:$7=$F$3)*(Data_Input!$8:$8=$B71), 0)),"")</f>
        <v/>
      </c>
      <c r="H71" s="20" t="str" cm="1">
        <f t="array" ref="H71">IFERROR(INDEX(Data_Input!$A$1:$ZZ$502, MATCH("평가금액", INDEX(Data_Input!$A$1:$ZZ$502, 0, MATCH(1, (Data_Input!$7:$7="IRP")*(Data_Input!$8:$8=$B71), 0)), 0) + 1, MATCH(1, (Data_Input!$7:$7=$F$3)*(Data_Input!$8:$8=$B71), 0)),"")</f>
        <v/>
      </c>
      <c r="I71" s="20" t="str" cm="1">
        <f t="array" ref="I71">IFERROR(INDEX(Data_Input!$A$1:$ZZ$502, MATCH("평가손익", INDEX(Data_Input!$A$1:$ZZ$502, 0, MATCH(1, (Data_Input!$7:$7="IRP")*(Data_Input!$8:$8=$B71), 0)), 0) + 1, MATCH(1, (Data_Input!$7:$7=$F$3)*(Data_Input!$8:$8=$B71), 0)),"")</f>
        <v/>
      </c>
      <c r="J71" s="14" t="str" cm="1">
        <f t="array" ref="J71">IFERROR(INDEX(Data_Input!$A$1:$ZZ$502, MATCH("누적수익률", INDEX(Data_Input!$A$1:$ZZ$502, 0, MATCH(1, (Data_Input!$7:$7="IRP")*(Data_Input!$8:$8=$B71), 0)), 0) + 1, MATCH(1, (Data_Input!$7:$7=$F$3)*(Data_Input!$8:$8=$B71), 0))/100,"")</f>
        <v/>
      </c>
      <c r="K71" t="str" cm="1">
        <f t="array" ref="K71">IFERROR(_xlfn.LET(
    _xlpm.targetDate, B71,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72" spans="1:11" x14ac:dyDescent="0.3">
      <c r="A72" s="16" t="str">
        <f t="shared" si="2"/>
        <v/>
      </c>
      <c r="B72" s="19"/>
      <c r="C72" s="17" t="str">
        <f t="shared" ref="C72:C135" si="3">IF(B72&gt;0,C71,"")</f>
        <v/>
      </c>
      <c r="D72" s="42" t="str" cm="1">
        <f t="array" ref="D72">IFERROR(INDEX(Data_Input!$1:$100, 10, MATCH(1, (Data_Input!$7:$7=$F$3) * (Data_Input!$8:$8=$B72), 0)), "")</f>
        <v/>
      </c>
      <c r="E72" s="29" t="str" cm="1">
        <f t="array" ref="E72">IFERROR(INDEX(Data_Input!$1:$100, 9, MATCH(1, (Data_Input!$7:$7=$F$3) * (Data_Input!$8:$8=$B72), 0)),"")</f>
        <v/>
      </c>
      <c r="F72" s="20" t="str" cm="1">
        <f t="array" ref="F72">IFERROR(INDEX(Data_Input!$A$1:$ZZ$502, MATCH("플랜번호", INDEX(Data_Input!$A$1:$ZZ$502, 0, MATCH(1, (Data_Input!$7:$7="IRP")*(Data_Input!$8:$8=$B72), 0)), 0) + 1, MATCH(1, (Data_Input!$7:$7=$F$3)*(Data_Input!$8:$8=$B72), 0)),"")</f>
        <v/>
      </c>
      <c r="G72" s="20" t="str" cm="1">
        <f t="array" ref="G72">IFERROR(INDEX(Data_Input!$A$1:$ZZ$502, MATCH("플랜명", INDEX(Data_Input!$A$1:$ZZ$502, 0, MATCH(1, (Data_Input!$7:$7="IRP")*(Data_Input!$8:$8=$B72), 0)), 0) + 1, MATCH(1, (Data_Input!$7:$7=$F$3)*(Data_Input!$8:$8=$B72), 0)),"")</f>
        <v/>
      </c>
      <c r="H72" s="20" t="str" cm="1">
        <f t="array" ref="H72">IFERROR(INDEX(Data_Input!$A$1:$ZZ$502, MATCH("평가금액", INDEX(Data_Input!$A$1:$ZZ$502, 0, MATCH(1, (Data_Input!$7:$7="IRP")*(Data_Input!$8:$8=$B72), 0)), 0) + 1, MATCH(1, (Data_Input!$7:$7=$F$3)*(Data_Input!$8:$8=$B72), 0)),"")</f>
        <v/>
      </c>
      <c r="I72" s="20" t="str" cm="1">
        <f t="array" ref="I72">IFERROR(INDEX(Data_Input!$A$1:$ZZ$502, MATCH("평가손익", INDEX(Data_Input!$A$1:$ZZ$502, 0, MATCH(1, (Data_Input!$7:$7="IRP")*(Data_Input!$8:$8=$B72), 0)), 0) + 1, MATCH(1, (Data_Input!$7:$7=$F$3)*(Data_Input!$8:$8=$B72), 0)),"")</f>
        <v/>
      </c>
      <c r="J72" s="14" t="str" cm="1">
        <f t="array" ref="J72">IFERROR(INDEX(Data_Input!$A$1:$ZZ$502, MATCH("누적수익률", INDEX(Data_Input!$A$1:$ZZ$502, 0, MATCH(1, (Data_Input!$7:$7="IRP")*(Data_Input!$8:$8=$B72), 0)), 0) + 1, MATCH(1, (Data_Input!$7:$7=$F$3)*(Data_Input!$8:$8=$B72), 0))/100,"")</f>
        <v/>
      </c>
      <c r="K72" t="str" cm="1">
        <f t="array" ref="K72">IFERROR(_xlfn.LET(
    _xlpm.targetDate, B72,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73" spans="1:11" x14ac:dyDescent="0.3">
      <c r="A73" s="16" t="str">
        <f t="shared" si="2"/>
        <v/>
      </c>
      <c r="B73" s="19"/>
      <c r="C73" s="17" t="str">
        <f t="shared" si="3"/>
        <v/>
      </c>
      <c r="D73" s="42" t="str" cm="1">
        <f t="array" ref="D73">IFERROR(INDEX(Data_Input!$1:$100, 10, MATCH(1, (Data_Input!$7:$7=$F$3) * (Data_Input!$8:$8=$B73), 0)), "")</f>
        <v/>
      </c>
      <c r="E73" s="29" t="str" cm="1">
        <f t="array" ref="E73">IFERROR(INDEX(Data_Input!$1:$100, 9, MATCH(1, (Data_Input!$7:$7=$F$3) * (Data_Input!$8:$8=$B73), 0)),"")</f>
        <v/>
      </c>
      <c r="F73" s="20" t="str" cm="1">
        <f t="array" ref="F73">IFERROR(INDEX(Data_Input!$A$1:$ZZ$502, MATCH("플랜번호", INDEX(Data_Input!$A$1:$ZZ$502, 0, MATCH(1, (Data_Input!$7:$7="IRP")*(Data_Input!$8:$8=$B73), 0)), 0) + 1, MATCH(1, (Data_Input!$7:$7=$F$3)*(Data_Input!$8:$8=$B73), 0)),"")</f>
        <v/>
      </c>
      <c r="G73" s="20" t="str" cm="1">
        <f t="array" ref="G73">IFERROR(INDEX(Data_Input!$A$1:$ZZ$502, MATCH("플랜명", INDEX(Data_Input!$A$1:$ZZ$502, 0, MATCH(1, (Data_Input!$7:$7="IRP")*(Data_Input!$8:$8=$B73), 0)), 0) + 1, MATCH(1, (Data_Input!$7:$7=$F$3)*(Data_Input!$8:$8=$B73), 0)),"")</f>
        <v/>
      </c>
      <c r="H73" s="20" t="str" cm="1">
        <f t="array" ref="H73">IFERROR(INDEX(Data_Input!$A$1:$ZZ$502, MATCH("평가금액", INDEX(Data_Input!$A$1:$ZZ$502, 0, MATCH(1, (Data_Input!$7:$7="IRP")*(Data_Input!$8:$8=$B73), 0)), 0) + 1, MATCH(1, (Data_Input!$7:$7=$F$3)*(Data_Input!$8:$8=$B73), 0)),"")</f>
        <v/>
      </c>
      <c r="I73" s="20" t="str" cm="1">
        <f t="array" ref="I73">IFERROR(INDEX(Data_Input!$A$1:$ZZ$502, MATCH("평가손익", INDEX(Data_Input!$A$1:$ZZ$502, 0, MATCH(1, (Data_Input!$7:$7="IRP")*(Data_Input!$8:$8=$B73), 0)), 0) + 1, MATCH(1, (Data_Input!$7:$7=$F$3)*(Data_Input!$8:$8=$B73), 0)),"")</f>
        <v/>
      </c>
      <c r="J73" s="14" t="str" cm="1">
        <f t="array" ref="J73">IFERROR(INDEX(Data_Input!$A$1:$ZZ$502, MATCH("누적수익률", INDEX(Data_Input!$A$1:$ZZ$502, 0, MATCH(1, (Data_Input!$7:$7="IRP")*(Data_Input!$8:$8=$B73), 0)), 0) + 1, MATCH(1, (Data_Input!$7:$7=$F$3)*(Data_Input!$8:$8=$B73), 0))/100,"")</f>
        <v/>
      </c>
      <c r="K73" t="str" cm="1">
        <f t="array" ref="K73">IFERROR(_xlfn.LET(
    _xlpm.targetDate, B73,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74" spans="1:11" x14ac:dyDescent="0.3">
      <c r="A74" s="16" t="str">
        <f t="shared" si="2"/>
        <v/>
      </c>
      <c r="B74" s="19"/>
      <c r="C74" s="17" t="str">
        <f t="shared" si="3"/>
        <v/>
      </c>
      <c r="D74" s="42" t="str" cm="1">
        <f t="array" ref="D74">IFERROR(INDEX(Data_Input!$1:$100, 10, MATCH(1, (Data_Input!$7:$7=$F$3) * (Data_Input!$8:$8=$B74), 0)), "")</f>
        <v/>
      </c>
      <c r="E74" s="29" t="str" cm="1">
        <f t="array" ref="E74">IFERROR(INDEX(Data_Input!$1:$100, 9, MATCH(1, (Data_Input!$7:$7=$F$3) * (Data_Input!$8:$8=$B74), 0)),"")</f>
        <v/>
      </c>
      <c r="F74" s="20" t="str" cm="1">
        <f t="array" ref="F74">IFERROR(INDEX(Data_Input!$A$1:$ZZ$502, MATCH("플랜번호", INDEX(Data_Input!$A$1:$ZZ$502, 0, MATCH(1, (Data_Input!$7:$7="IRP")*(Data_Input!$8:$8=$B74), 0)), 0) + 1, MATCH(1, (Data_Input!$7:$7=$F$3)*(Data_Input!$8:$8=$B74), 0)),"")</f>
        <v/>
      </c>
      <c r="G74" s="20" t="str" cm="1">
        <f t="array" ref="G74">IFERROR(INDEX(Data_Input!$A$1:$ZZ$502, MATCH("플랜명", INDEX(Data_Input!$A$1:$ZZ$502, 0, MATCH(1, (Data_Input!$7:$7="IRP")*(Data_Input!$8:$8=$B74), 0)), 0) + 1, MATCH(1, (Data_Input!$7:$7=$F$3)*(Data_Input!$8:$8=$B74), 0)),"")</f>
        <v/>
      </c>
      <c r="H74" s="20" t="str" cm="1">
        <f t="array" ref="H74">IFERROR(INDEX(Data_Input!$A$1:$ZZ$502, MATCH("평가금액", INDEX(Data_Input!$A$1:$ZZ$502, 0, MATCH(1, (Data_Input!$7:$7="IRP")*(Data_Input!$8:$8=$B74), 0)), 0) + 1, MATCH(1, (Data_Input!$7:$7=$F$3)*(Data_Input!$8:$8=$B74), 0)),"")</f>
        <v/>
      </c>
      <c r="I74" s="20" t="str" cm="1">
        <f t="array" ref="I74">IFERROR(INDEX(Data_Input!$A$1:$ZZ$502, MATCH("평가손익", INDEX(Data_Input!$A$1:$ZZ$502, 0, MATCH(1, (Data_Input!$7:$7="IRP")*(Data_Input!$8:$8=$B74), 0)), 0) + 1, MATCH(1, (Data_Input!$7:$7=$F$3)*(Data_Input!$8:$8=$B74), 0)),"")</f>
        <v/>
      </c>
      <c r="J74" s="14" t="str" cm="1">
        <f t="array" ref="J74">IFERROR(INDEX(Data_Input!$A$1:$ZZ$502, MATCH("누적수익률", INDEX(Data_Input!$A$1:$ZZ$502, 0, MATCH(1, (Data_Input!$7:$7="IRP")*(Data_Input!$8:$8=$B74), 0)), 0) + 1, MATCH(1, (Data_Input!$7:$7=$F$3)*(Data_Input!$8:$8=$B74), 0))/100,"")</f>
        <v/>
      </c>
      <c r="K74" t="str" cm="1">
        <f t="array" ref="K74">IFERROR(_xlfn.LET(
    _xlpm.targetDate, B74,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75" spans="1:11" x14ac:dyDescent="0.3">
      <c r="A75" s="16" t="str">
        <f t="shared" si="2"/>
        <v/>
      </c>
      <c r="B75" s="19"/>
      <c r="C75" s="17" t="str">
        <f t="shared" si="3"/>
        <v/>
      </c>
      <c r="D75" s="42" t="str" cm="1">
        <f t="array" ref="D75">IFERROR(INDEX(Data_Input!$1:$100, 10, MATCH(1, (Data_Input!$7:$7=$F$3) * (Data_Input!$8:$8=$B75), 0)), "")</f>
        <v/>
      </c>
      <c r="E75" s="29" t="str" cm="1">
        <f t="array" ref="E75">IFERROR(INDEX(Data_Input!$1:$100, 9, MATCH(1, (Data_Input!$7:$7=$F$3) * (Data_Input!$8:$8=$B75), 0)),"")</f>
        <v/>
      </c>
      <c r="F75" s="20" t="str" cm="1">
        <f t="array" ref="F75">IFERROR(INDEX(Data_Input!$A$1:$ZZ$502, MATCH("플랜번호", INDEX(Data_Input!$A$1:$ZZ$502, 0, MATCH(1, (Data_Input!$7:$7="IRP")*(Data_Input!$8:$8=$B75), 0)), 0) + 1, MATCH(1, (Data_Input!$7:$7=$F$3)*(Data_Input!$8:$8=$B75), 0)),"")</f>
        <v/>
      </c>
      <c r="G75" s="20" t="str" cm="1">
        <f t="array" ref="G75">IFERROR(INDEX(Data_Input!$A$1:$ZZ$502, MATCH("플랜명", INDEX(Data_Input!$A$1:$ZZ$502, 0, MATCH(1, (Data_Input!$7:$7="IRP")*(Data_Input!$8:$8=$B75), 0)), 0) + 1, MATCH(1, (Data_Input!$7:$7=$F$3)*(Data_Input!$8:$8=$B75), 0)),"")</f>
        <v/>
      </c>
      <c r="H75" s="20" t="str" cm="1">
        <f t="array" ref="H75">IFERROR(INDEX(Data_Input!$A$1:$ZZ$502, MATCH("평가금액", INDEX(Data_Input!$A$1:$ZZ$502, 0, MATCH(1, (Data_Input!$7:$7="IRP")*(Data_Input!$8:$8=$B75), 0)), 0) + 1, MATCH(1, (Data_Input!$7:$7=$F$3)*(Data_Input!$8:$8=$B75), 0)),"")</f>
        <v/>
      </c>
      <c r="I75" s="20" t="str" cm="1">
        <f t="array" ref="I75">IFERROR(INDEX(Data_Input!$A$1:$ZZ$502, MATCH("평가손익", INDEX(Data_Input!$A$1:$ZZ$502, 0, MATCH(1, (Data_Input!$7:$7="IRP")*(Data_Input!$8:$8=$B75), 0)), 0) + 1, MATCH(1, (Data_Input!$7:$7=$F$3)*(Data_Input!$8:$8=$B75), 0)),"")</f>
        <v/>
      </c>
      <c r="J75" s="14" t="str" cm="1">
        <f t="array" ref="J75">IFERROR(INDEX(Data_Input!$A$1:$ZZ$502, MATCH("누적수익률", INDEX(Data_Input!$A$1:$ZZ$502, 0, MATCH(1, (Data_Input!$7:$7="IRP")*(Data_Input!$8:$8=$B75), 0)), 0) + 1, MATCH(1, (Data_Input!$7:$7=$F$3)*(Data_Input!$8:$8=$B75), 0))/100,"")</f>
        <v/>
      </c>
      <c r="K75" t="str" cm="1">
        <f t="array" ref="K75">IFERROR(_xlfn.LET(
    _xlpm.targetDate, B75,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76" spans="1:11" x14ac:dyDescent="0.3">
      <c r="A76" s="16" t="str">
        <f t="shared" si="2"/>
        <v/>
      </c>
      <c r="B76" s="19"/>
      <c r="C76" s="17" t="str">
        <f t="shared" si="3"/>
        <v/>
      </c>
      <c r="D76" s="42" t="str" cm="1">
        <f t="array" ref="D76">IFERROR(INDEX(Data_Input!$1:$100, 10, MATCH(1, (Data_Input!$7:$7=$F$3) * (Data_Input!$8:$8=$B76), 0)), "")</f>
        <v/>
      </c>
      <c r="E76" s="29" t="str" cm="1">
        <f t="array" ref="E76">IFERROR(INDEX(Data_Input!$1:$100, 9, MATCH(1, (Data_Input!$7:$7=$F$3) * (Data_Input!$8:$8=$B76), 0)),"")</f>
        <v/>
      </c>
      <c r="F76" s="20" t="str" cm="1">
        <f t="array" ref="F76">IFERROR(INDEX(Data_Input!$A$1:$ZZ$502, MATCH("플랜번호", INDEX(Data_Input!$A$1:$ZZ$502, 0, MATCH(1, (Data_Input!$7:$7="IRP")*(Data_Input!$8:$8=$B76), 0)), 0) + 1, MATCH(1, (Data_Input!$7:$7=$F$3)*(Data_Input!$8:$8=$B76), 0)),"")</f>
        <v/>
      </c>
      <c r="G76" s="20" t="str" cm="1">
        <f t="array" ref="G76">IFERROR(INDEX(Data_Input!$A$1:$ZZ$502, MATCH("플랜명", INDEX(Data_Input!$A$1:$ZZ$502, 0, MATCH(1, (Data_Input!$7:$7="IRP")*(Data_Input!$8:$8=$B76), 0)), 0) + 1, MATCH(1, (Data_Input!$7:$7=$F$3)*(Data_Input!$8:$8=$B76), 0)),"")</f>
        <v/>
      </c>
      <c r="H76" s="20" t="str" cm="1">
        <f t="array" ref="H76">IFERROR(INDEX(Data_Input!$A$1:$ZZ$502, MATCH("평가금액", INDEX(Data_Input!$A$1:$ZZ$502, 0, MATCH(1, (Data_Input!$7:$7="IRP")*(Data_Input!$8:$8=$B76), 0)), 0) + 1, MATCH(1, (Data_Input!$7:$7=$F$3)*(Data_Input!$8:$8=$B76), 0)),"")</f>
        <v/>
      </c>
      <c r="I76" s="20" t="str" cm="1">
        <f t="array" ref="I76">IFERROR(INDEX(Data_Input!$A$1:$ZZ$502, MATCH("평가손익", INDEX(Data_Input!$A$1:$ZZ$502, 0, MATCH(1, (Data_Input!$7:$7="IRP")*(Data_Input!$8:$8=$B76), 0)), 0) + 1, MATCH(1, (Data_Input!$7:$7=$F$3)*(Data_Input!$8:$8=$B76), 0)),"")</f>
        <v/>
      </c>
      <c r="J76" s="14" t="str" cm="1">
        <f t="array" ref="J76">IFERROR(INDEX(Data_Input!$A$1:$ZZ$502, MATCH("누적수익률", INDEX(Data_Input!$A$1:$ZZ$502, 0, MATCH(1, (Data_Input!$7:$7="IRP")*(Data_Input!$8:$8=$B76), 0)), 0) + 1, MATCH(1, (Data_Input!$7:$7=$F$3)*(Data_Input!$8:$8=$B76), 0))/100,"")</f>
        <v/>
      </c>
      <c r="K76" t="str" cm="1">
        <f t="array" ref="K76">IFERROR(_xlfn.LET(
    _xlpm.targetDate, B76,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77" spans="1:11" x14ac:dyDescent="0.3">
      <c r="A77" s="16" t="str">
        <f t="shared" si="2"/>
        <v/>
      </c>
      <c r="B77" s="19"/>
      <c r="C77" s="17" t="str">
        <f t="shared" si="3"/>
        <v/>
      </c>
      <c r="D77" s="42" t="str" cm="1">
        <f t="array" ref="D77">IFERROR(INDEX(Data_Input!$1:$100, 10, MATCH(1, (Data_Input!$7:$7=$F$3) * (Data_Input!$8:$8=$B77), 0)), "")</f>
        <v/>
      </c>
      <c r="E77" s="29" t="str" cm="1">
        <f t="array" ref="E77">IFERROR(INDEX(Data_Input!$1:$100, 9, MATCH(1, (Data_Input!$7:$7=$F$3) * (Data_Input!$8:$8=$B77), 0)),"")</f>
        <v/>
      </c>
      <c r="F77" s="20" t="str" cm="1">
        <f t="array" ref="F77">IFERROR(INDEX(Data_Input!$A$1:$ZZ$502, MATCH("플랜번호", INDEX(Data_Input!$A$1:$ZZ$502, 0, MATCH(1, (Data_Input!$7:$7="IRP")*(Data_Input!$8:$8=$B77), 0)), 0) + 1, MATCH(1, (Data_Input!$7:$7=$F$3)*(Data_Input!$8:$8=$B77), 0)),"")</f>
        <v/>
      </c>
      <c r="G77" s="20" t="str" cm="1">
        <f t="array" ref="G77">IFERROR(INDEX(Data_Input!$A$1:$ZZ$502, MATCH("플랜명", INDEX(Data_Input!$A$1:$ZZ$502, 0, MATCH(1, (Data_Input!$7:$7="IRP")*(Data_Input!$8:$8=$B77), 0)), 0) + 1, MATCH(1, (Data_Input!$7:$7=$F$3)*(Data_Input!$8:$8=$B77), 0)),"")</f>
        <v/>
      </c>
      <c r="H77" s="20" t="str" cm="1">
        <f t="array" ref="H77">IFERROR(INDEX(Data_Input!$A$1:$ZZ$502, MATCH("평가금액", INDEX(Data_Input!$A$1:$ZZ$502, 0, MATCH(1, (Data_Input!$7:$7="IRP")*(Data_Input!$8:$8=$B77), 0)), 0) + 1, MATCH(1, (Data_Input!$7:$7=$F$3)*(Data_Input!$8:$8=$B77), 0)),"")</f>
        <v/>
      </c>
      <c r="I77" s="20" t="str" cm="1">
        <f t="array" ref="I77">IFERROR(INDEX(Data_Input!$A$1:$ZZ$502, MATCH("평가손익", INDEX(Data_Input!$A$1:$ZZ$502, 0, MATCH(1, (Data_Input!$7:$7="IRP")*(Data_Input!$8:$8=$B77), 0)), 0) + 1, MATCH(1, (Data_Input!$7:$7=$F$3)*(Data_Input!$8:$8=$B77), 0)),"")</f>
        <v/>
      </c>
      <c r="J77" s="14" t="str" cm="1">
        <f t="array" ref="J77">IFERROR(INDEX(Data_Input!$A$1:$ZZ$502, MATCH("누적수익률", INDEX(Data_Input!$A$1:$ZZ$502, 0, MATCH(1, (Data_Input!$7:$7="IRP")*(Data_Input!$8:$8=$B77), 0)), 0) + 1, MATCH(1, (Data_Input!$7:$7=$F$3)*(Data_Input!$8:$8=$B77), 0))/100,"")</f>
        <v/>
      </c>
      <c r="K77" t="str" cm="1">
        <f t="array" ref="K77">IFERROR(_xlfn.LET(
    _xlpm.targetDate, B77,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78" spans="1:11" x14ac:dyDescent="0.3">
      <c r="A78" s="16" t="str">
        <f t="shared" si="2"/>
        <v/>
      </c>
      <c r="B78" s="19"/>
      <c r="C78" s="17" t="str">
        <f t="shared" si="3"/>
        <v/>
      </c>
      <c r="D78" s="42" t="str" cm="1">
        <f t="array" ref="D78">IFERROR(INDEX(Data_Input!$1:$100, 10, MATCH(1, (Data_Input!$7:$7=$F$3) * (Data_Input!$8:$8=$B78), 0)), "")</f>
        <v/>
      </c>
      <c r="E78" s="29" t="str" cm="1">
        <f t="array" ref="E78">IFERROR(INDEX(Data_Input!$1:$100, 9, MATCH(1, (Data_Input!$7:$7=$F$3) * (Data_Input!$8:$8=$B78), 0)),"")</f>
        <v/>
      </c>
      <c r="F78" s="20" t="str" cm="1">
        <f t="array" ref="F78">IFERROR(INDEX(Data_Input!$A$1:$ZZ$502, MATCH("플랜번호", INDEX(Data_Input!$A$1:$ZZ$502, 0, MATCH(1, (Data_Input!$7:$7="IRP")*(Data_Input!$8:$8=$B78), 0)), 0) + 1, MATCH(1, (Data_Input!$7:$7=$F$3)*(Data_Input!$8:$8=$B78), 0)),"")</f>
        <v/>
      </c>
      <c r="G78" s="20" t="str" cm="1">
        <f t="array" ref="G78">IFERROR(INDEX(Data_Input!$A$1:$ZZ$502, MATCH("플랜명", INDEX(Data_Input!$A$1:$ZZ$502, 0, MATCH(1, (Data_Input!$7:$7="IRP")*(Data_Input!$8:$8=$B78), 0)), 0) + 1, MATCH(1, (Data_Input!$7:$7=$F$3)*(Data_Input!$8:$8=$B78), 0)),"")</f>
        <v/>
      </c>
      <c r="H78" s="20" t="str" cm="1">
        <f t="array" ref="H78">IFERROR(INDEX(Data_Input!$A$1:$ZZ$502, MATCH("평가금액", INDEX(Data_Input!$A$1:$ZZ$502, 0, MATCH(1, (Data_Input!$7:$7="IRP")*(Data_Input!$8:$8=$B78), 0)), 0) + 1, MATCH(1, (Data_Input!$7:$7=$F$3)*(Data_Input!$8:$8=$B78), 0)),"")</f>
        <v/>
      </c>
      <c r="I78" s="20" t="str" cm="1">
        <f t="array" ref="I78">IFERROR(INDEX(Data_Input!$A$1:$ZZ$502, MATCH("평가손익", INDEX(Data_Input!$A$1:$ZZ$502, 0, MATCH(1, (Data_Input!$7:$7="IRP")*(Data_Input!$8:$8=$B78), 0)), 0) + 1, MATCH(1, (Data_Input!$7:$7=$F$3)*(Data_Input!$8:$8=$B78), 0)),"")</f>
        <v/>
      </c>
      <c r="J78" s="14" t="str" cm="1">
        <f t="array" ref="J78">IFERROR(INDEX(Data_Input!$A$1:$ZZ$502, MATCH("누적수익률", INDEX(Data_Input!$A$1:$ZZ$502, 0, MATCH(1, (Data_Input!$7:$7="IRP")*(Data_Input!$8:$8=$B78), 0)), 0) + 1, MATCH(1, (Data_Input!$7:$7=$F$3)*(Data_Input!$8:$8=$B78), 0))/100,"")</f>
        <v/>
      </c>
      <c r="K78" t="str" cm="1">
        <f t="array" ref="K78">IFERROR(_xlfn.LET(
    _xlpm.targetDate, B78,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79" spans="1:11" x14ac:dyDescent="0.3">
      <c r="A79" s="16" t="str">
        <f t="shared" si="2"/>
        <v/>
      </c>
      <c r="B79" s="19"/>
      <c r="C79" s="17" t="str">
        <f t="shared" si="3"/>
        <v/>
      </c>
      <c r="D79" s="42" t="str" cm="1">
        <f t="array" ref="D79">IFERROR(INDEX(Data_Input!$1:$100, 10, MATCH(1, (Data_Input!$7:$7=$F$3) * (Data_Input!$8:$8=$B79), 0)), "")</f>
        <v/>
      </c>
      <c r="E79" s="29" t="str" cm="1">
        <f t="array" ref="E79">IFERROR(INDEX(Data_Input!$1:$100, 9, MATCH(1, (Data_Input!$7:$7=$F$3) * (Data_Input!$8:$8=$B79), 0)),"")</f>
        <v/>
      </c>
      <c r="F79" s="20" t="str" cm="1">
        <f t="array" ref="F79">IFERROR(INDEX(Data_Input!$A$1:$ZZ$502, MATCH("플랜번호", INDEX(Data_Input!$A$1:$ZZ$502, 0, MATCH(1, (Data_Input!$7:$7="IRP")*(Data_Input!$8:$8=$B79), 0)), 0) + 1, MATCH(1, (Data_Input!$7:$7=$F$3)*(Data_Input!$8:$8=$B79), 0)),"")</f>
        <v/>
      </c>
      <c r="G79" s="20" t="str" cm="1">
        <f t="array" ref="G79">IFERROR(INDEX(Data_Input!$A$1:$ZZ$502, MATCH("플랜명", INDEX(Data_Input!$A$1:$ZZ$502, 0, MATCH(1, (Data_Input!$7:$7="IRP")*(Data_Input!$8:$8=$B79), 0)), 0) + 1, MATCH(1, (Data_Input!$7:$7=$F$3)*(Data_Input!$8:$8=$B79), 0)),"")</f>
        <v/>
      </c>
      <c r="H79" s="20" t="str" cm="1">
        <f t="array" ref="H79">IFERROR(INDEX(Data_Input!$A$1:$ZZ$502, MATCH("평가금액", INDEX(Data_Input!$A$1:$ZZ$502, 0, MATCH(1, (Data_Input!$7:$7="IRP")*(Data_Input!$8:$8=$B79), 0)), 0) + 1, MATCH(1, (Data_Input!$7:$7=$F$3)*(Data_Input!$8:$8=$B79), 0)),"")</f>
        <v/>
      </c>
      <c r="I79" s="20" t="str" cm="1">
        <f t="array" ref="I79">IFERROR(INDEX(Data_Input!$A$1:$ZZ$502, MATCH("평가손익", INDEX(Data_Input!$A$1:$ZZ$502, 0, MATCH(1, (Data_Input!$7:$7="IRP")*(Data_Input!$8:$8=$B79), 0)), 0) + 1, MATCH(1, (Data_Input!$7:$7=$F$3)*(Data_Input!$8:$8=$B79), 0)),"")</f>
        <v/>
      </c>
      <c r="J79" s="14" t="str" cm="1">
        <f t="array" ref="J79">IFERROR(INDEX(Data_Input!$A$1:$ZZ$502, MATCH("누적수익률", INDEX(Data_Input!$A$1:$ZZ$502, 0, MATCH(1, (Data_Input!$7:$7="IRP")*(Data_Input!$8:$8=$B79), 0)), 0) + 1, MATCH(1, (Data_Input!$7:$7=$F$3)*(Data_Input!$8:$8=$B79), 0))/100,"")</f>
        <v/>
      </c>
      <c r="K79" t="str" cm="1">
        <f t="array" ref="K79">IFERROR(_xlfn.LET(
    _xlpm.targetDate, B79,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80" spans="1:11" x14ac:dyDescent="0.3">
      <c r="A80" s="16" t="str">
        <f t="shared" si="2"/>
        <v/>
      </c>
      <c r="B80" s="19"/>
      <c r="C80" s="17" t="str">
        <f t="shared" si="3"/>
        <v/>
      </c>
      <c r="D80" s="42" t="str" cm="1">
        <f t="array" ref="D80">IFERROR(INDEX(Data_Input!$1:$100, 10, MATCH(1, (Data_Input!$7:$7=$F$3) * (Data_Input!$8:$8=$B80), 0)), "")</f>
        <v/>
      </c>
      <c r="E80" s="29" t="str" cm="1">
        <f t="array" ref="E80">IFERROR(INDEX(Data_Input!$1:$100, 9, MATCH(1, (Data_Input!$7:$7=$F$3) * (Data_Input!$8:$8=$B80), 0)),"")</f>
        <v/>
      </c>
      <c r="F80" s="20" t="str" cm="1">
        <f t="array" ref="F80">IFERROR(INDEX(Data_Input!$A$1:$ZZ$502, MATCH("플랜번호", INDEX(Data_Input!$A$1:$ZZ$502, 0, MATCH(1, (Data_Input!$7:$7="IRP")*(Data_Input!$8:$8=$B80), 0)), 0) + 1, MATCH(1, (Data_Input!$7:$7=$F$3)*(Data_Input!$8:$8=$B80), 0)),"")</f>
        <v/>
      </c>
      <c r="G80" s="20" t="str" cm="1">
        <f t="array" ref="G80">IFERROR(INDEX(Data_Input!$A$1:$ZZ$502, MATCH("플랜명", INDEX(Data_Input!$A$1:$ZZ$502, 0, MATCH(1, (Data_Input!$7:$7="IRP")*(Data_Input!$8:$8=$B80), 0)), 0) + 1, MATCH(1, (Data_Input!$7:$7=$F$3)*(Data_Input!$8:$8=$B80), 0)),"")</f>
        <v/>
      </c>
      <c r="H80" s="20" t="str" cm="1">
        <f t="array" ref="H80">IFERROR(INDEX(Data_Input!$A$1:$ZZ$502, MATCH("평가금액", INDEX(Data_Input!$A$1:$ZZ$502, 0, MATCH(1, (Data_Input!$7:$7="IRP")*(Data_Input!$8:$8=$B80), 0)), 0) + 1, MATCH(1, (Data_Input!$7:$7=$F$3)*(Data_Input!$8:$8=$B80), 0)),"")</f>
        <v/>
      </c>
      <c r="I80" s="20" t="str" cm="1">
        <f t="array" ref="I80">IFERROR(INDEX(Data_Input!$A$1:$ZZ$502, MATCH("평가손익", INDEX(Data_Input!$A$1:$ZZ$502, 0, MATCH(1, (Data_Input!$7:$7="IRP")*(Data_Input!$8:$8=$B80), 0)), 0) + 1, MATCH(1, (Data_Input!$7:$7=$F$3)*(Data_Input!$8:$8=$B80), 0)),"")</f>
        <v/>
      </c>
      <c r="J80" s="14" t="str" cm="1">
        <f t="array" ref="J80">IFERROR(INDEX(Data_Input!$A$1:$ZZ$502, MATCH("누적수익률", INDEX(Data_Input!$A$1:$ZZ$502, 0, MATCH(1, (Data_Input!$7:$7="IRP")*(Data_Input!$8:$8=$B80), 0)), 0) + 1, MATCH(1, (Data_Input!$7:$7=$F$3)*(Data_Input!$8:$8=$B80), 0))/100,"")</f>
        <v/>
      </c>
      <c r="K80" t="str" cm="1">
        <f t="array" ref="K80">IFERROR(_xlfn.LET(
    _xlpm.targetDate, B80,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81" spans="1:11" x14ac:dyDescent="0.3">
      <c r="A81" s="16" t="str">
        <f t="shared" si="2"/>
        <v/>
      </c>
      <c r="B81" s="19"/>
      <c r="C81" s="17" t="str">
        <f t="shared" si="3"/>
        <v/>
      </c>
      <c r="D81" s="42" t="str" cm="1">
        <f t="array" ref="D81">IFERROR(INDEX(Data_Input!$1:$100, 10, MATCH(1, (Data_Input!$7:$7=$F$3) * (Data_Input!$8:$8=$B81), 0)), "")</f>
        <v/>
      </c>
      <c r="E81" s="29" t="str" cm="1">
        <f t="array" ref="E81">IFERROR(INDEX(Data_Input!$1:$100, 9, MATCH(1, (Data_Input!$7:$7=$F$3) * (Data_Input!$8:$8=$B81), 0)),"")</f>
        <v/>
      </c>
      <c r="F81" s="20" t="str" cm="1">
        <f t="array" ref="F81">IFERROR(INDEX(Data_Input!$A$1:$ZZ$502, MATCH("플랜번호", INDEX(Data_Input!$A$1:$ZZ$502, 0, MATCH(1, (Data_Input!$7:$7="IRP")*(Data_Input!$8:$8=$B81), 0)), 0) + 1, MATCH(1, (Data_Input!$7:$7=$F$3)*(Data_Input!$8:$8=$B81), 0)),"")</f>
        <v/>
      </c>
      <c r="G81" s="20" t="str" cm="1">
        <f t="array" ref="G81">IFERROR(INDEX(Data_Input!$A$1:$ZZ$502, MATCH("플랜명", INDEX(Data_Input!$A$1:$ZZ$502, 0, MATCH(1, (Data_Input!$7:$7="IRP")*(Data_Input!$8:$8=$B81), 0)), 0) + 1, MATCH(1, (Data_Input!$7:$7=$F$3)*(Data_Input!$8:$8=$B81), 0)),"")</f>
        <v/>
      </c>
      <c r="H81" s="20" t="str" cm="1">
        <f t="array" ref="H81">IFERROR(INDEX(Data_Input!$A$1:$ZZ$502, MATCH("평가금액", INDEX(Data_Input!$A$1:$ZZ$502, 0, MATCH(1, (Data_Input!$7:$7="IRP")*(Data_Input!$8:$8=$B81), 0)), 0) + 1, MATCH(1, (Data_Input!$7:$7=$F$3)*(Data_Input!$8:$8=$B81), 0)),"")</f>
        <v/>
      </c>
      <c r="I81" s="20" t="str" cm="1">
        <f t="array" ref="I81">IFERROR(INDEX(Data_Input!$A$1:$ZZ$502, MATCH("평가손익", INDEX(Data_Input!$A$1:$ZZ$502, 0, MATCH(1, (Data_Input!$7:$7="IRP")*(Data_Input!$8:$8=$B81), 0)), 0) + 1, MATCH(1, (Data_Input!$7:$7=$F$3)*(Data_Input!$8:$8=$B81), 0)),"")</f>
        <v/>
      </c>
      <c r="J81" s="14" t="str" cm="1">
        <f t="array" ref="J81">IFERROR(INDEX(Data_Input!$A$1:$ZZ$502, MATCH("누적수익률", INDEX(Data_Input!$A$1:$ZZ$502, 0, MATCH(1, (Data_Input!$7:$7="IRP")*(Data_Input!$8:$8=$B81), 0)), 0) + 1, MATCH(1, (Data_Input!$7:$7=$F$3)*(Data_Input!$8:$8=$B81), 0))/100,"")</f>
        <v/>
      </c>
      <c r="K81" t="str" cm="1">
        <f t="array" ref="K81">IFERROR(_xlfn.LET(
    _xlpm.targetDate, B81,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82" spans="1:11" x14ac:dyDescent="0.3">
      <c r="A82" s="16" t="str">
        <f t="shared" si="2"/>
        <v/>
      </c>
      <c r="B82" s="19"/>
      <c r="C82" s="17" t="str">
        <f t="shared" si="3"/>
        <v/>
      </c>
      <c r="D82" s="42" t="str" cm="1">
        <f t="array" ref="D82">IFERROR(INDEX(Data_Input!$1:$100, 10, MATCH(1, (Data_Input!$7:$7=$F$3) * (Data_Input!$8:$8=$B82), 0)), "")</f>
        <v/>
      </c>
      <c r="E82" s="29" t="str" cm="1">
        <f t="array" ref="E82">IFERROR(INDEX(Data_Input!$1:$100, 9, MATCH(1, (Data_Input!$7:$7=$F$3) * (Data_Input!$8:$8=$B82), 0)),"")</f>
        <v/>
      </c>
      <c r="F82" s="20" t="str" cm="1">
        <f t="array" ref="F82">IFERROR(INDEX(Data_Input!$A$1:$ZZ$502, MATCH("플랜번호", INDEX(Data_Input!$A$1:$ZZ$502, 0, MATCH(1, (Data_Input!$7:$7="IRP")*(Data_Input!$8:$8=$B82), 0)), 0) + 1, MATCH(1, (Data_Input!$7:$7=$F$3)*(Data_Input!$8:$8=$B82), 0)),"")</f>
        <v/>
      </c>
      <c r="G82" s="20" t="str" cm="1">
        <f t="array" ref="G82">IFERROR(INDEX(Data_Input!$A$1:$ZZ$502, MATCH("플랜명", INDEX(Data_Input!$A$1:$ZZ$502, 0, MATCH(1, (Data_Input!$7:$7="IRP")*(Data_Input!$8:$8=$B82), 0)), 0) + 1, MATCH(1, (Data_Input!$7:$7=$F$3)*(Data_Input!$8:$8=$B82), 0)),"")</f>
        <v/>
      </c>
      <c r="H82" s="20" t="str" cm="1">
        <f t="array" ref="H82">IFERROR(INDEX(Data_Input!$A$1:$ZZ$502, MATCH("평가금액", INDEX(Data_Input!$A$1:$ZZ$502, 0, MATCH(1, (Data_Input!$7:$7="IRP")*(Data_Input!$8:$8=$B82), 0)), 0) + 1, MATCH(1, (Data_Input!$7:$7=$F$3)*(Data_Input!$8:$8=$B82), 0)),"")</f>
        <v/>
      </c>
      <c r="I82" s="20" t="str" cm="1">
        <f t="array" ref="I82">IFERROR(INDEX(Data_Input!$A$1:$ZZ$502, MATCH("평가손익", INDEX(Data_Input!$A$1:$ZZ$502, 0, MATCH(1, (Data_Input!$7:$7="IRP")*(Data_Input!$8:$8=$B82), 0)), 0) + 1, MATCH(1, (Data_Input!$7:$7=$F$3)*(Data_Input!$8:$8=$B82), 0)),"")</f>
        <v/>
      </c>
      <c r="J82" s="14" t="str" cm="1">
        <f t="array" ref="J82">IFERROR(INDEX(Data_Input!$A$1:$ZZ$502, MATCH("누적수익률", INDEX(Data_Input!$A$1:$ZZ$502, 0, MATCH(1, (Data_Input!$7:$7="IRP")*(Data_Input!$8:$8=$B82), 0)), 0) + 1, MATCH(1, (Data_Input!$7:$7=$F$3)*(Data_Input!$8:$8=$B82), 0))/100,"")</f>
        <v/>
      </c>
      <c r="K82" t="str" cm="1">
        <f t="array" ref="K82">IFERROR(_xlfn.LET(
    _xlpm.targetDate, B82,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83" spans="1:11" x14ac:dyDescent="0.3">
      <c r="A83" s="16" t="str">
        <f t="shared" si="2"/>
        <v/>
      </c>
      <c r="B83" s="19"/>
      <c r="C83" s="17" t="str">
        <f t="shared" si="3"/>
        <v/>
      </c>
      <c r="D83" s="42" t="str" cm="1">
        <f t="array" ref="D83">IFERROR(INDEX(Data_Input!$1:$100, 10, MATCH(1, (Data_Input!$7:$7=$F$3) * (Data_Input!$8:$8=$B83), 0)), "")</f>
        <v/>
      </c>
      <c r="E83" s="29" t="str" cm="1">
        <f t="array" ref="E83">IFERROR(INDEX(Data_Input!$1:$100, 9, MATCH(1, (Data_Input!$7:$7=$F$3) * (Data_Input!$8:$8=$B83), 0)),"")</f>
        <v/>
      </c>
      <c r="F83" s="20" t="str" cm="1">
        <f t="array" ref="F83">IFERROR(INDEX(Data_Input!$A$1:$ZZ$502, MATCH("플랜번호", INDEX(Data_Input!$A$1:$ZZ$502, 0, MATCH(1, (Data_Input!$7:$7="IRP")*(Data_Input!$8:$8=$B83), 0)), 0) + 1, MATCH(1, (Data_Input!$7:$7=$F$3)*(Data_Input!$8:$8=$B83), 0)),"")</f>
        <v/>
      </c>
      <c r="G83" s="20" t="str" cm="1">
        <f t="array" ref="G83">IFERROR(INDEX(Data_Input!$A$1:$ZZ$502, MATCH("플랜명", INDEX(Data_Input!$A$1:$ZZ$502, 0, MATCH(1, (Data_Input!$7:$7="IRP")*(Data_Input!$8:$8=$B83), 0)), 0) + 1, MATCH(1, (Data_Input!$7:$7=$F$3)*(Data_Input!$8:$8=$B83), 0)),"")</f>
        <v/>
      </c>
      <c r="H83" s="20" t="str" cm="1">
        <f t="array" ref="H83">IFERROR(INDEX(Data_Input!$A$1:$ZZ$502, MATCH("평가금액", INDEX(Data_Input!$A$1:$ZZ$502, 0, MATCH(1, (Data_Input!$7:$7="IRP")*(Data_Input!$8:$8=$B83), 0)), 0) + 1, MATCH(1, (Data_Input!$7:$7=$F$3)*(Data_Input!$8:$8=$B83), 0)),"")</f>
        <v/>
      </c>
      <c r="I83" s="20" t="str" cm="1">
        <f t="array" ref="I83">IFERROR(INDEX(Data_Input!$A$1:$ZZ$502, MATCH("평가손익", INDEX(Data_Input!$A$1:$ZZ$502, 0, MATCH(1, (Data_Input!$7:$7="IRP")*(Data_Input!$8:$8=$B83), 0)), 0) + 1, MATCH(1, (Data_Input!$7:$7=$F$3)*(Data_Input!$8:$8=$B83), 0)),"")</f>
        <v/>
      </c>
      <c r="J83" s="14" t="str" cm="1">
        <f t="array" ref="J83">IFERROR(INDEX(Data_Input!$A$1:$ZZ$502, MATCH("누적수익률", INDEX(Data_Input!$A$1:$ZZ$502, 0, MATCH(1, (Data_Input!$7:$7="IRP")*(Data_Input!$8:$8=$B83), 0)), 0) + 1, MATCH(1, (Data_Input!$7:$7=$F$3)*(Data_Input!$8:$8=$B83), 0))/100,"")</f>
        <v/>
      </c>
      <c r="K83" t="str" cm="1">
        <f t="array" ref="K83">IFERROR(_xlfn.LET(
    _xlpm.targetDate, B83,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84" spans="1:11" x14ac:dyDescent="0.3">
      <c r="A84" s="16" t="str">
        <f t="shared" si="2"/>
        <v/>
      </c>
      <c r="B84" s="19"/>
      <c r="C84" s="17" t="str">
        <f t="shared" si="3"/>
        <v/>
      </c>
      <c r="D84" s="42" t="str" cm="1">
        <f t="array" ref="D84">IFERROR(INDEX(Data_Input!$1:$100, 10, MATCH(1, (Data_Input!$7:$7=$F$3) * (Data_Input!$8:$8=$B84), 0)), "")</f>
        <v/>
      </c>
      <c r="E84" s="29" t="str" cm="1">
        <f t="array" ref="E84">IFERROR(INDEX(Data_Input!$1:$100, 9, MATCH(1, (Data_Input!$7:$7=$F$3) * (Data_Input!$8:$8=$B84), 0)),"")</f>
        <v/>
      </c>
      <c r="F84" s="20" t="str" cm="1">
        <f t="array" ref="F84">IFERROR(INDEX(Data_Input!$A$1:$ZZ$502, MATCH("플랜번호", INDEX(Data_Input!$A$1:$ZZ$502, 0, MATCH(1, (Data_Input!$7:$7="IRP")*(Data_Input!$8:$8=$B84), 0)), 0) + 1, MATCH(1, (Data_Input!$7:$7=$F$3)*(Data_Input!$8:$8=$B84), 0)),"")</f>
        <v/>
      </c>
      <c r="G84" s="20" t="str" cm="1">
        <f t="array" ref="G84">IFERROR(INDEX(Data_Input!$A$1:$ZZ$502, MATCH("플랜명", INDEX(Data_Input!$A$1:$ZZ$502, 0, MATCH(1, (Data_Input!$7:$7="IRP")*(Data_Input!$8:$8=$B84), 0)), 0) + 1, MATCH(1, (Data_Input!$7:$7=$F$3)*(Data_Input!$8:$8=$B84), 0)),"")</f>
        <v/>
      </c>
      <c r="H84" s="20" t="str" cm="1">
        <f t="array" ref="H84">IFERROR(INDEX(Data_Input!$A$1:$ZZ$502, MATCH("평가금액", INDEX(Data_Input!$A$1:$ZZ$502, 0, MATCH(1, (Data_Input!$7:$7="IRP")*(Data_Input!$8:$8=$B84), 0)), 0) + 1, MATCH(1, (Data_Input!$7:$7=$F$3)*(Data_Input!$8:$8=$B84), 0)),"")</f>
        <v/>
      </c>
      <c r="I84" s="20" t="str" cm="1">
        <f t="array" ref="I84">IFERROR(INDEX(Data_Input!$A$1:$ZZ$502, MATCH("평가손익", INDEX(Data_Input!$A$1:$ZZ$502, 0, MATCH(1, (Data_Input!$7:$7="IRP")*(Data_Input!$8:$8=$B84), 0)), 0) + 1, MATCH(1, (Data_Input!$7:$7=$F$3)*(Data_Input!$8:$8=$B84), 0)),"")</f>
        <v/>
      </c>
      <c r="J84" s="14" t="str" cm="1">
        <f t="array" ref="J84">IFERROR(INDEX(Data_Input!$A$1:$ZZ$502, MATCH("누적수익률", INDEX(Data_Input!$A$1:$ZZ$502, 0, MATCH(1, (Data_Input!$7:$7="IRP")*(Data_Input!$8:$8=$B84), 0)), 0) + 1, MATCH(1, (Data_Input!$7:$7=$F$3)*(Data_Input!$8:$8=$B84), 0))/100,"")</f>
        <v/>
      </c>
      <c r="K84" t="str" cm="1">
        <f t="array" ref="K84">IFERROR(_xlfn.LET(
    _xlpm.targetDate, B84,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85" spans="1:11" x14ac:dyDescent="0.3">
      <c r="A85" s="16" t="str">
        <f t="shared" si="2"/>
        <v/>
      </c>
      <c r="B85" s="19"/>
      <c r="C85" s="17" t="str">
        <f t="shared" si="3"/>
        <v/>
      </c>
      <c r="D85" s="42" t="str" cm="1">
        <f t="array" ref="D85">IFERROR(INDEX(Data_Input!$1:$100, 10, MATCH(1, (Data_Input!$7:$7=$F$3) * (Data_Input!$8:$8=$B85), 0)), "")</f>
        <v/>
      </c>
      <c r="E85" s="29" t="str" cm="1">
        <f t="array" ref="E85">IFERROR(INDEX(Data_Input!$1:$100, 9, MATCH(1, (Data_Input!$7:$7=$F$3) * (Data_Input!$8:$8=$B85), 0)),"")</f>
        <v/>
      </c>
      <c r="F85" s="20" t="str" cm="1">
        <f t="array" ref="F85">IFERROR(INDEX(Data_Input!$A$1:$ZZ$502, MATCH("플랜번호", INDEX(Data_Input!$A$1:$ZZ$502, 0, MATCH(1, (Data_Input!$7:$7="IRP")*(Data_Input!$8:$8=$B85), 0)), 0) + 1, MATCH(1, (Data_Input!$7:$7=$F$3)*(Data_Input!$8:$8=$B85), 0)),"")</f>
        <v/>
      </c>
      <c r="G85" s="20" t="str" cm="1">
        <f t="array" ref="G85">IFERROR(INDEX(Data_Input!$A$1:$ZZ$502, MATCH("플랜명", INDEX(Data_Input!$A$1:$ZZ$502, 0, MATCH(1, (Data_Input!$7:$7="IRP")*(Data_Input!$8:$8=$B85), 0)), 0) + 1, MATCH(1, (Data_Input!$7:$7=$F$3)*(Data_Input!$8:$8=$B85), 0)),"")</f>
        <v/>
      </c>
      <c r="H85" s="20" t="str" cm="1">
        <f t="array" ref="H85">IFERROR(INDEX(Data_Input!$A$1:$ZZ$502, MATCH("평가금액", INDEX(Data_Input!$A$1:$ZZ$502, 0, MATCH(1, (Data_Input!$7:$7="IRP")*(Data_Input!$8:$8=$B85), 0)), 0) + 1, MATCH(1, (Data_Input!$7:$7=$F$3)*(Data_Input!$8:$8=$B85), 0)),"")</f>
        <v/>
      </c>
      <c r="I85" s="20" t="str" cm="1">
        <f t="array" ref="I85">IFERROR(INDEX(Data_Input!$A$1:$ZZ$502, MATCH("평가손익", INDEX(Data_Input!$A$1:$ZZ$502, 0, MATCH(1, (Data_Input!$7:$7="IRP")*(Data_Input!$8:$8=$B85), 0)), 0) + 1, MATCH(1, (Data_Input!$7:$7=$F$3)*(Data_Input!$8:$8=$B85), 0)),"")</f>
        <v/>
      </c>
      <c r="J85" s="14" t="str" cm="1">
        <f t="array" ref="J85">IFERROR(INDEX(Data_Input!$A$1:$ZZ$502, MATCH("누적수익률", INDEX(Data_Input!$A$1:$ZZ$502, 0, MATCH(1, (Data_Input!$7:$7="IRP")*(Data_Input!$8:$8=$B85), 0)), 0) + 1, MATCH(1, (Data_Input!$7:$7=$F$3)*(Data_Input!$8:$8=$B85), 0))/100,"")</f>
        <v/>
      </c>
      <c r="K85" t="str" cm="1">
        <f t="array" ref="K85">IFERROR(_xlfn.LET(
    _xlpm.targetDate, B85,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86" spans="1:11" x14ac:dyDescent="0.3">
      <c r="A86" s="16" t="str">
        <f t="shared" si="2"/>
        <v/>
      </c>
      <c r="B86" s="19"/>
      <c r="C86" s="17" t="str">
        <f t="shared" si="3"/>
        <v/>
      </c>
      <c r="D86" s="42" t="str" cm="1">
        <f t="array" ref="D86">IFERROR(INDEX(Data_Input!$1:$100, 10, MATCH(1, (Data_Input!$7:$7=$F$3) * (Data_Input!$8:$8=$B86), 0)), "")</f>
        <v/>
      </c>
      <c r="E86" s="29" t="str" cm="1">
        <f t="array" ref="E86">IFERROR(INDEX(Data_Input!$1:$100, 9, MATCH(1, (Data_Input!$7:$7=$F$3) * (Data_Input!$8:$8=$B86), 0)),"")</f>
        <v/>
      </c>
      <c r="F86" s="20" t="str" cm="1">
        <f t="array" ref="F86">IFERROR(INDEX(Data_Input!$A$1:$ZZ$502, MATCH("플랜번호", INDEX(Data_Input!$A$1:$ZZ$502, 0, MATCH(1, (Data_Input!$7:$7="IRP")*(Data_Input!$8:$8=$B86), 0)), 0) + 1, MATCH(1, (Data_Input!$7:$7=$F$3)*(Data_Input!$8:$8=$B86), 0)),"")</f>
        <v/>
      </c>
      <c r="G86" s="20" t="str" cm="1">
        <f t="array" ref="G86">IFERROR(INDEX(Data_Input!$A$1:$ZZ$502, MATCH("플랜명", INDEX(Data_Input!$A$1:$ZZ$502, 0, MATCH(1, (Data_Input!$7:$7="IRP")*(Data_Input!$8:$8=$B86), 0)), 0) + 1, MATCH(1, (Data_Input!$7:$7=$F$3)*(Data_Input!$8:$8=$B86), 0)),"")</f>
        <v/>
      </c>
      <c r="H86" s="20" t="str" cm="1">
        <f t="array" ref="H86">IFERROR(INDEX(Data_Input!$A$1:$ZZ$502, MATCH("평가금액", INDEX(Data_Input!$A$1:$ZZ$502, 0, MATCH(1, (Data_Input!$7:$7="IRP")*(Data_Input!$8:$8=$B86), 0)), 0) + 1, MATCH(1, (Data_Input!$7:$7=$F$3)*(Data_Input!$8:$8=$B86), 0)),"")</f>
        <v/>
      </c>
      <c r="I86" s="20" t="str" cm="1">
        <f t="array" ref="I86">IFERROR(INDEX(Data_Input!$A$1:$ZZ$502, MATCH("평가손익", INDEX(Data_Input!$A$1:$ZZ$502, 0, MATCH(1, (Data_Input!$7:$7="IRP")*(Data_Input!$8:$8=$B86), 0)), 0) + 1, MATCH(1, (Data_Input!$7:$7=$F$3)*(Data_Input!$8:$8=$B86), 0)),"")</f>
        <v/>
      </c>
      <c r="J86" s="14" t="str" cm="1">
        <f t="array" ref="J86">IFERROR(INDEX(Data_Input!$A$1:$ZZ$502, MATCH("누적수익률", INDEX(Data_Input!$A$1:$ZZ$502, 0, MATCH(1, (Data_Input!$7:$7="IRP")*(Data_Input!$8:$8=$B86), 0)), 0) + 1, MATCH(1, (Data_Input!$7:$7=$F$3)*(Data_Input!$8:$8=$B86), 0))/100,"")</f>
        <v/>
      </c>
      <c r="K86" t="str" cm="1">
        <f t="array" ref="K86">IFERROR(_xlfn.LET(
    _xlpm.targetDate, B86,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87" spans="1:11" x14ac:dyDescent="0.3">
      <c r="A87" s="16" t="str">
        <f t="shared" si="2"/>
        <v/>
      </c>
      <c r="B87" s="19"/>
      <c r="C87" s="17" t="str">
        <f t="shared" si="3"/>
        <v/>
      </c>
      <c r="D87" s="42" t="str" cm="1">
        <f t="array" ref="D87">IFERROR(INDEX(Data_Input!$1:$100, 10, MATCH(1, (Data_Input!$7:$7=$F$3) * (Data_Input!$8:$8=$B87), 0)), "")</f>
        <v/>
      </c>
      <c r="E87" s="29" t="str" cm="1">
        <f t="array" ref="E87">IFERROR(INDEX(Data_Input!$1:$100, 9, MATCH(1, (Data_Input!$7:$7=$F$3) * (Data_Input!$8:$8=$B87), 0)),"")</f>
        <v/>
      </c>
      <c r="F87" s="20" t="str" cm="1">
        <f t="array" ref="F87">IFERROR(INDEX(Data_Input!$A$1:$ZZ$502, MATCH("플랜번호", INDEX(Data_Input!$A$1:$ZZ$502, 0, MATCH(1, (Data_Input!$7:$7="IRP")*(Data_Input!$8:$8=$B87), 0)), 0) + 1, MATCH(1, (Data_Input!$7:$7=$F$3)*(Data_Input!$8:$8=$B87), 0)),"")</f>
        <v/>
      </c>
      <c r="G87" s="20" t="str" cm="1">
        <f t="array" ref="G87">IFERROR(INDEX(Data_Input!$A$1:$ZZ$502, MATCH("플랜명", INDEX(Data_Input!$A$1:$ZZ$502, 0, MATCH(1, (Data_Input!$7:$7="IRP")*(Data_Input!$8:$8=$B87), 0)), 0) + 1, MATCH(1, (Data_Input!$7:$7=$F$3)*(Data_Input!$8:$8=$B87), 0)),"")</f>
        <v/>
      </c>
      <c r="H87" s="20" t="str" cm="1">
        <f t="array" ref="H87">IFERROR(INDEX(Data_Input!$A$1:$ZZ$502, MATCH("평가금액", INDEX(Data_Input!$A$1:$ZZ$502, 0, MATCH(1, (Data_Input!$7:$7="IRP")*(Data_Input!$8:$8=$B87), 0)), 0) + 1, MATCH(1, (Data_Input!$7:$7=$F$3)*(Data_Input!$8:$8=$B87), 0)),"")</f>
        <v/>
      </c>
      <c r="I87" s="20" t="str" cm="1">
        <f t="array" ref="I87">IFERROR(INDEX(Data_Input!$A$1:$ZZ$502, MATCH("평가손익", INDEX(Data_Input!$A$1:$ZZ$502, 0, MATCH(1, (Data_Input!$7:$7="IRP")*(Data_Input!$8:$8=$B87), 0)), 0) + 1, MATCH(1, (Data_Input!$7:$7=$F$3)*(Data_Input!$8:$8=$B87), 0)),"")</f>
        <v/>
      </c>
      <c r="J87" s="14" t="str" cm="1">
        <f t="array" ref="J87">IFERROR(INDEX(Data_Input!$A$1:$ZZ$502, MATCH("누적수익률", INDEX(Data_Input!$A$1:$ZZ$502, 0, MATCH(1, (Data_Input!$7:$7="IRP")*(Data_Input!$8:$8=$B87), 0)), 0) + 1, MATCH(1, (Data_Input!$7:$7=$F$3)*(Data_Input!$8:$8=$B87), 0))/100,"")</f>
        <v/>
      </c>
      <c r="K87" t="str" cm="1">
        <f t="array" ref="K87">IFERROR(_xlfn.LET(
    _xlpm.targetDate, B87,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88" spans="1:11" x14ac:dyDescent="0.3">
      <c r="A88" s="16" t="str">
        <f t="shared" si="2"/>
        <v/>
      </c>
      <c r="B88" s="19"/>
      <c r="C88" s="17" t="str">
        <f t="shared" si="3"/>
        <v/>
      </c>
      <c r="D88" s="42" t="str" cm="1">
        <f t="array" ref="D88">IFERROR(INDEX(Data_Input!$1:$100, 10, MATCH(1, (Data_Input!$7:$7=$F$3) * (Data_Input!$8:$8=$B88), 0)), "")</f>
        <v/>
      </c>
      <c r="E88" s="29" t="str" cm="1">
        <f t="array" ref="E88">IFERROR(INDEX(Data_Input!$1:$100, 9, MATCH(1, (Data_Input!$7:$7=$F$3) * (Data_Input!$8:$8=$B88), 0)),"")</f>
        <v/>
      </c>
      <c r="F88" s="20" t="str" cm="1">
        <f t="array" ref="F88">IFERROR(INDEX(Data_Input!$A$1:$ZZ$502, MATCH("플랜번호", INDEX(Data_Input!$A$1:$ZZ$502, 0, MATCH(1, (Data_Input!$7:$7="IRP")*(Data_Input!$8:$8=$B88), 0)), 0) + 1, MATCH(1, (Data_Input!$7:$7=$F$3)*(Data_Input!$8:$8=$B88), 0)),"")</f>
        <v/>
      </c>
      <c r="G88" s="20" t="str" cm="1">
        <f t="array" ref="G88">IFERROR(INDEX(Data_Input!$A$1:$ZZ$502, MATCH("플랜명", INDEX(Data_Input!$A$1:$ZZ$502, 0, MATCH(1, (Data_Input!$7:$7="IRP")*(Data_Input!$8:$8=$B88), 0)), 0) + 1, MATCH(1, (Data_Input!$7:$7=$F$3)*(Data_Input!$8:$8=$B88), 0)),"")</f>
        <v/>
      </c>
      <c r="H88" s="20" t="str" cm="1">
        <f t="array" ref="H88">IFERROR(INDEX(Data_Input!$A$1:$ZZ$502, MATCH("평가금액", INDEX(Data_Input!$A$1:$ZZ$502, 0, MATCH(1, (Data_Input!$7:$7="IRP")*(Data_Input!$8:$8=$B88), 0)), 0) + 1, MATCH(1, (Data_Input!$7:$7=$F$3)*(Data_Input!$8:$8=$B88), 0)),"")</f>
        <v/>
      </c>
      <c r="I88" s="20" t="str" cm="1">
        <f t="array" ref="I88">IFERROR(INDEX(Data_Input!$A$1:$ZZ$502, MATCH("평가손익", INDEX(Data_Input!$A$1:$ZZ$502, 0, MATCH(1, (Data_Input!$7:$7="IRP")*(Data_Input!$8:$8=$B88), 0)), 0) + 1, MATCH(1, (Data_Input!$7:$7=$F$3)*(Data_Input!$8:$8=$B88), 0)),"")</f>
        <v/>
      </c>
      <c r="J88" s="14" t="str" cm="1">
        <f t="array" ref="J88">IFERROR(INDEX(Data_Input!$A$1:$ZZ$502, MATCH("누적수익률", INDEX(Data_Input!$A$1:$ZZ$502, 0, MATCH(1, (Data_Input!$7:$7="IRP")*(Data_Input!$8:$8=$B88), 0)), 0) + 1, MATCH(1, (Data_Input!$7:$7=$F$3)*(Data_Input!$8:$8=$B88), 0))/100,"")</f>
        <v/>
      </c>
      <c r="K88" t="str" cm="1">
        <f t="array" ref="K88">IFERROR(_xlfn.LET(
    _xlpm.targetDate, B88,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89" spans="1:11" x14ac:dyDescent="0.3">
      <c r="A89" s="16" t="str">
        <f t="shared" si="2"/>
        <v/>
      </c>
      <c r="B89" s="19"/>
      <c r="C89" s="17" t="str">
        <f t="shared" si="3"/>
        <v/>
      </c>
      <c r="D89" s="42" t="str" cm="1">
        <f t="array" ref="D89">IFERROR(INDEX(Data_Input!$1:$100, 10, MATCH(1, (Data_Input!$7:$7=$F$3) * (Data_Input!$8:$8=$B89), 0)), "")</f>
        <v/>
      </c>
      <c r="E89" s="29" t="str" cm="1">
        <f t="array" ref="E89">IFERROR(INDEX(Data_Input!$1:$100, 9, MATCH(1, (Data_Input!$7:$7=$F$3) * (Data_Input!$8:$8=$B89), 0)),"")</f>
        <v/>
      </c>
      <c r="F89" s="20" t="str" cm="1">
        <f t="array" ref="F89">IFERROR(INDEX(Data_Input!$A$1:$ZZ$502, MATCH("플랜번호", INDEX(Data_Input!$A$1:$ZZ$502, 0, MATCH(1, (Data_Input!$7:$7="IRP")*(Data_Input!$8:$8=$B89), 0)), 0) + 1, MATCH(1, (Data_Input!$7:$7=$F$3)*(Data_Input!$8:$8=$B89), 0)),"")</f>
        <v/>
      </c>
      <c r="G89" s="20" t="str" cm="1">
        <f t="array" ref="G89">IFERROR(INDEX(Data_Input!$A$1:$ZZ$502, MATCH("플랜명", INDEX(Data_Input!$A$1:$ZZ$502, 0, MATCH(1, (Data_Input!$7:$7="IRP")*(Data_Input!$8:$8=$B89), 0)), 0) + 1, MATCH(1, (Data_Input!$7:$7=$F$3)*(Data_Input!$8:$8=$B89), 0)),"")</f>
        <v/>
      </c>
      <c r="H89" s="20" t="str" cm="1">
        <f t="array" ref="H89">IFERROR(INDEX(Data_Input!$A$1:$ZZ$502, MATCH("평가금액", INDEX(Data_Input!$A$1:$ZZ$502, 0, MATCH(1, (Data_Input!$7:$7="IRP")*(Data_Input!$8:$8=$B89), 0)), 0) + 1, MATCH(1, (Data_Input!$7:$7=$F$3)*(Data_Input!$8:$8=$B89), 0)),"")</f>
        <v/>
      </c>
      <c r="I89" s="20" t="str" cm="1">
        <f t="array" ref="I89">IFERROR(INDEX(Data_Input!$A$1:$ZZ$502, MATCH("평가손익", INDEX(Data_Input!$A$1:$ZZ$502, 0, MATCH(1, (Data_Input!$7:$7="IRP")*(Data_Input!$8:$8=$B89), 0)), 0) + 1, MATCH(1, (Data_Input!$7:$7=$F$3)*(Data_Input!$8:$8=$B89), 0)),"")</f>
        <v/>
      </c>
      <c r="J89" s="14" t="str" cm="1">
        <f t="array" ref="J89">IFERROR(INDEX(Data_Input!$A$1:$ZZ$502, MATCH("누적수익률", INDEX(Data_Input!$A$1:$ZZ$502, 0, MATCH(1, (Data_Input!$7:$7="IRP")*(Data_Input!$8:$8=$B89), 0)), 0) + 1, MATCH(1, (Data_Input!$7:$7=$F$3)*(Data_Input!$8:$8=$B89), 0))/100,"")</f>
        <v/>
      </c>
      <c r="K89" t="str" cm="1">
        <f t="array" ref="K89">IFERROR(_xlfn.LET(
    _xlpm.targetDate, B89,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90" spans="1:11" x14ac:dyDescent="0.3">
      <c r="A90" s="16" t="str">
        <f t="shared" si="2"/>
        <v/>
      </c>
      <c r="B90" s="19"/>
      <c r="C90" s="17" t="str">
        <f t="shared" si="3"/>
        <v/>
      </c>
      <c r="D90" s="42" t="str" cm="1">
        <f t="array" ref="D90">IFERROR(INDEX(Data_Input!$1:$100, 10, MATCH(1, (Data_Input!$7:$7=$F$3) * (Data_Input!$8:$8=$B90), 0)), "")</f>
        <v/>
      </c>
      <c r="E90" s="29" t="str" cm="1">
        <f t="array" ref="E90">IFERROR(INDEX(Data_Input!$1:$100, 9, MATCH(1, (Data_Input!$7:$7=$F$3) * (Data_Input!$8:$8=$B90), 0)),"")</f>
        <v/>
      </c>
      <c r="F90" s="20" t="str" cm="1">
        <f t="array" ref="F90">IFERROR(INDEX(Data_Input!$A$1:$ZZ$502, MATCH("플랜번호", INDEX(Data_Input!$A$1:$ZZ$502, 0, MATCH(1, (Data_Input!$7:$7="IRP")*(Data_Input!$8:$8=$B90), 0)), 0) + 1, MATCH(1, (Data_Input!$7:$7=$F$3)*(Data_Input!$8:$8=$B90), 0)),"")</f>
        <v/>
      </c>
      <c r="G90" s="20" t="str" cm="1">
        <f t="array" ref="G90">IFERROR(INDEX(Data_Input!$A$1:$ZZ$502, MATCH("플랜명", INDEX(Data_Input!$A$1:$ZZ$502, 0, MATCH(1, (Data_Input!$7:$7="IRP")*(Data_Input!$8:$8=$B90), 0)), 0) + 1, MATCH(1, (Data_Input!$7:$7=$F$3)*(Data_Input!$8:$8=$B90), 0)),"")</f>
        <v/>
      </c>
      <c r="H90" s="20" t="str" cm="1">
        <f t="array" ref="H90">IFERROR(INDEX(Data_Input!$A$1:$ZZ$502, MATCH("평가금액", INDEX(Data_Input!$A$1:$ZZ$502, 0, MATCH(1, (Data_Input!$7:$7="IRP")*(Data_Input!$8:$8=$B90), 0)), 0) + 1, MATCH(1, (Data_Input!$7:$7=$F$3)*(Data_Input!$8:$8=$B90), 0)),"")</f>
        <v/>
      </c>
      <c r="I90" s="20" t="str" cm="1">
        <f t="array" ref="I90">IFERROR(INDEX(Data_Input!$A$1:$ZZ$502, MATCH("평가손익", INDEX(Data_Input!$A$1:$ZZ$502, 0, MATCH(1, (Data_Input!$7:$7="IRP")*(Data_Input!$8:$8=$B90), 0)), 0) + 1, MATCH(1, (Data_Input!$7:$7=$F$3)*(Data_Input!$8:$8=$B90), 0)),"")</f>
        <v/>
      </c>
      <c r="J90" s="14" t="str" cm="1">
        <f t="array" ref="J90">IFERROR(INDEX(Data_Input!$A$1:$ZZ$502, MATCH("누적수익률", INDEX(Data_Input!$A$1:$ZZ$502, 0, MATCH(1, (Data_Input!$7:$7="IRP")*(Data_Input!$8:$8=$B90), 0)), 0) + 1, MATCH(1, (Data_Input!$7:$7=$F$3)*(Data_Input!$8:$8=$B90), 0))/100,"")</f>
        <v/>
      </c>
      <c r="K90" t="str" cm="1">
        <f t="array" ref="K90">IFERROR(_xlfn.LET(
    _xlpm.targetDate, B90,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91" spans="1:11" x14ac:dyDescent="0.3">
      <c r="A91" s="16" t="str">
        <f t="shared" si="2"/>
        <v/>
      </c>
      <c r="B91" s="19"/>
      <c r="C91" s="17" t="str">
        <f t="shared" si="3"/>
        <v/>
      </c>
      <c r="D91" s="42" t="str" cm="1">
        <f t="array" ref="D91">IFERROR(INDEX(Data_Input!$1:$100, 10, MATCH(1, (Data_Input!$7:$7=$F$3) * (Data_Input!$8:$8=$B91), 0)), "")</f>
        <v/>
      </c>
      <c r="E91" s="29" t="str" cm="1">
        <f t="array" ref="E91">IFERROR(INDEX(Data_Input!$1:$100, 9, MATCH(1, (Data_Input!$7:$7=$F$3) * (Data_Input!$8:$8=$B91), 0)),"")</f>
        <v/>
      </c>
      <c r="F91" s="20" t="str" cm="1">
        <f t="array" ref="F91">IFERROR(INDEX(Data_Input!$A$1:$ZZ$502, MATCH("플랜번호", INDEX(Data_Input!$A$1:$ZZ$502, 0, MATCH(1, (Data_Input!$7:$7="IRP")*(Data_Input!$8:$8=$B91), 0)), 0) + 1, MATCH(1, (Data_Input!$7:$7=$F$3)*(Data_Input!$8:$8=$B91), 0)),"")</f>
        <v/>
      </c>
      <c r="G91" s="20" t="str" cm="1">
        <f t="array" ref="G91">IFERROR(INDEX(Data_Input!$A$1:$ZZ$502, MATCH("플랜명", INDEX(Data_Input!$A$1:$ZZ$502, 0, MATCH(1, (Data_Input!$7:$7="IRP")*(Data_Input!$8:$8=$B91), 0)), 0) + 1, MATCH(1, (Data_Input!$7:$7=$F$3)*(Data_Input!$8:$8=$B91), 0)),"")</f>
        <v/>
      </c>
      <c r="H91" s="20" t="str" cm="1">
        <f t="array" ref="H91">IFERROR(INDEX(Data_Input!$A$1:$ZZ$502, MATCH("평가금액", INDEX(Data_Input!$A$1:$ZZ$502, 0, MATCH(1, (Data_Input!$7:$7="IRP")*(Data_Input!$8:$8=$B91), 0)), 0) + 1, MATCH(1, (Data_Input!$7:$7=$F$3)*(Data_Input!$8:$8=$B91), 0)),"")</f>
        <v/>
      </c>
      <c r="I91" s="20" t="str" cm="1">
        <f t="array" ref="I91">IFERROR(INDEX(Data_Input!$A$1:$ZZ$502, MATCH("평가손익", INDEX(Data_Input!$A$1:$ZZ$502, 0, MATCH(1, (Data_Input!$7:$7="IRP")*(Data_Input!$8:$8=$B91), 0)), 0) + 1, MATCH(1, (Data_Input!$7:$7=$F$3)*(Data_Input!$8:$8=$B91), 0)),"")</f>
        <v/>
      </c>
      <c r="J91" s="14" t="str" cm="1">
        <f t="array" ref="J91">IFERROR(INDEX(Data_Input!$A$1:$ZZ$502, MATCH("누적수익률", INDEX(Data_Input!$A$1:$ZZ$502, 0, MATCH(1, (Data_Input!$7:$7="IRP")*(Data_Input!$8:$8=$B91), 0)), 0) + 1, MATCH(1, (Data_Input!$7:$7=$F$3)*(Data_Input!$8:$8=$B91), 0))/100,"")</f>
        <v/>
      </c>
      <c r="K91" t="str" cm="1">
        <f t="array" ref="K91">IFERROR(_xlfn.LET(
    _xlpm.targetDate, B91,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92" spans="1:11" x14ac:dyDescent="0.3">
      <c r="A92" s="16" t="str">
        <f t="shared" si="2"/>
        <v/>
      </c>
      <c r="B92" s="19"/>
      <c r="C92" s="17" t="str">
        <f t="shared" si="3"/>
        <v/>
      </c>
      <c r="D92" s="42" t="str" cm="1">
        <f t="array" ref="D92">IFERROR(INDEX(Data_Input!$1:$100, 10, MATCH(1, (Data_Input!$7:$7=$F$3) * (Data_Input!$8:$8=$B92), 0)), "")</f>
        <v/>
      </c>
      <c r="E92" s="29" t="str" cm="1">
        <f t="array" ref="E92">IFERROR(INDEX(Data_Input!$1:$100, 9, MATCH(1, (Data_Input!$7:$7=$F$3) * (Data_Input!$8:$8=$B92), 0)),"")</f>
        <v/>
      </c>
      <c r="F92" s="20" t="str" cm="1">
        <f t="array" ref="F92">IFERROR(INDEX(Data_Input!$A$1:$ZZ$502, MATCH("플랜번호", INDEX(Data_Input!$A$1:$ZZ$502, 0, MATCH(1, (Data_Input!$7:$7="IRP")*(Data_Input!$8:$8=$B92), 0)), 0) + 1, MATCH(1, (Data_Input!$7:$7=$F$3)*(Data_Input!$8:$8=$B92), 0)),"")</f>
        <v/>
      </c>
      <c r="G92" s="20" t="str" cm="1">
        <f t="array" ref="G92">IFERROR(INDEX(Data_Input!$A$1:$ZZ$502, MATCH("플랜명", INDEX(Data_Input!$A$1:$ZZ$502, 0, MATCH(1, (Data_Input!$7:$7="IRP")*(Data_Input!$8:$8=$B92), 0)), 0) + 1, MATCH(1, (Data_Input!$7:$7=$F$3)*(Data_Input!$8:$8=$B92), 0)),"")</f>
        <v/>
      </c>
      <c r="H92" s="20" t="str" cm="1">
        <f t="array" ref="H92">IFERROR(INDEX(Data_Input!$A$1:$ZZ$502, MATCH("평가금액", INDEX(Data_Input!$A$1:$ZZ$502, 0, MATCH(1, (Data_Input!$7:$7="IRP")*(Data_Input!$8:$8=$B92), 0)), 0) + 1, MATCH(1, (Data_Input!$7:$7=$F$3)*(Data_Input!$8:$8=$B92), 0)),"")</f>
        <v/>
      </c>
      <c r="I92" s="20" t="str" cm="1">
        <f t="array" ref="I92">IFERROR(INDEX(Data_Input!$A$1:$ZZ$502, MATCH("평가손익", INDEX(Data_Input!$A$1:$ZZ$502, 0, MATCH(1, (Data_Input!$7:$7="IRP")*(Data_Input!$8:$8=$B92), 0)), 0) + 1, MATCH(1, (Data_Input!$7:$7=$F$3)*(Data_Input!$8:$8=$B92), 0)),"")</f>
        <v/>
      </c>
      <c r="J92" s="14" t="str" cm="1">
        <f t="array" ref="J92">IFERROR(INDEX(Data_Input!$A$1:$ZZ$502, MATCH("누적수익률", INDEX(Data_Input!$A$1:$ZZ$502, 0, MATCH(1, (Data_Input!$7:$7="IRP")*(Data_Input!$8:$8=$B92), 0)), 0) + 1, MATCH(1, (Data_Input!$7:$7=$F$3)*(Data_Input!$8:$8=$B92), 0))/100,"")</f>
        <v/>
      </c>
      <c r="K92" t="str" cm="1">
        <f t="array" ref="K92">IFERROR(_xlfn.LET(
    _xlpm.targetDate, B92,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93" spans="1:11" x14ac:dyDescent="0.3">
      <c r="A93" s="16" t="str">
        <f t="shared" si="2"/>
        <v/>
      </c>
      <c r="B93" s="19"/>
      <c r="C93" s="17" t="str">
        <f t="shared" si="3"/>
        <v/>
      </c>
      <c r="D93" s="42" t="str" cm="1">
        <f t="array" ref="D93">IFERROR(INDEX(Data_Input!$1:$100, 10, MATCH(1, (Data_Input!$7:$7=$F$3) * (Data_Input!$8:$8=$B93), 0)), "")</f>
        <v/>
      </c>
      <c r="E93" s="29" t="str" cm="1">
        <f t="array" ref="E93">IFERROR(INDEX(Data_Input!$1:$100, 9, MATCH(1, (Data_Input!$7:$7=$F$3) * (Data_Input!$8:$8=$B93), 0)),"")</f>
        <v/>
      </c>
      <c r="F93" s="20" t="str" cm="1">
        <f t="array" ref="F93">IFERROR(INDEX(Data_Input!$A$1:$ZZ$502, MATCH("플랜번호", INDEX(Data_Input!$A$1:$ZZ$502, 0, MATCH(1, (Data_Input!$7:$7="IRP")*(Data_Input!$8:$8=$B93), 0)), 0) + 1, MATCH(1, (Data_Input!$7:$7=$F$3)*(Data_Input!$8:$8=$B93), 0)),"")</f>
        <v/>
      </c>
      <c r="G93" s="20" t="str" cm="1">
        <f t="array" ref="G93">IFERROR(INDEX(Data_Input!$A$1:$ZZ$502, MATCH("플랜명", INDEX(Data_Input!$A$1:$ZZ$502, 0, MATCH(1, (Data_Input!$7:$7="IRP")*(Data_Input!$8:$8=$B93), 0)), 0) + 1, MATCH(1, (Data_Input!$7:$7=$F$3)*(Data_Input!$8:$8=$B93), 0)),"")</f>
        <v/>
      </c>
      <c r="H93" s="20" t="str" cm="1">
        <f t="array" ref="H93">IFERROR(INDEX(Data_Input!$A$1:$ZZ$502, MATCH("평가금액", INDEX(Data_Input!$A$1:$ZZ$502, 0, MATCH(1, (Data_Input!$7:$7="IRP")*(Data_Input!$8:$8=$B93), 0)), 0) + 1, MATCH(1, (Data_Input!$7:$7=$F$3)*(Data_Input!$8:$8=$B93), 0)),"")</f>
        <v/>
      </c>
      <c r="I93" s="20" t="str" cm="1">
        <f t="array" ref="I93">IFERROR(INDEX(Data_Input!$A$1:$ZZ$502, MATCH("평가손익", INDEX(Data_Input!$A$1:$ZZ$502, 0, MATCH(1, (Data_Input!$7:$7="IRP")*(Data_Input!$8:$8=$B93), 0)), 0) + 1, MATCH(1, (Data_Input!$7:$7=$F$3)*(Data_Input!$8:$8=$B93), 0)),"")</f>
        <v/>
      </c>
      <c r="J93" s="14" t="str" cm="1">
        <f t="array" ref="J93">IFERROR(INDEX(Data_Input!$A$1:$ZZ$502, MATCH("누적수익률", INDEX(Data_Input!$A$1:$ZZ$502, 0, MATCH(1, (Data_Input!$7:$7="IRP")*(Data_Input!$8:$8=$B93), 0)), 0) + 1, MATCH(1, (Data_Input!$7:$7=$F$3)*(Data_Input!$8:$8=$B93), 0))/100,"")</f>
        <v/>
      </c>
      <c r="K93" t="str" cm="1">
        <f t="array" ref="K93">IFERROR(_xlfn.LET(
    _xlpm.targetDate, B93,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94" spans="1:11" x14ac:dyDescent="0.3">
      <c r="A94" s="16" t="str">
        <f t="shared" si="2"/>
        <v/>
      </c>
      <c r="B94" s="19"/>
      <c r="C94" s="17" t="str">
        <f t="shared" si="3"/>
        <v/>
      </c>
      <c r="D94" s="42" t="str" cm="1">
        <f t="array" ref="D94">IFERROR(INDEX(Data_Input!$1:$100, 10, MATCH(1, (Data_Input!$7:$7=$F$3) * (Data_Input!$8:$8=$B94), 0)), "")</f>
        <v/>
      </c>
      <c r="E94" s="29" t="str" cm="1">
        <f t="array" ref="E94">IFERROR(INDEX(Data_Input!$1:$100, 9, MATCH(1, (Data_Input!$7:$7=$F$3) * (Data_Input!$8:$8=$B94), 0)),"")</f>
        <v/>
      </c>
      <c r="F94" s="20" t="str" cm="1">
        <f t="array" ref="F94">IFERROR(INDEX(Data_Input!$A$1:$ZZ$502, MATCH("플랜번호", INDEX(Data_Input!$A$1:$ZZ$502, 0, MATCH(1, (Data_Input!$7:$7="IRP")*(Data_Input!$8:$8=$B94), 0)), 0) + 1, MATCH(1, (Data_Input!$7:$7=$F$3)*(Data_Input!$8:$8=$B94), 0)),"")</f>
        <v/>
      </c>
      <c r="G94" s="20" t="str" cm="1">
        <f t="array" ref="G94">IFERROR(INDEX(Data_Input!$A$1:$ZZ$502, MATCH("플랜명", INDEX(Data_Input!$A$1:$ZZ$502, 0, MATCH(1, (Data_Input!$7:$7="IRP")*(Data_Input!$8:$8=$B94), 0)), 0) + 1, MATCH(1, (Data_Input!$7:$7=$F$3)*(Data_Input!$8:$8=$B94), 0)),"")</f>
        <v/>
      </c>
      <c r="H94" s="20" t="str" cm="1">
        <f t="array" ref="H94">IFERROR(INDEX(Data_Input!$A$1:$ZZ$502, MATCH("평가금액", INDEX(Data_Input!$A$1:$ZZ$502, 0, MATCH(1, (Data_Input!$7:$7="IRP")*(Data_Input!$8:$8=$B94), 0)), 0) + 1, MATCH(1, (Data_Input!$7:$7=$F$3)*(Data_Input!$8:$8=$B94), 0)),"")</f>
        <v/>
      </c>
      <c r="I94" s="20" t="str" cm="1">
        <f t="array" ref="I94">IFERROR(INDEX(Data_Input!$A$1:$ZZ$502, MATCH("평가손익", INDEX(Data_Input!$A$1:$ZZ$502, 0, MATCH(1, (Data_Input!$7:$7="IRP")*(Data_Input!$8:$8=$B94), 0)), 0) + 1, MATCH(1, (Data_Input!$7:$7=$F$3)*(Data_Input!$8:$8=$B94), 0)),"")</f>
        <v/>
      </c>
      <c r="J94" s="14" t="str" cm="1">
        <f t="array" ref="J94">IFERROR(INDEX(Data_Input!$A$1:$ZZ$502, MATCH("누적수익률", INDEX(Data_Input!$A$1:$ZZ$502, 0, MATCH(1, (Data_Input!$7:$7="IRP")*(Data_Input!$8:$8=$B94), 0)), 0) + 1, MATCH(1, (Data_Input!$7:$7=$F$3)*(Data_Input!$8:$8=$B94), 0))/100,"")</f>
        <v/>
      </c>
      <c r="K94" t="str" cm="1">
        <f t="array" ref="K94">IFERROR(_xlfn.LET(
    _xlpm.targetDate, B94,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95" spans="1:11" x14ac:dyDescent="0.3">
      <c r="A95" s="16" t="str">
        <f t="shared" si="2"/>
        <v/>
      </c>
      <c r="B95" s="19"/>
      <c r="C95" s="17" t="str">
        <f t="shared" si="3"/>
        <v/>
      </c>
      <c r="D95" s="42" t="str" cm="1">
        <f t="array" ref="D95">IFERROR(INDEX(Data_Input!$1:$100, 10, MATCH(1, (Data_Input!$7:$7=$F$3) * (Data_Input!$8:$8=$B95), 0)), "")</f>
        <v/>
      </c>
      <c r="E95" s="29" t="str" cm="1">
        <f t="array" ref="E95">IFERROR(INDEX(Data_Input!$1:$100, 9, MATCH(1, (Data_Input!$7:$7=$F$3) * (Data_Input!$8:$8=$B95), 0)),"")</f>
        <v/>
      </c>
      <c r="F95" s="20" t="str" cm="1">
        <f t="array" ref="F95">IFERROR(INDEX(Data_Input!$A$1:$ZZ$502, MATCH("플랜번호", INDEX(Data_Input!$A$1:$ZZ$502, 0, MATCH(1, (Data_Input!$7:$7="IRP")*(Data_Input!$8:$8=$B95), 0)), 0) + 1, MATCH(1, (Data_Input!$7:$7=$F$3)*(Data_Input!$8:$8=$B95), 0)),"")</f>
        <v/>
      </c>
      <c r="G95" s="20" t="str" cm="1">
        <f t="array" ref="G95">IFERROR(INDEX(Data_Input!$A$1:$ZZ$502, MATCH("플랜명", INDEX(Data_Input!$A$1:$ZZ$502, 0, MATCH(1, (Data_Input!$7:$7="IRP")*(Data_Input!$8:$8=$B95), 0)), 0) + 1, MATCH(1, (Data_Input!$7:$7=$F$3)*(Data_Input!$8:$8=$B95), 0)),"")</f>
        <v/>
      </c>
      <c r="H95" s="20" t="str" cm="1">
        <f t="array" ref="H95">IFERROR(INDEX(Data_Input!$A$1:$ZZ$502, MATCH("평가금액", INDEX(Data_Input!$A$1:$ZZ$502, 0, MATCH(1, (Data_Input!$7:$7="IRP")*(Data_Input!$8:$8=$B95), 0)), 0) + 1, MATCH(1, (Data_Input!$7:$7=$F$3)*(Data_Input!$8:$8=$B95), 0)),"")</f>
        <v/>
      </c>
      <c r="I95" s="20" t="str" cm="1">
        <f t="array" ref="I95">IFERROR(INDEX(Data_Input!$A$1:$ZZ$502, MATCH("평가손익", INDEX(Data_Input!$A$1:$ZZ$502, 0, MATCH(1, (Data_Input!$7:$7="IRP")*(Data_Input!$8:$8=$B95), 0)), 0) + 1, MATCH(1, (Data_Input!$7:$7=$F$3)*(Data_Input!$8:$8=$B95), 0)),"")</f>
        <v/>
      </c>
      <c r="J95" s="14" t="str" cm="1">
        <f t="array" ref="J95">IFERROR(INDEX(Data_Input!$A$1:$ZZ$502, MATCH("누적수익률", INDEX(Data_Input!$A$1:$ZZ$502, 0, MATCH(1, (Data_Input!$7:$7="IRP")*(Data_Input!$8:$8=$B95), 0)), 0) + 1, MATCH(1, (Data_Input!$7:$7=$F$3)*(Data_Input!$8:$8=$B95), 0))/100,"")</f>
        <v/>
      </c>
      <c r="K95" t="str" cm="1">
        <f t="array" ref="K95">IFERROR(_xlfn.LET(
    _xlpm.targetDate, B95,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96" spans="1:11" x14ac:dyDescent="0.3">
      <c r="A96" s="16" t="str">
        <f t="shared" si="2"/>
        <v/>
      </c>
      <c r="B96" s="19"/>
      <c r="C96" s="17" t="str">
        <f t="shared" si="3"/>
        <v/>
      </c>
      <c r="D96" s="42" t="str" cm="1">
        <f t="array" ref="D96">IFERROR(INDEX(Data_Input!$1:$100, 10, MATCH(1, (Data_Input!$7:$7=$F$3) * (Data_Input!$8:$8=$B96), 0)), "")</f>
        <v/>
      </c>
      <c r="E96" s="29" t="str" cm="1">
        <f t="array" ref="E96">IFERROR(INDEX(Data_Input!$1:$100, 9, MATCH(1, (Data_Input!$7:$7=$F$3) * (Data_Input!$8:$8=$B96), 0)),"")</f>
        <v/>
      </c>
      <c r="F96" s="20" t="str" cm="1">
        <f t="array" ref="F96">IFERROR(INDEX(Data_Input!$A$1:$ZZ$502, MATCH("플랜번호", INDEX(Data_Input!$A$1:$ZZ$502, 0, MATCH(1, (Data_Input!$7:$7="IRP")*(Data_Input!$8:$8=$B96), 0)), 0) + 1, MATCH(1, (Data_Input!$7:$7=$F$3)*(Data_Input!$8:$8=$B96), 0)),"")</f>
        <v/>
      </c>
      <c r="G96" s="20" t="str" cm="1">
        <f t="array" ref="G96">IFERROR(INDEX(Data_Input!$A$1:$ZZ$502, MATCH("플랜명", INDEX(Data_Input!$A$1:$ZZ$502, 0, MATCH(1, (Data_Input!$7:$7="IRP")*(Data_Input!$8:$8=$B96), 0)), 0) + 1, MATCH(1, (Data_Input!$7:$7=$F$3)*(Data_Input!$8:$8=$B96), 0)),"")</f>
        <v/>
      </c>
      <c r="H96" s="20" t="str" cm="1">
        <f t="array" ref="H96">IFERROR(INDEX(Data_Input!$A$1:$ZZ$502, MATCH("평가금액", INDEX(Data_Input!$A$1:$ZZ$502, 0, MATCH(1, (Data_Input!$7:$7="IRP")*(Data_Input!$8:$8=$B96), 0)), 0) + 1, MATCH(1, (Data_Input!$7:$7=$F$3)*(Data_Input!$8:$8=$B96), 0)),"")</f>
        <v/>
      </c>
      <c r="I96" s="20" t="str" cm="1">
        <f t="array" ref="I96">IFERROR(INDEX(Data_Input!$A$1:$ZZ$502, MATCH("평가손익", INDEX(Data_Input!$A$1:$ZZ$502, 0, MATCH(1, (Data_Input!$7:$7="IRP")*(Data_Input!$8:$8=$B96), 0)), 0) + 1, MATCH(1, (Data_Input!$7:$7=$F$3)*(Data_Input!$8:$8=$B96), 0)),"")</f>
        <v/>
      </c>
      <c r="J96" s="14" t="str" cm="1">
        <f t="array" ref="J96">IFERROR(INDEX(Data_Input!$A$1:$ZZ$502, MATCH("누적수익률", INDEX(Data_Input!$A$1:$ZZ$502, 0, MATCH(1, (Data_Input!$7:$7="IRP")*(Data_Input!$8:$8=$B96), 0)), 0) + 1, MATCH(1, (Data_Input!$7:$7=$F$3)*(Data_Input!$8:$8=$B96), 0))/100,"")</f>
        <v/>
      </c>
      <c r="K96" t="str" cm="1">
        <f t="array" ref="K96">IFERROR(_xlfn.LET(
    _xlpm.targetDate, B96,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97" spans="1:11" x14ac:dyDescent="0.3">
      <c r="A97" s="16" t="str">
        <f t="shared" si="2"/>
        <v/>
      </c>
      <c r="B97" s="19"/>
      <c r="C97" s="17" t="str">
        <f t="shared" si="3"/>
        <v/>
      </c>
      <c r="D97" s="42" t="str" cm="1">
        <f t="array" ref="D97">IFERROR(INDEX(Data_Input!$1:$100, 10, MATCH(1, (Data_Input!$7:$7=$F$3) * (Data_Input!$8:$8=$B97), 0)), "")</f>
        <v/>
      </c>
      <c r="E97" s="29" t="str" cm="1">
        <f t="array" ref="E97">IFERROR(INDEX(Data_Input!$1:$100, 9, MATCH(1, (Data_Input!$7:$7=$F$3) * (Data_Input!$8:$8=$B97), 0)),"")</f>
        <v/>
      </c>
      <c r="F97" s="20" t="str" cm="1">
        <f t="array" ref="F97">IFERROR(INDEX(Data_Input!$A$1:$ZZ$502, MATCH("플랜번호", INDEX(Data_Input!$A$1:$ZZ$502, 0, MATCH(1, (Data_Input!$7:$7="IRP")*(Data_Input!$8:$8=$B97), 0)), 0) + 1, MATCH(1, (Data_Input!$7:$7=$F$3)*(Data_Input!$8:$8=$B97), 0)),"")</f>
        <v/>
      </c>
      <c r="G97" s="20" t="str" cm="1">
        <f t="array" ref="G97">IFERROR(INDEX(Data_Input!$A$1:$ZZ$502, MATCH("플랜명", INDEX(Data_Input!$A$1:$ZZ$502, 0, MATCH(1, (Data_Input!$7:$7="IRP")*(Data_Input!$8:$8=$B97), 0)), 0) + 1, MATCH(1, (Data_Input!$7:$7=$F$3)*(Data_Input!$8:$8=$B97), 0)),"")</f>
        <v/>
      </c>
      <c r="H97" s="20" t="str" cm="1">
        <f t="array" ref="H97">IFERROR(INDEX(Data_Input!$A$1:$ZZ$502, MATCH("평가금액", INDEX(Data_Input!$A$1:$ZZ$502, 0, MATCH(1, (Data_Input!$7:$7="IRP")*(Data_Input!$8:$8=$B97), 0)), 0) + 1, MATCH(1, (Data_Input!$7:$7=$F$3)*(Data_Input!$8:$8=$B97), 0)),"")</f>
        <v/>
      </c>
      <c r="I97" s="20" t="str" cm="1">
        <f t="array" ref="I97">IFERROR(INDEX(Data_Input!$A$1:$ZZ$502, MATCH("평가손익", INDEX(Data_Input!$A$1:$ZZ$502, 0, MATCH(1, (Data_Input!$7:$7="IRP")*(Data_Input!$8:$8=$B97), 0)), 0) + 1, MATCH(1, (Data_Input!$7:$7=$F$3)*(Data_Input!$8:$8=$B97), 0)),"")</f>
        <v/>
      </c>
      <c r="J97" s="14" t="str" cm="1">
        <f t="array" ref="J97">IFERROR(INDEX(Data_Input!$A$1:$ZZ$502, MATCH("누적수익률", INDEX(Data_Input!$A$1:$ZZ$502, 0, MATCH(1, (Data_Input!$7:$7="IRP")*(Data_Input!$8:$8=$B97), 0)), 0) + 1, MATCH(1, (Data_Input!$7:$7=$F$3)*(Data_Input!$8:$8=$B97), 0))/100,"")</f>
        <v/>
      </c>
      <c r="K97" t="str" cm="1">
        <f t="array" ref="K97">IFERROR(_xlfn.LET(
    _xlpm.targetDate, B97,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98" spans="1:11" x14ac:dyDescent="0.3">
      <c r="A98" s="16" t="str">
        <f t="shared" si="2"/>
        <v/>
      </c>
      <c r="B98" s="19"/>
      <c r="C98" s="17" t="str">
        <f t="shared" si="3"/>
        <v/>
      </c>
      <c r="D98" s="42" t="str" cm="1">
        <f t="array" ref="D98">IFERROR(INDEX(Data_Input!$1:$100, 10, MATCH(1, (Data_Input!$7:$7=$F$3) * (Data_Input!$8:$8=$B98), 0)), "")</f>
        <v/>
      </c>
      <c r="E98" s="29" t="str" cm="1">
        <f t="array" ref="E98">IFERROR(INDEX(Data_Input!$1:$100, 9, MATCH(1, (Data_Input!$7:$7=$F$3) * (Data_Input!$8:$8=$B98), 0)),"")</f>
        <v/>
      </c>
      <c r="F98" s="20" t="str" cm="1">
        <f t="array" ref="F98">IFERROR(INDEX(Data_Input!$A$1:$ZZ$502, MATCH("플랜번호", INDEX(Data_Input!$A$1:$ZZ$502, 0, MATCH(1, (Data_Input!$7:$7="IRP")*(Data_Input!$8:$8=$B98), 0)), 0) + 1, MATCH(1, (Data_Input!$7:$7=$F$3)*(Data_Input!$8:$8=$B98), 0)),"")</f>
        <v/>
      </c>
      <c r="G98" s="20" t="str" cm="1">
        <f t="array" ref="G98">IFERROR(INDEX(Data_Input!$A$1:$ZZ$502, MATCH("플랜명", INDEX(Data_Input!$A$1:$ZZ$502, 0, MATCH(1, (Data_Input!$7:$7="IRP")*(Data_Input!$8:$8=$B98), 0)), 0) + 1, MATCH(1, (Data_Input!$7:$7=$F$3)*(Data_Input!$8:$8=$B98), 0)),"")</f>
        <v/>
      </c>
      <c r="H98" s="20" t="str" cm="1">
        <f t="array" ref="H98">IFERROR(INDEX(Data_Input!$A$1:$ZZ$502, MATCH("평가금액", INDEX(Data_Input!$A$1:$ZZ$502, 0, MATCH(1, (Data_Input!$7:$7="IRP")*(Data_Input!$8:$8=$B98), 0)), 0) + 1, MATCH(1, (Data_Input!$7:$7=$F$3)*(Data_Input!$8:$8=$B98), 0)),"")</f>
        <v/>
      </c>
      <c r="I98" s="20" t="str" cm="1">
        <f t="array" ref="I98">IFERROR(INDEX(Data_Input!$A$1:$ZZ$502, MATCH("평가손익", INDEX(Data_Input!$A$1:$ZZ$502, 0, MATCH(1, (Data_Input!$7:$7="IRP")*(Data_Input!$8:$8=$B98), 0)), 0) + 1, MATCH(1, (Data_Input!$7:$7=$F$3)*(Data_Input!$8:$8=$B98), 0)),"")</f>
        <v/>
      </c>
      <c r="J98" s="14" t="str" cm="1">
        <f t="array" ref="J98">IFERROR(INDEX(Data_Input!$A$1:$ZZ$502, MATCH("누적수익률", INDEX(Data_Input!$A$1:$ZZ$502, 0, MATCH(1, (Data_Input!$7:$7="IRP")*(Data_Input!$8:$8=$B98), 0)), 0) + 1, MATCH(1, (Data_Input!$7:$7=$F$3)*(Data_Input!$8:$8=$B98), 0))/100,"")</f>
        <v/>
      </c>
      <c r="K98" t="str" cm="1">
        <f t="array" ref="K98">IFERROR(_xlfn.LET(
    _xlpm.targetDate, B98,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99" spans="1:11" x14ac:dyDescent="0.3">
      <c r="A99" s="16" t="str">
        <f t="shared" si="2"/>
        <v/>
      </c>
      <c r="B99" s="19"/>
      <c r="C99" s="17" t="str">
        <f t="shared" si="3"/>
        <v/>
      </c>
      <c r="D99" s="42" t="str" cm="1">
        <f t="array" ref="D99">IFERROR(INDEX(Data_Input!$1:$100, 10, MATCH(1, (Data_Input!$7:$7=$F$3) * (Data_Input!$8:$8=$B99), 0)), "")</f>
        <v/>
      </c>
      <c r="E99" s="29" t="str" cm="1">
        <f t="array" ref="E99">IFERROR(INDEX(Data_Input!$1:$100, 9, MATCH(1, (Data_Input!$7:$7=$F$3) * (Data_Input!$8:$8=$B99), 0)),"")</f>
        <v/>
      </c>
      <c r="F99" s="20" t="str" cm="1">
        <f t="array" ref="F99">IFERROR(INDEX(Data_Input!$A$1:$ZZ$502, MATCH("플랜번호", INDEX(Data_Input!$A$1:$ZZ$502, 0, MATCH(1, (Data_Input!$7:$7="IRP")*(Data_Input!$8:$8=$B99), 0)), 0) + 1, MATCH(1, (Data_Input!$7:$7=$F$3)*(Data_Input!$8:$8=$B99), 0)),"")</f>
        <v/>
      </c>
      <c r="G99" s="20" t="str" cm="1">
        <f t="array" ref="G99">IFERROR(INDEX(Data_Input!$A$1:$ZZ$502, MATCH("플랜명", INDEX(Data_Input!$A$1:$ZZ$502, 0, MATCH(1, (Data_Input!$7:$7="IRP")*(Data_Input!$8:$8=$B99), 0)), 0) + 1, MATCH(1, (Data_Input!$7:$7=$F$3)*(Data_Input!$8:$8=$B99), 0)),"")</f>
        <v/>
      </c>
      <c r="H99" s="20" t="str" cm="1">
        <f t="array" ref="H99">IFERROR(INDEX(Data_Input!$A$1:$ZZ$502, MATCH("평가금액", INDEX(Data_Input!$A$1:$ZZ$502, 0, MATCH(1, (Data_Input!$7:$7="IRP")*(Data_Input!$8:$8=$B99), 0)), 0) + 1, MATCH(1, (Data_Input!$7:$7=$F$3)*(Data_Input!$8:$8=$B99), 0)),"")</f>
        <v/>
      </c>
      <c r="I99" s="20" t="str" cm="1">
        <f t="array" ref="I99">IFERROR(INDEX(Data_Input!$A$1:$ZZ$502, MATCH("평가손익", INDEX(Data_Input!$A$1:$ZZ$502, 0, MATCH(1, (Data_Input!$7:$7="IRP")*(Data_Input!$8:$8=$B99), 0)), 0) + 1, MATCH(1, (Data_Input!$7:$7=$F$3)*(Data_Input!$8:$8=$B99), 0)),"")</f>
        <v/>
      </c>
      <c r="J99" s="14" t="str" cm="1">
        <f t="array" ref="J99">IFERROR(INDEX(Data_Input!$A$1:$ZZ$502, MATCH("누적수익률", INDEX(Data_Input!$A$1:$ZZ$502, 0, MATCH(1, (Data_Input!$7:$7="IRP")*(Data_Input!$8:$8=$B99), 0)), 0) + 1, MATCH(1, (Data_Input!$7:$7=$F$3)*(Data_Input!$8:$8=$B99), 0))/100,"")</f>
        <v/>
      </c>
      <c r="K99" t="str" cm="1">
        <f t="array" ref="K99">IFERROR(_xlfn.LET(
    _xlpm.targetDate, B99,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00" spans="1:11" x14ac:dyDescent="0.3">
      <c r="A100" s="16" t="str">
        <f t="shared" si="2"/>
        <v/>
      </c>
      <c r="B100" s="19"/>
      <c r="C100" s="17" t="str">
        <f t="shared" si="3"/>
        <v/>
      </c>
      <c r="D100" s="42" t="str" cm="1">
        <f t="array" ref="D100">IFERROR(INDEX(Data_Input!$1:$100, 10, MATCH(1, (Data_Input!$7:$7=$F$3) * (Data_Input!$8:$8=$B100), 0)), "")</f>
        <v/>
      </c>
      <c r="E100" s="29" t="str" cm="1">
        <f t="array" ref="E100">IFERROR(INDEX(Data_Input!$1:$100, 9, MATCH(1, (Data_Input!$7:$7=$F$3) * (Data_Input!$8:$8=$B100), 0)),"")</f>
        <v/>
      </c>
      <c r="F100" s="20" t="str" cm="1">
        <f t="array" ref="F100">IFERROR(INDEX(Data_Input!$A$1:$ZZ$502, MATCH("플랜번호", INDEX(Data_Input!$A$1:$ZZ$502, 0, MATCH(1, (Data_Input!$7:$7="IRP")*(Data_Input!$8:$8=$B100), 0)), 0) + 1, MATCH(1, (Data_Input!$7:$7=$F$3)*(Data_Input!$8:$8=$B100), 0)),"")</f>
        <v/>
      </c>
      <c r="G100" s="20" t="str" cm="1">
        <f t="array" ref="G100">IFERROR(INDEX(Data_Input!$A$1:$ZZ$502, MATCH("플랜명", INDEX(Data_Input!$A$1:$ZZ$502, 0, MATCH(1, (Data_Input!$7:$7="IRP")*(Data_Input!$8:$8=$B100), 0)), 0) + 1, MATCH(1, (Data_Input!$7:$7=$F$3)*(Data_Input!$8:$8=$B100), 0)),"")</f>
        <v/>
      </c>
      <c r="H100" s="20" t="str" cm="1">
        <f t="array" ref="H100">IFERROR(INDEX(Data_Input!$A$1:$ZZ$502, MATCH("평가금액", INDEX(Data_Input!$A$1:$ZZ$502, 0, MATCH(1, (Data_Input!$7:$7="IRP")*(Data_Input!$8:$8=$B100), 0)), 0) + 1, MATCH(1, (Data_Input!$7:$7=$F$3)*(Data_Input!$8:$8=$B100), 0)),"")</f>
        <v/>
      </c>
      <c r="I100" s="20" t="str" cm="1">
        <f t="array" ref="I100">IFERROR(INDEX(Data_Input!$A$1:$ZZ$502, MATCH("평가손익", INDEX(Data_Input!$A$1:$ZZ$502, 0, MATCH(1, (Data_Input!$7:$7="IRP")*(Data_Input!$8:$8=$B100), 0)), 0) + 1, MATCH(1, (Data_Input!$7:$7=$F$3)*(Data_Input!$8:$8=$B100), 0)),"")</f>
        <v/>
      </c>
      <c r="J100" s="14" t="str" cm="1">
        <f t="array" ref="J100">IFERROR(INDEX(Data_Input!$A$1:$ZZ$502, MATCH("누적수익률", INDEX(Data_Input!$A$1:$ZZ$502, 0, MATCH(1, (Data_Input!$7:$7="IRP")*(Data_Input!$8:$8=$B100), 0)), 0) + 1, MATCH(1, (Data_Input!$7:$7=$F$3)*(Data_Input!$8:$8=$B100), 0))/100,"")</f>
        <v/>
      </c>
      <c r="K100" t="str" cm="1">
        <f t="array" ref="K100">IFERROR(_xlfn.LET(
    _xlpm.targetDate, B100,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01" spans="1:11" x14ac:dyDescent="0.3">
      <c r="A101" s="16" t="str">
        <f t="shared" si="2"/>
        <v/>
      </c>
      <c r="B101" s="19"/>
      <c r="C101" s="17" t="str">
        <f t="shared" si="3"/>
        <v/>
      </c>
      <c r="D101" s="42" t="str" cm="1">
        <f t="array" ref="D101">IFERROR(INDEX(Data_Input!$1:$100, 10, MATCH(1, (Data_Input!$7:$7=$F$3) * (Data_Input!$8:$8=$B101), 0)), "")</f>
        <v/>
      </c>
      <c r="E101" s="29" t="str" cm="1">
        <f t="array" ref="E101">IFERROR(INDEX(Data_Input!$1:$100, 9, MATCH(1, (Data_Input!$7:$7=$F$3) * (Data_Input!$8:$8=$B101), 0)),"")</f>
        <v/>
      </c>
      <c r="F101" s="20" t="str" cm="1">
        <f t="array" ref="F101">IFERROR(INDEX(Data_Input!$A$1:$ZZ$502, MATCH("플랜번호", INDEX(Data_Input!$A$1:$ZZ$502, 0, MATCH(1, (Data_Input!$7:$7="IRP")*(Data_Input!$8:$8=$B101), 0)), 0) + 1, MATCH(1, (Data_Input!$7:$7=$F$3)*(Data_Input!$8:$8=$B101), 0)),"")</f>
        <v/>
      </c>
      <c r="G101" s="20" t="str" cm="1">
        <f t="array" ref="G101">IFERROR(INDEX(Data_Input!$A$1:$ZZ$502, MATCH("플랜명", INDEX(Data_Input!$A$1:$ZZ$502, 0, MATCH(1, (Data_Input!$7:$7="IRP")*(Data_Input!$8:$8=$B101), 0)), 0) + 1, MATCH(1, (Data_Input!$7:$7=$F$3)*(Data_Input!$8:$8=$B101), 0)),"")</f>
        <v/>
      </c>
      <c r="H101" s="20" t="str" cm="1">
        <f t="array" ref="H101">IFERROR(INDEX(Data_Input!$A$1:$ZZ$502, MATCH("평가금액", INDEX(Data_Input!$A$1:$ZZ$502, 0, MATCH(1, (Data_Input!$7:$7="IRP")*(Data_Input!$8:$8=$B101), 0)), 0) + 1, MATCH(1, (Data_Input!$7:$7=$F$3)*(Data_Input!$8:$8=$B101), 0)),"")</f>
        <v/>
      </c>
      <c r="I101" s="20" t="str" cm="1">
        <f t="array" ref="I101">IFERROR(INDEX(Data_Input!$A$1:$ZZ$502, MATCH("평가손익", INDEX(Data_Input!$A$1:$ZZ$502, 0, MATCH(1, (Data_Input!$7:$7="IRP")*(Data_Input!$8:$8=$B101), 0)), 0) + 1, MATCH(1, (Data_Input!$7:$7=$F$3)*(Data_Input!$8:$8=$B101), 0)),"")</f>
        <v/>
      </c>
      <c r="J101" s="14" t="str" cm="1">
        <f t="array" ref="J101">IFERROR(INDEX(Data_Input!$A$1:$ZZ$502, MATCH("누적수익률", INDEX(Data_Input!$A$1:$ZZ$502, 0, MATCH(1, (Data_Input!$7:$7="IRP")*(Data_Input!$8:$8=$B101), 0)), 0) + 1, MATCH(1, (Data_Input!$7:$7=$F$3)*(Data_Input!$8:$8=$B101), 0))/100,"")</f>
        <v/>
      </c>
      <c r="K101" t="str" cm="1">
        <f t="array" ref="K101">IFERROR(_xlfn.LET(
    _xlpm.targetDate, B101,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02" spans="1:11" x14ac:dyDescent="0.3">
      <c r="A102" s="16" t="str">
        <f t="shared" si="2"/>
        <v/>
      </c>
      <c r="B102" s="19"/>
      <c r="C102" s="17" t="str">
        <f t="shared" si="3"/>
        <v/>
      </c>
      <c r="D102" s="42" t="str" cm="1">
        <f t="array" ref="D102">IFERROR(INDEX(Data_Input!$1:$100, 10, MATCH(1, (Data_Input!$7:$7=$F$3) * (Data_Input!$8:$8=$B102), 0)), "")</f>
        <v/>
      </c>
      <c r="E102" s="29" t="str" cm="1">
        <f t="array" ref="E102">IFERROR(INDEX(Data_Input!$1:$100, 9, MATCH(1, (Data_Input!$7:$7=$F$3) * (Data_Input!$8:$8=$B102), 0)),"")</f>
        <v/>
      </c>
      <c r="F102" s="20" t="str" cm="1">
        <f t="array" ref="F102">IFERROR(INDEX(Data_Input!$A$1:$ZZ$502, MATCH("플랜번호", INDEX(Data_Input!$A$1:$ZZ$502, 0, MATCH(1, (Data_Input!$7:$7="IRP")*(Data_Input!$8:$8=$B102), 0)), 0) + 1, MATCH(1, (Data_Input!$7:$7=$F$3)*(Data_Input!$8:$8=$B102), 0)),"")</f>
        <v/>
      </c>
      <c r="G102" s="20" t="str" cm="1">
        <f t="array" ref="G102">IFERROR(INDEX(Data_Input!$A$1:$ZZ$502, MATCH("플랜명", INDEX(Data_Input!$A$1:$ZZ$502, 0, MATCH(1, (Data_Input!$7:$7="IRP")*(Data_Input!$8:$8=$B102), 0)), 0) + 1, MATCH(1, (Data_Input!$7:$7=$F$3)*(Data_Input!$8:$8=$B102), 0)),"")</f>
        <v/>
      </c>
      <c r="H102" s="20" t="str" cm="1">
        <f t="array" ref="H102">IFERROR(INDEX(Data_Input!$A$1:$ZZ$502, MATCH("평가금액", INDEX(Data_Input!$A$1:$ZZ$502, 0, MATCH(1, (Data_Input!$7:$7="IRP")*(Data_Input!$8:$8=$B102), 0)), 0) + 1, MATCH(1, (Data_Input!$7:$7=$F$3)*(Data_Input!$8:$8=$B102), 0)),"")</f>
        <v/>
      </c>
      <c r="I102" s="20" t="str" cm="1">
        <f t="array" ref="I102">IFERROR(INDEX(Data_Input!$A$1:$ZZ$502, MATCH("평가손익", INDEX(Data_Input!$A$1:$ZZ$502, 0, MATCH(1, (Data_Input!$7:$7="IRP")*(Data_Input!$8:$8=$B102), 0)), 0) + 1, MATCH(1, (Data_Input!$7:$7=$F$3)*(Data_Input!$8:$8=$B102), 0)),"")</f>
        <v/>
      </c>
      <c r="J102" s="14" t="str" cm="1">
        <f t="array" ref="J102">IFERROR(INDEX(Data_Input!$A$1:$ZZ$502, MATCH("누적수익률", INDEX(Data_Input!$A$1:$ZZ$502, 0, MATCH(1, (Data_Input!$7:$7="IRP")*(Data_Input!$8:$8=$B102), 0)), 0) + 1, MATCH(1, (Data_Input!$7:$7=$F$3)*(Data_Input!$8:$8=$B102), 0))/100,"")</f>
        <v/>
      </c>
      <c r="K102" t="str" cm="1">
        <f t="array" ref="K102">IFERROR(_xlfn.LET(
    _xlpm.targetDate, B102,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03" spans="1:11" x14ac:dyDescent="0.3">
      <c r="A103" s="16" t="str">
        <f t="shared" si="2"/>
        <v/>
      </c>
      <c r="B103" s="19"/>
      <c r="C103" s="17" t="str">
        <f t="shared" si="3"/>
        <v/>
      </c>
      <c r="D103" s="42" t="str" cm="1">
        <f t="array" ref="D103">IFERROR(INDEX(Data_Input!$1:$100, 10, MATCH(1, (Data_Input!$7:$7=$F$3) * (Data_Input!$8:$8=$B103), 0)), "")</f>
        <v/>
      </c>
      <c r="E103" s="29" t="str" cm="1">
        <f t="array" ref="E103">IFERROR(INDEX(Data_Input!$1:$100, 9, MATCH(1, (Data_Input!$7:$7=$F$3) * (Data_Input!$8:$8=$B103), 0)),"")</f>
        <v/>
      </c>
      <c r="F103" s="20" t="str" cm="1">
        <f t="array" ref="F103">IFERROR(INDEX(Data_Input!$A$1:$ZZ$502, MATCH("플랜번호", INDEX(Data_Input!$A$1:$ZZ$502, 0, MATCH(1, (Data_Input!$7:$7="IRP")*(Data_Input!$8:$8=$B103), 0)), 0) + 1, MATCH(1, (Data_Input!$7:$7=$F$3)*(Data_Input!$8:$8=$B103), 0)),"")</f>
        <v/>
      </c>
      <c r="G103" s="20" t="str" cm="1">
        <f t="array" ref="G103">IFERROR(INDEX(Data_Input!$A$1:$ZZ$502, MATCH("플랜명", INDEX(Data_Input!$A$1:$ZZ$502, 0, MATCH(1, (Data_Input!$7:$7="IRP")*(Data_Input!$8:$8=$B103), 0)), 0) + 1, MATCH(1, (Data_Input!$7:$7=$F$3)*(Data_Input!$8:$8=$B103), 0)),"")</f>
        <v/>
      </c>
      <c r="H103" s="20" t="str" cm="1">
        <f t="array" ref="H103">IFERROR(INDEX(Data_Input!$A$1:$ZZ$502, MATCH("평가금액", INDEX(Data_Input!$A$1:$ZZ$502, 0, MATCH(1, (Data_Input!$7:$7="IRP")*(Data_Input!$8:$8=$B103), 0)), 0) + 1, MATCH(1, (Data_Input!$7:$7=$F$3)*(Data_Input!$8:$8=$B103), 0)),"")</f>
        <v/>
      </c>
      <c r="I103" s="20" t="str" cm="1">
        <f t="array" ref="I103">IFERROR(INDEX(Data_Input!$A$1:$ZZ$502, MATCH("평가손익", INDEX(Data_Input!$A$1:$ZZ$502, 0, MATCH(1, (Data_Input!$7:$7="IRP")*(Data_Input!$8:$8=$B103), 0)), 0) + 1, MATCH(1, (Data_Input!$7:$7=$F$3)*(Data_Input!$8:$8=$B103), 0)),"")</f>
        <v/>
      </c>
      <c r="J103" s="14" t="str" cm="1">
        <f t="array" ref="J103">IFERROR(INDEX(Data_Input!$A$1:$ZZ$502, MATCH("누적수익률", INDEX(Data_Input!$A$1:$ZZ$502, 0, MATCH(1, (Data_Input!$7:$7="IRP")*(Data_Input!$8:$8=$B103), 0)), 0) + 1, MATCH(1, (Data_Input!$7:$7=$F$3)*(Data_Input!$8:$8=$B103), 0))/100,"")</f>
        <v/>
      </c>
      <c r="K103" t="str" cm="1">
        <f t="array" ref="K103">IFERROR(_xlfn.LET(
    _xlpm.targetDate, B103,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04" spans="1:11" x14ac:dyDescent="0.3">
      <c r="A104" s="16" t="str">
        <f t="shared" si="2"/>
        <v/>
      </c>
      <c r="B104" s="19"/>
      <c r="C104" s="17" t="str">
        <f t="shared" si="3"/>
        <v/>
      </c>
      <c r="D104" s="42" t="str" cm="1">
        <f t="array" ref="D104">IFERROR(INDEX(Data_Input!$1:$100, 10, MATCH(1, (Data_Input!$7:$7=$F$3) * (Data_Input!$8:$8=$B104), 0)), "")</f>
        <v/>
      </c>
      <c r="E104" s="29" t="str" cm="1">
        <f t="array" ref="E104">IFERROR(INDEX(Data_Input!$1:$100, 9, MATCH(1, (Data_Input!$7:$7=$F$3) * (Data_Input!$8:$8=$B104), 0)),"")</f>
        <v/>
      </c>
      <c r="F104" s="20" t="str" cm="1">
        <f t="array" ref="F104">IFERROR(INDEX(Data_Input!$A$1:$ZZ$502, MATCH("플랜번호", INDEX(Data_Input!$A$1:$ZZ$502, 0, MATCH(1, (Data_Input!$7:$7="IRP")*(Data_Input!$8:$8=$B104), 0)), 0) + 1, MATCH(1, (Data_Input!$7:$7=$F$3)*(Data_Input!$8:$8=$B104), 0)),"")</f>
        <v/>
      </c>
      <c r="G104" s="20" t="str" cm="1">
        <f t="array" ref="G104">IFERROR(INDEX(Data_Input!$A$1:$ZZ$502, MATCH("플랜명", INDEX(Data_Input!$A$1:$ZZ$502, 0, MATCH(1, (Data_Input!$7:$7="IRP")*(Data_Input!$8:$8=$B104), 0)), 0) + 1, MATCH(1, (Data_Input!$7:$7=$F$3)*(Data_Input!$8:$8=$B104), 0)),"")</f>
        <v/>
      </c>
      <c r="H104" s="20" t="str" cm="1">
        <f t="array" ref="H104">IFERROR(INDEX(Data_Input!$A$1:$ZZ$502, MATCH("평가금액", INDEX(Data_Input!$A$1:$ZZ$502, 0, MATCH(1, (Data_Input!$7:$7="IRP")*(Data_Input!$8:$8=$B104), 0)), 0) + 1, MATCH(1, (Data_Input!$7:$7=$F$3)*(Data_Input!$8:$8=$B104), 0)),"")</f>
        <v/>
      </c>
      <c r="I104" s="20" t="str" cm="1">
        <f t="array" ref="I104">IFERROR(INDEX(Data_Input!$A$1:$ZZ$502, MATCH("평가손익", INDEX(Data_Input!$A$1:$ZZ$502, 0, MATCH(1, (Data_Input!$7:$7="IRP")*(Data_Input!$8:$8=$B104), 0)), 0) + 1, MATCH(1, (Data_Input!$7:$7=$F$3)*(Data_Input!$8:$8=$B104), 0)),"")</f>
        <v/>
      </c>
      <c r="J104" s="14" t="str" cm="1">
        <f t="array" ref="J104">IFERROR(INDEX(Data_Input!$A$1:$ZZ$502, MATCH("누적수익률", INDEX(Data_Input!$A$1:$ZZ$502, 0, MATCH(1, (Data_Input!$7:$7="IRP")*(Data_Input!$8:$8=$B104), 0)), 0) + 1, MATCH(1, (Data_Input!$7:$7=$F$3)*(Data_Input!$8:$8=$B104), 0))/100,"")</f>
        <v/>
      </c>
      <c r="K104" t="str" cm="1">
        <f t="array" ref="K104">IFERROR(_xlfn.LET(
    _xlpm.targetDate, B104,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05" spans="1:11" x14ac:dyDescent="0.3">
      <c r="A105" s="16" t="str">
        <f t="shared" si="2"/>
        <v/>
      </c>
      <c r="B105" s="19"/>
      <c r="C105" s="17" t="str">
        <f t="shared" si="3"/>
        <v/>
      </c>
      <c r="D105" s="42" t="str" cm="1">
        <f t="array" ref="D105">IFERROR(INDEX(Data_Input!$1:$100, 10, MATCH(1, (Data_Input!$7:$7=$F$3) * (Data_Input!$8:$8=$B105), 0)), "")</f>
        <v/>
      </c>
      <c r="E105" s="29" t="str" cm="1">
        <f t="array" ref="E105">IFERROR(INDEX(Data_Input!$1:$100, 9, MATCH(1, (Data_Input!$7:$7=$F$3) * (Data_Input!$8:$8=$B105), 0)),"")</f>
        <v/>
      </c>
      <c r="F105" s="20" t="str" cm="1">
        <f t="array" ref="F105">IFERROR(INDEX(Data_Input!$A$1:$ZZ$502, MATCH("플랜번호", INDEX(Data_Input!$A$1:$ZZ$502, 0, MATCH(1, (Data_Input!$7:$7="IRP")*(Data_Input!$8:$8=$B105), 0)), 0) + 1, MATCH(1, (Data_Input!$7:$7=$F$3)*(Data_Input!$8:$8=$B105), 0)),"")</f>
        <v/>
      </c>
      <c r="G105" s="20" t="str" cm="1">
        <f t="array" ref="G105">IFERROR(INDEX(Data_Input!$A$1:$ZZ$502, MATCH("플랜명", INDEX(Data_Input!$A$1:$ZZ$502, 0, MATCH(1, (Data_Input!$7:$7="IRP")*(Data_Input!$8:$8=$B105), 0)), 0) + 1, MATCH(1, (Data_Input!$7:$7=$F$3)*(Data_Input!$8:$8=$B105), 0)),"")</f>
        <v/>
      </c>
      <c r="H105" s="20" t="str" cm="1">
        <f t="array" ref="H105">IFERROR(INDEX(Data_Input!$A$1:$ZZ$502, MATCH("평가금액", INDEX(Data_Input!$A$1:$ZZ$502, 0, MATCH(1, (Data_Input!$7:$7="IRP")*(Data_Input!$8:$8=$B105), 0)), 0) + 1, MATCH(1, (Data_Input!$7:$7=$F$3)*(Data_Input!$8:$8=$B105), 0)),"")</f>
        <v/>
      </c>
      <c r="I105" s="20" t="str" cm="1">
        <f t="array" ref="I105">IFERROR(INDEX(Data_Input!$A$1:$ZZ$502, MATCH("평가손익", INDEX(Data_Input!$A$1:$ZZ$502, 0, MATCH(1, (Data_Input!$7:$7="IRP")*(Data_Input!$8:$8=$B105), 0)), 0) + 1, MATCH(1, (Data_Input!$7:$7=$F$3)*(Data_Input!$8:$8=$B105), 0)),"")</f>
        <v/>
      </c>
      <c r="J105" s="14" t="str" cm="1">
        <f t="array" ref="J105">IFERROR(INDEX(Data_Input!$A$1:$ZZ$502, MATCH("누적수익률", INDEX(Data_Input!$A$1:$ZZ$502, 0, MATCH(1, (Data_Input!$7:$7="IRP")*(Data_Input!$8:$8=$B105), 0)), 0) + 1, MATCH(1, (Data_Input!$7:$7=$F$3)*(Data_Input!$8:$8=$B105), 0))/100,"")</f>
        <v/>
      </c>
      <c r="K105" t="str" cm="1">
        <f t="array" ref="K105">IFERROR(_xlfn.LET(
    _xlpm.targetDate, B105,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06" spans="1:11" x14ac:dyDescent="0.3">
      <c r="A106" s="16" t="str">
        <f t="shared" si="2"/>
        <v/>
      </c>
      <c r="B106" s="19"/>
      <c r="C106" s="17" t="str">
        <f t="shared" si="3"/>
        <v/>
      </c>
      <c r="D106" s="42" t="str" cm="1">
        <f t="array" ref="D106">IFERROR(INDEX(Data_Input!$1:$100, 10, MATCH(1, (Data_Input!$7:$7=$F$3) * (Data_Input!$8:$8=$B106), 0)), "")</f>
        <v/>
      </c>
      <c r="E106" s="29" t="str" cm="1">
        <f t="array" ref="E106">IFERROR(INDEX(Data_Input!$1:$100, 9, MATCH(1, (Data_Input!$7:$7=$F$3) * (Data_Input!$8:$8=$B106), 0)),"")</f>
        <v/>
      </c>
      <c r="F106" s="20" t="str" cm="1">
        <f t="array" ref="F106">IFERROR(INDEX(Data_Input!$A$1:$ZZ$502, MATCH("플랜번호", INDEX(Data_Input!$A$1:$ZZ$502, 0, MATCH(1, (Data_Input!$7:$7="IRP")*(Data_Input!$8:$8=$B106), 0)), 0) + 1, MATCH(1, (Data_Input!$7:$7=$F$3)*(Data_Input!$8:$8=$B106), 0)),"")</f>
        <v/>
      </c>
      <c r="G106" s="20" t="str" cm="1">
        <f t="array" ref="G106">IFERROR(INDEX(Data_Input!$A$1:$ZZ$502, MATCH("플랜명", INDEX(Data_Input!$A$1:$ZZ$502, 0, MATCH(1, (Data_Input!$7:$7="IRP")*(Data_Input!$8:$8=$B106), 0)), 0) + 1, MATCH(1, (Data_Input!$7:$7=$F$3)*(Data_Input!$8:$8=$B106), 0)),"")</f>
        <v/>
      </c>
      <c r="H106" s="20" t="str" cm="1">
        <f t="array" ref="H106">IFERROR(INDEX(Data_Input!$A$1:$ZZ$502, MATCH("평가금액", INDEX(Data_Input!$A$1:$ZZ$502, 0, MATCH(1, (Data_Input!$7:$7="IRP")*(Data_Input!$8:$8=$B106), 0)), 0) + 1, MATCH(1, (Data_Input!$7:$7=$F$3)*(Data_Input!$8:$8=$B106), 0)),"")</f>
        <v/>
      </c>
      <c r="I106" s="20" t="str" cm="1">
        <f t="array" ref="I106">IFERROR(INDEX(Data_Input!$A$1:$ZZ$502, MATCH("평가손익", INDEX(Data_Input!$A$1:$ZZ$502, 0, MATCH(1, (Data_Input!$7:$7="IRP")*(Data_Input!$8:$8=$B106), 0)), 0) + 1, MATCH(1, (Data_Input!$7:$7=$F$3)*(Data_Input!$8:$8=$B106), 0)),"")</f>
        <v/>
      </c>
      <c r="J106" s="14" t="str" cm="1">
        <f t="array" ref="J106">IFERROR(INDEX(Data_Input!$A$1:$ZZ$502, MATCH("누적수익률", INDEX(Data_Input!$A$1:$ZZ$502, 0, MATCH(1, (Data_Input!$7:$7="IRP")*(Data_Input!$8:$8=$B106), 0)), 0) + 1, MATCH(1, (Data_Input!$7:$7=$F$3)*(Data_Input!$8:$8=$B106), 0))/100,"")</f>
        <v/>
      </c>
      <c r="K106" t="str" cm="1">
        <f t="array" ref="K106">IFERROR(_xlfn.LET(
    _xlpm.targetDate, B106,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07" spans="1:11" x14ac:dyDescent="0.3">
      <c r="A107" s="16" t="str">
        <f t="shared" si="2"/>
        <v/>
      </c>
      <c r="B107" s="19"/>
      <c r="C107" s="17" t="str">
        <f t="shared" si="3"/>
        <v/>
      </c>
      <c r="D107" s="42" t="str" cm="1">
        <f t="array" ref="D107">IFERROR(INDEX(Data_Input!$1:$100, 10, MATCH(1, (Data_Input!$7:$7=$F$3) * (Data_Input!$8:$8=$B107), 0)), "")</f>
        <v/>
      </c>
      <c r="E107" s="29" t="str" cm="1">
        <f t="array" ref="E107">IFERROR(INDEX(Data_Input!$1:$100, 9, MATCH(1, (Data_Input!$7:$7=$F$3) * (Data_Input!$8:$8=$B107), 0)),"")</f>
        <v/>
      </c>
      <c r="F107" s="20" t="str" cm="1">
        <f t="array" ref="F107">IFERROR(INDEX(Data_Input!$A$1:$ZZ$502, MATCH("플랜번호", INDEX(Data_Input!$A$1:$ZZ$502, 0, MATCH(1, (Data_Input!$7:$7="IRP")*(Data_Input!$8:$8=$B107), 0)), 0) + 1, MATCH(1, (Data_Input!$7:$7=$F$3)*(Data_Input!$8:$8=$B107), 0)),"")</f>
        <v/>
      </c>
      <c r="G107" s="20" t="str" cm="1">
        <f t="array" ref="G107">IFERROR(INDEX(Data_Input!$A$1:$ZZ$502, MATCH("플랜명", INDEX(Data_Input!$A$1:$ZZ$502, 0, MATCH(1, (Data_Input!$7:$7="IRP")*(Data_Input!$8:$8=$B107), 0)), 0) + 1, MATCH(1, (Data_Input!$7:$7=$F$3)*(Data_Input!$8:$8=$B107), 0)),"")</f>
        <v/>
      </c>
      <c r="H107" s="20" t="str" cm="1">
        <f t="array" ref="H107">IFERROR(INDEX(Data_Input!$A$1:$ZZ$502, MATCH("평가금액", INDEX(Data_Input!$A$1:$ZZ$502, 0, MATCH(1, (Data_Input!$7:$7="IRP")*(Data_Input!$8:$8=$B107), 0)), 0) + 1, MATCH(1, (Data_Input!$7:$7=$F$3)*(Data_Input!$8:$8=$B107), 0)),"")</f>
        <v/>
      </c>
      <c r="I107" s="20" t="str" cm="1">
        <f t="array" ref="I107">IFERROR(INDEX(Data_Input!$A$1:$ZZ$502, MATCH("평가손익", INDEX(Data_Input!$A$1:$ZZ$502, 0, MATCH(1, (Data_Input!$7:$7="IRP")*(Data_Input!$8:$8=$B107), 0)), 0) + 1, MATCH(1, (Data_Input!$7:$7=$F$3)*(Data_Input!$8:$8=$B107), 0)),"")</f>
        <v/>
      </c>
      <c r="J107" s="14" t="str" cm="1">
        <f t="array" ref="J107">IFERROR(INDEX(Data_Input!$A$1:$ZZ$502, MATCH("누적수익률", INDEX(Data_Input!$A$1:$ZZ$502, 0, MATCH(1, (Data_Input!$7:$7="IRP")*(Data_Input!$8:$8=$B107), 0)), 0) + 1, MATCH(1, (Data_Input!$7:$7=$F$3)*(Data_Input!$8:$8=$B107), 0))/100,"")</f>
        <v/>
      </c>
      <c r="K107" t="str" cm="1">
        <f t="array" ref="K107">IFERROR(_xlfn.LET(
    _xlpm.targetDate, B107,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08" spans="1:11" x14ac:dyDescent="0.3">
      <c r="A108" s="16" t="str">
        <f t="shared" si="2"/>
        <v/>
      </c>
      <c r="B108" s="19"/>
      <c r="C108" s="17" t="str">
        <f t="shared" si="3"/>
        <v/>
      </c>
      <c r="D108" s="42" t="str" cm="1">
        <f t="array" ref="D108">IFERROR(INDEX(Data_Input!$1:$100, 10, MATCH(1, (Data_Input!$7:$7=$F$3) * (Data_Input!$8:$8=$B108), 0)), "")</f>
        <v/>
      </c>
      <c r="E108" s="29" t="str" cm="1">
        <f t="array" ref="E108">IFERROR(INDEX(Data_Input!$1:$100, 9, MATCH(1, (Data_Input!$7:$7=$F$3) * (Data_Input!$8:$8=$B108), 0)),"")</f>
        <v/>
      </c>
      <c r="F108" s="20" t="str" cm="1">
        <f t="array" ref="F108">IFERROR(INDEX(Data_Input!$A$1:$ZZ$502, MATCH("플랜번호", INDEX(Data_Input!$A$1:$ZZ$502, 0, MATCH(1, (Data_Input!$7:$7="IRP")*(Data_Input!$8:$8=$B108), 0)), 0) + 1, MATCH(1, (Data_Input!$7:$7=$F$3)*(Data_Input!$8:$8=$B108), 0)),"")</f>
        <v/>
      </c>
      <c r="G108" s="20" t="str" cm="1">
        <f t="array" ref="G108">IFERROR(INDEX(Data_Input!$A$1:$ZZ$502, MATCH("플랜명", INDEX(Data_Input!$A$1:$ZZ$502, 0, MATCH(1, (Data_Input!$7:$7="IRP")*(Data_Input!$8:$8=$B108), 0)), 0) + 1, MATCH(1, (Data_Input!$7:$7=$F$3)*(Data_Input!$8:$8=$B108), 0)),"")</f>
        <v/>
      </c>
      <c r="H108" s="20" t="str" cm="1">
        <f t="array" ref="H108">IFERROR(INDEX(Data_Input!$A$1:$ZZ$502, MATCH("평가금액", INDEX(Data_Input!$A$1:$ZZ$502, 0, MATCH(1, (Data_Input!$7:$7="IRP")*(Data_Input!$8:$8=$B108), 0)), 0) + 1, MATCH(1, (Data_Input!$7:$7=$F$3)*(Data_Input!$8:$8=$B108), 0)),"")</f>
        <v/>
      </c>
      <c r="I108" s="20" t="str" cm="1">
        <f t="array" ref="I108">IFERROR(INDEX(Data_Input!$A$1:$ZZ$502, MATCH("평가손익", INDEX(Data_Input!$A$1:$ZZ$502, 0, MATCH(1, (Data_Input!$7:$7="IRP")*(Data_Input!$8:$8=$B108), 0)), 0) + 1, MATCH(1, (Data_Input!$7:$7=$F$3)*(Data_Input!$8:$8=$B108), 0)),"")</f>
        <v/>
      </c>
      <c r="J108" s="14" t="str" cm="1">
        <f t="array" ref="J108">IFERROR(INDEX(Data_Input!$A$1:$ZZ$502, MATCH("누적수익률", INDEX(Data_Input!$A$1:$ZZ$502, 0, MATCH(1, (Data_Input!$7:$7="IRP")*(Data_Input!$8:$8=$B108), 0)), 0) + 1, MATCH(1, (Data_Input!$7:$7=$F$3)*(Data_Input!$8:$8=$B108), 0))/100,"")</f>
        <v/>
      </c>
      <c r="K108" t="str" cm="1">
        <f t="array" ref="K108">IFERROR(_xlfn.LET(
    _xlpm.targetDate, B108,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09" spans="1:11" x14ac:dyDescent="0.3">
      <c r="A109" s="16" t="str">
        <f t="shared" si="2"/>
        <v/>
      </c>
      <c r="B109" s="19"/>
      <c r="C109" s="17" t="str">
        <f t="shared" si="3"/>
        <v/>
      </c>
      <c r="D109" s="42" t="str" cm="1">
        <f t="array" ref="D109">IFERROR(INDEX(Data_Input!$1:$100, 10, MATCH(1, (Data_Input!$7:$7=$F$3) * (Data_Input!$8:$8=$B109), 0)), "")</f>
        <v/>
      </c>
      <c r="E109" s="29" t="str" cm="1">
        <f t="array" ref="E109">IFERROR(INDEX(Data_Input!$1:$100, 9, MATCH(1, (Data_Input!$7:$7=$F$3) * (Data_Input!$8:$8=$B109), 0)),"")</f>
        <v/>
      </c>
      <c r="F109" s="20" t="str" cm="1">
        <f t="array" ref="F109">IFERROR(INDEX(Data_Input!$A$1:$ZZ$502, MATCH("플랜번호", INDEX(Data_Input!$A$1:$ZZ$502, 0, MATCH(1, (Data_Input!$7:$7="IRP")*(Data_Input!$8:$8=$B109), 0)), 0) + 1, MATCH(1, (Data_Input!$7:$7=$F$3)*(Data_Input!$8:$8=$B109), 0)),"")</f>
        <v/>
      </c>
      <c r="G109" s="20" t="str" cm="1">
        <f t="array" ref="G109">IFERROR(INDEX(Data_Input!$A$1:$ZZ$502, MATCH("플랜명", INDEX(Data_Input!$A$1:$ZZ$502, 0, MATCH(1, (Data_Input!$7:$7="IRP")*(Data_Input!$8:$8=$B109), 0)), 0) + 1, MATCH(1, (Data_Input!$7:$7=$F$3)*(Data_Input!$8:$8=$B109), 0)),"")</f>
        <v/>
      </c>
      <c r="H109" s="20" t="str" cm="1">
        <f t="array" ref="H109">IFERROR(INDEX(Data_Input!$A$1:$ZZ$502, MATCH("평가금액", INDEX(Data_Input!$A$1:$ZZ$502, 0, MATCH(1, (Data_Input!$7:$7="IRP")*(Data_Input!$8:$8=$B109), 0)), 0) + 1, MATCH(1, (Data_Input!$7:$7=$F$3)*(Data_Input!$8:$8=$B109), 0)),"")</f>
        <v/>
      </c>
      <c r="I109" s="20" t="str" cm="1">
        <f t="array" ref="I109">IFERROR(INDEX(Data_Input!$A$1:$ZZ$502, MATCH("평가손익", INDEX(Data_Input!$A$1:$ZZ$502, 0, MATCH(1, (Data_Input!$7:$7="IRP")*(Data_Input!$8:$8=$B109), 0)), 0) + 1, MATCH(1, (Data_Input!$7:$7=$F$3)*(Data_Input!$8:$8=$B109), 0)),"")</f>
        <v/>
      </c>
      <c r="J109" s="14" t="str" cm="1">
        <f t="array" ref="J109">IFERROR(INDEX(Data_Input!$A$1:$ZZ$502, MATCH("누적수익률", INDEX(Data_Input!$A$1:$ZZ$502, 0, MATCH(1, (Data_Input!$7:$7="IRP")*(Data_Input!$8:$8=$B109), 0)), 0) + 1, MATCH(1, (Data_Input!$7:$7=$F$3)*(Data_Input!$8:$8=$B109), 0))/100,"")</f>
        <v/>
      </c>
      <c r="K109" t="str" cm="1">
        <f t="array" ref="K109">IFERROR(_xlfn.LET(
    _xlpm.targetDate, B109,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10" spans="1:11" x14ac:dyDescent="0.3">
      <c r="A110" s="16" t="str">
        <f t="shared" si="2"/>
        <v/>
      </c>
      <c r="B110" s="19"/>
      <c r="C110" s="17" t="str">
        <f t="shared" si="3"/>
        <v/>
      </c>
      <c r="D110" s="42" t="str" cm="1">
        <f t="array" ref="D110">IFERROR(INDEX(Data_Input!$1:$100, 10, MATCH(1, (Data_Input!$7:$7=$F$3) * (Data_Input!$8:$8=$B110), 0)), "")</f>
        <v/>
      </c>
      <c r="E110" s="29" t="str" cm="1">
        <f t="array" ref="E110">IFERROR(INDEX(Data_Input!$1:$100, 9, MATCH(1, (Data_Input!$7:$7=$F$3) * (Data_Input!$8:$8=$B110), 0)),"")</f>
        <v/>
      </c>
      <c r="F110" s="20" t="str" cm="1">
        <f t="array" ref="F110">IFERROR(INDEX(Data_Input!$A$1:$ZZ$502, MATCH("플랜번호", INDEX(Data_Input!$A$1:$ZZ$502, 0, MATCH(1, (Data_Input!$7:$7="IRP")*(Data_Input!$8:$8=$B110), 0)), 0) + 1, MATCH(1, (Data_Input!$7:$7=$F$3)*(Data_Input!$8:$8=$B110), 0)),"")</f>
        <v/>
      </c>
      <c r="G110" s="20" t="str" cm="1">
        <f t="array" ref="G110">IFERROR(INDEX(Data_Input!$A$1:$ZZ$502, MATCH("플랜명", INDEX(Data_Input!$A$1:$ZZ$502, 0, MATCH(1, (Data_Input!$7:$7="IRP")*(Data_Input!$8:$8=$B110), 0)), 0) + 1, MATCH(1, (Data_Input!$7:$7=$F$3)*(Data_Input!$8:$8=$B110), 0)),"")</f>
        <v/>
      </c>
      <c r="H110" s="20" t="str" cm="1">
        <f t="array" ref="H110">IFERROR(INDEX(Data_Input!$A$1:$ZZ$502, MATCH("평가금액", INDEX(Data_Input!$A$1:$ZZ$502, 0, MATCH(1, (Data_Input!$7:$7="IRP")*(Data_Input!$8:$8=$B110), 0)), 0) + 1, MATCH(1, (Data_Input!$7:$7=$F$3)*(Data_Input!$8:$8=$B110), 0)),"")</f>
        <v/>
      </c>
      <c r="I110" s="20" t="str" cm="1">
        <f t="array" ref="I110">IFERROR(INDEX(Data_Input!$A$1:$ZZ$502, MATCH("평가손익", INDEX(Data_Input!$A$1:$ZZ$502, 0, MATCH(1, (Data_Input!$7:$7="IRP")*(Data_Input!$8:$8=$B110), 0)), 0) + 1, MATCH(1, (Data_Input!$7:$7=$F$3)*(Data_Input!$8:$8=$B110), 0)),"")</f>
        <v/>
      </c>
      <c r="J110" s="14" t="str" cm="1">
        <f t="array" ref="J110">IFERROR(INDEX(Data_Input!$A$1:$ZZ$502, MATCH("누적수익률", INDEX(Data_Input!$A$1:$ZZ$502, 0, MATCH(1, (Data_Input!$7:$7="IRP")*(Data_Input!$8:$8=$B110), 0)), 0) + 1, MATCH(1, (Data_Input!$7:$7=$F$3)*(Data_Input!$8:$8=$B110), 0))/100,"")</f>
        <v/>
      </c>
      <c r="K110" t="str" cm="1">
        <f t="array" ref="K110">IFERROR(_xlfn.LET(
    _xlpm.targetDate, B110,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11" spans="1:11" x14ac:dyDescent="0.3">
      <c r="A111" s="16" t="str">
        <f t="shared" si="2"/>
        <v/>
      </c>
      <c r="B111" s="19"/>
      <c r="C111" s="17" t="str">
        <f t="shared" si="3"/>
        <v/>
      </c>
      <c r="D111" s="42" t="str" cm="1">
        <f t="array" ref="D111">IFERROR(INDEX(Data_Input!$1:$100, 10, MATCH(1, (Data_Input!$7:$7=$F$3) * (Data_Input!$8:$8=$B111), 0)), "")</f>
        <v/>
      </c>
      <c r="E111" s="29" t="str" cm="1">
        <f t="array" ref="E111">IFERROR(INDEX(Data_Input!$1:$100, 9, MATCH(1, (Data_Input!$7:$7=$F$3) * (Data_Input!$8:$8=$B111), 0)),"")</f>
        <v/>
      </c>
      <c r="F111" s="20" t="str" cm="1">
        <f t="array" ref="F111">IFERROR(INDEX(Data_Input!$A$1:$ZZ$502, MATCH("플랜번호", INDEX(Data_Input!$A$1:$ZZ$502, 0, MATCH(1, (Data_Input!$7:$7="IRP")*(Data_Input!$8:$8=$B111), 0)), 0) + 1, MATCH(1, (Data_Input!$7:$7=$F$3)*(Data_Input!$8:$8=$B111), 0)),"")</f>
        <v/>
      </c>
      <c r="G111" s="20" t="str" cm="1">
        <f t="array" ref="G111">IFERROR(INDEX(Data_Input!$A$1:$ZZ$502, MATCH("플랜명", INDEX(Data_Input!$A$1:$ZZ$502, 0, MATCH(1, (Data_Input!$7:$7="IRP")*(Data_Input!$8:$8=$B111), 0)), 0) + 1, MATCH(1, (Data_Input!$7:$7=$F$3)*(Data_Input!$8:$8=$B111), 0)),"")</f>
        <v/>
      </c>
      <c r="H111" s="20" t="str" cm="1">
        <f t="array" ref="H111">IFERROR(INDEX(Data_Input!$A$1:$ZZ$502, MATCH("평가금액", INDEX(Data_Input!$A$1:$ZZ$502, 0, MATCH(1, (Data_Input!$7:$7="IRP")*(Data_Input!$8:$8=$B111), 0)), 0) + 1, MATCH(1, (Data_Input!$7:$7=$F$3)*(Data_Input!$8:$8=$B111), 0)),"")</f>
        <v/>
      </c>
      <c r="I111" s="20" t="str" cm="1">
        <f t="array" ref="I111">IFERROR(INDEX(Data_Input!$A$1:$ZZ$502, MATCH("평가손익", INDEX(Data_Input!$A$1:$ZZ$502, 0, MATCH(1, (Data_Input!$7:$7="IRP")*(Data_Input!$8:$8=$B111), 0)), 0) + 1, MATCH(1, (Data_Input!$7:$7=$F$3)*(Data_Input!$8:$8=$B111), 0)),"")</f>
        <v/>
      </c>
      <c r="J111" s="14" t="str" cm="1">
        <f t="array" ref="J111">IFERROR(INDEX(Data_Input!$A$1:$ZZ$502, MATCH("누적수익률", INDEX(Data_Input!$A$1:$ZZ$502, 0, MATCH(1, (Data_Input!$7:$7="IRP")*(Data_Input!$8:$8=$B111), 0)), 0) + 1, MATCH(1, (Data_Input!$7:$7=$F$3)*(Data_Input!$8:$8=$B111), 0))/100,"")</f>
        <v/>
      </c>
      <c r="K111" t="str" cm="1">
        <f t="array" ref="K111">IFERROR(_xlfn.LET(
    _xlpm.targetDate, B111,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12" spans="1:11" x14ac:dyDescent="0.3">
      <c r="A112" s="16" t="str">
        <f t="shared" si="2"/>
        <v/>
      </c>
      <c r="B112" s="19"/>
      <c r="C112" s="17" t="str">
        <f t="shared" si="3"/>
        <v/>
      </c>
      <c r="D112" s="42" t="str" cm="1">
        <f t="array" ref="D112">IFERROR(INDEX(Data_Input!$1:$100, 10, MATCH(1, (Data_Input!$7:$7=$F$3) * (Data_Input!$8:$8=$B112), 0)), "")</f>
        <v/>
      </c>
      <c r="E112" s="29" t="str" cm="1">
        <f t="array" ref="E112">IFERROR(INDEX(Data_Input!$1:$100, 9, MATCH(1, (Data_Input!$7:$7=$F$3) * (Data_Input!$8:$8=$B112), 0)),"")</f>
        <v/>
      </c>
      <c r="F112" s="20" t="str" cm="1">
        <f t="array" ref="F112">IFERROR(INDEX(Data_Input!$A$1:$ZZ$502, MATCH("플랜번호", INDEX(Data_Input!$A$1:$ZZ$502, 0, MATCH(1, (Data_Input!$7:$7="IRP")*(Data_Input!$8:$8=$B112), 0)), 0) + 1, MATCH(1, (Data_Input!$7:$7=$F$3)*(Data_Input!$8:$8=$B112), 0)),"")</f>
        <v/>
      </c>
      <c r="G112" s="20" t="str" cm="1">
        <f t="array" ref="G112">IFERROR(INDEX(Data_Input!$A$1:$ZZ$502, MATCH("플랜명", INDEX(Data_Input!$A$1:$ZZ$502, 0, MATCH(1, (Data_Input!$7:$7="IRP")*(Data_Input!$8:$8=$B112), 0)), 0) + 1, MATCH(1, (Data_Input!$7:$7=$F$3)*(Data_Input!$8:$8=$B112), 0)),"")</f>
        <v/>
      </c>
      <c r="H112" s="20" t="str" cm="1">
        <f t="array" ref="H112">IFERROR(INDEX(Data_Input!$A$1:$ZZ$502, MATCH("평가금액", INDEX(Data_Input!$A$1:$ZZ$502, 0, MATCH(1, (Data_Input!$7:$7="IRP")*(Data_Input!$8:$8=$B112), 0)), 0) + 1, MATCH(1, (Data_Input!$7:$7=$F$3)*(Data_Input!$8:$8=$B112), 0)),"")</f>
        <v/>
      </c>
      <c r="I112" s="20" t="str" cm="1">
        <f t="array" ref="I112">IFERROR(INDEX(Data_Input!$A$1:$ZZ$502, MATCH("평가손익", INDEX(Data_Input!$A$1:$ZZ$502, 0, MATCH(1, (Data_Input!$7:$7="IRP")*(Data_Input!$8:$8=$B112), 0)), 0) + 1, MATCH(1, (Data_Input!$7:$7=$F$3)*(Data_Input!$8:$8=$B112), 0)),"")</f>
        <v/>
      </c>
      <c r="J112" s="14" t="str" cm="1">
        <f t="array" ref="J112">IFERROR(INDEX(Data_Input!$A$1:$ZZ$502, MATCH("누적수익률", INDEX(Data_Input!$A$1:$ZZ$502, 0, MATCH(1, (Data_Input!$7:$7="IRP")*(Data_Input!$8:$8=$B112), 0)), 0) + 1, MATCH(1, (Data_Input!$7:$7=$F$3)*(Data_Input!$8:$8=$B112), 0))/100,"")</f>
        <v/>
      </c>
      <c r="K112" t="str" cm="1">
        <f t="array" ref="K112">IFERROR(_xlfn.LET(
    _xlpm.targetDate, B112,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13" spans="1:11" x14ac:dyDescent="0.3">
      <c r="A113" s="16" t="str">
        <f t="shared" si="2"/>
        <v/>
      </c>
      <c r="B113" s="19"/>
      <c r="C113" s="17" t="str">
        <f t="shared" si="3"/>
        <v/>
      </c>
      <c r="D113" s="42" t="str" cm="1">
        <f t="array" ref="D113">IFERROR(INDEX(Data_Input!$1:$100, 10, MATCH(1, (Data_Input!$7:$7=$F$3) * (Data_Input!$8:$8=$B113), 0)), "")</f>
        <v/>
      </c>
      <c r="E113" s="29" t="str" cm="1">
        <f t="array" ref="E113">IFERROR(INDEX(Data_Input!$1:$100, 9, MATCH(1, (Data_Input!$7:$7=$F$3) * (Data_Input!$8:$8=$B113), 0)),"")</f>
        <v/>
      </c>
      <c r="F113" s="20" t="str" cm="1">
        <f t="array" ref="F113">IFERROR(INDEX(Data_Input!$A$1:$ZZ$502, MATCH("플랜번호", INDEX(Data_Input!$A$1:$ZZ$502, 0, MATCH(1, (Data_Input!$7:$7="IRP")*(Data_Input!$8:$8=$B113), 0)), 0) + 1, MATCH(1, (Data_Input!$7:$7=$F$3)*(Data_Input!$8:$8=$B113), 0)),"")</f>
        <v/>
      </c>
      <c r="G113" s="20" t="str" cm="1">
        <f t="array" ref="G113">IFERROR(INDEX(Data_Input!$A$1:$ZZ$502, MATCH("플랜명", INDEX(Data_Input!$A$1:$ZZ$502, 0, MATCH(1, (Data_Input!$7:$7="IRP")*(Data_Input!$8:$8=$B113), 0)), 0) + 1, MATCH(1, (Data_Input!$7:$7=$F$3)*(Data_Input!$8:$8=$B113), 0)),"")</f>
        <v/>
      </c>
      <c r="H113" s="20" t="str" cm="1">
        <f t="array" ref="H113">IFERROR(INDEX(Data_Input!$A$1:$ZZ$502, MATCH("평가금액", INDEX(Data_Input!$A$1:$ZZ$502, 0, MATCH(1, (Data_Input!$7:$7="IRP")*(Data_Input!$8:$8=$B113), 0)), 0) + 1, MATCH(1, (Data_Input!$7:$7=$F$3)*(Data_Input!$8:$8=$B113), 0)),"")</f>
        <v/>
      </c>
      <c r="I113" s="20" t="str" cm="1">
        <f t="array" ref="I113">IFERROR(INDEX(Data_Input!$A$1:$ZZ$502, MATCH("평가손익", INDEX(Data_Input!$A$1:$ZZ$502, 0, MATCH(1, (Data_Input!$7:$7="IRP")*(Data_Input!$8:$8=$B113), 0)), 0) + 1, MATCH(1, (Data_Input!$7:$7=$F$3)*(Data_Input!$8:$8=$B113), 0)),"")</f>
        <v/>
      </c>
      <c r="J113" s="14" t="str" cm="1">
        <f t="array" ref="J113">IFERROR(INDEX(Data_Input!$A$1:$ZZ$502, MATCH("누적수익률", INDEX(Data_Input!$A$1:$ZZ$502, 0, MATCH(1, (Data_Input!$7:$7="IRP")*(Data_Input!$8:$8=$B113), 0)), 0) + 1, MATCH(1, (Data_Input!$7:$7=$F$3)*(Data_Input!$8:$8=$B113), 0))/100,"")</f>
        <v/>
      </c>
      <c r="K113" t="str" cm="1">
        <f t="array" ref="K113">IFERROR(_xlfn.LET(
    _xlpm.targetDate, B113,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14" spans="1:11" x14ac:dyDescent="0.3">
      <c r="A114" s="16" t="str">
        <f t="shared" si="2"/>
        <v/>
      </c>
      <c r="B114" s="19"/>
      <c r="C114" s="17" t="str">
        <f t="shared" si="3"/>
        <v/>
      </c>
      <c r="D114" s="42" t="str" cm="1">
        <f t="array" ref="D114">IFERROR(INDEX(Data_Input!$1:$100, 10, MATCH(1, (Data_Input!$7:$7=$F$3) * (Data_Input!$8:$8=$B114), 0)), "")</f>
        <v/>
      </c>
      <c r="E114" s="29" t="str" cm="1">
        <f t="array" ref="E114">IFERROR(INDEX(Data_Input!$1:$100, 9, MATCH(1, (Data_Input!$7:$7=$F$3) * (Data_Input!$8:$8=$B114), 0)),"")</f>
        <v/>
      </c>
      <c r="F114" s="20" t="str" cm="1">
        <f t="array" ref="F114">IFERROR(INDEX(Data_Input!$A$1:$ZZ$502, MATCH("플랜번호", INDEX(Data_Input!$A$1:$ZZ$502, 0, MATCH(1, (Data_Input!$7:$7="IRP")*(Data_Input!$8:$8=$B114), 0)), 0) + 1, MATCH(1, (Data_Input!$7:$7=$F$3)*(Data_Input!$8:$8=$B114), 0)),"")</f>
        <v/>
      </c>
      <c r="G114" s="20" t="str" cm="1">
        <f t="array" ref="G114">IFERROR(INDEX(Data_Input!$A$1:$ZZ$502, MATCH("플랜명", INDEX(Data_Input!$A$1:$ZZ$502, 0, MATCH(1, (Data_Input!$7:$7="IRP")*(Data_Input!$8:$8=$B114), 0)), 0) + 1, MATCH(1, (Data_Input!$7:$7=$F$3)*(Data_Input!$8:$8=$B114), 0)),"")</f>
        <v/>
      </c>
      <c r="H114" s="20" t="str" cm="1">
        <f t="array" ref="H114">IFERROR(INDEX(Data_Input!$A$1:$ZZ$502, MATCH("평가금액", INDEX(Data_Input!$A$1:$ZZ$502, 0, MATCH(1, (Data_Input!$7:$7="IRP")*(Data_Input!$8:$8=$B114), 0)), 0) + 1, MATCH(1, (Data_Input!$7:$7=$F$3)*(Data_Input!$8:$8=$B114), 0)),"")</f>
        <v/>
      </c>
      <c r="I114" s="20" t="str" cm="1">
        <f t="array" ref="I114">IFERROR(INDEX(Data_Input!$A$1:$ZZ$502, MATCH("평가손익", INDEX(Data_Input!$A$1:$ZZ$502, 0, MATCH(1, (Data_Input!$7:$7="IRP")*(Data_Input!$8:$8=$B114), 0)), 0) + 1, MATCH(1, (Data_Input!$7:$7=$F$3)*(Data_Input!$8:$8=$B114), 0)),"")</f>
        <v/>
      </c>
      <c r="J114" s="14" t="str" cm="1">
        <f t="array" ref="J114">IFERROR(INDEX(Data_Input!$A$1:$ZZ$502, MATCH("누적수익률", INDEX(Data_Input!$A$1:$ZZ$502, 0, MATCH(1, (Data_Input!$7:$7="IRP")*(Data_Input!$8:$8=$B114), 0)), 0) + 1, MATCH(1, (Data_Input!$7:$7=$F$3)*(Data_Input!$8:$8=$B114), 0))/100,"")</f>
        <v/>
      </c>
      <c r="K114" t="str" cm="1">
        <f t="array" ref="K114">IFERROR(_xlfn.LET(
    _xlpm.targetDate, B114,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15" spans="1:11" x14ac:dyDescent="0.3">
      <c r="A115" s="16" t="str">
        <f t="shared" si="2"/>
        <v/>
      </c>
      <c r="B115" s="19"/>
      <c r="C115" s="17" t="str">
        <f t="shared" si="3"/>
        <v/>
      </c>
      <c r="D115" s="42" t="str" cm="1">
        <f t="array" ref="D115">IFERROR(INDEX(Data_Input!$1:$100, 10, MATCH(1, (Data_Input!$7:$7=$F$3) * (Data_Input!$8:$8=$B115), 0)), "")</f>
        <v/>
      </c>
      <c r="E115" s="29" t="str" cm="1">
        <f t="array" ref="E115">IFERROR(INDEX(Data_Input!$1:$100, 9, MATCH(1, (Data_Input!$7:$7=$F$3) * (Data_Input!$8:$8=$B115), 0)),"")</f>
        <v/>
      </c>
      <c r="F115" s="20" t="str" cm="1">
        <f t="array" ref="F115">IFERROR(INDEX(Data_Input!$A$1:$ZZ$502, MATCH("플랜번호", INDEX(Data_Input!$A$1:$ZZ$502, 0, MATCH(1, (Data_Input!$7:$7="IRP")*(Data_Input!$8:$8=$B115), 0)), 0) + 1, MATCH(1, (Data_Input!$7:$7=$F$3)*(Data_Input!$8:$8=$B115), 0)),"")</f>
        <v/>
      </c>
      <c r="G115" s="20" t="str" cm="1">
        <f t="array" ref="G115">IFERROR(INDEX(Data_Input!$A$1:$ZZ$502, MATCH("플랜명", INDEX(Data_Input!$A$1:$ZZ$502, 0, MATCH(1, (Data_Input!$7:$7="IRP")*(Data_Input!$8:$8=$B115), 0)), 0) + 1, MATCH(1, (Data_Input!$7:$7=$F$3)*(Data_Input!$8:$8=$B115), 0)),"")</f>
        <v/>
      </c>
      <c r="H115" s="20" t="str" cm="1">
        <f t="array" ref="H115">IFERROR(INDEX(Data_Input!$A$1:$ZZ$502, MATCH("평가금액", INDEX(Data_Input!$A$1:$ZZ$502, 0, MATCH(1, (Data_Input!$7:$7="IRP")*(Data_Input!$8:$8=$B115), 0)), 0) + 1, MATCH(1, (Data_Input!$7:$7=$F$3)*(Data_Input!$8:$8=$B115), 0)),"")</f>
        <v/>
      </c>
      <c r="I115" s="20" t="str" cm="1">
        <f t="array" ref="I115">IFERROR(INDEX(Data_Input!$A$1:$ZZ$502, MATCH("평가손익", INDEX(Data_Input!$A$1:$ZZ$502, 0, MATCH(1, (Data_Input!$7:$7="IRP")*(Data_Input!$8:$8=$B115), 0)), 0) + 1, MATCH(1, (Data_Input!$7:$7=$F$3)*(Data_Input!$8:$8=$B115), 0)),"")</f>
        <v/>
      </c>
      <c r="J115" s="14" t="str" cm="1">
        <f t="array" ref="J115">IFERROR(INDEX(Data_Input!$A$1:$ZZ$502, MATCH("누적수익률", INDEX(Data_Input!$A$1:$ZZ$502, 0, MATCH(1, (Data_Input!$7:$7="IRP")*(Data_Input!$8:$8=$B115), 0)), 0) + 1, MATCH(1, (Data_Input!$7:$7=$F$3)*(Data_Input!$8:$8=$B115), 0))/100,"")</f>
        <v/>
      </c>
      <c r="K115" t="str" cm="1">
        <f t="array" ref="K115">IFERROR(_xlfn.LET(
    _xlpm.targetDate, B115,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16" spans="1:11" x14ac:dyDescent="0.3">
      <c r="A116" s="16" t="str">
        <f t="shared" si="2"/>
        <v/>
      </c>
      <c r="B116" s="19"/>
      <c r="C116" s="17" t="str">
        <f t="shared" si="3"/>
        <v/>
      </c>
      <c r="D116" s="42" t="str" cm="1">
        <f t="array" ref="D116">IFERROR(INDEX(Data_Input!$1:$100, 10, MATCH(1, (Data_Input!$7:$7=$F$3) * (Data_Input!$8:$8=$B116), 0)), "")</f>
        <v/>
      </c>
      <c r="E116" s="29" t="str" cm="1">
        <f t="array" ref="E116">IFERROR(INDEX(Data_Input!$1:$100, 9, MATCH(1, (Data_Input!$7:$7=$F$3) * (Data_Input!$8:$8=$B116), 0)),"")</f>
        <v/>
      </c>
      <c r="F116" s="20" t="str" cm="1">
        <f t="array" ref="F116">IFERROR(INDEX(Data_Input!$A$1:$ZZ$502, MATCH("플랜번호", INDEX(Data_Input!$A$1:$ZZ$502, 0, MATCH(1, (Data_Input!$7:$7="IRP")*(Data_Input!$8:$8=$B116), 0)), 0) + 1, MATCH(1, (Data_Input!$7:$7=$F$3)*(Data_Input!$8:$8=$B116), 0)),"")</f>
        <v/>
      </c>
      <c r="G116" s="20" t="str" cm="1">
        <f t="array" ref="G116">IFERROR(INDEX(Data_Input!$A$1:$ZZ$502, MATCH("플랜명", INDEX(Data_Input!$A$1:$ZZ$502, 0, MATCH(1, (Data_Input!$7:$7="IRP")*(Data_Input!$8:$8=$B116), 0)), 0) + 1, MATCH(1, (Data_Input!$7:$7=$F$3)*(Data_Input!$8:$8=$B116), 0)),"")</f>
        <v/>
      </c>
      <c r="H116" s="20" t="str" cm="1">
        <f t="array" ref="H116">IFERROR(INDEX(Data_Input!$A$1:$ZZ$502, MATCH("평가금액", INDEX(Data_Input!$A$1:$ZZ$502, 0, MATCH(1, (Data_Input!$7:$7="IRP")*(Data_Input!$8:$8=$B116), 0)), 0) + 1, MATCH(1, (Data_Input!$7:$7=$F$3)*(Data_Input!$8:$8=$B116), 0)),"")</f>
        <v/>
      </c>
      <c r="I116" s="20" t="str" cm="1">
        <f t="array" ref="I116">IFERROR(INDEX(Data_Input!$A$1:$ZZ$502, MATCH("평가손익", INDEX(Data_Input!$A$1:$ZZ$502, 0, MATCH(1, (Data_Input!$7:$7="IRP")*(Data_Input!$8:$8=$B116), 0)), 0) + 1, MATCH(1, (Data_Input!$7:$7=$F$3)*(Data_Input!$8:$8=$B116), 0)),"")</f>
        <v/>
      </c>
      <c r="J116" s="14" t="str" cm="1">
        <f t="array" ref="J116">IFERROR(INDEX(Data_Input!$A$1:$ZZ$502, MATCH("누적수익률", INDEX(Data_Input!$A$1:$ZZ$502, 0, MATCH(1, (Data_Input!$7:$7="IRP")*(Data_Input!$8:$8=$B116), 0)), 0) + 1, MATCH(1, (Data_Input!$7:$7=$F$3)*(Data_Input!$8:$8=$B116), 0))/100,"")</f>
        <v/>
      </c>
      <c r="K116" t="str" cm="1">
        <f t="array" ref="K116">IFERROR(_xlfn.LET(
    _xlpm.targetDate, B116,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17" spans="1:11" x14ac:dyDescent="0.3">
      <c r="A117" s="16" t="str">
        <f t="shared" si="2"/>
        <v/>
      </c>
      <c r="B117" s="19"/>
      <c r="C117" s="17" t="str">
        <f t="shared" si="3"/>
        <v/>
      </c>
      <c r="D117" s="42" t="str" cm="1">
        <f t="array" ref="D117">IFERROR(INDEX(Data_Input!$1:$100, 10, MATCH(1, (Data_Input!$7:$7=$F$3) * (Data_Input!$8:$8=$B117), 0)), "")</f>
        <v/>
      </c>
      <c r="E117" s="29" t="str" cm="1">
        <f t="array" ref="E117">IFERROR(INDEX(Data_Input!$1:$100, 9, MATCH(1, (Data_Input!$7:$7=$F$3) * (Data_Input!$8:$8=$B117), 0)),"")</f>
        <v/>
      </c>
      <c r="F117" s="20" t="str" cm="1">
        <f t="array" ref="F117">IFERROR(INDEX(Data_Input!$A$1:$ZZ$502, MATCH("플랜번호", INDEX(Data_Input!$A$1:$ZZ$502, 0, MATCH(1, (Data_Input!$7:$7="IRP")*(Data_Input!$8:$8=$B117), 0)), 0) + 1, MATCH(1, (Data_Input!$7:$7=$F$3)*(Data_Input!$8:$8=$B117), 0)),"")</f>
        <v/>
      </c>
      <c r="G117" s="20" t="str" cm="1">
        <f t="array" ref="G117">IFERROR(INDEX(Data_Input!$A$1:$ZZ$502, MATCH("플랜명", INDEX(Data_Input!$A$1:$ZZ$502, 0, MATCH(1, (Data_Input!$7:$7="IRP")*(Data_Input!$8:$8=$B117), 0)), 0) + 1, MATCH(1, (Data_Input!$7:$7=$F$3)*(Data_Input!$8:$8=$B117), 0)),"")</f>
        <v/>
      </c>
      <c r="H117" s="20" t="str" cm="1">
        <f t="array" ref="H117">IFERROR(INDEX(Data_Input!$A$1:$ZZ$502, MATCH("평가금액", INDEX(Data_Input!$A$1:$ZZ$502, 0, MATCH(1, (Data_Input!$7:$7="IRP")*(Data_Input!$8:$8=$B117), 0)), 0) + 1, MATCH(1, (Data_Input!$7:$7=$F$3)*(Data_Input!$8:$8=$B117), 0)),"")</f>
        <v/>
      </c>
      <c r="I117" s="20" t="str" cm="1">
        <f t="array" ref="I117">IFERROR(INDEX(Data_Input!$A$1:$ZZ$502, MATCH("평가손익", INDEX(Data_Input!$A$1:$ZZ$502, 0, MATCH(1, (Data_Input!$7:$7="IRP")*(Data_Input!$8:$8=$B117), 0)), 0) + 1, MATCH(1, (Data_Input!$7:$7=$F$3)*(Data_Input!$8:$8=$B117), 0)),"")</f>
        <v/>
      </c>
      <c r="J117" s="14" t="str" cm="1">
        <f t="array" ref="J117">IFERROR(INDEX(Data_Input!$A$1:$ZZ$502, MATCH("누적수익률", INDEX(Data_Input!$A$1:$ZZ$502, 0, MATCH(1, (Data_Input!$7:$7="IRP")*(Data_Input!$8:$8=$B117), 0)), 0) + 1, MATCH(1, (Data_Input!$7:$7=$F$3)*(Data_Input!$8:$8=$B117), 0))/100,"")</f>
        <v/>
      </c>
      <c r="K117" t="str" cm="1">
        <f t="array" ref="K117">IFERROR(_xlfn.LET(
    _xlpm.targetDate, B117,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18" spans="1:11" x14ac:dyDescent="0.3">
      <c r="A118" s="16" t="str">
        <f t="shared" si="2"/>
        <v/>
      </c>
      <c r="B118" s="19"/>
      <c r="C118" s="17" t="str">
        <f t="shared" si="3"/>
        <v/>
      </c>
      <c r="D118" s="42" t="str" cm="1">
        <f t="array" ref="D118">IFERROR(INDEX(Data_Input!$1:$100, 10, MATCH(1, (Data_Input!$7:$7=$F$3) * (Data_Input!$8:$8=$B118), 0)), "")</f>
        <v/>
      </c>
      <c r="E118" s="29" t="str" cm="1">
        <f t="array" ref="E118">IFERROR(INDEX(Data_Input!$1:$100, 9, MATCH(1, (Data_Input!$7:$7=$F$3) * (Data_Input!$8:$8=$B118), 0)),"")</f>
        <v/>
      </c>
      <c r="F118" s="20" t="str" cm="1">
        <f t="array" ref="F118">IFERROR(INDEX(Data_Input!$A$1:$ZZ$502, MATCH("플랜번호", INDEX(Data_Input!$A$1:$ZZ$502, 0, MATCH(1, (Data_Input!$7:$7="IRP")*(Data_Input!$8:$8=$B118), 0)), 0) + 1, MATCH(1, (Data_Input!$7:$7=$F$3)*(Data_Input!$8:$8=$B118), 0)),"")</f>
        <v/>
      </c>
      <c r="G118" s="20" t="str" cm="1">
        <f t="array" ref="G118">IFERROR(INDEX(Data_Input!$A$1:$ZZ$502, MATCH("플랜명", INDEX(Data_Input!$A$1:$ZZ$502, 0, MATCH(1, (Data_Input!$7:$7="IRP")*(Data_Input!$8:$8=$B118), 0)), 0) + 1, MATCH(1, (Data_Input!$7:$7=$F$3)*(Data_Input!$8:$8=$B118), 0)),"")</f>
        <v/>
      </c>
      <c r="H118" s="20" t="str" cm="1">
        <f t="array" ref="H118">IFERROR(INDEX(Data_Input!$A$1:$ZZ$502, MATCH("평가금액", INDEX(Data_Input!$A$1:$ZZ$502, 0, MATCH(1, (Data_Input!$7:$7="IRP")*(Data_Input!$8:$8=$B118), 0)), 0) + 1, MATCH(1, (Data_Input!$7:$7=$F$3)*(Data_Input!$8:$8=$B118), 0)),"")</f>
        <v/>
      </c>
      <c r="I118" s="20" t="str" cm="1">
        <f t="array" ref="I118">IFERROR(INDEX(Data_Input!$A$1:$ZZ$502, MATCH("평가손익", INDEX(Data_Input!$A$1:$ZZ$502, 0, MATCH(1, (Data_Input!$7:$7="IRP")*(Data_Input!$8:$8=$B118), 0)), 0) + 1, MATCH(1, (Data_Input!$7:$7=$F$3)*(Data_Input!$8:$8=$B118), 0)),"")</f>
        <v/>
      </c>
      <c r="J118" s="14" t="str" cm="1">
        <f t="array" ref="J118">IFERROR(INDEX(Data_Input!$A$1:$ZZ$502, MATCH("누적수익률", INDEX(Data_Input!$A$1:$ZZ$502, 0, MATCH(1, (Data_Input!$7:$7="IRP")*(Data_Input!$8:$8=$B118), 0)), 0) + 1, MATCH(1, (Data_Input!$7:$7=$F$3)*(Data_Input!$8:$8=$B118), 0))/100,"")</f>
        <v/>
      </c>
      <c r="K118" t="str" cm="1">
        <f t="array" ref="K118">IFERROR(_xlfn.LET(
    _xlpm.targetDate, B118,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19" spans="1:11" x14ac:dyDescent="0.3">
      <c r="A119" s="16" t="str">
        <f t="shared" si="2"/>
        <v/>
      </c>
      <c r="B119" s="19"/>
      <c r="C119" s="17" t="str">
        <f t="shared" si="3"/>
        <v/>
      </c>
      <c r="D119" s="42" t="str" cm="1">
        <f t="array" ref="D119">IFERROR(INDEX(Data_Input!$1:$100, 10, MATCH(1, (Data_Input!$7:$7=$F$3) * (Data_Input!$8:$8=$B119), 0)), "")</f>
        <v/>
      </c>
      <c r="E119" s="29" t="str" cm="1">
        <f t="array" ref="E119">IFERROR(INDEX(Data_Input!$1:$100, 9, MATCH(1, (Data_Input!$7:$7=$F$3) * (Data_Input!$8:$8=$B119), 0)),"")</f>
        <v/>
      </c>
      <c r="F119" s="20" t="str" cm="1">
        <f t="array" ref="F119">IFERROR(INDEX(Data_Input!$A$1:$ZZ$502, MATCH("플랜번호", INDEX(Data_Input!$A$1:$ZZ$502, 0, MATCH(1, (Data_Input!$7:$7="IRP")*(Data_Input!$8:$8=$B119), 0)), 0) + 1, MATCH(1, (Data_Input!$7:$7=$F$3)*(Data_Input!$8:$8=$B119), 0)),"")</f>
        <v/>
      </c>
      <c r="G119" s="20" t="str" cm="1">
        <f t="array" ref="G119">IFERROR(INDEX(Data_Input!$A$1:$ZZ$502, MATCH("플랜명", INDEX(Data_Input!$A$1:$ZZ$502, 0, MATCH(1, (Data_Input!$7:$7="IRP")*(Data_Input!$8:$8=$B119), 0)), 0) + 1, MATCH(1, (Data_Input!$7:$7=$F$3)*(Data_Input!$8:$8=$B119), 0)),"")</f>
        <v/>
      </c>
      <c r="H119" s="20" t="str" cm="1">
        <f t="array" ref="H119">IFERROR(INDEX(Data_Input!$A$1:$ZZ$502, MATCH("평가금액", INDEX(Data_Input!$A$1:$ZZ$502, 0, MATCH(1, (Data_Input!$7:$7="IRP")*(Data_Input!$8:$8=$B119), 0)), 0) + 1, MATCH(1, (Data_Input!$7:$7=$F$3)*(Data_Input!$8:$8=$B119), 0)),"")</f>
        <v/>
      </c>
      <c r="I119" s="20" t="str" cm="1">
        <f t="array" ref="I119">IFERROR(INDEX(Data_Input!$A$1:$ZZ$502, MATCH("평가손익", INDEX(Data_Input!$A$1:$ZZ$502, 0, MATCH(1, (Data_Input!$7:$7="IRP")*(Data_Input!$8:$8=$B119), 0)), 0) + 1, MATCH(1, (Data_Input!$7:$7=$F$3)*(Data_Input!$8:$8=$B119), 0)),"")</f>
        <v/>
      </c>
      <c r="J119" s="14" t="str" cm="1">
        <f t="array" ref="J119">IFERROR(INDEX(Data_Input!$A$1:$ZZ$502, MATCH("누적수익률", INDEX(Data_Input!$A$1:$ZZ$502, 0, MATCH(1, (Data_Input!$7:$7="IRP")*(Data_Input!$8:$8=$B119), 0)), 0) + 1, MATCH(1, (Data_Input!$7:$7=$F$3)*(Data_Input!$8:$8=$B119), 0))/100,"")</f>
        <v/>
      </c>
      <c r="K119" t="str" cm="1">
        <f t="array" ref="K119">IFERROR(_xlfn.LET(
    _xlpm.targetDate, B119,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20" spans="1:11" x14ac:dyDescent="0.3">
      <c r="A120" s="16" t="str">
        <f t="shared" si="2"/>
        <v/>
      </c>
      <c r="B120" s="19"/>
      <c r="C120" s="17" t="str">
        <f t="shared" si="3"/>
        <v/>
      </c>
      <c r="D120" s="42" t="str" cm="1">
        <f t="array" ref="D120">IFERROR(INDEX(Data_Input!$1:$100, 10, MATCH(1, (Data_Input!$7:$7=$F$3) * (Data_Input!$8:$8=$B120), 0)), "")</f>
        <v/>
      </c>
      <c r="E120" s="29" t="str" cm="1">
        <f t="array" ref="E120">IFERROR(INDEX(Data_Input!$1:$100, 9, MATCH(1, (Data_Input!$7:$7=$F$3) * (Data_Input!$8:$8=$B120), 0)),"")</f>
        <v/>
      </c>
      <c r="F120" s="20" t="str" cm="1">
        <f t="array" ref="F120">IFERROR(INDEX(Data_Input!$A$1:$ZZ$502, MATCH("플랜번호", INDEX(Data_Input!$A$1:$ZZ$502, 0, MATCH(1, (Data_Input!$7:$7="IRP")*(Data_Input!$8:$8=$B120), 0)), 0) + 1, MATCH(1, (Data_Input!$7:$7=$F$3)*(Data_Input!$8:$8=$B120), 0)),"")</f>
        <v/>
      </c>
      <c r="G120" s="20" t="str" cm="1">
        <f t="array" ref="G120">IFERROR(INDEX(Data_Input!$A$1:$ZZ$502, MATCH("플랜명", INDEX(Data_Input!$A$1:$ZZ$502, 0, MATCH(1, (Data_Input!$7:$7="IRP")*(Data_Input!$8:$8=$B120), 0)), 0) + 1, MATCH(1, (Data_Input!$7:$7=$F$3)*(Data_Input!$8:$8=$B120), 0)),"")</f>
        <v/>
      </c>
      <c r="H120" s="20" t="str" cm="1">
        <f t="array" ref="H120">IFERROR(INDEX(Data_Input!$A$1:$ZZ$502, MATCH("평가금액", INDEX(Data_Input!$A$1:$ZZ$502, 0, MATCH(1, (Data_Input!$7:$7="IRP")*(Data_Input!$8:$8=$B120), 0)), 0) + 1, MATCH(1, (Data_Input!$7:$7=$F$3)*(Data_Input!$8:$8=$B120), 0)),"")</f>
        <v/>
      </c>
      <c r="I120" s="20" t="str" cm="1">
        <f t="array" ref="I120">IFERROR(INDEX(Data_Input!$A$1:$ZZ$502, MATCH("평가손익", INDEX(Data_Input!$A$1:$ZZ$502, 0, MATCH(1, (Data_Input!$7:$7="IRP")*(Data_Input!$8:$8=$B120), 0)), 0) + 1, MATCH(1, (Data_Input!$7:$7=$F$3)*(Data_Input!$8:$8=$B120), 0)),"")</f>
        <v/>
      </c>
      <c r="J120" s="14" t="str" cm="1">
        <f t="array" ref="J120">IFERROR(INDEX(Data_Input!$A$1:$ZZ$502, MATCH("누적수익률", INDEX(Data_Input!$A$1:$ZZ$502, 0, MATCH(1, (Data_Input!$7:$7="IRP")*(Data_Input!$8:$8=$B120), 0)), 0) + 1, MATCH(1, (Data_Input!$7:$7=$F$3)*(Data_Input!$8:$8=$B120), 0))/100,"")</f>
        <v/>
      </c>
      <c r="K120" t="str" cm="1">
        <f t="array" ref="K120">IFERROR(_xlfn.LET(
    _xlpm.targetDate, B120,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21" spans="1:11" x14ac:dyDescent="0.3">
      <c r="A121" s="16" t="str">
        <f t="shared" si="2"/>
        <v/>
      </c>
      <c r="B121" s="19"/>
      <c r="C121" s="17" t="str">
        <f t="shared" si="3"/>
        <v/>
      </c>
      <c r="D121" s="42" t="str" cm="1">
        <f t="array" ref="D121">IFERROR(INDEX(Data_Input!$1:$100, 10, MATCH(1, (Data_Input!$7:$7=$F$3) * (Data_Input!$8:$8=$B121), 0)), "")</f>
        <v/>
      </c>
      <c r="E121" s="29" t="str" cm="1">
        <f t="array" ref="E121">IFERROR(INDEX(Data_Input!$1:$100, 9, MATCH(1, (Data_Input!$7:$7=$F$3) * (Data_Input!$8:$8=$B121), 0)),"")</f>
        <v/>
      </c>
      <c r="F121" s="20" t="str" cm="1">
        <f t="array" ref="F121">IFERROR(INDEX(Data_Input!$A$1:$ZZ$502, MATCH("플랜번호", INDEX(Data_Input!$A$1:$ZZ$502, 0, MATCH(1, (Data_Input!$7:$7="IRP")*(Data_Input!$8:$8=$B121), 0)), 0) + 1, MATCH(1, (Data_Input!$7:$7=$F$3)*(Data_Input!$8:$8=$B121), 0)),"")</f>
        <v/>
      </c>
      <c r="G121" s="20" t="str" cm="1">
        <f t="array" ref="G121">IFERROR(INDEX(Data_Input!$A$1:$ZZ$502, MATCH("플랜명", INDEX(Data_Input!$A$1:$ZZ$502, 0, MATCH(1, (Data_Input!$7:$7="IRP")*(Data_Input!$8:$8=$B121), 0)), 0) + 1, MATCH(1, (Data_Input!$7:$7=$F$3)*(Data_Input!$8:$8=$B121), 0)),"")</f>
        <v/>
      </c>
      <c r="H121" s="20" t="str" cm="1">
        <f t="array" ref="H121">IFERROR(INDEX(Data_Input!$A$1:$ZZ$502, MATCH("평가금액", INDEX(Data_Input!$A$1:$ZZ$502, 0, MATCH(1, (Data_Input!$7:$7="IRP")*(Data_Input!$8:$8=$B121), 0)), 0) + 1, MATCH(1, (Data_Input!$7:$7=$F$3)*(Data_Input!$8:$8=$B121), 0)),"")</f>
        <v/>
      </c>
      <c r="I121" s="20" t="str" cm="1">
        <f t="array" ref="I121">IFERROR(INDEX(Data_Input!$A$1:$ZZ$502, MATCH("평가손익", INDEX(Data_Input!$A$1:$ZZ$502, 0, MATCH(1, (Data_Input!$7:$7="IRP")*(Data_Input!$8:$8=$B121), 0)), 0) + 1, MATCH(1, (Data_Input!$7:$7=$F$3)*(Data_Input!$8:$8=$B121), 0)),"")</f>
        <v/>
      </c>
      <c r="J121" s="14" t="str" cm="1">
        <f t="array" ref="J121">IFERROR(INDEX(Data_Input!$A$1:$ZZ$502, MATCH("누적수익률", INDEX(Data_Input!$A$1:$ZZ$502, 0, MATCH(1, (Data_Input!$7:$7="IRP")*(Data_Input!$8:$8=$B121), 0)), 0) + 1, MATCH(1, (Data_Input!$7:$7=$F$3)*(Data_Input!$8:$8=$B121), 0))/100,"")</f>
        <v/>
      </c>
      <c r="K121" t="str" cm="1">
        <f t="array" ref="K121">IFERROR(_xlfn.LET(
    _xlpm.targetDate, B121,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22" spans="1:11" x14ac:dyDescent="0.3">
      <c r="A122" s="16" t="str">
        <f t="shared" si="2"/>
        <v/>
      </c>
      <c r="B122" s="19"/>
      <c r="C122" s="17" t="str">
        <f t="shared" si="3"/>
        <v/>
      </c>
      <c r="D122" s="42" t="str" cm="1">
        <f t="array" ref="D122">IFERROR(INDEX(Data_Input!$1:$100, 10, MATCH(1, (Data_Input!$7:$7=$F$3) * (Data_Input!$8:$8=$B122), 0)), "")</f>
        <v/>
      </c>
      <c r="E122" s="29" t="str" cm="1">
        <f t="array" ref="E122">IFERROR(INDEX(Data_Input!$1:$100, 9, MATCH(1, (Data_Input!$7:$7=$F$3) * (Data_Input!$8:$8=$B122), 0)),"")</f>
        <v/>
      </c>
      <c r="F122" s="20" t="str" cm="1">
        <f t="array" ref="F122">IFERROR(INDEX(Data_Input!$A$1:$ZZ$502, MATCH("플랜번호", INDEX(Data_Input!$A$1:$ZZ$502, 0, MATCH(1, (Data_Input!$7:$7="IRP")*(Data_Input!$8:$8=$B122), 0)), 0) + 1, MATCH(1, (Data_Input!$7:$7=$F$3)*(Data_Input!$8:$8=$B122), 0)),"")</f>
        <v/>
      </c>
      <c r="G122" s="20" t="str" cm="1">
        <f t="array" ref="G122">IFERROR(INDEX(Data_Input!$A$1:$ZZ$502, MATCH("플랜명", INDEX(Data_Input!$A$1:$ZZ$502, 0, MATCH(1, (Data_Input!$7:$7="IRP")*(Data_Input!$8:$8=$B122), 0)), 0) + 1, MATCH(1, (Data_Input!$7:$7=$F$3)*(Data_Input!$8:$8=$B122), 0)),"")</f>
        <v/>
      </c>
      <c r="H122" s="20" t="str" cm="1">
        <f t="array" ref="H122">IFERROR(INDEX(Data_Input!$A$1:$ZZ$502, MATCH("평가금액", INDEX(Data_Input!$A$1:$ZZ$502, 0, MATCH(1, (Data_Input!$7:$7="IRP")*(Data_Input!$8:$8=$B122), 0)), 0) + 1, MATCH(1, (Data_Input!$7:$7=$F$3)*(Data_Input!$8:$8=$B122), 0)),"")</f>
        <v/>
      </c>
      <c r="I122" s="20" t="str" cm="1">
        <f t="array" ref="I122">IFERROR(INDEX(Data_Input!$A$1:$ZZ$502, MATCH("평가손익", INDEX(Data_Input!$A$1:$ZZ$502, 0, MATCH(1, (Data_Input!$7:$7="IRP")*(Data_Input!$8:$8=$B122), 0)), 0) + 1, MATCH(1, (Data_Input!$7:$7=$F$3)*(Data_Input!$8:$8=$B122), 0)),"")</f>
        <v/>
      </c>
      <c r="J122" s="14" t="str" cm="1">
        <f t="array" ref="J122">IFERROR(INDEX(Data_Input!$A$1:$ZZ$502, MATCH("누적수익률", INDEX(Data_Input!$A$1:$ZZ$502, 0, MATCH(1, (Data_Input!$7:$7="IRP")*(Data_Input!$8:$8=$B122), 0)), 0) + 1, MATCH(1, (Data_Input!$7:$7=$F$3)*(Data_Input!$8:$8=$B122), 0))/100,"")</f>
        <v/>
      </c>
      <c r="K122" t="str" cm="1">
        <f t="array" ref="K122">IFERROR(_xlfn.LET(
    _xlpm.targetDate, B122,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23" spans="1:11" x14ac:dyDescent="0.3">
      <c r="A123" s="16" t="str">
        <f t="shared" si="2"/>
        <v/>
      </c>
      <c r="B123" s="19"/>
      <c r="C123" s="17" t="str">
        <f t="shared" si="3"/>
        <v/>
      </c>
      <c r="D123" s="42" t="str" cm="1">
        <f t="array" ref="D123">IFERROR(INDEX(Data_Input!$1:$100, 10, MATCH(1, (Data_Input!$7:$7=$F$3) * (Data_Input!$8:$8=$B123), 0)), "")</f>
        <v/>
      </c>
      <c r="E123" s="29" t="str" cm="1">
        <f t="array" ref="E123">IFERROR(INDEX(Data_Input!$1:$100, 9, MATCH(1, (Data_Input!$7:$7=$F$3) * (Data_Input!$8:$8=$B123), 0)),"")</f>
        <v/>
      </c>
      <c r="F123" s="20" t="str" cm="1">
        <f t="array" ref="F123">IFERROR(INDEX(Data_Input!$A$1:$ZZ$502, MATCH("플랜번호", INDEX(Data_Input!$A$1:$ZZ$502, 0, MATCH(1, (Data_Input!$7:$7="IRP")*(Data_Input!$8:$8=$B123), 0)), 0) + 1, MATCH(1, (Data_Input!$7:$7=$F$3)*(Data_Input!$8:$8=$B123), 0)),"")</f>
        <v/>
      </c>
      <c r="G123" s="20" t="str" cm="1">
        <f t="array" ref="G123">IFERROR(INDEX(Data_Input!$A$1:$ZZ$502, MATCH("플랜명", INDEX(Data_Input!$A$1:$ZZ$502, 0, MATCH(1, (Data_Input!$7:$7="IRP")*(Data_Input!$8:$8=$B123), 0)), 0) + 1, MATCH(1, (Data_Input!$7:$7=$F$3)*(Data_Input!$8:$8=$B123), 0)),"")</f>
        <v/>
      </c>
      <c r="H123" s="20" t="str" cm="1">
        <f t="array" ref="H123">IFERROR(INDEX(Data_Input!$A$1:$ZZ$502, MATCH("평가금액", INDEX(Data_Input!$A$1:$ZZ$502, 0, MATCH(1, (Data_Input!$7:$7="IRP")*(Data_Input!$8:$8=$B123), 0)), 0) + 1, MATCH(1, (Data_Input!$7:$7=$F$3)*(Data_Input!$8:$8=$B123), 0)),"")</f>
        <v/>
      </c>
      <c r="I123" s="20" t="str" cm="1">
        <f t="array" ref="I123">IFERROR(INDEX(Data_Input!$A$1:$ZZ$502, MATCH("평가손익", INDEX(Data_Input!$A$1:$ZZ$502, 0, MATCH(1, (Data_Input!$7:$7="IRP")*(Data_Input!$8:$8=$B123), 0)), 0) + 1, MATCH(1, (Data_Input!$7:$7=$F$3)*(Data_Input!$8:$8=$B123), 0)),"")</f>
        <v/>
      </c>
      <c r="J123" s="14" t="str" cm="1">
        <f t="array" ref="J123">IFERROR(INDEX(Data_Input!$A$1:$ZZ$502, MATCH("누적수익률", INDEX(Data_Input!$A$1:$ZZ$502, 0, MATCH(1, (Data_Input!$7:$7="IRP")*(Data_Input!$8:$8=$B123), 0)), 0) + 1, MATCH(1, (Data_Input!$7:$7=$F$3)*(Data_Input!$8:$8=$B123), 0))/100,"")</f>
        <v/>
      </c>
      <c r="K123" t="str" cm="1">
        <f t="array" ref="K123">IFERROR(_xlfn.LET(
    _xlpm.targetDate, B123,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24" spans="1:11" x14ac:dyDescent="0.3">
      <c r="A124" s="16" t="str">
        <f t="shared" si="2"/>
        <v/>
      </c>
      <c r="B124" s="19"/>
      <c r="C124" s="17" t="str">
        <f t="shared" si="3"/>
        <v/>
      </c>
      <c r="D124" s="42" t="str" cm="1">
        <f t="array" ref="D124">IFERROR(INDEX(Data_Input!$1:$100, 10, MATCH(1, (Data_Input!$7:$7=$F$3) * (Data_Input!$8:$8=$B124), 0)), "")</f>
        <v/>
      </c>
      <c r="E124" s="29" t="str" cm="1">
        <f t="array" ref="E124">IFERROR(INDEX(Data_Input!$1:$100, 9, MATCH(1, (Data_Input!$7:$7=$F$3) * (Data_Input!$8:$8=$B124), 0)),"")</f>
        <v/>
      </c>
      <c r="F124" s="20" t="str" cm="1">
        <f t="array" ref="F124">IFERROR(INDEX(Data_Input!$A$1:$ZZ$502, MATCH("플랜번호", INDEX(Data_Input!$A$1:$ZZ$502, 0, MATCH(1, (Data_Input!$7:$7="IRP")*(Data_Input!$8:$8=$B124), 0)), 0) + 1, MATCH(1, (Data_Input!$7:$7=$F$3)*(Data_Input!$8:$8=$B124), 0)),"")</f>
        <v/>
      </c>
      <c r="G124" s="20" t="str" cm="1">
        <f t="array" ref="G124">IFERROR(INDEX(Data_Input!$A$1:$ZZ$502, MATCH("플랜명", INDEX(Data_Input!$A$1:$ZZ$502, 0, MATCH(1, (Data_Input!$7:$7="IRP")*(Data_Input!$8:$8=$B124), 0)), 0) + 1, MATCH(1, (Data_Input!$7:$7=$F$3)*(Data_Input!$8:$8=$B124), 0)),"")</f>
        <v/>
      </c>
      <c r="H124" s="20" t="str" cm="1">
        <f t="array" ref="H124">IFERROR(INDEX(Data_Input!$A$1:$ZZ$502, MATCH("평가금액", INDEX(Data_Input!$A$1:$ZZ$502, 0, MATCH(1, (Data_Input!$7:$7="IRP")*(Data_Input!$8:$8=$B124), 0)), 0) + 1, MATCH(1, (Data_Input!$7:$7=$F$3)*(Data_Input!$8:$8=$B124), 0)),"")</f>
        <v/>
      </c>
      <c r="I124" s="20" t="str" cm="1">
        <f t="array" ref="I124">IFERROR(INDEX(Data_Input!$A$1:$ZZ$502, MATCH("평가손익", INDEX(Data_Input!$A$1:$ZZ$502, 0, MATCH(1, (Data_Input!$7:$7="IRP")*(Data_Input!$8:$8=$B124), 0)), 0) + 1, MATCH(1, (Data_Input!$7:$7=$F$3)*(Data_Input!$8:$8=$B124), 0)),"")</f>
        <v/>
      </c>
      <c r="J124" s="14" t="str" cm="1">
        <f t="array" ref="J124">IFERROR(INDEX(Data_Input!$A$1:$ZZ$502, MATCH("누적수익률", INDEX(Data_Input!$A$1:$ZZ$502, 0, MATCH(1, (Data_Input!$7:$7="IRP")*(Data_Input!$8:$8=$B124), 0)), 0) + 1, MATCH(1, (Data_Input!$7:$7=$F$3)*(Data_Input!$8:$8=$B124), 0))/100,"")</f>
        <v/>
      </c>
      <c r="K124" t="str" cm="1">
        <f t="array" ref="K124">IFERROR(_xlfn.LET(
    _xlpm.targetDate, B124,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25" spans="1:11" x14ac:dyDescent="0.3">
      <c r="A125" s="16" t="str">
        <f t="shared" si="2"/>
        <v/>
      </c>
      <c r="B125" s="19"/>
      <c r="C125" s="17" t="str">
        <f t="shared" si="3"/>
        <v/>
      </c>
      <c r="D125" s="42" t="str" cm="1">
        <f t="array" ref="D125">IFERROR(INDEX(Data_Input!$1:$100, 10, MATCH(1, (Data_Input!$7:$7=$F$3) * (Data_Input!$8:$8=$B125), 0)), "")</f>
        <v/>
      </c>
      <c r="E125" s="29" t="str" cm="1">
        <f t="array" ref="E125">IFERROR(INDEX(Data_Input!$1:$100, 9, MATCH(1, (Data_Input!$7:$7=$F$3) * (Data_Input!$8:$8=$B125), 0)),"")</f>
        <v/>
      </c>
      <c r="F125" s="20" t="str" cm="1">
        <f t="array" ref="F125">IFERROR(INDEX(Data_Input!$A$1:$ZZ$502, MATCH("플랜번호", INDEX(Data_Input!$A$1:$ZZ$502, 0, MATCH(1, (Data_Input!$7:$7="IRP")*(Data_Input!$8:$8=$B125), 0)), 0) + 1, MATCH(1, (Data_Input!$7:$7=$F$3)*(Data_Input!$8:$8=$B125), 0)),"")</f>
        <v/>
      </c>
      <c r="G125" s="20" t="str" cm="1">
        <f t="array" ref="G125">IFERROR(INDEX(Data_Input!$A$1:$ZZ$502, MATCH("플랜명", INDEX(Data_Input!$A$1:$ZZ$502, 0, MATCH(1, (Data_Input!$7:$7="IRP")*(Data_Input!$8:$8=$B125), 0)), 0) + 1, MATCH(1, (Data_Input!$7:$7=$F$3)*(Data_Input!$8:$8=$B125), 0)),"")</f>
        <v/>
      </c>
      <c r="H125" s="20" t="str" cm="1">
        <f t="array" ref="H125">IFERROR(INDEX(Data_Input!$A$1:$ZZ$502, MATCH("평가금액", INDEX(Data_Input!$A$1:$ZZ$502, 0, MATCH(1, (Data_Input!$7:$7="IRP")*(Data_Input!$8:$8=$B125), 0)), 0) + 1, MATCH(1, (Data_Input!$7:$7=$F$3)*(Data_Input!$8:$8=$B125), 0)),"")</f>
        <v/>
      </c>
      <c r="I125" s="20" t="str" cm="1">
        <f t="array" ref="I125">IFERROR(INDEX(Data_Input!$A$1:$ZZ$502, MATCH("평가손익", INDEX(Data_Input!$A$1:$ZZ$502, 0, MATCH(1, (Data_Input!$7:$7="IRP")*(Data_Input!$8:$8=$B125), 0)), 0) + 1, MATCH(1, (Data_Input!$7:$7=$F$3)*(Data_Input!$8:$8=$B125), 0)),"")</f>
        <v/>
      </c>
      <c r="J125" s="14" t="str" cm="1">
        <f t="array" ref="J125">IFERROR(INDEX(Data_Input!$A$1:$ZZ$502, MATCH("누적수익률", INDEX(Data_Input!$A$1:$ZZ$502, 0, MATCH(1, (Data_Input!$7:$7="IRP")*(Data_Input!$8:$8=$B125), 0)), 0) + 1, MATCH(1, (Data_Input!$7:$7=$F$3)*(Data_Input!$8:$8=$B125), 0))/100,"")</f>
        <v/>
      </c>
      <c r="K125" t="str" cm="1">
        <f t="array" ref="K125">IFERROR(_xlfn.LET(
    _xlpm.targetDate, B125,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26" spans="1:11" x14ac:dyDescent="0.3">
      <c r="A126" s="16" t="str">
        <f t="shared" si="2"/>
        <v/>
      </c>
      <c r="B126" s="19"/>
      <c r="C126" s="17" t="str">
        <f t="shared" si="3"/>
        <v/>
      </c>
      <c r="D126" s="42" t="str" cm="1">
        <f t="array" ref="D126">IFERROR(INDEX(Data_Input!$1:$100, 10, MATCH(1, (Data_Input!$7:$7=$F$3) * (Data_Input!$8:$8=$B126), 0)), "")</f>
        <v/>
      </c>
      <c r="E126" s="29" t="str" cm="1">
        <f t="array" ref="E126">IFERROR(INDEX(Data_Input!$1:$100, 9, MATCH(1, (Data_Input!$7:$7=$F$3) * (Data_Input!$8:$8=$B126), 0)),"")</f>
        <v/>
      </c>
      <c r="F126" s="20" t="str" cm="1">
        <f t="array" ref="F126">IFERROR(INDEX(Data_Input!$A$1:$ZZ$502, MATCH("플랜번호", INDEX(Data_Input!$A$1:$ZZ$502, 0, MATCH(1, (Data_Input!$7:$7="IRP")*(Data_Input!$8:$8=$B126), 0)), 0) + 1, MATCH(1, (Data_Input!$7:$7=$F$3)*(Data_Input!$8:$8=$B126), 0)),"")</f>
        <v/>
      </c>
      <c r="G126" s="20" t="str" cm="1">
        <f t="array" ref="G126">IFERROR(INDEX(Data_Input!$A$1:$ZZ$502, MATCH("플랜명", INDEX(Data_Input!$A$1:$ZZ$502, 0, MATCH(1, (Data_Input!$7:$7="IRP")*(Data_Input!$8:$8=$B126), 0)), 0) + 1, MATCH(1, (Data_Input!$7:$7=$F$3)*(Data_Input!$8:$8=$B126), 0)),"")</f>
        <v/>
      </c>
      <c r="H126" s="20" t="str" cm="1">
        <f t="array" ref="H126">IFERROR(INDEX(Data_Input!$A$1:$ZZ$502, MATCH("평가금액", INDEX(Data_Input!$A$1:$ZZ$502, 0, MATCH(1, (Data_Input!$7:$7="IRP")*(Data_Input!$8:$8=$B126), 0)), 0) + 1, MATCH(1, (Data_Input!$7:$7=$F$3)*(Data_Input!$8:$8=$B126), 0)),"")</f>
        <v/>
      </c>
      <c r="I126" s="20" t="str" cm="1">
        <f t="array" ref="I126">IFERROR(INDEX(Data_Input!$A$1:$ZZ$502, MATCH("평가손익", INDEX(Data_Input!$A$1:$ZZ$502, 0, MATCH(1, (Data_Input!$7:$7="IRP")*(Data_Input!$8:$8=$B126), 0)), 0) + 1, MATCH(1, (Data_Input!$7:$7=$F$3)*(Data_Input!$8:$8=$B126), 0)),"")</f>
        <v/>
      </c>
      <c r="J126" s="14" t="str" cm="1">
        <f t="array" ref="J126">IFERROR(INDEX(Data_Input!$A$1:$ZZ$502, MATCH("누적수익률", INDEX(Data_Input!$A$1:$ZZ$502, 0, MATCH(1, (Data_Input!$7:$7="IRP")*(Data_Input!$8:$8=$B126), 0)), 0) + 1, MATCH(1, (Data_Input!$7:$7=$F$3)*(Data_Input!$8:$8=$B126), 0))/100,"")</f>
        <v/>
      </c>
      <c r="K126" t="str" cm="1">
        <f t="array" ref="K126">IFERROR(_xlfn.LET(
    _xlpm.targetDate, B126,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27" spans="1:11" x14ac:dyDescent="0.3">
      <c r="A127" s="16" t="str">
        <f t="shared" si="2"/>
        <v/>
      </c>
      <c r="B127" s="19"/>
      <c r="C127" s="17" t="str">
        <f t="shared" si="3"/>
        <v/>
      </c>
      <c r="D127" s="42" t="str" cm="1">
        <f t="array" ref="D127">IFERROR(INDEX(Data_Input!$1:$100, 10, MATCH(1, (Data_Input!$7:$7=$F$3) * (Data_Input!$8:$8=$B127), 0)), "")</f>
        <v/>
      </c>
      <c r="E127" s="29" t="str" cm="1">
        <f t="array" ref="E127">IFERROR(INDEX(Data_Input!$1:$100, 9, MATCH(1, (Data_Input!$7:$7=$F$3) * (Data_Input!$8:$8=$B127), 0)),"")</f>
        <v/>
      </c>
      <c r="F127" s="20" t="str" cm="1">
        <f t="array" ref="F127">IFERROR(INDEX(Data_Input!$A$1:$ZZ$502, MATCH("플랜번호", INDEX(Data_Input!$A$1:$ZZ$502, 0, MATCH(1, (Data_Input!$7:$7="IRP")*(Data_Input!$8:$8=$B127), 0)), 0) + 1, MATCH(1, (Data_Input!$7:$7=$F$3)*(Data_Input!$8:$8=$B127), 0)),"")</f>
        <v/>
      </c>
      <c r="G127" s="20" t="str" cm="1">
        <f t="array" ref="G127">IFERROR(INDEX(Data_Input!$A$1:$ZZ$502, MATCH("플랜명", INDEX(Data_Input!$A$1:$ZZ$502, 0, MATCH(1, (Data_Input!$7:$7="IRP")*(Data_Input!$8:$8=$B127), 0)), 0) + 1, MATCH(1, (Data_Input!$7:$7=$F$3)*(Data_Input!$8:$8=$B127), 0)),"")</f>
        <v/>
      </c>
      <c r="H127" s="20" t="str" cm="1">
        <f t="array" ref="H127">IFERROR(INDEX(Data_Input!$A$1:$ZZ$502, MATCH("평가금액", INDEX(Data_Input!$A$1:$ZZ$502, 0, MATCH(1, (Data_Input!$7:$7="IRP")*(Data_Input!$8:$8=$B127), 0)), 0) + 1, MATCH(1, (Data_Input!$7:$7=$F$3)*(Data_Input!$8:$8=$B127), 0)),"")</f>
        <v/>
      </c>
      <c r="I127" s="20" t="str" cm="1">
        <f t="array" ref="I127">IFERROR(INDEX(Data_Input!$A$1:$ZZ$502, MATCH("평가손익", INDEX(Data_Input!$A$1:$ZZ$502, 0, MATCH(1, (Data_Input!$7:$7="IRP")*(Data_Input!$8:$8=$B127), 0)), 0) + 1, MATCH(1, (Data_Input!$7:$7=$F$3)*(Data_Input!$8:$8=$B127), 0)),"")</f>
        <v/>
      </c>
      <c r="J127" s="14" t="str" cm="1">
        <f t="array" ref="J127">IFERROR(INDEX(Data_Input!$A$1:$ZZ$502, MATCH("누적수익률", INDEX(Data_Input!$A$1:$ZZ$502, 0, MATCH(1, (Data_Input!$7:$7="IRP")*(Data_Input!$8:$8=$B127), 0)), 0) + 1, MATCH(1, (Data_Input!$7:$7=$F$3)*(Data_Input!$8:$8=$B127), 0))/100,"")</f>
        <v/>
      </c>
      <c r="K127" t="str" cm="1">
        <f t="array" ref="K127">IFERROR(_xlfn.LET(
    _xlpm.targetDate, B127,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28" spans="1:11" x14ac:dyDescent="0.3">
      <c r="A128" s="16" t="str">
        <f t="shared" si="2"/>
        <v/>
      </c>
      <c r="B128" s="19"/>
      <c r="C128" s="17" t="str">
        <f t="shared" si="3"/>
        <v/>
      </c>
      <c r="D128" s="42" t="str" cm="1">
        <f t="array" ref="D128">IFERROR(INDEX(Data_Input!$1:$100, 10, MATCH(1, (Data_Input!$7:$7=$F$3) * (Data_Input!$8:$8=$B128), 0)), "")</f>
        <v/>
      </c>
      <c r="E128" s="29" t="str" cm="1">
        <f t="array" ref="E128">IFERROR(INDEX(Data_Input!$1:$100, 9, MATCH(1, (Data_Input!$7:$7=$F$3) * (Data_Input!$8:$8=$B128), 0)),"")</f>
        <v/>
      </c>
      <c r="F128" s="20" t="str" cm="1">
        <f t="array" ref="F128">IFERROR(INDEX(Data_Input!$A$1:$ZZ$502, MATCH("플랜번호", INDEX(Data_Input!$A$1:$ZZ$502, 0, MATCH(1, (Data_Input!$7:$7="IRP")*(Data_Input!$8:$8=$B128), 0)), 0) + 1, MATCH(1, (Data_Input!$7:$7=$F$3)*(Data_Input!$8:$8=$B128), 0)),"")</f>
        <v/>
      </c>
      <c r="G128" s="20" t="str" cm="1">
        <f t="array" ref="G128">IFERROR(INDEX(Data_Input!$A$1:$ZZ$502, MATCH("플랜명", INDEX(Data_Input!$A$1:$ZZ$502, 0, MATCH(1, (Data_Input!$7:$7="IRP")*(Data_Input!$8:$8=$B128), 0)), 0) + 1, MATCH(1, (Data_Input!$7:$7=$F$3)*(Data_Input!$8:$8=$B128), 0)),"")</f>
        <v/>
      </c>
      <c r="H128" s="20" t="str" cm="1">
        <f t="array" ref="H128">IFERROR(INDEX(Data_Input!$A$1:$ZZ$502, MATCH("평가금액", INDEX(Data_Input!$A$1:$ZZ$502, 0, MATCH(1, (Data_Input!$7:$7="IRP")*(Data_Input!$8:$8=$B128), 0)), 0) + 1, MATCH(1, (Data_Input!$7:$7=$F$3)*(Data_Input!$8:$8=$B128), 0)),"")</f>
        <v/>
      </c>
      <c r="I128" s="20" t="str" cm="1">
        <f t="array" ref="I128">IFERROR(INDEX(Data_Input!$A$1:$ZZ$502, MATCH("평가손익", INDEX(Data_Input!$A$1:$ZZ$502, 0, MATCH(1, (Data_Input!$7:$7="IRP")*(Data_Input!$8:$8=$B128), 0)), 0) + 1, MATCH(1, (Data_Input!$7:$7=$F$3)*(Data_Input!$8:$8=$B128), 0)),"")</f>
        <v/>
      </c>
      <c r="J128" s="14" t="str" cm="1">
        <f t="array" ref="J128">IFERROR(INDEX(Data_Input!$A$1:$ZZ$502, MATCH("누적수익률", INDEX(Data_Input!$A$1:$ZZ$502, 0, MATCH(1, (Data_Input!$7:$7="IRP")*(Data_Input!$8:$8=$B128), 0)), 0) + 1, MATCH(1, (Data_Input!$7:$7=$F$3)*(Data_Input!$8:$8=$B128), 0))/100,"")</f>
        <v/>
      </c>
      <c r="K128" t="str" cm="1">
        <f t="array" ref="K128">IFERROR(_xlfn.LET(
    _xlpm.targetDate, B128,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29" spans="1:11" x14ac:dyDescent="0.3">
      <c r="A129" s="16" t="str">
        <f t="shared" si="2"/>
        <v/>
      </c>
      <c r="B129" s="19"/>
      <c r="C129" s="17" t="str">
        <f t="shared" si="3"/>
        <v/>
      </c>
      <c r="D129" s="42" t="str" cm="1">
        <f t="array" ref="D129">IFERROR(INDEX(Data_Input!$1:$100, 10, MATCH(1, (Data_Input!$7:$7=$F$3) * (Data_Input!$8:$8=$B129), 0)), "")</f>
        <v/>
      </c>
      <c r="E129" s="29" t="str" cm="1">
        <f t="array" ref="E129">IFERROR(INDEX(Data_Input!$1:$100, 9, MATCH(1, (Data_Input!$7:$7=$F$3) * (Data_Input!$8:$8=$B129), 0)),"")</f>
        <v/>
      </c>
      <c r="F129" s="20" t="str" cm="1">
        <f t="array" ref="F129">IFERROR(INDEX(Data_Input!$A$1:$ZZ$502, MATCH("플랜번호", INDEX(Data_Input!$A$1:$ZZ$502, 0, MATCH(1, (Data_Input!$7:$7="IRP")*(Data_Input!$8:$8=$B129), 0)), 0) + 1, MATCH(1, (Data_Input!$7:$7=$F$3)*(Data_Input!$8:$8=$B129), 0)),"")</f>
        <v/>
      </c>
      <c r="G129" s="20" t="str" cm="1">
        <f t="array" ref="G129">IFERROR(INDEX(Data_Input!$A$1:$ZZ$502, MATCH("플랜명", INDEX(Data_Input!$A$1:$ZZ$502, 0, MATCH(1, (Data_Input!$7:$7="IRP")*(Data_Input!$8:$8=$B129), 0)), 0) + 1, MATCH(1, (Data_Input!$7:$7=$F$3)*(Data_Input!$8:$8=$B129), 0)),"")</f>
        <v/>
      </c>
      <c r="H129" s="20" t="str" cm="1">
        <f t="array" ref="H129">IFERROR(INDEX(Data_Input!$A$1:$ZZ$502, MATCH("평가금액", INDEX(Data_Input!$A$1:$ZZ$502, 0, MATCH(1, (Data_Input!$7:$7="IRP")*(Data_Input!$8:$8=$B129), 0)), 0) + 1, MATCH(1, (Data_Input!$7:$7=$F$3)*(Data_Input!$8:$8=$B129), 0)),"")</f>
        <v/>
      </c>
      <c r="I129" s="20" t="str" cm="1">
        <f t="array" ref="I129">IFERROR(INDEX(Data_Input!$A$1:$ZZ$502, MATCH("평가손익", INDEX(Data_Input!$A$1:$ZZ$502, 0, MATCH(1, (Data_Input!$7:$7="IRP")*(Data_Input!$8:$8=$B129), 0)), 0) + 1, MATCH(1, (Data_Input!$7:$7=$F$3)*(Data_Input!$8:$8=$B129), 0)),"")</f>
        <v/>
      </c>
      <c r="J129" s="14" t="str" cm="1">
        <f t="array" ref="J129">IFERROR(INDEX(Data_Input!$A$1:$ZZ$502, MATCH("누적수익률", INDEX(Data_Input!$A$1:$ZZ$502, 0, MATCH(1, (Data_Input!$7:$7="IRP")*(Data_Input!$8:$8=$B129), 0)), 0) + 1, MATCH(1, (Data_Input!$7:$7=$F$3)*(Data_Input!$8:$8=$B129), 0))/100,"")</f>
        <v/>
      </c>
      <c r="K129" t="str" cm="1">
        <f t="array" ref="K129">IFERROR(_xlfn.LET(
    _xlpm.targetDate, B129,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30" spans="1:11" x14ac:dyDescent="0.3">
      <c r="A130" s="16" t="str">
        <f t="shared" si="2"/>
        <v/>
      </c>
      <c r="B130" s="19"/>
      <c r="C130" s="17" t="str">
        <f t="shared" si="3"/>
        <v/>
      </c>
      <c r="D130" s="42" t="str" cm="1">
        <f t="array" ref="D130">IFERROR(INDEX(Data_Input!$1:$100, 10, MATCH(1, (Data_Input!$7:$7=$F$3) * (Data_Input!$8:$8=$B130), 0)), "")</f>
        <v/>
      </c>
      <c r="E130" s="29" t="str" cm="1">
        <f t="array" ref="E130">IFERROR(INDEX(Data_Input!$1:$100, 9, MATCH(1, (Data_Input!$7:$7=$F$3) * (Data_Input!$8:$8=$B130), 0)),"")</f>
        <v/>
      </c>
      <c r="F130" s="20" t="str" cm="1">
        <f t="array" ref="F130">IFERROR(INDEX(Data_Input!$A$1:$ZZ$502, MATCH("플랜번호", INDEX(Data_Input!$A$1:$ZZ$502, 0, MATCH(1, (Data_Input!$7:$7="IRP")*(Data_Input!$8:$8=$B130), 0)), 0) + 1, MATCH(1, (Data_Input!$7:$7=$F$3)*(Data_Input!$8:$8=$B130), 0)),"")</f>
        <v/>
      </c>
      <c r="G130" s="20" t="str" cm="1">
        <f t="array" ref="G130">IFERROR(INDEX(Data_Input!$A$1:$ZZ$502, MATCH("플랜명", INDEX(Data_Input!$A$1:$ZZ$502, 0, MATCH(1, (Data_Input!$7:$7="IRP")*(Data_Input!$8:$8=$B130), 0)), 0) + 1, MATCH(1, (Data_Input!$7:$7=$F$3)*(Data_Input!$8:$8=$B130), 0)),"")</f>
        <v/>
      </c>
      <c r="H130" s="20" t="str" cm="1">
        <f t="array" ref="H130">IFERROR(INDEX(Data_Input!$A$1:$ZZ$502, MATCH("평가금액", INDEX(Data_Input!$A$1:$ZZ$502, 0, MATCH(1, (Data_Input!$7:$7="IRP")*(Data_Input!$8:$8=$B130), 0)), 0) + 1, MATCH(1, (Data_Input!$7:$7=$F$3)*(Data_Input!$8:$8=$B130), 0)),"")</f>
        <v/>
      </c>
      <c r="I130" s="20" t="str" cm="1">
        <f t="array" ref="I130">IFERROR(INDEX(Data_Input!$A$1:$ZZ$502, MATCH("평가손익", INDEX(Data_Input!$A$1:$ZZ$502, 0, MATCH(1, (Data_Input!$7:$7="IRP")*(Data_Input!$8:$8=$B130), 0)), 0) + 1, MATCH(1, (Data_Input!$7:$7=$F$3)*(Data_Input!$8:$8=$B130), 0)),"")</f>
        <v/>
      </c>
      <c r="J130" s="14" t="str" cm="1">
        <f t="array" ref="J130">IFERROR(INDEX(Data_Input!$A$1:$ZZ$502, MATCH("누적수익률", INDEX(Data_Input!$A$1:$ZZ$502, 0, MATCH(1, (Data_Input!$7:$7="IRP")*(Data_Input!$8:$8=$B130), 0)), 0) + 1, MATCH(1, (Data_Input!$7:$7=$F$3)*(Data_Input!$8:$8=$B130), 0))/100,"")</f>
        <v/>
      </c>
      <c r="K130" t="str" cm="1">
        <f t="array" ref="K130">IFERROR(_xlfn.LET(
    _xlpm.targetDate, B130,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31" spans="1:11" x14ac:dyDescent="0.3">
      <c r="A131" s="16" t="str">
        <f t="shared" si="2"/>
        <v/>
      </c>
      <c r="B131" s="19"/>
      <c r="C131" s="17" t="str">
        <f t="shared" si="3"/>
        <v/>
      </c>
      <c r="D131" s="42" t="str" cm="1">
        <f t="array" ref="D131">IFERROR(INDEX(Data_Input!$1:$100, 10, MATCH(1, (Data_Input!$7:$7=$F$3) * (Data_Input!$8:$8=$B131), 0)), "")</f>
        <v/>
      </c>
      <c r="E131" s="29" t="str" cm="1">
        <f t="array" ref="E131">IFERROR(INDEX(Data_Input!$1:$100, 9, MATCH(1, (Data_Input!$7:$7=$F$3) * (Data_Input!$8:$8=$B131), 0)),"")</f>
        <v/>
      </c>
      <c r="F131" s="20" t="str" cm="1">
        <f t="array" ref="F131">IFERROR(INDEX(Data_Input!$A$1:$ZZ$502, MATCH("플랜번호", INDEX(Data_Input!$A$1:$ZZ$502, 0, MATCH(1, (Data_Input!$7:$7="IRP")*(Data_Input!$8:$8=$B131), 0)), 0) + 1, MATCH(1, (Data_Input!$7:$7=$F$3)*(Data_Input!$8:$8=$B131), 0)),"")</f>
        <v/>
      </c>
      <c r="G131" s="20" t="str" cm="1">
        <f t="array" ref="G131">IFERROR(INDEX(Data_Input!$A$1:$ZZ$502, MATCH("플랜명", INDEX(Data_Input!$A$1:$ZZ$502, 0, MATCH(1, (Data_Input!$7:$7="IRP")*(Data_Input!$8:$8=$B131), 0)), 0) + 1, MATCH(1, (Data_Input!$7:$7=$F$3)*(Data_Input!$8:$8=$B131), 0)),"")</f>
        <v/>
      </c>
      <c r="H131" s="20" t="str" cm="1">
        <f t="array" ref="H131">IFERROR(INDEX(Data_Input!$A$1:$ZZ$502, MATCH("평가금액", INDEX(Data_Input!$A$1:$ZZ$502, 0, MATCH(1, (Data_Input!$7:$7="IRP")*(Data_Input!$8:$8=$B131), 0)), 0) + 1, MATCH(1, (Data_Input!$7:$7=$F$3)*(Data_Input!$8:$8=$B131), 0)),"")</f>
        <v/>
      </c>
      <c r="I131" s="20" t="str" cm="1">
        <f t="array" ref="I131">IFERROR(INDEX(Data_Input!$A$1:$ZZ$502, MATCH("평가손익", INDEX(Data_Input!$A$1:$ZZ$502, 0, MATCH(1, (Data_Input!$7:$7="IRP")*(Data_Input!$8:$8=$B131), 0)), 0) + 1, MATCH(1, (Data_Input!$7:$7=$F$3)*(Data_Input!$8:$8=$B131), 0)),"")</f>
        <v/>
      </c>
      <c r="J131" s="14" t="str" cm="1">
        <f t="array" ref="J131">IFERROR(INDEX(Data_Input!$A$1:$ZZ$502, MATCH("누적수익률", INDEX(Data_Input!$A$1:$ZZ$502, 0, MATCH(1, (Data_Input!$7:$7="IRP")*(Data_Input!$8:$8=$B131), 0)), 0) + 1, MATCH(1, (Data_Input!$7:$7=$F$3)*(Data_Input!$8:$8=$B131), 0))/100,"")</f>
        <v/>
      </c>
      <c r="K131" t="str" cm="1">
        <f t="array" ref="K131">IFERROR(_xlfn.LET(
    _xlpm.targetDate, B131,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32" spans="1:11" x14ac:dyDescent="0.3">
      <c r="A132" s="16" t="str">
        <f t="shared" si="2"/>
        <v/>
      </c>
      <c r="B132" s="19"/>
      <c r="C132" s="17" t="str">
        <f t="shared" si="3"/>
        <v/>
      </c>
      <c r="D132" s="42" t="str" cm="1">
        <f t="array" ref="D132">IFERROR(INDEX(Data_Input!$1:$100, 10, MATCH(1, (Data_Input!$7:$7=$F$3) * (Data_Input!$8:$8=$B132), 0)), "")</f>
        <v/>
      </c>
      <c r="E132" s="29" t="str" cm="1">
        <f t="array" ref="E132">IFERROR(INDEX(Data_Input!$1:$100, 9, MATCH(1, (Data_Input!$7:$7=$F$3) * (Data_Input!$8:$8=$B132), 0)),"")</f>
        <v/>
      </c>
      <c r="F132" s="20" t="str" cm="1">
        <f t="array" ref="F132">IFERROR(INDEX(Data_Input!$A$1:$ZZ$502, MATCH("플랜번호", INDEX(Data_Input!$A$1:$ZZ$502, 0, MATCH(1, (Data_Input!$7:$7="IRP")*(Data_Input!$8:$8=$B132), 0)), 0) + 1, MATCH(1, (Data_Input!$7:$7=$F$3)*(Data_Input!$8:$8=$B132), 0)),"")</f>
        <v/>
      </c>
      <c r="G132" s="20" t="str" cm="1">
        <f t="array" ref="G132">IFERROR(INDEX(Data_Input!$A$1:$ZZ$502, MATCH("플랜명", INDEX(Data_Input!$A$1:$ZZ$502, 0, MATCH(1, (Data_Input!$7:$7="IRP")*(Data_Input!$8:$8=$B132), 0)), 0) + 1, MATCH(1, (Data_Input!$7:$7=$F$3)*(Data_Input!$8:$8=$B132), 0)),"")</f>
        <v/>
      </c>
      <c r="H132" s="20" t="str" cm="1">
        <f t="array" ref="H132">IFERROR(INDEX(Data_Input!$A$1:$ZZ$502, MATCH("평가금액", INDEX(Data_Input!$A$1:$ZZ$502, 0, MATCH(1, (Data_Input!$7:$7="IRP")*(Data_Input!$8:$8=$B132), 0)), 0) + 1, MATCH(1, (Data_Input!$7:$7=$F$3)*(Data_Input!$8:$8=$B132), 0)),"")</f>
        <v/>
      </c>
      <c r="I132" s="20" t="str" cm="1">
        <f t="array" ref="I132">IFERROR(INDEX(Data_Input!$A$1:$ZZ$502, MATCH("평가손익", INDEX(Data_Input!$A$1:$ZZ$502, 0, MATCH(1, (Data_Input!$7:$7="IRP")*(Data_Input!$8:$8=$B132), 0)), 0) + 1, MATCH(1, (Data_Input!$7:$7=$F$3)*(Data_Input!$8:$8=$B132), 0)),"")</f>
        <v/>
      </c>
      <c r="J132" s="14" t="str" cm="1">
        <f t="array" ref="J132">IFERROR(INDEX(Data_Input!$A$1:$ZZ$502, MATCH("누적수익률", INDEX(Data_Input!$A$1:$ZZ$502, 0, MATCH(1, (Data_Input!$7:$7="IRP")*(Data_Input!$8:$8=$B132), 0)), 0) + 1, MATCH(1, (Data_Input!$7:$7=$F$3)*(Data_Input!$8:$8=$B132), 0))/100,"")</f>
        <v/>
      </c>
      <c r="K132" t="str" cm="1">
        <f t="array" ref="K132">IFERROR(_xlfn.LET(
    _xlpm.targetDate, B132,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33" spans="1:11" x14ac:dyDescent="0.3">
      <c r="A133" s="16" t="str">
        <f t="shared" si="2"/>
        <v/>
      </c>
      <c r="B133" s="19"/>
      <c r="C133" s="17" t="str">
        <f t="shared" si="3"/>
        <v/>
      </c>
      <c r="D133" s="42" t="str" cm="1">
        <f t="array" ref="D133">IFERROR(INDEX(Data_Input!$1:$100, 10, MATCH(1, (Data_Input!$7:$7=$F$3) * (Data_Input!$8:$8=$B133), 0)), "")</f>
        <v/>
      </c>
      <c r="E133" s="29" t="str" cm="1">
        <f t="array" ref="E133">IFERROR(INDEX(Data_Input!$1:$100, 9, MATCH(1, (Data_Input!$7:$7=$F$3) * (Data_Input!$8:$8=$B133), 0)),"")</f>
        <v/>
      </c>
      <c r="F133" s="20" t="str" cm="1">
        <f t="array" ref="F133">IFERROR(INDEX(Data_Input!$A$1:$ZZ$502, MATCH("플랜번호", INDEX(Data_Input!$A$1:$ZZ$502, 0, MATCH(1, (Data_Input!$7:$7="IRP")*(Data_Input!$8:$8=$B133), 0)), 0) + 1, MATCH(1, (Data_Input!$7:$7=$F$3)*(Data_Input!$8:$8=$B133), 0)),"")</f>
        <v/>
      </c>
      <c r="G133" s="20" t="str" cm="1">
        <f t="array" ref="G133">IFERROR(INDEX(Data_Input!$A$1:$ZZ$502, MATCH("플랜명", INDEX(Data_Input!$A$1:$ZZ$502, 0, MATCH(1, (Data_Input!$7:$7="IRP")*(Data_Input!$8:$8=$B133), 0)), 0) + 1, MATCH(1, (Data_Input!$7:$7=$F$3)*(Data_Input!$8:$8=$B133), 0)),"")</f>
        <v/>
      </c>
      <c r="H133" s="20" t="str" cm="1">
        <f t="array" ref="H133">IFERROR(INDEX(Data_Input!$A$1:$ZZ$502, MATCH("평가금액", INDEX(Data_Input!$A$1:$ZZ$502, 0, MATCH(1, (Data_Input!$7:$7="IRP")*(Data_Input!$8:$8=$B133), 0)), 0) + 1, MATCH(1, (Data_Input!$7:$7=$F$3)*(Data_Input!$8:$8=$B133), 0)),"")</f>
        <v/>
      </c>
      <c r="I133" s="20" t="str" cm="1">
        <f t="array" ref="I133">IFERROR(INDEX(Data_Input!$A$1:$ZZ$502, MATCH("평가손익", INDEX(Data_Input!$A$1:$ZZ$502, 0, MATCH(1, (Data_Input!$7:$7="IRP")*(Data_Input!$8:$8=$B133), 0)), 0) + 1, MATCH(1, (Data_Input!$7:$7=$F$3)*(Data_Input!$8:$8=$B133), 0)),"")</f>
        <v/>
      </c>
      <c r="J133" s="14" t="str" cm="1">
        <f t="array" ref="J133">IFERROR(INDEX(Data_Input!$A$1:$ZZ$502, MATCH("누적수익률", INDEX(Data_Input!$A$1:$ZZ$502, 0, MATCH(1, (Data_Input!$7:$7="IRP")*(Data_Input!$8:$8=$B133), 0)), 0) + 1, MATCH(1, (Data_Input!$7:$7=$F$3)*(Data_Input!$8:$8=$B133), 0))/100,"")</f>
        <v/>
      </c>
      <c r="K133" t="str" cm="1">
        <f t="array" ref="K133">IFERROR(_xlfn.LET(
    _xlpm.targetDate, B133,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34" spans="1:11" x14ac:dyDescent="0.3">
      <c r="A134" s="16" t="str">
        <f t="shared" si="2"/>
        <v/>
      </c>
      <c r="B134" s="19"/>
      <c r="C134" s="17" t="str">
        <f t="shared" si="3"/>
        <v/>
      </c>
      <c r="D134" s="42" t="str" cm="1">
        <f t="array" ref="D134">IFERROR(INDEX(Data_Input!$1:$100, 10, MATCH(1, (Data_Input!$7:$7=$F$3) * (Data_Input!$8:$8=$B134), 0)), "")</f>
        <v/>
      </c>
      <c r="E134" s="29" t="str" cm="1">
        <f t="array" ref="E134">IFERROR(INDEX(Data_Input!$1:$100, 9, MATCH(1, (Data_Input!$7:$7=$F$3) * (Data_Input!$8:$8=$B134), 0)),"")</f>
        <v/>
      </c>
      <c r="F134" s="20" t="str" cm="1">
        <f t="array" ref="F134">IFERROR(INDEX(Data_Input!$A$1:$ZZ$502, MATCH("플랜번호", INDEX(Data_Input!$A$1:$ZZ$502, 0, MATCH(1, (Data_Input!$7:$7="IRP")*(Data_Input!$8:$8=$B134), 0)), 0) + 1, MATCH(1, (Data_Input!$7:$7=$F$3)*(Data_Input!$8:$8=$B134), 0)),"")</f>
        <v/>
      </c>
      <c r="G134" s="20" t="str" cm="1">
        <f t="array" ref="G134">IFERROR(INDEX(Data_Input!$A$1:$ZZ$502, MATCH("플랜명", INDEX(Data_Input!$A$1:$ZZ$502, 0, MATCH(1, (Data_Input!$7:$7="IRP")*(Data_Input!$8:$8=$B134), 0)), 0) + 1, MATCH(1, (Data_Input!$7:$7=$F$3)*(Data_Input!$8:$8=$B134), 0)),"")</f>
        <v/>
      </c>
      <c r="H134" s="20" t="str" cm="1">
        <f t="array" ref="H134">IFERROR(INDEX(Data_Input!$A$1:$ZZ$502, MATCH("평가금액", INDEX(Data_Input!$A$1:$ZZ$502, 0, MATCH(1, (Data_Input!$7:$7="IRP")*(Data_Input!$8:$8=$B134), 0)), 0) + 1, MATCH(1, (Data_Input!$7:$7=$F$3)*(Data_Input!$8:$8=$B134), 0)),"")</f>
        <v/>
      </c>
      <c r="I134" s="20" t="str" cm="1">
        <f t="array" ref="I134">IFERROR(INDEX(Data_Input!$A$1:$ZZ$502, MATCH("평가손익", INDEX(Data_Input!$A$1:$ZZ$502, 0, MATCH(1, (Data_Input!$7:$7="IRP")*(Data_Input!$8:$8=$B134), 0)), 0) + 1, MATCH(1, (Data_Input!$7:$7=$F$3)*(Data_Input!$8:$8=$B134), 0)),"")</f>
        <v/>
      </c>
      <c r="J134" s="14" t="str" cm="1">
        <f t="array" ref="J134">IFERROR(INDEX(Data_Input!$A$1:$ZZ$502, MATCH("누적수익률", INDEX(Data_Input!$A$1:$ZZ$502, 0, MATCH(1, (Data_Input!$7:$7="IRP")*(Data_Input!$8:$8=$B134), 0)), 0) + 1, MATCH(1, (Data_Input!$7:$7=$F$3)*(Data_Input!$8:$8=$B134), 0))/100,"")</f>
        <v/>
      </c>
      <c r="K134" t="str" cm="1">
        <f t="array" ref="K134">IFERROR(_xlfn.LET(
    _xlpm.targetDate, B134,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35" spans="1:11" x14ac:dyDescent="0.3">
      <c r="A135" s="16" t="str">
        <f t="shared" ref="A135:A198" si="4">IF(B135&gt;0,A134+1,"")</f>
        <v/>
      </c>
      <c r="B135" s="19"/>
      <c r="C135" s="17" t="str">
        <f t="shared" si="3"/>
        <v/>
      </c>
      <c r="D135" s="42" t="str" cm="1">
        <f t="array" ref="D135">IFERROR(INDEX(Data_Input!$1:$100, 10, MATCH(1, (Data_Input!$7:$7=$F$3) * (Data_Input!$8:$8=$B135), 0)), "")</f>
        <v/>
      </c>
      <c r="E135" s="29" t="str" cm="1">
        <f t="array" ref="E135">IFERROR(INDEX(Data_Input!$1:$100, 9, MATCH(1, (Data_Input!$7:$7=$F$3) * (Data_Input!$8:$8=$B135), 0)),"")</f>
        <v/>
      </c>
      <c r="F135" s="20" t="str" cm="1">
        <f t="array" ref="F135">IFERROR(INDEX(Data_Input!$A$1:$ZZ$502, MATCH("플랜번호", INDEX(Data_Input!$A$1:$ZZ$502, 0, MATCH(1, (Data_Input!$7:$7="IRP")*(Data_Input!$8:$8=$B135), 0)), 0) + 1, MATCH(1, (Data_Input!$7:$7=$F$3)*(Data_Input!$8:$8=$B135), 0)),"")</f>
        <v/>
      </c>
      <c r="G135" s="20" t="str" cm="1">
        <f t="array" ref="G135">IFERROR(INDEX(Data_Input!$A$1:$ZZ$502, MATCH("플랜명", INDEX(Data_Input!$A$1:$ZZ$502, 0, MATCH(1, (Data_Input!$7:$7="IRP")*(Data_Input!$8:$8=$B135), 0)), 0) + 1, MATCH(1, (Data_Input!$7:$7=$F$3)*(Data_Input!$8:$8=$B135), 0)),"")</f>
        <v/>
      </c>
      <c r="H135" s="20" t="str" cm="1">
        <f t="array" ref="H135">IFERROR(INDEX(Data_Input!$A$1:$ZZ$502, MATCH("평가금액", INDEX(Data_Input!$A$1:$ZZ$502, 0, MATCH(1, (Data_Input!$7:$7="IRP")*(Data_Input!$8:$8=$B135), 0)), 0) + 1, MATCH(1, (Data_Input!$7:$7=$F$3)*(Data_Input!$8:$8=$B135), 0)),"")</f>
        <v/>
      </c>
      <c r="I135" s="20" t="str" cm="1">
        <f t="array" ref="I135">IFERROR(INDEX(Data_Input!$A$1:$ZZ$502, MATCH("평가손익", INDEX(Data_Input!$A$1:$ZZ$502, 0, MATCH(1, (Data_Input!$7:$7="IRP")*(Data_Input!$8:$8=$B135), 0)), 0) + 1, MATCH(1, (Data_Input!$7:$7=$F$3)*(Data_Input!$8:$8=$B135), 0)),"")</f>
        <v/>
      </c>
      <c r="J135" s="14" t="str" cm="1">
        <f t="array" ref="J135">IFERROR(INDEX(Data_Input!$A$1:$ZZ$502, MATCH("누적수익률", INDEX(Data_Input!$A$1:$ZZ$502, 0, MATCH(1, (Data_Input!$7:$7="IRP")*(Data_Input!$8:$8=$B135), 0)), 0) + 1, MATCH(1, (Data_Input!$7:$7=$F$3)*(Data_Input!$8:$8=$B135), 0))/100,"")</f>
        <v/>
      </c>
      <c r="K135" t="str" cm="1">
        <f t="array" ref="K135">IFERROR(_xlfn.LET(
    _xlpm.targetDate, B135,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36" spans="1:11" x14ac:dyDescent="0.3">
      <c r="A136" s="16" t="str">
        <f t="shared" si="4"/>
        <v/>
      </c>
      <c r="B136" s="19"/>
      <c r="C136" s="17" t="str">
        <f t="shared" ref="C136:C199" si="5">IF(B136&gt;0,C135,"")</f>
        <v/>
      </c>
      <c r="D136" s="42" t="str" cm="1">
        <f t="array" ref="D136">IFERROR(INDEX(Data_Input!$1:$100, 10, MATCH(1, (Data_Input!$7:$7=$F$3) * (Data_Input!$8:$8=$B136), 0)), "")</f>
        <v/>
      </c>
      <c r="E136" s="29" t="str" cm="1">
        <f t="array" ref="E136">IFERROR(INDEX(Data_Input!$1:$100, 9, MATCH(1, (Data_Input!$7:$7=$F$3) * (Data_Input!$8:$8=$B136), 0)),"")</f>
        <v/>
      </c>
      <c r="F136" s="20" t="str" cm="1">
        <f t="array" ref="F136">IFERROR(INDEX(Data_Input!$A$1:$ZZ$502, MATCH("플랜번호", INDEX(Data_Input!$A$1:$ZZ$502, 0, MATCH(1, (Data_Input!$7:$7="IRP")*(Data_Input!$8:$8=$B136), 0)), 0) + 1, MATCH(1, (Data_Input!$7:$7=$F$3)*(Data_Input!$8:$8=$B136), 0)),"")</f>
        <v/>
      </c>
      <c r="G136" s="20" t="str" cm="1">
        <f t="array" ref="G136">IFERROR(INDEX(Data_Input!$A$1:$ZZ$502, MATCH("플랜명", INDEX(Data_Input!$A$1:$ZZ$502, 0, MATCH(1, (Data_Input!$7:$7="IRP")*(Data_Input!$8:$8=$B136), 0)), 0) + 1, MATCH(1, (Data_Input!$7:$7=$F$3)*(Data_Input!$8:$8=$B136), 0)),"")</f>
        <v/>
      </c>
      <c r="H136" s="20" t="str" cm="1">
        <f t="array" ref="H136">IFERROR(INDEX(Data_Input!$A$1:$ZZ$502, MATCH("평가금액", INDEX(Data_Input!$A$1:$ZZ$502, 0, MATCH(1, (Data_Input!$7:$7="IRP")*(Data_Input!$8:$8=$B136), 0)), 0) + 1, MATCH(1, (Data_Input!$7:$7=$F$3)*(Data_Input!$8:$8=$B136), 0)),"")</f>
        <v/>
      </c>
      <c r="I136" s="20" t="str" cm="1">
        <f t="array" ref="I136">IFERROR(INDEX(Data_Input!$A$1:$ZZ$502, MATCH("평가손익", INDEX(Data_Input!$A$1:$ZZ$502, 0, MATCH(1, (Data_Input!$7:$7="IRP")*(Data_Input!$8:$8=$B136), 0)), 0) + 1, MATCH(1, (Data_Input!$7:$7=$F$3)*(Data_Input!$8:$8=$B136), 0)),"")</f>
        <v/>
      </c>
      <c r="J136" s="14" t="str" cm="1">
        <f t="array" ref="J136">IFERROR(INDEX(Data_Input!$A$1:$ZZ$502, MATCH("누적수익률", INDEX(Data_Input!$A$1:$ZZ$502, 0, MATCH(1, (Data_Input!$7:$7="IRP")*(Data_Input!$8:$8=$B136), 0)), 0) + 1, MATCH(1, (Data_Input!$7:$7=$F$3)*(Data_Input!$8:$8=$B136), 0))/100,"")</f>
        <v/>
      </c>
      <c r="K136" t="str" cm="1">
        <f t="array" ref="K136">IFERROR(_xlfn.LET(
    _xlpm.targetDate, B136,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37" spans="1:11" x14ac:dyDescent="0.3">
      <c r="A137" s="16" t="str">
        <f t="shared" si="4"/>
        <v/>
      </c>
      <c r="B137" s="19"/>
      <c r="C137" s="17" t="str">
        <f t="shared" si="5"/>
        <v/>
      </c>
      <c r="D137" s="42" t="str" cm="1">
        <f t="array" ref="D137">IFERROR(INDEX(Data_Input!$1:$100, 10, MATCH(1, (Data_Input!$7:$7=$F$3) * (Data_Input!$8:$8=$B137), 0)), "")</f>
        <v/>
      </c>
      <c r="E137" s="29" t="str" cm="1">
        <f t="array" ref="E137">IFERROR(INDEX(Data_Input!$1:$100, 9, MATCH(1, (Data_Input!$7:$7=$F$3) * (Data_Input!$8:$8=$B137), 0)),"")</f>
        <v/>
      </c>
      <c r="F137" s="20" t="str" cm="1">
        <f t="array" ref="F137">IFERROR(INDEX(Data_Input!$A$1:$ZZ$502, MATCH("플랜번호", INDEX(Data_Input!$A$1:$ZZ$502, 0, MATCH(1, (Data_Input!$7:$7="IRP")*(Data_Input!$8:$8=$B137), 0)), 0) + 1, MATCH(1, (Data_Input!$7:$7=$F$3)*(Data_Input!$8:$8=$B137), 0)),"")</f>
        <v/>
      </c>
      <c r="G137" s="20" t="str" cm="1">
        <f t="array" ref="G137">IFERROR(INDEX(Data_Input!$A$1:$ZZ$502, MATCH("플랜명", INDEX(Data_Input!$A$1:$ZZ$502, 0, MATCH(1, (Data_Input!$7:$7="IRP")*(Data_Input!$8:$8=$B137), 0)), 0) + 1, MATCH(1, (Data_Input!$7:$7=$F$3)*(Data_Input!$8:$8=$B137), 0)),"")</f>
        <v/>
      </c>
      <c r="H137" s="20" t="str" cm="1">
        <f t="array" ref="H137">IFERROR(INDEX(Data_Input!$A$1:$ZZ$502, MATCH("평가금액", INDEX(Data_Input!$A$1:$ZZ$502, 0, MATCH(1, (Data_Input!$7:$7="IRP")*(Data_Input!$8:$8=$B137), 0)), 0) + 1, MATCH(1, (Data_Input!$7:$7=$F$3)*(Data_Input!$8:$8=$B137), 0)),"")</f>
        <v/>
      </c>
      <c r="I137" s="20" t="str" cm="1">
        <f t="array" ref="I137">IFERROR(INDEX(Data_Input!$A$1:$ZZ$502, MATCH("평가손익", INDEX(Data_Input!$A$1:$ZZ$502, 0, MATCH(1, (Data_Input!$7:$7="IRP")*(Data_Input!$8:$8=$B137), 0)), 0) + 1, MATCH(1, (Data_Input!$7:$7=$F$3)*(Data_Input!$8:$8=$B137), 0)),"")</f>
        <v/>
      </c>
      <c r="J137" s="14" t="str" cm="1">
        <f t="array" ref="J137">IFERROR(INDEX(Data_Input!$A$1:$ZZ$502, MATCH("누적수익률", INDEX(Data_Input!$A$1:$ZZ$502, 0, MATCH(1, (Data_Input!$7:$7="IRP")*(Data_Input!$8:$8=$B137), 0)), 0) + 1, MATCH(1, (Data_Input!$7:$7=$F$3)*(Data_Input!$8:$8=$B137), 0))/100,"")</f>
        <v/>
      </c>
      <c r="K137" t="str" cm="1">
        <f t="array" ref="K137">IFERROR(_xlfn.LET(
    _xlpm.targetDate, B137,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38" spans="1:11" x14ac:dyDescent="0.3">
      <c r="A138" s="16" t="str">
        <f t="shared" si="4"/>
        <v/>
      </c>
      <c r="B138" s="19"/>
      <c r="C138" s="17" t="str">
        <f t="shared" si="5"/>
        <v/>
      </c>
      <c r="D138" s="42" t="str" cm="1">
        <f t="array" ref="D138">IFERROR(INDEX(Data_Input!$1:$100, 10, MATCH(1, (Data_Input!$7:$7=$F$3) * (Data_Input!$8:$8=$B138), 0)), "")</f>
        <v/>
      </c>
      <c r="E138" s="29" t="str" cm="1">
        <f t="array" ref="E138">IFERROR(INDEX(Data_Input!$1:$100, 9, MATCH(1, (Data_Input!$7:$7=$F$3) * (Data_Input!$8:$8=$B138), 0)),"")</f>
        <v/>
      </c>
      <c r="F138" s="20" t="str" cm="1">
        <f t="array" ref="F138">IFERROR(INDEX(Data_Input!$A$1:$ZZ$502, MATCH("플랜번호", INDEX(Data_Input!$A$1:$ZZ$502, 0, MATCH(1, (Data_Input!$7:$7="IRP")*(Data_Input!$8:$8=$B138), 0)), 0) + 1, MATCH(1, (Data_Input!$7:$7=$F$3)*(Data_Input!$8:$8=$B138), 0)),"")</f>
        <v/>
      </c>
      <c r="G138" s="20" t="str" cm="1">
        <f t="array" ref="G138">IFERROR(INDEX(Data_Input!$A$1:$ZZ$502, MATCH("플랜명", INDEX(Data_Input!$A$1:$ZZ$502, 0, MATCH(1, (Data_Input!$7:$7="IRP")*(Data_Input!$8:$8=$B138), 0)), 0) + 1, MATCH(1, (Data_Input!$7:$7=$F$3)*(Data_Input!$8:$8=$B138), 0)),"")</f>
        <v/>
      </c>
      <c r="H138" s="20" t="str" cm="1">
        <f t="array" ref="H138">IFERROR(INDEX(Data_Input!$A$1:$ZZ$502, MATCH("평가금액", INDEX(Data_Input!$A$1:$ZZ$502, 0, MATCH(1, (Data_Input!$7:$7="IRP")*(Data_Input!$8:$8=$B138), 0)), 0) + 1, MATCH(1, (Data_Input!$7:$7=$F$3)*(Data_Input!$8:$8=$B138), 0)),"")</f>
        <v/>
      </c>
      <c r="I138" s="20" t="str" cm="1">
        <f t="array" ref="I138">IFERROR(INDEX(Data_Input!$A$1:$ZZ$502, MATCH("평가손익", INDEX(Data_Input!$A$1:$ZZ$502, 0, MATCH(1, (Data_Input!$7:$7="IRP")*(Data_Input!$8:$8=$B138), 0)), 0) + 1, MATCH(1, (Data_Input!$7:$7=$F$3)*(Data_Input!$8:$8=$B138), 0)),"")</f>
        <v/>
      </c>
      <c r="J138" s="14" t="str" cm="1">
        <f t="array" ref="J138">IFERROR(INDEX(Data_Input!$A$1:$ZZ$502, MATCH("누적수익률", INDEX(Data_Input!$A$1:$ZZ$502, 0, MATCH(1, (Data_Input!$7:$7="IRP")*(Data_Input!$8:$8=$B138), 0)), 0) + 1, MATCH(1, (Data_Input!$7:$7=$F$3)*(Data_Input!$8:$8=$B138), 0))/100,"")</f>
        <v/>
      </c>
      <c r="K138" t="str" cm="1">
        <f t="array" ref="K138">IFERROR(_xlfn.LET(
    _xlpm.targetDate, B138,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39" spans="1:11" x14ac:dyDescent="0.3">
      <c r="A139" s="16" t="str">
        <f t="shared" si="4"/>
        <v/>
      </c>
      <c r="B139" s="19"/>
      <c r="C139" s="17" t="str">
        <f t="shared" si="5"/>
        <v/>
      </c>
      <c r="D139" s="42" t="str" cm="1">
        <f t="array" ref="D139">IFERROR(INDEX(Data_Input!$1:$100, 10, MATCH(1, (Data_Input!$7:$7=$F$3) * (Data_Input!$8:$8=$B139), 0)), "")</f>
        <v/>
      </c>
      <c r="E139" s="29" t="str" cm="1">
        <f t="array" ref="E139">IFERROR(INDEX(Data_Input!$1:$100, 9, MATCH(1, (Data_Input!$7:$7=$F$3) * (Data_Input!$8:$8=$B139), 0)),"")</f>
        <v/>
      </c>
      <c r="F139" s="20" t="str" cm="1">
        <f t="array" ref="F139">IFERROR(INDEX(Data_Input!$A$1:$ZZ$502, MATCH("플랜번호", INDEX(Data_Input!$A$1:$ZZ$502, 0, MATCH(1, (Data_Input!$7:$7="IRP")*(Data_Input!$8:$8=$B139), 0)), 0) + 1, MATCH(1, (Data_Input!$7:$7=$F$3)*(Data_Input!$8:$8=$B139), 0)),"")</f>
        <v/>
      </c>
      <c r="G139" s="20" t="str" cm="1">
        <f t="array" ref="G139">IFERROR(INDEX(Data_Input!$A$1:$ZZ$502, MATCH("플랜명", INDEX(Data_Input!$A$1:$ZZ$502, 0, MATCH(1, (Data_Input!$7:$7="IRP")*(Data_Input!$8:$8=$B139), 0)), 0) + 1, MATCH(1, (Data_Input!$7:$7=$F$3)*(Data_Input!$8:$8=$B139), 0)),"")</f>
        <v/>
      </c>
      <c r="H139" s="20" t="str" cm="1">
        <f t="array" ref="H139">IFERROR(INDEX(Data_Input!$A$1:$ZZ$502, MATCH("평가금액", INDEX(Data_Input!$A$1:$ZZ$502, 0, MATCH(1, (Data_Input!$7:$7="IRP")*(Data_Input!$8:$8=$B139), 0)), 0) + 1, MATCH(1, (Data_Input!$7:$7=$F$3)*(Data_Input!$8:$8=$B139), 0)),"")</f>
        <v/>
      </c>
      <c r="I139" s="20" t="str" cm="1">
        <f t="array" ref="I139">IFERROR(INDEX(Data_Input!$A$1:$ZZ$502, MATCH("평가손익", INDEX(Data_Input!$A$1:$ZZ$502, 0, MATCH(1, (Data_Input!$7:$7="IRP")*(Data_Input!$8:$8=$B139), 0)), 0) + 1, MATCH(1, (Data_Input!$7:$7=$F$3)*(Data_Input!$8:$8=$B139), 0)),"")</f>
        <v/>
      </c>
      <c r="J139" s="14" t="str" cm="1">
        <f t="array" ref="J139">IFERROR(INDEX(Data_Input!$A$1:$ZZ$502, MATCH("누적수익률", INDEX(Data_Input!$A$1:$ZZ$502, 0, MATCH(1, (Data_Input!$7:$7="IRP")*(Data_Input!$8:$8=$B139), 0)), 0) + 1, MATCH(1, (Data_Input!$7:$7=$F$3)*(Data_Input!$8:$8=$B139), 0))/100,"")</f>
        <v/>
      </c>
      <c r="K139" t="str" cm="1">
        <f t="array" ref="K139">IFERROR(_xlfn.LET(
    _xlpm.targetDate, B139,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40" spans="1:11" x14ac:dyDescent="0.3">
      <c r="A140" s="16" t="str">
        <f t="shared" si="4"/>
        <v/>
      </c>
      <c r="B140" s="19"/>
      <c r="C140" s="17" t="str">
        <f t="shared" si="5"/>
        <v/>
      </c>
      <c r="D140" s="42" t="str" cm="1">
        <f t="array" ref="D140">IFERROR(INDEX(Data_Input!$1:$100, 10, MATCH(1, (Data_Input!$7:$7=$F$3) * (Data_Input!$8:$8=$B140), 0)), "")</f>
        <v/>
      </c>
      <c r="E140" s="29" t="str" cm="1">
        <f t="array" ref="E140">IFERROR(INDEX(Data_Input!$1:$100, 9, MATCH(1, (Data_Input!$7:$7=$F$3) * (Data_Input!$8:$8=$B140), 0)),"")</f>
        <v/>
      </c>
      <c r="F140" s="20" t="str" cm="1">
        <f t="array" ref="F140">IFERROR(INDEX(Data_Input!$A$1:$ZZ$502, MATCH("플랜번호", INDEX(Data_Input!$A$1:$ZZ$502, 0, MATCH(1, (Data_Input!$7:$7="IRP")*(Data_Input!$8:$8=$B140), 0)), 0) + 1, MATCH(1, (Data_Input!$7:$7=$F$3)*(Data_Input!$8:$8=$B140), 0)),"")</f>
        <v/>
      </c>
      <c r="G140" s="20" t="str" cm="1">
        <f t="array" ref="G140">IFERROR(INDEX(Data_Input!$A$1:$ZZ$502, MATCH("플랜명", INDEX(Data_Input!$A$1:$ZZ$502, 0, MATCH(1, (Data_Input!$7:$7="IRP")*(Data_Input!$8:$8=$B140), 0)), 0) + 1, MATCH(1, (Data_Input!$7:$7=$F$3)*(Data_Input!$8:$8=$B140), 0)),"")</f>
        <v/>
      </c>
      <c r="H140" s="20" t="str" cm="1">
        <f t="array" ref="H140">IFERROR(INDEX(Data_Input!$A$1:$ZZ$502, MATCH("평가금액", INDEX(Data_Input!$A$1:$ZZ$502, 0, MATCH(1, (Data_Input!$7:$7="IRP")*(Data_Input!$8:$8=$B140), 0)), 0) + 1, MATCH(1, (Data_Input!$7:$7=$F$3)*(Data_Input!$8:$8=$B140), 0)),"")</f>
        <v/>
      </c>
      <c r="I140" s="20" t="str" cm="1">
        <f t="array" ref="I140">IFERROR(INDEX(Data_Input!$A$1:$ZZ$502, MATCH("평가손익", INDEX(Data_Input!$A$1:$ZZ$502, 0, MATCH(1, (Data_Input!$7:$7="IRP")*(Data_Input!$8:$8=$B140), 0)), 0) + 1, MATCH(1, (Data_Input!$7:$7=$F$3)*(Data_Input!$8:$8=$B140), 0)),"")</f>
        <v/>
      </c>
      <c r="J140" s="14" t="str" cm="1">
        <f t="array" ref="J140">IFERROR(INDEX(Data_Input!$A$1:$ZZ$502, MATCH("누적수익률", INDEX(Data_Input!$A$1:$ZZ$502, 0, MATCH(1, (Data_Input!$7:$7="IRP")*(Data_Input!$8:$8=$B140), 0)), 0) + 1, MATCH(1, (Data_Input!$7:$7=$F$3)*(Data_Input!$8:$8=$B140), 0))/100,"")</f>
        <v/>
      </c>
      <c r="K140" t="str" cm="1">
        <f t="array" ref="K140">IFERROR(_xlfn.LET(
    _xlpm.targetDate, B140,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41" spans="1:11" x14ac:dyDescent="0.3">
      <c r="A141" s="16" t="str">
        <f t="shared" si="4"/>
        <v/>
      </c>
      <c r="B141" s="19"/>
      <c r="C141" s="17" t="str">
        <f t="shared" si="5"/>
        <v/>
      </c>
      <c r="D141" s="42" t="str" cm="1">
        <f t="array" ref="D141">IFERROR(INDEX(Data_Input!$1:$100, 10, MATCH(1, (Data_Input!$7:$7=$F$3) * (Data_Input!$8:$8=$B141), 0)), "")</f>
        <v/>
      </c>
      <c r="E141" s="29" t="str" cm="1">
        <f t="array" ref="E141">IFERROR(INDEX(Data_Input!$1:$100, 9, MATCH(1, (Data_Input!$7:$7=$F$3) * (Data_Input!$8:$8=$B141), 0)),"")</f>
        <v/>
      </c>
      <c r="F141" s="20" t="str" cm="1">
        <f t="array" ref="F141">IFERROR(INDEX(Data_Input!$A$1:$ZZ$502, MATCH("플랜번호", INDEX(Data_Input!$A$1:$ZZ$502, 0, MATCH(1, (Data_Input!$7:$7="IRP")*(Data_Input!$8:$8=$B141), 0)), 0) + 1, MATCH(1, (Data_Input!$7:$7=$F$3)*(Data_Input!$8:$8=$B141), 0)),"")</f>
        <v/>
      </c>
      <c r="G141" s="20" t="str" cm="1">
        <f t="array" ref="G141">IFERROR(INDEX(Data_Input!$A$1:$ZZ$502, MATCH("플랜명", INDEX(Data_Input!$A$1:$ZZ$502, 0, MATCH(1, (Data_Input!$7:$7="IRP")*(Data_Input!$8:$8=$B141), 0)), 0) + 1, MATCH(1, (Data_Input!$7:$7=$F$3)*(Data_Input!$8:$8=$B141), 0)),"")</f>
        <v/>
      </c>
      <c r="H141" s="20" t="str" cm="1">
        <f t="array" ref="H141">IFERROR(INDEX(Data_Input!$A$1:$ZZ$502, MATCH("평가금액", INDEX(Data_Input!$A$1:$ZZ$502, 0, MATCH(1, (Data_Input!$7:$7="IRP")*(Data_Input!$8:$8=$B141), 0)), 0) + 1, MATCH(1, (Data_Input!$7:$7=$F$3)*(Data_Input!$8:$8=$B141), 0)),"")</f>
        <v/>
      </c>
      <c r="I141" s="20" t="str" cm="1">
        <f t="array" ref="I141">IFERROR(INDEX(Data_Input!$A$1:$ZZ$502, MATCH("평가손익", INDEX(Data_Input!$A$1:$ZZ$502, 0, MATCH(1, (Data_Input!$7:$7="IRP")*(Data_Input!$8:$8=$B141), 0)), 0) + 1, MATCH(1, (Data_Input!$7:$7=$F$3)*(Data_Input!$8:$8=$B141), 0)),"")</f>
        <v/>
      </c>
      <c r="J141" s="14" t="str" cm="1">
        <f t="array" ref="J141">IFERROR(INDEX(Data_Input!$A$1:$ZZ$502, MATCH("누적수익률", INDEX(Data_Input!$A$1:$ZZ$502, 0, MATCH(1, (Data_Input!$7:$7="IRP")*(Data_Input!$8:$8=$B141), 0)), 0) + 1, MATCH(1, (Data_Input!$7:$7=$F$3)*(Data_Input!$8:$8=$B141), 0))/100,"")</f>
        <v/>
      </c>
      <c r="K141" t="str" cm="1">
        <f t="array" ref="K141">IFERROR(_xlfn.LET(
    _xlpm.targetDate, B141,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42" spans="1:11" x14ac:dyDescent="0.3">
      <c r="A142" s="16" t="str">
        <f t="shared" si="4"/>
        <v/>
      </c>
      <c r="B142" s="19"/>
      <c r="C142" s="17" t="str">
        <f t="shared" si="5"/>
        <v/>
      </c>
      <c r="D142" s="42" t="str" cm="1">
        <f t="array" ref="D142">IFERROR(INDEX(Data_Input!$1:$100, 10, MATCH(1, (Data_Input!$7:$7=$F$3) * (Data_Input!$8:$8=$B142), 0)), "")</f>
        <v/>
      </c>
      <c r="E142" s="29" t="str" cm="1">
        <f t="array" ref="E142">IFERROR(INDEX(Data_Input!$1:$100, 9, MATCH(1, (Data_Input!$7:$7=$F$3) * (Data_Input!$8:$8=$B142), 0)),"")</f>
        <v/>
      </c>
      <c r="F142" s="20" t="str" cm="1">
        <f t="array" ref="F142">IFERROR(INDEX(Data_Input!$A$1:$ZZ$502, MATCH("플랜번호", INDEX(Data_Input!$A$1:$ZZ$502, 0, MATCH(1, (Data_Input!$7:$7="IRP")*(Data_Input!$8:$8=$B142), 0)), 0) + 1, MATCH(1, (Data_Input!$7:$7=$F$3)*(Data_Input!$8:$8=$B142), 0)),"")</f>
        <v/>
      </c>
      <c r="G142" s="20" t="str" cm="1">
        <f t="array" ref="G142">IFERROR(INDEX(Data_Input!$A$1:$ZZ$502, MATCH("플랜명", INDEX(Data_Input!$A$1:$ZZ$502, 0, MATCH(1, (Data_Input!$7:$7="IRP")*(Data_Input!$8:$8=$B142), 0)), 0) + 1, MATCH(1, (Data_Input!$7:$7=$F$3)*(Data_Input!$8:$8=$B142), 0)),"")</f>
        <v/>
      </c>
      <c r="H142" s="20" t="str" cm="1">
        <f t="array" ref="H142">IFERROR(INDEX(Data_Input!$A$1:$ZZ$502, MATCH("평가금액", INDEX(Data_Input!$A$1:$ZZ$502, 0, MATCH(1, (Data_Input!$7:$7="IRP")*(Data_Input!$8:$8=$B142), 0)), 0) + 1, MATCH(1, (Data_Input!$7:$7=$F$3)*(Data_Input!$8:$8=$B142), 0)),"")</f>
        <v/>
      </c>
      <c r="I142" s="20" t="str" cm="1">
        <f t="array" ref="I142">IFERROR(INDEX(Data_Input!$A$1:$ZZ$502, MATCH("평가손익", INDEX(Data_Input!$A$1:$ZZ$502, 0, MATCH(1, (Data_Input!$7:$7="IRP")*(Data_Input!$8:$8=$B142), 0)), 0) + 1, MATCH(1, (Data_Input!$7:$7=$F$3)*(Data_Input!$8:$8=$B142), 0)),"")</f>
        <v/>
      </c>
      <c r="J142" s="14" t="str" cm="1">
        <f t="array" ref="J142">IFERROR(INDEX(Data_Input!$A$1:$ZZ$502, MATCH("누적수익률", INDEX(Data_Input!$A$1:$ZZ$502, 0, MATCH(1, (Data_Input!$7:$7="IRP")*(Data_Input!$8:$8=$B142), 0)), 0) + 1, MATCH(1, (Data_Input!$7:$7=$F$3)*(Data_Input!$8:$8=$B142), 0))/100,"")</f>
        <v/>
      </c>
      <c r="K142" t="str" cm="1">
        <f t="array" ref="K142">IFERROR(_xlfn.LET(
    _xlpm.targetDate, B142,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43" spans="1:11" x14ac:dyDescent="0.3">
      <c r="A143" s="16" t="str">
        <f t="shared" si="4"/>
        <v/>
      </c>
      <c r="B143" s="19"/>
      <c r="C143" s="17" t="str">
        <f t="shared" si="5"/>
        <v/>
      </c>
      <c r="D143" s="42" t="str" cm="1">
        <f t="array" ref="D143">IFERROR(INDEX(Data_Input!$1:$100, 10, MATCH(1, (Data_Input!$7:$7=$F$3) * (Data_Input!$8:$8=$B143), 0)), "")</f>
        <v/>
      </c>
      <c r="E143" s="29" t="str" cm="1">
        <f t="array" ref="E143">IFERROR(INDEX(Data_Input!$1:$100, 9, MATCH(1, (Data_Input!$7:$7=$F$3) * (Data_Input!$8:$8=$B143), 0)),"")</f>
        <v/>
      </c>
      <c r="F143" s="20" t="str" cm="1">
        <f t="array" ref="F143">IFERROR(INDEX(Data_Input!$A$1:$ZZ$502, MATCH("플랜번호", INDEX(Data_Input!$A$1:$ZZ$502, 0, MATCH(1, (Data_Input!$7:$7="IRP")*(Data_Input!$8:$8=$B143), 0)), 0) + 1, MATCH(1, (Data_Input!$7:$7=$F$3)*(Data_Input!$8:$8=$B143), 0)),"")</f>
        <v/>
      </c>
      <c r="G143" s="20" t="str" cm="1">
        <f t="array" ref="G143">IFERROR(INDEX(Data_Input!$A$1:$ZZ$502, MATCH("플랜명", INDEX(Data_Input!$A$1:$ZZ$502, 0, MATCH(1, (Data_Input!$7:$7="IRP")*(Data_Input!$8:$8=$B143), 0)), 0) + 1, MATCH(1, (Data_Input!$7:$7=$F$3)*(Data_Input!$8:$8=$B143), 0)),"")</f>
        <v/>
      </c>
      <c r="H143" s="20" t="str" cm="1">
        <f t="array" ref="H143">IFERROR(INDEX(Data_Input!$A$1:$ZZ$502, MATCH("평가금액", INDEX(Data_Input!$A$1:$ZZ$502, 0, MATCH(1, (Data_Input!$7:$7="IRP")*(Data_Input!$8:$8=$B143), 0)), 0) + 1, MATCH(1, (Data_Input!$7:$7=$F$3)*(Data_Input!$8:$8=$B143), 0)),"")</f>
        <v/>
      </c>
      <c r="I143" s="20" t="str" cm="1">
        <f t="array" ref="I143">IFERROR(INDEX(Data_Input!$A$1:$ZZ$502, MATCH("평가손익", INDEX(Data_Input!$A$1:$ZZ$502, 0, MATCH(1, (Data_Input!$7:$7="IRP")*(Data_Input!$8:$8=$B143), 0)), 0) + 1, MATCH(1, (Data_Input!$7:$7=$F$3)*(Data_Input!$8:$8=$B143), 0)),"")</f>
        <v/>
      </c>
      <c r="J143" s="14" t="str" cm="1">
        <f t="array" ref="J143">IFERROR(INDEX(Data_Input!$A$1:$ZZ$502, MATCH("누적수익률", INDEX(Data_Input!$A$1:$ZZ$502, 0, MATCH(1, (Data_Input!$7:$7="IRP")*(Data_Input!$8:$8=$B143), 0)), 0) + 1, MATCH(1, (Data_Input!$7:$7=$F$3)*(Data_Input!$8:$8=$B143), 0))/100,"")</f>
        <v/>
      </c>
      <c r="K143" t="str" cm="1">
        <f t="array" ref="K143">IFERROR(_xlfn.LET(
    _xlpm.targetDate, B143,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44" spans="1:11" x14ac:dyDescent="0.3">
      <c r="A144" s="16" t="str">
        <f t="shared" si="4"/>
        <v/>
      </c>
      <c r="B144" s="19"/>
      <c r="C144" s="17" t="str">
        <f t="shared" si="5"/>
        <v/>
      </c>
      <c r="D144" s="42" t="str" cm="1">
        <f t="array" ref="D144">IFERROR(INDEX(Data_Input!$1:$100, 10, MATCH(1, (Data_Input!$7:$7=$F$3) * (Data_Input!$8:$8=$B144), 0)), "")</f>
        <v/>
      </c>
      <c r="E144" s="29" t="str" cm="1">
        <f t="array" ref="E144">IFERROR(INDEX(Data_Input!$1:$100, 9, MATCH(1, (Data_Input!$7:$7=$F$3) * (Data_Input!$8:$8=$B144), 0)),"")</f>
        <v/>
      </c>
      <c r="F144" s="20" t="str" cm="1">
        <f t="array" ref="F144">IFERROR(INDEX(Data_Input!$A$1:$ZZ$502, MATCH("플랜번호", INDEX(Data_Input!$A$1:$ZZ$502, 0, MATCH(1, (Data_Input!$7:$7="IRP")*(Data_Input!$8:$8=$B144), 0)), 0) + 1, MATCH(1, (Data_Input!$7:$7=$F$3)*(Data_Input!$8:$8=$B144), 0)),"")</f>
        <v/>
      </c>
      <c r="G144" s="20" t="str" cm="1">
        <f t="array" ref="G144">IFERROR(INDEX(Data_Input!$A$1:$ZZ$502, MATCH("플랜명", INDEX(Data_Input!$A$1:$ZZ$502, 0, MATCH(1, (Data_Input!$7:$7="IRP")*(Data_Input!$8:$8=$B144), 0)), 0) + 1, MATCH(1, (Data_Input!$7:$7=$F$3)*(Data_Input!$8:$8=$B144), 0)),"")</f>
        <v/>
      </c>
      <c r="H144" s="20" t="str" cm="1">
        <f t="array" ref="H144">IFERROR(INDEX(Data_Input!$A$1:$ZZ$502, MATCH("평가금액", INDEX(Data_Input!$A$1:$ZZ$502, 0, MATCH(1, (Data_Input!$7:$7="IRP")*(Data_Input!$8:$8=$B144), 0)), 0) + 1, MATCH(1, (Data_Input!$7:$7=$F$3)*(Data_Input!$8:$8=$B144), 0)),"")</f>
        <v/>
      </c>
      <c r="I144" s="20" t="str" cm="1">
        <f t="array" ref="I144">IFERROR(INDEX(Data_Input!$A$1:$ZZ$502, MATCH("평가손익", INDEX(Data_Input!$A$1:$ZZ$502, 0, MATCH(1, (Data_Input!$7:$7="IRP")*(Data_Input!$8:$8=$B144), 0)), 0) + 1, MATCH(1, (Data_Input!$7:$7=$F$3)*(Data_Input!$8:$8=$B144), 0)),"")</f>
        <v/>
      </c>
      <c r="J144" s="14" t="str" cm="1">
        <f t="array" ref="J144">IFERROR(INDEX(Data_Input!$A$1:$ZZ$502, MATCH("누적수익률", INDEX(Data_Input!$A$1:$ZZ$502, 0, MATCH(1, (Data_Input!$7:$7="IRP")*(Data_Input!$8:$8=$B144), 0)), 0) + 1, MATCH(1, (Data_Input!$7:$7=$F$3)*(Data_Input!$8:$8=$B144), 0))/100,"")</f>
        <v/>
      </c>
      <c r="K144" t="str" cm="1">
        <f t="array" ref="K144">IFERROR(_xlfn.LET(
    _xlpm.targetDate, B144,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45" spans="1:11" x14ac:dyDescent="0.3">
      <c r="A145" s="16" t="str">
        <f t="shared" si="4"/>
        <v/>
      </c>
      <c r="B145" s="19"/>
      <c r="C145" s="17" t="str">
        <f t="shared" si="5"/>
        <v/>
      </c>
      <c r="D145" s="42" t="str" cm="1">
        <f t="array" ref="D145">IFERROR(INDEX(Data_Input!$1:$100, 10, MATCH(1, (Data_Input!$7:$7=$F$3) * (Data_Input!$8:$8=$B145), 0)), "")</f>
        <v/>
      </c>
      <c r="E145" s="29" t="str" cm="1">
        <f t="array" ref="E145">IFERROR(INDEX(Data_Input!$1:$100, 9, MATCH(1, (Data_Input!$7:$7=$F$3) * (Data_Input!$8:$8=$B145), 0)),"")</f>
        <v/>
      </c>
      <c r="F145" s="20" t="str" cm="1">
        <f t="array" ref="F145">IFERROR(INDEX(Data_Input!$A$1:$ZZ$502, MATCH("플랜번호", INDEX(Data_Input!$A$1:$ZZ$502, 0, MATCH(1, (Data_Input!$7:$7="IRP")*(Data_Input!$8:$8=$B145), 0)), 0) + 1, MATCH(1, (Data_Input!$7:$7=$F$3)*(Data_Input!$8:$8=$B145), 0)),"")</f>
        <v/>
      </c>
      <c r="G145" s="20" t="str" cm="1">
        <f t="array" ref="G145">IFERROR(INDEX(Data_Input!$A$1:$ZZ$502, MATCH("플랜명", INDEX(Data_Input!$A$1:$ZZ$502, 0, MATCH(1, (Data_Input!$7:$7="IRP")*(Data_Input!$8:$8=$B145), 0)), 0) + 1, MATCH(1, (Data_Input!$7:$7=$F$3)*(Data_Input!$8:$8=$B145), 0)),"")</f>
        <v/>
      </c>
      <c r="H145" s="20" t="str" cm="1">
        <f t="array" ref="H145">IFERROR(INDEX(Data_Input!$A$1:$ZZ$502, MATCH("평가금액", INDEX(Data_Input!$A$1:$ZZ$502, 0, MATCH(1, (Data_Input!$7:$7="IRP")*(Data_Input!$8:$8=$B145), 0)), 0) + 1, MATCH(1, (Data_Input!$7:$7=$F$3)*(Data_Input!$8:$8=$B145), 0)),"")</f>
        <v/>
      </c>
      <c r="I145" s="20" t="str" cm="1">
        <f t="array" ref="I145">IFERROR(INDEX(Data_Input!$A$1:$ZZ$502, MATCH("평가손익", INDEX(Data_Input!$A$1:$ZZ$502, 0, MATCH(1, (Data_Input!$7:$7="IRP")*(Data_Input!$8:$8=$B145), 0)), 0) + 1, MATCH(1, (Data_Input!$7:$7=$F$3)*(Data_Input!$8:$8=$B145), 0)),"")</f>
        <v/>
      </c>
      <c r="J145" s="14" t="str" cm="1">
        <f t="array" ref="J145">IFERROR(INDEX(Data_Input!$A$1:$ZZ$502, MATCH("누적수익률", INDEX(Data_Input!$A$1:$ZZ$502, 0, MATCH(1, (Data_Input!$7:$7="IRP")*(Data_Input!$8:$8=$B145), 0)), 0) + 1, MATCH(1, (Data_Input!$7:$7=$F$3)*(Data_Input!$8:$8=$B145), 0))/100,"")</f>
        <v/>
      </c>
      <c r="K145" t="str" cm="1">
        <f t="array" ref="K145">IFERROR(_xlfn.LET(
    _xlpm.targetDate, B145,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46" spans="1:11" x14ac:dyDescent="0.3">
      <c r="A146" s="16" t="str">
        <f t="shared" si="4"/>
        <v/>
      </c>
      <c r="B146" s="19"/>
      <c r="C146" s="17" t="str">
        <f t="shared" si="5"/>
        <v/>
      </c>
      <c r="D146" s="42" t="str" cm="1">
        <f t="array" ref="D146">IFERROR(INDEX(Data_Input!$1:$100, 10, MATCH(1, (Data_Input!$7:$7=$F$3) * (Data_Input!$8:$8=$B146), 0)), "")</f>
        <v/>
      </c>
      <c r="E146" s="29" t="str" cm="1">
        <f t="array" ref="E146">IFERROR(INDEX(Data_Input!$1:$100, 9, MATCH(1, (Data_Input!$7:$7=$F$3) * (Data_Input!$8:$8=$B146), 0)),"")</f>
        <v/>
      </c>
      <c r="F146" s="20" t="str" cm="1">
        <f t="array" ref="F146">IFERROR(INDEX(Data_Input!$A$1:$ZZ$502, MATCH("플랜번호", INDEX(Data_Input!$A$1:$ZZ$502, 0, MATCH(1, (Data_Input!$7:$7="IRP")*(Data_Input!$8:$8=$B146), 0)), 0) + 1, MATCH(1, (Data_Input!$7:$7=$F$3)*(Data_Input!$8:$8=$B146), 0)),"")</f>
        <v/>
      </c>
      <c r="G146" s="20" t="str" cm="1">
        <f t="array" ref="G146">IFERROR(INDEX(Data_Input!$A$1:$ZZ$502, MATCH("플랜명", INDEX(Data_Input!$A$1:$ZZ$502, 0, MATCH(1, (Data_Input!$7:$7="IRP")*(Data_Input!$8:$8=$B146), 0)), 0) + 1, MATCH(1, (Data_Input!$7:$7=$F$3)*(Data_Input!$8:$8=$B146), 0)),"")</f>
        <v/>
      </c>
      <c r="H146" s="20" t="str" cm="1">
        <f t="array" ref="H146">IFERROR(INDEX(Data_Input!$A$1:$ZZ$502, MATCH("평가금액", INDEX(Data_Input!$A$1:$ZZ$502, 0, MATCH(1, (Data_Input!$7:$7="IRP")*(Data_Input!$8:$8=$B146), 0)), 0) + 1, MATCH(1, (Data_Input!$7:$7=$F$3)*(Data_Input!$8:$8=$B146), 0)),"")</f>
        <v/>
      </c>
      <c r="I146" s="20" t="str" cm="1">
        <f t="array" ref="I146">IFERROR(INDEX(Data_Input!$A$1:$ZZ$502, MATCH("평가손익", INDEX(Data_Input!$A$1:$ZZ$502, 0, MATCH(1, (Data_Input!$7:$7="IRP")*(Data_Input!$8:$8=$B146), 0)), 0) + 1, MATCH(1, (Data_Input!$7:$7=$F$3)*(Data_Input!$8:$8=$B146), 0)),"")</f>
        <v/>
      </c>
      <c r="J146" s="14" t="str" cm="1">
        <f t="array" ref="J146">IFERROR(INDEX(Data_Input!$A$1:$ZZ$502, MATCH("누적수익률", INDEX(Data_Input!$A$1:$ZZ$502, 0, MATCH(1, (Data_Input!$7:$7="IRP")*(Data_Input!$8:$8=$B146), 0)), 0) + 1, MATCH(1, (Data_Input!$7:$7=$F$3)*(Data_Input!$8:$8=$B146), 0))/100,"")</f>
        <v/>
      </c>
      <c r="K146" t="str" cm="1">
        <f t="array" ref="K146">IFERROR(_xlfn.LET(
    _xlpm.targetDate, B146,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47" spans="1:11" x14ac:dyDescent="0.3">
      <c r="A147" s="16" t="str">
        <f t="shared" si="4"/>
        <v/>
      </c>
      <c r="B147" s="19"/>
      <c r="C147" s="17" t="str">
        <f t="shared" si="5"/>
        <v/>
      </c>
      <c r="D147" s="42" t="str" cm="1">
        <f t="array" ref="D147">IFERROR(INDEX(Data_Input!$1:$100, 10, MATCH(1, (Data_Input!$7:$7=$F$3) * (Data_Input!$8:$8=$B147), 0)), "")</f>
        <v/>
      </c>
      <c r="E147" s="29" t="str" cm="1">
        <f t="array" ref="E147">IFERROR(INDEX(Data_Input!$1:$100, 9, MATCH(1, (Data_Input!$7:$7=$F$3) * (Data_Input!$8:$8=$B147), 0)),"")</f>
        <v/>
      </c>
      <c r="F147" s="20" t="str" cm="1">
        <f t="array" ref="F147">IFERROR(INDEX(Data_Input!$A$1:$ZZ$502, MATCH("플랜번호", INDEX(Data_Input!$A$1:$ZZ$502, 0, MATCH(1, (Data_Input!$7:$7="IRP")*(Data_Input!$8:$8=$B147), 0)), 0) + 1, MATCH(1, (Data_Input!$7:$7=$F$3)*(Data_Input!$8:$8=$B147), 0)),"")</f>
        <v/>
      </c>
      <c r="G147" s="20" t="str" cm="1">
        <f t="array" ref="G147">IFERROR(INDEX(Data_Input!$A$1:$ZZ$502, MATCH("플랜명", INDEX(Data_Input!$A$1:$ZZ$502, 0, MATCH(1, (Data_Input!$7:$7="IRP")*(Data_Input!$8:$8=$B147), 0)), 0) + 1, MATCH(1, (Data_Input!$7:$7=$F$3)*(Data_Input!$8:$8=$B147), 0)),"")</f>
        <v/>
      </c>
      <c r="H147" s="20" t="str" cm="1">
        <f t="array" ref="H147">IFERROR(INDEX(Data_Input!$A$1:$ZZ$502, MATCH("평가금액", INDEX(Data_Input!$A$1:$ZZ$502, 0, MATCH(1, (Data_Input!$7:$7="IRP")*(Data_Input!$8:$8=$B147), 0)), 0) + 1, MATCH(1, (Data_Input!$7:$7=$F$3)*(Data_Input!$8:$8=$B147), 0)),"")</f>
        <v/>
      </c>
      <c r="I147" s="20" t="str" cm="1">
        <f t="array" ref="I147">IFERROR(INDEX(Data_Input!$A$1:$ZZ$502, MATCH("평가손익", INDEX(Data_Input!$A$1:$ZZ$502, 0, MATCH(1, (Data_Input!$7:$7="IRP")*(Data_Input!$8:$8=$B147), 0)), 0) + 1, MATCH(1, (Data_Input!$7:$7=$F$3)*(Data_Input!$8:$8=$B147), 0)),"")</f>
        <v/>
      </c>
      <c r="J147" s="14" t="str" cm="1">
        <f t="array" ref="J147">IFERROR(INDEX(Data_Input!$A$1:$ZZ$502, MATCH("누적수익률", INDEX(Data_Input!$A$1:$ZZ$502, 0, MATCH(1, (Data_Input!$7:$7="IRP")*(Data_Input!$8:$8=$B147), 0)), 0) + 1, MATCH(1, (Data_Input!$7:$7=$F$3)*(Data_Input!$8:$8=$B147), 0))/100,"")</f>
        <v/>
      </c>
      <c r="K147" t="str" cm="1">
        <f t="array" ref="K147">IFERROR(_xlfn.LET(
    _xlpm.targetDate, B147,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48" spans="1:11" x14ac:dyDescent="0.3">
      <c r="A148" s="16" t="str">
        <f t="shared" si="4"/>
        <v/>
      </c>
      <c r="B148" s="19"/>
      <c r="C148" s="17" t="str">
        <f t="shared" si="5"/>
        <v/>
      </c>
      <c r="D148" s="42" t="str" cm="1">
        <f t="array" ref="D148">IFERROR(INDEX(Data_Input!$1:$100, 10, MATCH(1, (Data_Input!$7:$7=$F$3) * (Data_Input!$8:$8=$B148), 0)), "")</f>
        <v/>
      </c>
      <c r="E148" s="29" t="str" cm="1">
        <f t="array" ref="E148">IFERROR(INDEX(Data_Input!$1:$100, 9, MATCH(1, (Data_Input!$7:$7=$F$3) * (Data_Input!$8:$8=$B148), 0)),"")</f>
        <v/>
      </c>
      <c r="F148" s="20" t="str" cm="1">
        <f t="array" ref="F148">IFERROR(INDEX(Data_Input!$A$1:$ZZ$502, MATCH("플랜번호", INDEX(Data_Input!$A$1:$ZZ$502, 0, MATCH(1, (Data_Input!$7:$7="IRP")*(Data_Input!$8:$8=$B148), 0)), 0) + 1, MATCH(1, (Data_Input!$7:$7=$F$3)*(Data_Input!$8:$8=$B148), 0)),"")</f>
        <v/>
      </c>
      <c r="G148" s="20" t="str" cm="1">
        <f t="array" ref="G148">IFERROR(INDEX(Data_Input!$A$1:$ZZ$502, MATCH("플랜명", INDEX(Data_Input!$A$1:$ZZ$502, 0, MATCH(1, (Data_Input!$7:$7="IRP")*(Data_Input!$8:$8=$B148), 0)), 0) + 1, MATCH(1, (Data_Input!$7:$7=$F$3)*(Data_Input!$8:$8=$B148), 0)),"")</f>
        <v/>
      </c>
      <c r="H148" s="20" t="str" cm="1">
        <f t="array" ref="H148">IFERROR(INDEX(Data_Input!$A$1:$ZZ$502, MATCH("평가금액", INDEX(Data_Input!$A$1:$ZZ$502, 0, MATCH(1, (Data_Input!$7:$7="IRP")*(Data_Input!$8:$8=$B148), 0)), 0) + 1, MATCH(1, (Data_Input!$7:$7=$F$3)*(Data_Input!$8:$8=$B148), 0)),"")</f>
        <v/>
      </c>
      <c r="I148" s="20" t="str" cm="1">
        <f t="array" ref="I148">IFERROR(INDEX(Data_Input!$A$1:$ZZ$502, MATCH("평가손익", INDEX(Data_Input!$A$1:$ZZ$502, 0, MATCH(1, (Data_Input!$7:$7="IRP")*(Data_Input!$8:$8=$B148), 0)), 0) + 1, MATCH(1, (Data_Input!$7:$7=$F$3)*(Data_Input!$8:$8=$B148), 0)),"")</f>
        <v/>
      </c>
      <c r="J148" s="14" t="str" cm="1">
        <f t="array" ref="J148">IFERROR(INDEX(Data_Input!$A$1:$ZZ$502, MATCH("누적수익률", INDEX(Data_Input!$A$1:$ZZ$502, 0, MATCH(1, (Data_Input!$7:$7="IRP")*(Data_Input!$8:$8=$B148), 0)), 0) + 1, MATCH(1, (Data_Input!$7:$7=$F$3)*(Data_Input!$8:$8=$B148), 0))/100,"")</f>
        <v/>
      </c>
      <c r="K148" t="str" cm="1">
        <f t="array" ref="K148">IFERROR(_xlfn.LET(
    _xlpm.targetDate, B148,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49" spans="1:11" x14ac:dyDescent="0.3">
      <c r="A149" s="16" t="str">
        <f t="shared" si="4"/>
        <v/>
      </c>
      <c r="B149" s="19"/>
      <c r="C149" s="17" t="str">
        <f t="shared" si="5"/>
        <v/>
      </c>
      <c r="D149" s="42" t="str" cm="1">
        <f t="array" ref="D149">IFERROR(INDEX(Data_Input!$1:$100, 10, MATCH(1, (Data_Input!$7:$7=$F$3) * (Data_Input!$8:$8=$B149), 0)), "")</f>
        <v/>
      </c>
      <c r="E149" s="29" t="str" cm="1">
        <f t="array" ref="E149">IFERROR(INDEX(Data_Input!$1:$100, 9, MATCH(1, (Data_Input!$7:$7=$F$3) * (Data_Input!$8:$8=$B149), 0)),"")</f>
        <v/>
      </c>
      <c r="F149" s="20" t="str" cm="1">
        <f t="array" ref="F149">IFERROR(INDEX(Data_Input!$A$1:$ZZ$502, MATCH("플랜번호", INDEX(Data_Input!$A$1:$ZZ$502, 0, MATCH(1, (Data_Input!$7:$7="IRP")*(Data_Input!$8:$8=$B149), 0)), 0) + 1, MATCH(1, (Data_Input!$7:$7=$F$3)*(Data_Input!$8:$8=$B149), 0)),"")</f>
        <v/>
      </c>
      <c r="G149" s="20" t="str" cm="1">
        <f t="array" ref="G149">IFERROR(INDEX(Data_Input!$A$1:$ZZ$502, MATCH("플랜명", INDEX(Data_Input!$A$1:$ZZ$502, 0, MATCH(1, (Data_Input!$7:$7="IRP")*(Data_Input!$8:$8=$B149), 0)), 0) + 1, MATCH(1, (Data_Input!$7:$7=$F$3)*(Data_Input!$8:$8=$B149), 0)),"")</f>
        <v/>
      </c>
      <c r="H149" s="20" t="str" cm="1">
        <f t="array" ref="H149">IFERROR(INDEX(Data_Input!$A$1:$ZZ$502, MATCH("평가금액", INDEX(Data_Input!$A$1:$ZZ$502, 0, MATCH(1, (Data_Input!$7:$7="IRP")*(Data_Input!$8:$8=$B149), 0)), 0) + 1, MATCH(1, (Data_Input!$7:$7=$F$3)*(Data_Input!$8:$8=$B149), 0)),"")</f>
        <v/>
      </c>
      <c r="I149" s="20" t="str" cm="1">
        <f t="array" ref="I149">IFERROR(INDEX(Data_Input!$A$1:$ZZ$502, MATCH("평가손익", INDEX(Data_Input!$A$1:$ZZ$502, 0, MATCH(1, (Data_Input!$7:$7="IRP")*(Data_Input!$8:$8=$B149), 0)), 0) + 1, MATCH(1, (Data_Input!$7:$7=$F$3)*(Data_Input!$8:$8=$B149), 0)),"")</f>
        <v/>
      </c>
      <c r="J149" s="14" t="str" cm="1">
        <f t="array" ref="J149">IFERROR(INDEX(Data_Input!$A$1:$ZZ$502, MATCH("누적수익률", INDEX(Data_Input!$A$1:$ZZ$502, 0, MATCH(1, (Data_Input!$7:$7="IRP")*(Data_Input!$8:$8=$B149), 0)), 0) + 1, MATCH(1, (Data_Input!$7:$7=$F$3)*(Data_Input!$8:$8=$B149), 0))/100,"")</f>
        <v/>
      </c>
      <c r="K149" t="str" cm="1">
        <f t="array" ref="K149">IFERROR(_xlfn.LET(
    _xlpm.targetDate, B149,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50" spans="1:11" x14ac:dyDescent="0.3">
      <c r="A150" s="16" t="str">
        <f t="shared" si="4"/>
        <v/>
      </c>
      <c r="B150" s="19"/>
      <c r="C150" s="17" t="str">
        <f t="shared" si="5"/>
        <v/>
      </c>
      <c r="D150" s="42" t="str" cm="1">
        <f t="array" ref="D150">IFERROR(INDEX(Data_Input!$1:$100, 10, MATCH(1, (Data_Input!$7:$7=$F$3) * (Data_Input!$8:$8=$B150), 0)), "")</f>
        <v/>
      </c>
      <c r="E150" s="29" t="str" cm="1">
        <f t="array" ref="E150">IFERROR(INDEX(Data_Input!$1:$100, 9, MATCH(1, (Data_Input!$7:$7=$F$3) * (Data_Input!$8:$8=$B150), 0)),"")</f>
        <v/>
      </c>
      <c r="F150" s="20" t="str" cm="1">
        <f t="array" ref="F150">IFERROR(INDEX(Data_Input!$A$1:$ZZ$502, MATCH("플랜번호", INDEX(Data_Input!$A$1:$ZZ$502, 0, MATCH(1, (Data_Input!$7:$7="IRP")*(Data_Input!$8:$8=$B150), 0)), 0) + 1, MATCH(1, (Data_Input!$7:$7=$F$3)*(Data_Input!$8:$8=$B150), 0)),"")</f>
        <v/>
      </c>
      <c r="G150" s="20" t="str" cm="1">
        <f t="array" ref="G150">IFERROR(INDEX(Data_Input!$A$1:$ZZ$502, MATCH("플랜명", INDEX(Data_Input!$A$1:$ZZ$502, 0, MATCH(1, (Data_Input!$7:$7="IRP")*(Data_Input!$8:$8=$B150), 0)), 0) + 1, MATCH(1, (Data_Input!$7:$7=$F$3)*(Data_Input!$8:$8=$B150), 0)),"")</f>
        <v/>
      </c>
      <c r="H150" s="20" t="str" cm="1">
        <f t="array" ref="H150">IFERROR(INDEX(Data_Input!$A$1:$ZZ$502, MATCH("평가금액", INDEX(Data_Input!$A$1:$ZZ$502, 0, MATCH(1, (Data_Input!$7:$7="IRP")*(Data_Input!$8:$8=$B150), 0)), 0) + 1, MATCH(1, (Data_Input!$7:$7=$F$3)*(Data_Input!$8:$8=$B150), 0)),"")</f>
        <v/>
      </c>
      <c r="I150" s="20" t="str" cm="1">
        <f t="array" ref="I150">IFERROR(INDEX(Data_Input!$A$1:$ZZ$502, MATCH("평가손익", INDEX(Data_Input!$A$1:$ZZ$502, 0, MATCH(1, (Data_Input!$7:$7="IRP")*(Data_Input!$8:$8=$B150), 0)), 0) + 1, MATCH(1, (Data_Input!$7:$7=$F$3)*(Data_Input!$8:$8=$B150), 0)),"")</f>
        <v/>
      </c>
      <c r="J150" s="14" t="str" cm="1">
        <f t="array" ref="J150">IFERROR(INDEX(Data_Input!$A$1:$ZZ$502, MATCH("누적수익률", INDEX(Data_Input!$A$1:$ZZ$502, 0, MATCH(1, (Data_Input!$7:$7="IRP")*(Data_Input!$8:$8=$B150), 0)), 0) + 1, MATCH(1, (Data_Input!$7:$7=$F$3)*(Data_Input!$8:$8=$B150), 0))/100,"")</f>
        <v/>
      </c>
      <c r="K150" t="str" cm="1">
        <f t="array" ref="K150">IFERROR(_xlfn.LET(
    _xlpm.targetDate, B150,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51" spans="1:11" x14ac:dyDescent="0.3">
      <c r="A151" s="16" t="str">
        <f t="shared" si="4"/>
        <v/>
      </c>
      <c r="B151" s="19"/>
      <c r="C151" s="17" t="str">
        <f t="shared" si="5"/>
        <v/>
      </c>
      <c r="D151" s="42" t="str" cm="1">
        <f t="array" ref="D151">IFERROR(INDEX(Data_Input!$1:$100, 10, MATCH(1, (Data_Input!$7:$7=$F$3) * (Data_Input!$8:$8=$B151), 0)), "")</f>
        <v/>
      </c>
      <c r="E151" s="29" t="str" cm="1">
        <f t="array" ref="E151">IFERROR(INDEX(Data_Input!$1:$100, 9, MATCH(1, (Data_Input!$7:$7=$F$3) * (Data_Input!$8:$8=$B151), 0)),"")</f>
        <v/>
      </c>
      <c r="F151" s="20" t="str" cm="1">
        <f t="array" ref="F151">IFERROR(INDEX(Data_Input!$A$1:$ZZ$502, MATCH("플랜번호", INDEX(Data_Input!$A$1:$ZZ$502, 0, MATCH(1, (Data_Input!$7:$7="IRP")*(Data_Input!$8:$8=$B151), 0)), 0) + 1, MATCH(1, (Data_Input!$7:$7=$F$3)*(Data_Input!$8:$8=$B151), 0)),"")</f>
        <v/>
      </c>
      <c r="G151" s="20" t="str" cm="1">
        <f t="array" ref="G151">IFERROR(INDEX(Data_Input!$A$1:$ZZ$502, MATCH("플랜명", INDEX(Data_Input!$A$1:$ZZ$502, 0, MATCH(1, (Data_Input!$7:$7="IRP")*(Data_Input!$8:$8=$B151), 0)), 0) + 1, MATCH(1, (Data_Input!$7:$7=$F$3)*(Data_Input!$8:$8=$B151), 0)),"")</f>
        <v/>
      </c>
      <c r="H151" s="20" t="str" cm="1">
        <f t="array" ref="H151">IFERROR(INDEX(Data_Input!$A$1:$ZZ$502, MATCH("평가금액", INDEX(Data_Input!$A$1:$ZZ$502, 0, MATCH(1, (Data_Input!$7:$7="IRP")*(Data_Input!$8:$8=$B151), 0)), 0) + 1, MATCH(1, (Data_Input!$7:$7=$F$3)*(Data_Input!$8:$8=$B151), 0)),"")</f>
        <v/>
      </c>
      <c r="I151" s="20" t="str" cm="1">
        <f t="array" ref="I151">IFERROR(INDEX(Data_Input!$A$1:$ZZ$502, MATCH("평가손익", INDEX(Data_Input!$A$1:$ZZ$502, 0, MATCH(1, (Data_Input!$7:$7="IRP")*(Data_Input!$8:$8=$B151), 0)), 0) + 1, MATCH(1, (Data_Input!$7:$7=$F$3)*(Data_Input!$8:$8=$B151), 0)),"")</f>
        <v/>
      </c>
      <c r="J151" s="14" t="str" cm="1">
        <f t="array" ref="J151">IFERROR(INDEX(Data_Input!$A$1:$ZZ$502, MATCH("누적수익률", INDEX(Data_Input!$A$1:$ZZ$502, 0, MATCH(1, (Data_Input!$7:$7="IRP")*(Data_Input!$8:$8=$B151), 0)), 0) + 1, MATCH(1, (Data_Input!$7:$7=$F$3)*(Data_Input!$8:$8=$B151), 0))/100,"")</f>
        <v/>
      </c>
      <c r="K151" t="str" cm="1">
        <f t="array" ref="K151">IFERROR(_xlfn.LET(
    _xlpm.targetDate, B151,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52" spans="1:11" x14ac:dyDescent="0.3">
      <c r="A152" s="16" t="str">
        <f t="shared" si="4"/>
        <v/>
      </c>
      <c r="B152" s="19"/>
      <c r="C152" s="17" t="str">
        <f t="shared" si="5"/>
        <v/>
      </c>
      <c r="D152" s="42" t="str" cm="1">
        <f t="array" ref="D152">IFERROR(INDEX(Data_Input!$1:$100, 10, MATCH(1, (Data_Input!$7:$7=$F$3) * (Data_Input!$8:$8=$B152), 0)), "")</f>
        <v/>
      </c>
      <c r="E152" s="29" t="str" cm="1">
        <f t="array" ref="E152">IFERROR(INDEX(Data_Input!$1:$100, 9, MATCH(1, (Data_Input!$7:$7=$F$3) * (Data_Input!$8:$8=$B152), 0)),"")</f>
        <v/>
      </c>
      <c r="F152" s="20" t="str" cm="1">
        <f t="array" ref="F152">IFERROR(INDEX(Data_Input!$A$1:$ZZ$502, MATCH("플랜번호", INDEX(Data_Input!$A$1:$ZZ$502, 0, MATCH(1, (Data_Input!$7:$7="IRP")*(Data_Input!$8:$8=$B152), 0)), 0) + 1, MATCH(1, (Data_Input!$7:$7=$F$3)*(Data_Input!$8:$8=$B152), 0)),"")</f>
        <v/>
      </c>
      <c r="G152" s="20" t="str" cm="1">
        <f t="array" ref="G152">IFERROR(INDEX(Data_Input!$A$1:$ZZ$502, MATCH("플랜명", INDEX(Data_Input!$A$1:$ZZ$502, 0, MATCH(1, (Data_Input!$7:$7="IRP")*(Data_Input!$8:$8=$B152), 0)), 0) + 1, MATCH(1, (Data_Input!$7:$7=$F$3)*(Data_Input!$8:$8=$B152), 0)),"")</f>
        <v/>
      </c>
      <c r="H152" s="20" t="str" cm="1">
        <f t="array" ref="H152">IFERROR(INDEX(Data_Input!$A$1:$ZZ$502, MATCH("평가금액", INDEX(Data_Input!$A$1:$ZZ$502, 0, MATCH(1, (Data_Input!$7:$7="IRP")*(Data_Input!$8:$8=$B152), 0)), 0) + 1, MATCH(1, (Data_Input!$7:$7=$F$3)*(Data_Input!$8:$8=$B152), 0)),"")</f>
        <v/>
      </c>
      <c r="I152" s="20" t="str" cm="1">
        <f t="array" ref="I152">IFERROR(INDEX(Data_Input!$A$1:$ZZ$502, MATCH("평가손익", INDEX(Data_Input!$A$1:$ZZ$502, 0, MATCH(1, (Data_Input!$7:$7="IRP")*(Data_Input!$8:$8=$B152), 0)), 0) + 1, MATCH(1, (Data_Input!$7:$7=$F$3)*(Data_Input!$8:$8=$B152), 0)),"")</f>
        <v/>
      </c>
      <c r="J152" s="14" t="str" cm="1">
        <f t="array" ref="J152">IFERROR(INDEX(Data_Input!$A$1:$ZZ$502, MATCH("누적수익률", INDEX(Data_Input!$A$1:$ZZ$502, 0, MATCH(1, (Data_Input!$7:$7="IRP")*(Data_Input!$8:$8=$B152), 0)), 0) + 1, MATCH(1, (Data_Input!$7:$7=$F$3)*(Data_Input!$8:$8=$B152), 0))/100,"")</f>
        <v/>
      </c>
      <c r="K152" t="str" cm="1">
        <f t="array" ref="K152">IFERROR(_xlfn.LET(
    _xlpm.targetDate, B152,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53" spans="1:11" x14ac:dyDescent="0.3">
      <c r="A153" s="16" t="str">
        <f t="shared" si="4"/>
        <v/>
      </c>
      <c r="B153" s="19"/>
      <c r="C153" s="17" t="str">
        <f t="shared" si="5"/>
        <v/>
      </c>
      <c r="D153" s="42" t="str" cm="1">
        <f t="array" ref="D153">IFERROR(INDEX(Data_Input!$1:$100, 10, MATCH(1, (Data_Input!$7:$7=$F$3) * (Data_Input!$8:$8=$B153), 0)), "")</f>
        <v/>
      </c>
      <c r="E153" s="29" t="str" cm="1">
        <f t="array" ref="E153">IFERROR(INDEX(Data_Input!$1:$100, 9, MATCH(1, (Data_Input!$7:$7=$F$3) * (Data_Input!$8:$8=$B153), 0)),"")</f>
        <v/>
      </c>
      <c r="F153" s="20" t="str" cm="1">
        <f t="array" ref="F153">IFERROR(INDEX(Data_Input!$A$1:$ZZ$502, MATCH("플랜번호", INDEX(Data_Input!$A$1:$ZZ$502, 0, MATCH(1, (Data_Input!$7:$7="IRP")*(Data_Input!$8:$8=$B153), 0)), 0) + 1, MATCH(1, (Data_Input!$7:$7=$F$3)*(Data_Input!$8:$8=$B153), 0)),"")</f>
        <v/>
      </c>
      <c r="G153" s="20" t="str" cm="1">
        <f t="array" ref="G153">IFERROR(INDEX(Data_Input!$A$1:$ZZ$502, MATCH("플랜명", INDEX(Data_Input!$A$1:$ZZ$502, 0, MATCH(1, (Data_Input!$7:$7="IRP")*(Data_Input!$8:$8=$B153), 0)), 0) + 1, MATCH(1, (Data_Input!$7:$7=$F$3)*(Data_Input!$8:$8=$B153), 0)),"")</f>
        <v/>
      </c>
      <c r="H153" s="20" t="str" cm="1">
        <f t="array" ref="H153">IFERROR(INDEX(Data_Input!$A$1:$ZZ$502, MATCH("평가금액", INDEX(Data_Input!$A$1:$ZZ$502, 0, MATCH(1, (Data_Input!$7:$7="IRP")*(Data_Input!$8:$8=$B153), 0)), 0) + 1, MATCH(1, (Data_Input!$7:$7=$F$3)*(Data_Input!$8:$8=$B153), 0)),"")</f>
        <v/>
      </c>
      <c r="I153" s="20" t="str" cm="1">
        <f t="array" ref="I153">IFERROR(INDEX(Data_Input!$A$1:$ZZ$502, MATCH("평가손익", INDEX(Data_Input!$A$1:$ZZ$502, 0, MATCH(1, (Data_Input!$7:$7="IRP")*(Data_Input!$8:$8=$B153), 0)), 0) + 1, MATCH(1, (Data_Input!$7:$7=$F$3)*(Data_Input!$8:$8=$B153), 0)),"")</f>
        <v/>
      </c>
      <c r="J153" s="14" t="str" cm="1">
        <f t="array" ref="J153">IFERROR(INDEX(Data_Input!$A$1:$ZZ$502, MATCH("누적수익률", INDEX(Data_Input!$A$1:$ZZ$502, 0, MATCH(1, (Data_Input!$7:$7="IRP")*(Data_Input!$8:$8=$B153), 0)), 0) + 1, MATCH(1, (Data_Input!$7:$7=$F$3)*(Data_Input!$8:$8=$B153), 0))/100,"")</f>
        <v/>
      </c>
      <c r="K153" t="str" cm="1">
        <f t="array" ref="K153">IFERROR(_xlfn.LET(
    _xlpm.targetDate, B153,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54" spans="1:11" x14ac:dyDescent="0.3">
      <c r="A154" s="16" t="str">
        <f t="shared" si="4"/>
        <v/>
      </c>
      <c r="B154" s="19"/>
      <c r="C154" s="17" t="str">
        <f t="shared" si="5"/>
        <v/>
      </c>
      <c r="D154" s="42" t="str" cm="1">
        <f t="array" ref="D154">IFERROR(INDEX(Data_Input!$1:$100, 10, MATCH(1, (Data_Input!$7:$7=$F$3) * (Data_Input!$8:$8=$B154), 0)), "")</f>
        <v/>
      </c>
      <c r="E154" s="29" t="str" cm="1">
        <f t="array" ref="E154">IFERROR(INDEX(Data_Input!$1:$100, 9, MATCH(1, (Data_Input!$7:$7=$F$3) * (Data_Input!$8:$8=$B154), 0)),"")</f>
        <v/>
      </c>
      <c r="F154" s="20" t="str" cm="1">
        <f t="array" ref="F154">IFERROR(INDEX(Data_Input!$A$1:$ZZ$502, MATCH("플랜번호", INDEX(Data_Input!$A$1:$ZZ$502, 0, MATCH(1, (Data_Input!$7:$7="IRP")*(Data_Input!$8:$8=$B154), 0)), 0) + 1, MATCH(1, (Data_Input!$7:$7=$F$3)*(Data_Input!$8:$8=$B154), 0)),"")</f>
        <v/>
      </c>
      <c r="G154" s="20" t="str" cm="1">
        <f t="array" ref="G154">IFERROR(INDEX(Data_Input!$A$1:$ZZ$502, MATCH("플랜명", INDEX(Data_Input!$A$1:$ZZ$502, 0, MATCH(1, (Data_Input!$7:$7="IRP")*(Data_Input!$8:$8=$B154), 0)), 0) + 1, MATCH(1, (Data_Input!$7:$7=$F$3)*(Data_Input!$8:$8=$B154), 0)),"")</f>
        <v/>
      </c>
      <c r="H154" s="20" t="str" cm="1">
        <f t="array" ref="H154">IFERROR(INDEX(Data_Input!$A$1:$ZZ$502, MATCH("평가금액", INDEX(Data_Input!$A$1:$ZZ$502, 0, MATCH(1, (Data_Input!$7:$7="IRP")*(Data_Input!$8:$8=$B154), 0)), 0) + 1, MATCH(1, (Data_Input!$7:$7=$F$3)*(Data_Input!$8:$8=$B154), 0)),"")</f>
        <v/>
      </c>
      <c r="I154" s="20" t="str" cm="1">
        <f t="array" ref="I154">IFERROR(INDEX(Data_Input!$A$1:$ZZ$502, MATCH("평가손익", INDEX(Data_Input!$A$1:$ZZ$502, 0, MATCH(1, (Data_Input!$7:$7="IRP")*(Data_Input!$8:$8=$B154), 0)), 0) + 1, MATCH(1, (Data_Input!$7:$7=$F$3)*(Data_Input!$8:$8=$B154), 0)),"")</f>
        <v/>
      </c>
      <c r="J154" s="14" t="str" cm="1">
        <f t="array" ref="J154">IFERROR(INDEX(Data_Input!$A$1:$ZZ$502, MATCH("누적수익률", INDEX(Data_Input!$A$1:$ZZ$502, 0, MATCH(1, (Data_Input!$7:$7="IRP")*(Data_Input!$8:$8=$B154), 0)), 0) + 1, MATCH(1, (Data_Input!$7:$7=$F$3)*(Data_Input!$8:$8=$B154), 0))/100,"")</f>
        <v/>
      </c>
      <c r="K154" t="str" cm="1">
        <f t="array" ref="K154">IFERROR(_xlfn.LET(
    _xlpm.targetDate, B154,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55" spans="1:11" x14ac:dyDescent="0.3">
      <c r="A155" s="16" t="str">
        <f t="shared" si="4"/>
        <v/>
      </c>
      <c r="B155" s="19"/>
      <c r="C155" s="17" t="str">
        <f t="shared" si="5"/>
        <v/>
      </c>
      <c r="D155" s="42" t="str" cm="1">
        <f t="array" ref="D155">IFERROR(INDEX(Data_Input!$1:$100, 10, MATCH(1, (Data_Input!$7:$7=$F$3) * (Data_Input!$8:$8=$B155), 0)), "")</f>
        <v/>
      </c>
      <c r="E155" s="29" t="str" cm="1">
        <f t="array" ref="E155">IFERROR(INDEX(Data_Input!$1:$100, 9, MATCH(1, (Data_Input!$7:$7=$F$3) * (Data_Input!$8:$8=$B155), 0)),"")</f>
        <v/>
      </c>
      <c r="F155" s="20" t="str" cm="1">
        <f t="array" ref="F155">IFERROR(INDEX(Data_Input!$A$1:$ZZ$502, MATCH("플랜번호", INDEX(Data_Input!$A$1:$ZZ$502, 0, MATCH(1, (Data_Input!$7:$7="IRP")*(Data_Input!$8:$8=$B155), 0)), 0) + 1, MATCH(1, (Data_Input!$7:$7=$F$3)*(Data_Input!$8:$8=$B155), 0)),"")</f>
        <v/>
      </c>
      <c r="G155" s="20" t="str" cm="1">
        <f t="array" ref="G155">IFERROR(INDEX(Data_Input!$A$1:$ZZ$502, MATCH("플랜명", INDEX(Data_Input!$A$1:$ZZ$502, 0, MATCH(1, (Data_Input!$7:$7="IRP")*(Data_Input!$8:$8=$B155), 0)), 0) + 1, MATCH(1, (Data_Input!$7:$7=$F$3)*(Data_Input!$8:$8=$B155), 0)),"")</f>
        <v/>
      </c>
      <c r="H155" s="20" t="str" cm="1">
        <f t="array" ref="H155">IFERROR(INDEX(Data_Input!$A$1:$ZZ$502, MATCH("평가금액", INDEX(Data_Input!$A$1:$ZZ$502, 0, MATCH(1, (Data_Input!$7:$7="IRP")*(Data_Input!$8:$8=$B155), 0)), 0) + 1, MATCH(1, (Data_Input!$7:$7=$F$3)*(Data_Input!$8:$8=$B155), 0)),"")</f>
        <v/>
      </c>
      <c r="I155" s="20" t="str" cm="1">
        <f t="array" ref="I155">IFERROR(INDEX(Data_Input!$A$1:$ZZ$502, MATCH("평가손익", INDEX(Data_Input!$A$1:$ZZ$502, 0, MATCH(1, (Data_Input!$7:$7="IRP")*(Data_Input!$8:$8=$B155), 0)), 0) + 1, MATCH(1, (Data_Input!$7:$7=$F$3)*(Data_Input!$8:$8=$B155), 0)),"")</f>
        <v/>
      </c>
      <c r="J155" s="14" t="str" cm="1">
        <f t="array" ref="J155">IFERROR(INDEX(Data_Input!$A$1:$ZZ$502, MATCH("누적수익률", INDEX(Data_Input!$A$1:$ZZ$502, 0, MATCH(1, (Data_Input!$7:$7="IRP")*(Data_Input!$8:$8=$B155), 0)), 0) + 1, MATCH(1, (Data_Input!$7:$7=$F$3)*(Data_Input!$8:$8=$B155), 0))/100,"")</f>
        <v/>
      </c>
      <c r="K155" t="str" cm="1">
        <f t="array" ref="K155">IFERROR(_xlfn.LET(
    _xlpm.targetDate, B155,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56" spans="1:11" x14ac:dyDescent="0.3">
      <c r="A156" s="16" t="str">
        <f t="shared" si="4"/>
        <v/>
      </c>
      <c r="B156" s="19"/>
      <c r="C156" s="17" t="str">
        <f t="shared" si="5"/>
        <v/>
      </c>
      <c r="D156" s="42" t="str" cm="1">
        <f t="array" ref="D156">IFERROR(INDEX(Data_Input!$1:$100, 10, MATCH(1, (Data_Input!$7:$7=$F$3) * (Data_Input!$8:$8=$B156), 0)), "")</f>
        <v/>
      </c>
      <c r="E156" s="29" t="str" cm="1">
        <f t="array" ref="E156">IFERROR(INDEX(Data_Input!$1:$100, 9, MATCH(1, (Data_Input!$7:$7=$F$3) * (Data_Input!$8:$8=$B156), 0)),"")</f>
        <v/>
      </c>
      <c r="F156" s="20" t="str" cm="1">
        <f t="array" ref="F156">IFERROR(INDEX(Data_Input!$A$1:$ZZ$502, MATCH("플랜번호", INDEX(Data_Input!$A$1:$ZZ$502, 0, MATCH(1, (Data_Input!$7:$7="IRP")*(Data_Input!$8:$8=$B156), 0)), 0) + 1, MATCH(1, (Data_Input!$7:$7=$F$3)*(Data_Input!$8:$8=$B156), 0)),"")</f>
        <v/>
      </c>
      <c r="G156" s="20" t="str" cm="1">
        <f t="array" ref="G156">IFERROR(INDEX(Data_Input!$A$1:$ZZ$502, MATCH("플랜명", INDEX(Data_Input!$A$1:$ZZ$502, 0, MATCH(1, (Data_Input!$7:$7="IRP")*(Data_Input!$8:$8=$B156), 0)), 0) + 1, MATCH(1, (Data_Input!$7:$7=$F$3)*(Data_Input!$8:$8=$B156), 0)),"")</f>
        <v/>
      </c>
      <c r="H156" s="20" t="str" cm="1">
        <f t="array" ref="H156">IFERROR(INDEX(Data_Input!$A$1:$ZZ$502, MATCH("평가금액", INDEX(Data_Input!$A$1:$ZZ$502, 0, MATCH(1, (Data_Input!$7:$7="IRP")*(Data_Input!$8:$8=$B156), 0)), 0) + 1, MATCH(1, (Data_Input!$7:$7=$F$3)*(Data_Input!$8:$8=$B156), 0)),"")</f>
        <v/>
      </c>
      <c r="I156" s="20" t="str" cm="1">
        <f t="array" ref="I156">IFERROR(INDEX(Data_Input!$A$1:$ZZ$502, MATCH("평가손익", INDEX(Data_Input!$A$1:$ZZ$502, 0, MATCH(1, (Data_Input!$7:$7="IRP")*(Data_Input!$8:$8=$B156), 0)), 0) + 1, MATCH(1, (Data_Input!$7:$7=$F$3)*(Data_Input!$8:$8=$B156), 0)),"")</f>
        <v/>
      </c>
      <c r="J156" s="14" t="str" cm="1">
        <f t="array" ref="J156">IFERROR(INDEX(Data_Input!$A$1:$ZZ$502, MATCH("누적수익률", INDEX(Data_Input!$A$1:$ZZ$502, 0, MATCH(1, (Data_Input!$7:$7="IRP")*(Data_Input!$8:$8=$B156), 0)), 0) + 1, MATCH(1, (Data_Input!$7:$7=$F$3)*(Data_Input!$8:$8=$B156), 0))/100,"")</f>
        <v/>
      </c>
      <c r="K156" t="str" cm="1">
        <f t="array" ref="K156">IFERROR(_xlfn.LET(
    _xlpm.targetDate, B156,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57" spans="1:11" x14ac:dyDescent="0.3">
      <c r="A157" s="16" t="str">
        <f t="shared" si="4"/>
        <v/>
      </c>
      <c r="B157" s="19"/>
      <c r="C157" s="17" t="str">
        <f t="shared" si="5"/>
        <v/>
      </c>
      <c r="D157" s="42" t="str" cm="1">
        <f t="array" ref="D157">IFERROR(INDEX(Data_Input!$1:$100, 10, MATCH(1, (Data_Input!$7:$7=$F$3) * (Data_Input!$8:$8=$B157), 0)), "")</f>
        <v/>
      </c>
      <c r="E157" s="29" t="str" cm="1">
        <f t="array" ref="E157">IFERROR(INDEX(Data_Input!$1:$100, 9, MATCH(1, (Data_Input!$7:$7=$F$3) * (Data_Input!$8:$8=$B157), 0)),"")</f>
        <v/>
      </c>
      <c r="F157" s="20" t="str" cm="1">
        <f t="array" ref="F157">IFERROR(INDEX(Data_Input!$A$1:$ZZ$502, MATCH("플랜번호", INDEX(Data_Input!$A$1:$ZZ$502, 0, MATCH(1, (Data_Input!$7:$7="IRP")*(Data_Input!$8:$8=$B157), 0)), 0) + 1, MATCH(1, (Data_Input!$7:$7=$F$3)*(Data_Input!$8:$8=$B157), 0)),"")</f>
        <v/>
      </c>
      <c r="G157" s="20" t="str" cm="1">
        <f t="array" ref="G157">IFERROR(INDEX(Data_Input!$A$1:$ZZ$502, MATCH("플랜명", INDEX(Data_Input!$A$1:$ZZ$502, 0, MATCH(1, (Data_Input!$7:$7="IRP")*(Data_Input!$8:$8=$B157), 0)), 0) + 1, MATCH(1, (Data_Input!$7:$7=$F$3)*(Data_Input!$8:$8=$B157), 0)),"")</f>
        <v/>
      </c>
      <c r="H157" s="20" t="str" cm="1">
        <f t="array" ref="H157">IFERROR(INDEX(Data_Input!$A$1:$ZZ$502, MATCH("평가금액", INDEX(Data_Input!$A$1:$ZZ$502, 0, MATCH(1, (Data_Input!$7:$7="IRP")*(Data_Input!$8:$8=$B157), 0)), 0) + 1, MATCH(1, (Data_Input!$7:$7=$F$3)*(Data_Input!$8:$8=$B157), 0)),"")</f>
        <v/>
      </c>
      <c r="I157" s="20" t="str" cm="1">
        <f t="array" ref="I157">IFERROR(INDEX(Data_Input!$A$1:$ZZ$502, MATCH("평가손익", INDEX(Data_Input!$A$1:$ZZ$502, 0, MATCH(1, (Data_Input!$7:$7="IRP")*(Data_Input!$8:$8=$B157), 0)), 0) + 1, MATCH(1, (Data_Input!$7:$7=$F$3)*(Data_Input!$8:$8=$B157), 0)),"")</f>
        <v/>
      </c>
      <c r="J157" s="14" t="str" cm="1">
        <f t="array" ref="J157">IFERROR(INDEX(Data_Input!$A$1:$ZZ$502, MATCH("누적수익률", INDEX(Data_Input!$A$1:$ZZ$502, 0, MATCH(1, (Data_Input!$7:$7="IRP")*(Data_Input!$8:$8=$B157), 0)), 0) + 1, MATCH(1, (Data_Input!$7:$7=$F$3)*(Data_Input!$8:$8=$B157), 0))/100,"")</f>
        <v/>
      </c>
      <c r="K157" t="str" cm="1">
        <f t="array" ref="K157">IFERROR(_xlfn.LET(
    _xlpm.targetDate, B157,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58" spans="1:11" x14ac:dyDescent="0.3">
      <c r="A158" s="16" t="str">
        <f t="shared" si="4"/>
        <v/>
      </c>
      <c r="B158" s="19"/>
      <c r="C158" s="17" t="str">
        <f t="shared" si="5"/>
        <v/>
      </c>
      <c r="D158" s="42" t="str" cm="1">
        <f t="array" ref="D158">IFERROR(INDEX(Data_Input!$1:$100, 10, MATCH(1, (Data_Input!$7:$7=$F$3) * (Data_Input!$8:$8=$B158), 0)), "")</f>
        <v/>
      </c>
      <c r="E158" s="29" t="str" cm="1">
        <f t="array" ref="E158">IFERROR(INDEX(Data_Input!$1:$100, 9, MATCH(1, (Data_Input!$7:$7=$F$3) * (Data_Input!$8:$8=$B158), 0)),"")</f>
        <v/>
      </c>
      <c r="F158" s="20" t="str" cm="1">
        <f t="array" ref="F158">IFERROR(INDEX(Data_Input!$A$1:$ZZ$502, MATCH("플랜번호", INDEX(Data_Input!$A$1:$ZZ$502, 0, MATCH(1, (Data_Input!$7:$7="IRP")*(Data_Input!$8:$8=$B158), 0)), 0) + 1, MATCH(1, (Data_Input!$7:$7=$F$3)*(Data_Input!$8:$8=$B158), 0)),"")</f>
        <v/>
      </c>
      <c r="G158" s="20" t="str" cm="1">
        <f t="array" ref="G158">IFERROR(INDEX(Data_Input!$A$1:$ZZ$502, MATCH("플랜명", INDEX(Data_Input!$A$1:$ZZ$502, 0, MATCH(1, (Data_Input!$7:$7="IRP")*(Data_Input!$8:$8=$B158), 0)), 0) + 1, MATCH(1, (Data_Input!$7:$7=$F$3)*(Data_Input!$8:$8=$B158), 0)),"")</f>
        <v/>
      </c>
      <c r="H158" s="20" t="str" cm="1">
        <f t="array" ref="H158">IFERROR(INDEX(Data_Input!$A$1:$ZZ$502, MATCH("평가금액", INDEX(Data_Input!$A$1:$ZZ$502, 0, MATCH(1, (Data_Input!$7:$7="IRP")*(Data_Input!$8:$8=$B158), 0)), 0) + 1, MATCH(1, (Data_Input!$7:$7=$F$3)*(Data_Input!$8:$8=$B158), 0)),"")</f>
        <v/>
      </c>
      <c r="I158" s="20" t="str" cm="1">
        <f t="array" ref="I158">IFERROR(INDEX(Data_Input!$A$1:$ZZ$502, MATCH("평가손익", INDEX(Data_Input!$A$1:$ZZ$502, 0, MATCH(1, (Data_Input!$7:$7="IRP")*(Data_Input!$8:$8=$B158), 0)), 0) + 1, MATCH(1, (Data_Input!$7:$7=$F$3)*(Data_Input!$8:$8=$B158), 0)),"")</f>
        <v/>
      </c>
      <c r="J158" s="14" t="str" cm="1">
        <f t="array" ref="J158">IFERROR(INDEX(Data_Input!$A$1:$ZZ$502, MATCH("누적수익률", INDEX(Data_Input!$A$1:$ZZ$502, 0, MATCH(1, (Data_Input!$7:$7="IRP")*(Data_Input!$8:$8=$B158), 0)), 0) + 1, MATCH(1, (Data_Input!$7:$7=$F$3)*(Data_Input!$8:$8=$B158), 0))/100,"")</f>
        <v/>
      </c>
      <c r="K158" t="str" cm="1">
        <f t="array" ref="K158">IFERROR(_xlfn.LET(
    _xlpm.targetDate, B158,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59" spans="1:11" x14ac:dyDescent="0.3">
      <c r="A159" s="16" t="str">
        <f t="shared" si="4"/>
        <v/>
      </c>
      <c r="B159" s="19"/>
      <c r="C159" s="17" t="str">
        <f t="shared" si="5"/>
        <v/>
      </c>
      <c r="D159" s="42" t="str" cm="1">
        <f t="array" ref="D159">IFERROR(INDEX(Data_Input!$1:$100, 10, MATCH(1, (Data_Input!$7:$7=$F$3) * (Data_Input!$8:$8=$B159), 0)), "")</f>
        <v/>
      </c>
      <c r="E159" s="29" t="str" cm="1">
        <f t="array" ref="E159">IFERROR(INDEX(Data_Input!$1:$100, 9, MATCH(1, (Data_Input!$7:$7=$F$3) * (Data_Input!$8:$8=$B159), 0)),"")</f>
        <v/>
      </c>
      <c r="F159" s="20" t="str" cm="1">
        <f t="array" ref="F159">IFERROR(INDEX(Data_Input!$A$1:$ZZ$502, MATCH("플랜번호", INDEX(Data_Input!$A$1:$ZZ$502, 0, MATCH(1, (Data_Input!$7:$7="IRP")*(Data_Input!$8:$8=$B159), 0)), 0) + 1, MATCH(1, (Data_Input!$7:$7=$F$3)*(Data_Input!$8:$8=$B159), 0)),"")</f>
        <v/>
      </c>
      <c r="G159" s="20" t="str" cm="1">
        <f t="array" ref="G159">IFERROR(INDEX(Data_Input!$A$1:$ZZ$502, MATCH("플랜명", INDEX(Data_Input!$A$1:$ZZ$502, 0, MATCH(1, (Data_Input!$7:$7="IRP")*(Data_Input!$8:$8=$B159), 0)), 0) + 1, MATCH(1, (Data_Input!$7:$7=$F$3)*(Data_Input!$8:$8=$B159), 0)),"")</f>
        <v/>
      </c>
      <c r="H159" s="20" t="str" cm="1">
        <f t="array" ref="H159">IFERROR(INDEX(Data_Input!$A$1:$ZZ$502, MATCH("평가금액", INDEX(Data_Input!$A$1:$ZZ$502, 0, MATCH(1, (Data_Input!$7:$7="IRP")*(Data_Input!$8:$8=$B159), 0)), 0) + 1, MATCH(1, (Data_Input!$7:$7=$F$3)*(Data_Input!$8:$8=$B159), 0)),"")</f>
        <v/>
      </c>
      <c r="I159" s="20" t="str" cm="1">
        <f t="array" ref="I159">IFERROR(INDEX(Data_Input!$A$1:$ZZ$502, MATCH("평가손익", INDEX(Data_Input!$A$1:$ZZ$502, 0, MATCH(1, (Data_Input!$7:$7="IRP")*(Data_Input!$8:$8=$B159), 0)), 0) + 1, MATCH(1, (Data_Input!$7:$7=$F$3)*(Data_Input!$8:$8=$B159), 0)),"")</f>
        <v/>
      </c>
      <c r="J159" s="14" t="str" cm="1">
        <f t="array" ref="J159">IFERROR(INDEX(Data_Input!$A$1:$ZZ$502, MATCH("누적수익률", INDEX(Data_Input!$A$1:$ZZ$502, 0, MATCH(1, (Data_Input!$7:$7="IRP")*(Data_Input!$8:$8=$B159), 0)), 0) + 1, MATCH(1, (Data_Input!$7:$7=$F$3)*(Data_Input!$8:$8=$B159), 0))/100,"")</f>
        <v/>
      </c>
      <c r="K159" t="str" cm="1">
        <f t="array" ref="K159">IFERROR(_xlfn.LET(
    _xlpm.targetDate, B159,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60" spans="1:11" x14ac:dyDescent="0.3">
      <c r="A160" s="16" t="str">
        <f t="shared" si="4"/>
        <v/>
      </c>
      <c r="B160" s="19"/>
      <c r="C160" s="17" t="str">
        <f t="shared" si="5"/>
        <v/>
      </c>
      <c r="D160" s="42" t="str" cm="1">
        <f t="array" ref="D160">IFERROR(INDEX(Data_Input!$1:$100, 10, MATCH(1, (Data_Input!$7:$7=$F$3) * (Data_Input!$8:$8=$B160), 0)), "")</f>
        <v/>
      </c>
      <c r="E160" s="29" t="str" cm="1">
        <f t="array" ref="E160">IFERROR(INDEX(Data_Input!$1:$100, 9, MATCH(1, (Data_Input!$7:$7=$F$3) * (Data_Input!$8:$8=$B160), 0)),"")</f>
        <v/>
      </c>
      <c r="F160" s="20" t="str" cm="1">
        <f t="array" ref="F160">IFERROR(INDEX(Data_Input!$A$1:$ZZ$502, MATCH("플랜번호", INDEX(Data_Input!$A$1:$ZZ$502, 0, MATCH(1, (Data_Input!$7:$7="IRP")*(Data_Input!$8:$8=$B160), 0)), 0) + 1, MATCH(1, (Data_Input!$7:$7=$F$3)*(Data_Input!$8:$8=$B160), 0)),"")</f>
        <v/>
      </c>
      <c r="G160" s="20" t="str" cm="1">
        <f t="array" ref="G160">IFERROR(INDEX(Data_Input!$A$1:$ZZ$502, MATCH("플랜명", INDEX(Data_Input!$A$1:$ZZ$502, 0, MATCH(1, (Data_Input!$7:$7="IRP")*(Data_Input!$8:$8=$B160), 0)), 0) + 1, MATCH(1, (Data_Input!$7:$7=$F$3)*(Data_Input!$8:$8=$B160), 0)),"")</f>
        <v/>
      </c>
      <c r="H160" s="20" t="str" cm="1">
        <f t="array" ref="H160">IFERROR(INDEX(Data_Input!$A$1:$ZZ$502, MATCH("평가금액", INDEX(Data_Input!$A$1:$ZZ$502, 0, MATCH(1, (Data_Input!$7:$7="IRP")*(Data_Input!$8:$8=$B160), 0)), 0) + 1, MATCH(1, (Data_Input!$7:$7=$F$3)*(Data_Input!$8:$8=$B160), 0)),"")</f>
        <v/>
      </c>
      <c r="I160" s="20" t="str" cm="1">
        <f t="array" ref="I160">IFERROR(INDEX(Data_Input!$A$1:$ZZ$502, MATCH("평가손익", INDEX(Data_Input!$A$1:$ZZ$502, 0, MATCH(1, (Data_Input!$7:$7="IRP")*(Data_Input!$8:$8=$B160), 0)), 0) + 1, MATCH(1, (Data_Input!$7:$7=$F$3)*(Data_Input!$8:$8=$B160), 0)),"")</f>
        <v/>
      </c>
      <c r="J160" s="14" t="str" cm="1">
        <f t="array" ref="J160">IFERROR(INDEX(Data_Input!$A$1:$ZZ$502, MATCH("누적수익률", INDEX(Data_Input!$A$1:$ZZ$502, 0, MATCH(1, (Data_Input!$7:$7="IRP")*(Data_Input!$8:$8=$B160), 0)), 0) + 1, MATCH(1, (Data_Input!$7:$7=$F$3)*(Data_Input!$8:$8=$B160), 0))/100,"")</f>
        <v/>
      </c>
      <c r="K160" t="str" cm="1">
        <f t="array" ref="K160">IFERROR(_xlfn.LET(
    _xlpm.targetDate, B160,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61" spans="1:11" x14ac:dyDescent="0.3">
      <c r="A161" s="16" t="str">
        <f t="shared" si="4"/>
        <v/>
      </c>
      <c r="B161" s="19"/>
      <c r="C161" s="17" t="str">
        <f t="shared" si="5"/>
        <v/>
      </c>
      <c r="D161" s="42" t="str" cm="1">
        <f t="array" ref="D161">IFERROR(INDEX(Data_Input!$1:$100, 10, MATCH(1, (Data_Input!$7:$7=$F$3) * (Data_Input!$8:$8=$B161), 0)), "")</f>
        <v/>
      </c>
      <c r="E161" s="29" t="str" cm="1">
        <f t="array" ref="E161">IFERROR(INDEX(Data_Input!$1:$100, 9, MATCH(1, (Data_Input!$7:$7=$F$3) * (Data_Input!$8:$8=$B161), 0)),"")</f>
        <v/>
      </c>
      <c r="F161" s="20" t="str" cm="1">
        <f t="array" ref="F161">IFERROR(INDEX(Data_Input!$A$1:$ZZ$502, MATCH("플랜번호", INDEX(Data_Input!$A$1:$ZZ$502, 0, MATCH(1, (Data_Input!$7:$7="IRP")*(Data_Input!$8:$8=$B161), 0)), 0) + 1, MATCH(1, (Data_Input!$7:$7=$F$3)*(Data_Input!$8:$8=$B161), 0)),"")</f>
        <v/>
      </c>
      <c r="G161" s="20" t="str" cm="1">
        <f t="array" ref="G161">IFERROR(INDEX(Data_Input!$A$1:$ZZ$502, MATCH("플랜명", INDEX(Data_Input!$A$1:$ZZ$502, 0, MATCH(1, (Data_Input!$7:$7="IRP")*(Data_Input!$8:$8=$B161), 0)), 0) + 1, MATCH(1, (Data_Input!$7:$7=$F$3)*(Data_Input!$8:$8=$B161), 0)),"")</f>
        <v/>
      </c>
      <c r="H161" s="20" t="str" cm="1">
        <f t="array" ref="H161">IFERROR(INDEX(Data_Input!$A$1:$ZZ$502, MATCH("평가금액", INDEX(Data_Input!$A$1:$ZZ$502, 0, MATCH(1, (Data_Input!$7:$7="IRP")*(Data_Input!$8:$8=$B161), 0)), 0) + 1, MATCH(1, (Data_Input!$7:$7=$F$3)*(Data_Input!$8:$8=$B161), 0)),"")</f>
        <v/>
      </c>
      <c r="I161" s="20" t="str" cm="1">
        <f t="array" ref="I161">IFERROR(INDEX(Data_Input!$A$1:$ZZ$502, MATCH("평가손익", INDEX(Data_Input!$A$1:$ZZ$502, 0, MATCH(1, (Data_Input!$7:$7="IRP")*(Data_Input!$8:$8=$B161), 0)), 0) + 1, MATCH(1, (Data_Input!$7:$7=$F$3)*(Data_Input!$8:$8=$B161), 0)),"")</f>
        <v/>
      </c>
      <c r="J161" s="14" t="str" cm="1">
        <f t="array" ref="J161">IFERROR(INDEX(Data_Input!$A$1:$ZZ$502, MATCH("누적수익률", INDEX(Data_Input!$A$1:$ZZ$502, 0, MATCH(1, (Data_Input!$7:$7="IRP")*(Data_Input!$8:$8=$B161), 0)), 0) + 1, MATCH(1, (Data_Input!$7:$7=$F$3)*(Data_Input!$8:$8=$B161), 0))/100,"")</f>
        <v/>
      </c>
      <c r="K161" t="str" cm="1">
        <f t="array" ref="K161">IFERROR(_xlfn.LET(
    _xlpm.targetDate, B161,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62" spans="1:11" x14ac:dyDescent="0.3">
      <c r="A162" s="16" t="str">
        <f t="shared" si="4"/>
        <v/>
      </c>
      <c r="B162" s="19"/>
      <c r="C162" s="17" t="str">
        <f t="shared" si="5"/>
        <v/>
      </c>
      <c r="D162" s="42" t="str" cm="1">
        <f t="array" ref="D162">IFERROR(INDEX(Data_Input!$1:$100, 10, MATCH(1, (Data_Input!$7:$7=$F$3) * (Data_Input!$8:$8=$B162), 0)), "")</f>
        <v/>
      </c>
      <c r="E162" s="29" t="str" cm="1">
        <f t="array" ref="E162">IFERROR(INDEX(Data_Input!$1:$100, 9, MATCH(1, (Data_Input!$7:$7=$F$3) * (Data_Input!$8:$8=$B162), 0)),"")</f>
        <v/>
      </c>
      <c r="F162" s="20" t="str" cm="1">
        <f t="array" ref="F162">IFERROR(INDEX(Data_Input!$A$1:$ZZ$502, MATCH("플랜번호", INDEX(Data_Input!$A$1:$ZZ$502, 0, MATCH(1, (Data_Input!$7:$7="IRP")*(Data_Input!$8:$8=$B162), 0)), 0) + 1, MATCH(1, (Data_Input!$7:$7=$F$3)*(Data_Input!$8:$8=$B162), 0)),"")</f>
        <v/>
      </c>
      <c r="G162" s="20" t="str" cm="1">
        <f t="array" ref="G162">IFERROR(INDEX(Data_Input!$A$1:$ZZ$502, MATCH("플랜명", INDEX(Data_Input!$A$1:$ZZ$502, 0, MATCH(1, (Data_Input!$7:$7="IRP")*(Data_Input!$8:$8=$B162), 0)), 0) + 1, MATCH(1, (Data_Input!$7:$7=$F$3)*(Data_Input!$8:$8=$B162), 0)),"")</f>
        <v/>
      </c>
      <c r="H162" s="20" t="str" cm="1">
        <f t="array" ref="H162">IFERROR(INDEX(Data_Input!$A$1:$ZZ$502, MATCH("평가금액", INDEX(Data_Input!$A$1:$ZZ$502, 0, MATCH(1, (Data_Input!$7:$7="IRP")*(Data_Input!$8:$8=$B162), 0)), 0) + 1, MATCH(1, (Data_Input!$7:$7=$F$3)*(Data_Input!$8:$8=$B162), 0)),"")</f>
        <v/>
      </c>
      <c r="I162" s="20" t="str" cm="1">
        <f t="array" ref="I162">IFERROR(INDEX(Data_Input!$A$1:$ZZ$502, MATCH("평가손익", INDEX(Data_Input!$A$1:$ZZ$502, 0, MATCH(1, (Data_Input!$7:$7="IRP")*(Data_Input!$8:$8=$B162), 0)), 0) + 1, MATCH(1, (Data_Input!$7:$7=$F$3)*(Data_Input!$8:$8=$B162), 0)),"")</f>
        <v/>
      </c>
      <c r="J162" s="14" t="str" cm="1">
        <f t="array" ref="J162">IFERROR(INDEX(Data_Input!$A$1:$ZZ$502, MATCH("누적수익률", INDEX(Data_Input!$A$1:$ZZ$502, 0, MATCH(1, (Data_Input!$7:$7="IRP")*(Data_Input!$8:$8=$B162), 0)), 0) + 1, MATCH(1, (Data_Input!$7:$7=$F$3)*(Data_Input!$8:$8=$B162), 0))/100,"")</f>
        <v/>
      </c>
      <c r="K162" t="str" cm="1">
        <f t="array" ref="K162">IFERROR(_xlfn.LET(
    _xlpm.targetDate, B162,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63" spans="1:11" x14ac:dyDescent="0.3">
      <c r="A163" s="16" t="str">
        <f t="shared" si="4"/>
        <v/>
      </c>
      <c r="B163" s="19"/>
      <c r="C163" s="17" t="str">
        <f t="shared" si="5"/>
        <v/>
      </c>
      <c r="D163" s="42" t="str" cm="1">
        <f t="array" ref="D163">IFERROR(INDEX(Data_Input!$1:$100, 10, MATCH(1, (Data_Input!$7:$7=$F$3) * (Data_Input!$8:$8=$B163), 0)), "")</f>
        <v/>
      </c>
      <c r="E163" s="29" t="str" cm="1">
        <f t="array" ref="E163">IFERROR(INDEX(Data_Input!$1:$100, 9, MATCH(1, (Data_Input!$7:$7=$F$3) * (Data_Input!$8:$8=$B163), 0)),"")</f>
        <v/>
      </c>
      <c r="F163" s="20" t="str" cm="1">
        <f t="array" ref="F163">IFERROR(INDEX(Data_Input!$A$1:$ZZ$502, MATCH("플랜번호", INDEX(Data_Input!$A$1:$ZZ$502, 0, MATCH(1, (Data_Input!$7:$7="IRP")*(Data_Input!$8:$8=$B163), 0)), 0) + 1, MATCH(1, (Data_Input!$7:$7=$F$3)*(Data_Input!$8:$8=$B163), 0)),"")</f>
        <v/>
      </c>
      <c r="G163" s="20" t="str" cm="1">
        <f t="array" ref="G163">IFERROR(INDEX(Data_Input!$A$1:$ZZ$502, MATCH("플랜명", INDEX(Data_Input!$A$1:$ZZ$502, 0, MATCH(1, (Data_Input!$7:$7="IRP")*(Data_Input!$8:$8=$B163), 0)), 0) + 1, MATCH(1, (Data_Input!$7:$7=$F$3)*(Data_Input!$8:$8=$B163), 0)),"")</f>
        <v/>
      </c>
      <c r="H163" s="20" t="str" cm="1">
        <f t="array" ref="H163">IFERROR(INDEX(Data_Input!$A$1:$ZZ$502, MATCH("평가금액", INDEX(Data_Input!$A$1:$ZZ$502, 0, MATCH(1, (Data_Input!$7:$7="IRP")*(Data_Input!$8:$8=$B163), 0)), 0) + 1, MATCH(1, (Data_Input!$7:$7=$F$3)*(Data_Input!$8:$8=$B163), 0)),"")</f>
        <v/>
      </c>
      <c r="I163" s="20" t="str" cm="1">
        <f t="array" ref="I163">IFERROR(INDEX(Data_Input!$A$1:$ZZ$502, MATCH("평가손익", INDEX(Data_Input!$A$1:$ZZ$502, 0, MATCH(1, (Data_Input!$7:$7="IRP")*(Data_Input!$8:$8=$B163), 0)), 0) + 1, MATCH(1, (Data_Input!$7:$7=$F$3)*(Data_Input!$8:$8=$B163), 0)),"")</f>
        <v/>
      </c>
      <c r="J163" s="14" t="str" cm="1">
        <f t="array" ref="J163">IFERROR(INDEX(Data_Input!$A$1:$ZZ$502, MATCH("누적수익률", INDEX(Data_Input!$A$1:$ZZ$502, 0, MATCH(1, (Data_Input!$7:$7="IRP")*(Data_Input!$8:$8=$B163), 0)), 0) + 1, MATCH(1, (Data_Input!$7:$7=$F$3)*(Data_Input!$8:$8=$B163), 0))/100,"")</f>
        <v/>
      </c>
      <c r="K163" t="str" cm="1">
        <f t="array" ref="K163">IFERROR(_xlfn.LET(
    _xlpm.targetDate, B163,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64" spans="1:11" x14ac:dyDescent="0.3">
      <c r="A164" s="16" t="str">
        <f t="shared" si="4"/>
        <v/>
      </c>
      <c r="B164" s="19"/>
      <c r="C164" s="17" t="str">
        <f t="shared" si="5"/>
        <v/>
      </c>
      <c r="D164" s="42" t="str" cm="1">
        <f t="array" ref="D164">IFERROR(INDEX(Data_Input!$1:$100, 10, MATCH(1, (Data_Input!$7:$7=$F$3) * (Data_Input!$8:$8=$B164), 0)), "")</f>
        <v/>
      </c>
      <c r="E164" s="29" t="str" cm="1">
        <f t="array" ref="E164">IFERROR(INDEX(Data_Input!$1:$100, 9, MATCH(1, (Data_Input!$7:$7=$F$3) * (Data_Input!$8:$8=$B164), 0)),"")</f>
        <v/>
      </c>
      <c r="F164" s="20" t="str" cm="1">
        <f t="array" ref="F164">IFERROR(INDEX(Data_Input!$A$1:$ZZ$502, MATCH("플랜번호", INDEX(Data_Input!$A$1:$ZZ$502, 0, MATCH(1, (Data_Input!$7:$7="IRP")*(Data_Input!$8:$8=$B164), 0)), 0) + 1, MATCH(1, (Data_Input!$7:$7=$F$3)*(Data_Input!$8:$8=$B164), 0)),"")</f>
        <v/>
      </c>
      <c r="G164" s="20" t="str" cm="1">
        <f t="array" ref="G164">IFERROR(INDEX(Data_Input!$A$1:$ZZ$502, MATCH("플랜명", INDEX(Data_Input!$A$1:$ZZ$502, 0, MATCH(1, (Data_Input!$7:$7="IRP")*(Data_Input!$8:$8=$B164), 0)), 0) + 1, MATCH(1, (Data_Input!$7:$7=$F$3)*(Data_Input!$8:$8=$B164), 0)),"")</f>
        <v/>
      </c>
      <c r="H164" s="20" t="str" cm="1">
        <f t="array" ref="H164">IFERROR(INDEX(Data_Input!$A$1:$ZZ$502, MATCH("평가금액", INDEX(Data_Input!$A$1:$ZZ$502, 0, MATCH(1, (Data_Input!$7:$7="IRP")*(Data_Input!$8:$8=$B164), 0)), 0) + 1, MATCH(1, (Data_Input!$7:$7=$F$3)*(Data_Input!$8:$8=$B164), 0)),"")</f>
        <v/>
      </c>
      <c r="I164" s="20" t="str" cm="1">
        <f t="array" ref="I164">IFERROR(INDEX(Data_Input!$A$1:$ZZ$502, MATCH("평가손익", INDEX(Data_Input!$A$1:$ZZ$502, 0, MATCH(1, (Data_Input!$7:$7="IRP")*(Data_Input!$8:$8=$B164), 0)), 0) + 1, MATCH(1, (Data_Input!$7:$7=$F$3)*(Data_Input!$8:$8=$B164), 0)),"")</f>
        <v/>
      </c>
      <c r="J164" s="14" t="str" cm="1">
        <f t="array" ref="J164">IFERROR(INDEX(Data_Input!$A$1:$ZZ$502, MATCH("누적수익률", INDEX(Data_Input!$A$1:$ZZ$502, 0, MATCH(1, (Data_Input!$7:$7="IRP")*(Data_Input!$8:$8=$B164), 0)), 0) + 1, MATCH(1, (Data_Input!$7:$7=$F$3)*(Data_Input!$8:$8=$B164), 0))/100,"")</f>
        <v/>
      </c>
      <c r="K164" t="str" cm="1">
        <f t="array" ref="K164">IFERROR(_xlfn.LET(
    _xlpm.targetDate, B164,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65" spans="1:11" x14ac:dyDescent="0.3">
      <c r="A165" s="16" t="str">
        <f t="shared" si="4"/>
        <v/>
      </c>
      <c r="B165" s="19"/>
      <c r="C165" s="17" t="str">
        <f t="shared" si="5"/>
        <v/>
      </c>
      <c r="D165" s="42" t="str" cm="1">
        <f t="array" ref="D165">IFERROR(INDEX(Data_Input!$1:$100, 10, MATCH(1, (Data_Input!$7:$7=$F$3) * (Data_Input!$8:$8=$B165), 0)), "")</f>
        <v/>
      </c>
      <c r="E165" s="29" t="str" cm="1">
        <f t="array" ref="E165">IFERROR(INDEX(Data_Input!$1:$100, 9, MATCH(1, (Data_Input!$7:$7=$F$3) * (Data_Input!$8:$8=$B165), 0)),"")</f>
        <v/>
      </c>
      <c r="F165" s="20" t="str" cm="1">
        <f t="array" ref="F165">IFERROR(INDEX(Data_Input!$A$1:$ZZ$502, MATCH("플랜번호", INDEX(Data_Input!$A$1:$ZZ$502, 0, MATCH(1, (Data_Input!$7:$7="IRP")*(Data_Input!$8:$8=$B165), 0)), 0) + 1, MATCH(1, (Data_Input!$7:$7=$F$3)*(Data_Input!$8:$8=$B165), 0)),"")</f>
        <v/>
      </c>
      <c r="G165" s="20" t="str" cm="1">
        <f t="array" ref="G165">IFERROR(INDEX(Data_Input!$A$1:$ZZ$502, MATCH("플랜명", INDEX(Data_Input!$A$1:$ZZ$502, 0, MATCH(1, (Data_Input!$7:$7="IRP")*(Data_Input!$8:$8=$B165), 0)), 0) + 1, MATCH(1, (Data_Input!$7:$7=$F$3)*(Data_Input!$8:$8=$B165), 0)),"")</f>
        <v/>
      </c>
      <c r="H165" s="20" t="str" cm="1">
        <f t="array" ref="H165">IFERROR(INDEX(Data_Input!$A$1:$ZZ$502, MATCH("평가금액", INDEX(Data_Input!$A$1:$ZZ$502, 0, MATCH(1, (Data_Input!$7:$7="IRP")*(Data_Input!$8:$8=$B165), 0)), 0) + 1, MATCH(1, (Data_Input!$7:$7=$F$3)*(Data_Input!$8:$8=$B165), 0)),"")</f>
        <v/>
      </c>
      <c r="I165" s="20" t="str" cm="1">
        <f t="array" ref="I165">IFERROR(INDEX(Data_Input!$A$1:$ZZ$502, MATCH("평가손익", INDEX(Data_Input!$A$1:$ZZ$502, 0, MATCH(1, (Data_Input!$7:$7="IRP")*(Data_Input!$8:$8=$B165), 0)), 0) + 1, MATCH(1, (Data_Input!$7:$7=$F$3)*(Data_Input!$8:$8=$B165), 0)),"")</f>
        <v/>
      </c>
      <c r="J165" s="14" t="str" cm="1">
        <f t="array" ref="J165">IFERROR(INDEX(Data_Input!$A$1:$ZZ$502, MATCH("누적수익률", INDEX(Data_Input!$A$1:$ZZ$502, 0, MATCH(1, (Data_Input!$7:$7="IRP")*(Data_Input!$8:$8=$B165), 0)), 0) + 1, MATCH(1, (Data_Input!$7:$7=$F$3)*(Data_Input!$8:$8=$B165), 0))/100,"")</f>
        <v/>
      </c>
      <c r="K165" t="str" cm="1">
        <f t="array" ref="K165">IFERROR(_xlfn.LET(
    _xlpm.targetDate, B165,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66" spans="1:11" x14ac:dyDescent="0.3">
      <c r="A166" s="16" t="str">
        <f t="shared" si="4"/>
        <v/>
      </c>
      <c r="B166" s="19"/>
      <c r="C166" s="17" t="str">
        <f t="shared" si="5"/>
        <v/>
      </c>
      <c r="D166" s="42" t="str" cm="1">
        <f t="array" ref="D166">IFERROR(INDEX(Data_Input!$1:$100, 10, MATCH(1, (Data_Input!$7:$7=$F$3) * (Data_Input!$8:$8=$B166), 0)), "")</f>
        <v/>
      </c>
      <c r="E166" s="29" t="str" cm="1">
        <f t="array" ref="E166">IFERROR(INDEX(Data_Input!$1:$100, 9, MATCH(1, (Data_Input!$7:$7=$F$3) * (Data_Input!$8:$8=$B166), 0)),"")</f>
        <v/>
      </c>
      <c r="F166" s="20" t="str" cm="1">
        <f t="array" ref="F166">IFERROR(INDEX(Data_Input!$A$1:$ZZ$502, MATCH("플랜번호", INDEX(Data_Input!$A$1:$ZZ$502, 0, MATCH(1, (Data_Input!$7:$7="IRP")*(Data_Input!$8:$8=$B166), 0)), 0) + 1, MATCH(1, (Data_Input!$7:$7=$F$3)*(Data_Input!$8:$8=$B166), 0)),"")</f>
        <v/>
      </c>
      <c r="G166" s="20" t="str" cm="1">
        <f t="array" ref="G166">IFERROR(INDEX(Data_Input!$A$1:$ZZ$502, MATCH("플랜명", INDEX(Data_Input!$A$1:$ZZ$502, 0, MATCH(1, (Data_Input!$7:$7="IRP")*(Data_Input!$8:$8=$B166), 0)), 0) + 1, MATCH(1, (Data_Input!$7:$7=$F$3)*(Data_Input!$8:$8=$B166), 0)),"")</f>
        <v/>
      </c>
      <c r="H166" s="20" t="str" cm="1">
        <f t="array" ref="H166">IFERROR(INDEX(Data_Input!$A$1:$ZZ$502, MATCH("평가금액", INDEX(Data_Input!$A$1:$ZZ$502, 0, MATCH(1, (Data_Input!$7:$7="IRP")*(Data_Input!$8:$8=$B166), 0)), 0) + 1, MATCH(1, (Data_Input!$7:$7=$F$3)*(Data_Input!$8:$8=$B166), 0)),"")</f>
        <v/>
      </c>
      <c r="I166" s="20" t="str" cm="1">
        <f t="array" ref="I166">IFERROR(INDEX(Data_Input!$A$1:$ZZ$502, MATCH("평가손익", INDEX(Data_Input!$A$1:$ZZ$502, 0, MATCH(1, (Data_Input!$7:$7="IRP")*(Data_Input!$8:$8=$B166), 0)), 0) + 1, MATCH(1, (Data_Input!$7:$7=$F$3)*(Data_Input!$8:$8=$B166), 0)),"")</f>
        <v/>
      </c>
      <c r="J166" s="14" t="str" cm="1">
        <f t="array" ref="J166">IFERROR(INDEX(Data_Input!$A$1:$ZZ$502, MATCH("누적수익률", INDEX(Data_Input!$A$1:$ZZ$502, 0, MATCH(1, (Data_Input!$7:$7="IRP")*(Data_Input!$8:$8=$B166), 0)), 0) + 1, MATCH(1, (Data_Input!$7:$7=$F$3)*(Data_Input!$8:$8=$B166), 0))/100,"")</f>
        <v/>
      </c>
      <c r="K166" t="str" cm="1">
        <f t="array" ref="K166">IFERROR(_xlfn.LET(
    _xlpm.targetDate, B166,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67" spans="1:11" x14ac:dyDescent="0.3">
      <c r="A167" s="16" t="str">
        <f t="shared" si="4"/>
        <v/>
      </c>
      <c r="B167" s="19"/>
      <c r="C167" s="17" t="str">
        <f t="shared" si="5"/>
        <v/>
      </c>
      <c r="D167" s="42" t="str" cm="1">
        <f t="array" ref="D167">IFERROR(INDEX(Data_Input!$1:$100, 10, MATCH(1, (Data_Input!$7:$7=$F$3) * (Data_Input!$8:$8=$B167), 0)), "")</f>
        <v/>
      </c>
      <c r="E167" s="29" t="str" cm="1">
        <f t="array" ref="E167">IFERROR(INDEX(Data_Input!$1:$100, 9, MATCH(1, (Data_Input!$7:$7=$F$3) * (Data_Input!$8:$8=$B167), 0)),"")</f>
        <v/>
      </c>
      <c r="F167" s="20" t="str" cm="1">
        <f t="array" ref="F167">IFERROR(INDEX(Data_Input!$A$1:$ZZ$502, MATCH("플랜번호", INDEX(Data_Input!$A$1:$ZZ$502, 0, MATCH(1, (Data_Input!$7:$7="IRP")*(Data_Input!$8:$8=$B167), 0)), 0) + 1, MATCH(1, (Data_Input!$7:$7=$F$3)*(Data_Input!$8:$8=$B167), 0)),"")</f>
        <v/>
      </c>
      <c r="G167" s="20" t="str" cm="1">
        <f t="array" ref="G167">IFERROR(INDEX(Data_Input!$A$1:$ZZ$502, MATCH("플랜명", INDEX(Data_Input!$A$1:$ZZ$502, 0, MATCH(1, (Data_Input!$7:$7="IRP")*(Data_Input!$8:$8=$B167), 0)), 0) + 1, MATCH(1, (Data_Input!$7:$7=$F$3)*(Data_Input!$8:$8=$B167), 0)),"")</f>
        <v/>
      </c>
      <c r="H167" s="20" t="str" cm="1">
        <f t="array" ref="H167">IFERROR(INDEX(Data_Input!$A$1:$ZZ$502, MATCH("평가금액", INDEX(Data_Input!$A$1:$ZZ$502, 0, MATCH(1, (Data_Input!$7:$7="IRP")*(Data_Input!$8:$8=$B167), 0)), 0) + 1, MATCH(1, (Data_Input!$7:$7=$F$3)*(Data_Input!$8:$8=$B167), 0)),"")</f>
        <v/>
      </c>
      <c r="I167" s="20" t="str" cm="1">
        <f t="array" ref="I167">IFERROR(INDEX(Data_Input!$A$1:$ZZ$502, MATCH("평가손익", INDEX(Data_Input!$A$1:$ZZ$502, 0, MATCH(1, (Data_Input!$7:$7="IRP")*(Data_Input!$8:$8=$B167), 0)), 0) + 1, MATCH(1, (Data_Input!$7:$7=$F$3)*(Data_Input!$8:$8=$B167), 0)),"")</f>
        <v/>
      </c>
      <c r="J167" s="14" t="str" cm="1">
        <f t="array" ref="J167">IFERROR(INDEX(Data_Input!$A$1:$ZZ$502, MATCH("누적수익률", INDEX(Data_Input!$A$1:$ZZ$502, 0, MATCH(1, (Data_Input!$7:$7="IRP")*(Data_Input!$8:$8=$B167), 0)), 0) + 1, MATCH(1, (Data_Input!$7:$7=$F$3)*(Data_Input!$8:$8=$B167), 0))/100,"")</f>
        <v/>
      </c>
      <c r="K167" t="str" cm="1">
        <f t="array" ref="K167">IFERROR(_xlfn.LET(
    _xlpm.targetDate, B167,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68" spans="1:11" x14ac:dyDescent="0.3">
      <c r="A168" s="16" t="str">
        <f t="shared" si="4"/>
        <v/>
      </c>
      <c r="B168" s="19"/>
      <c r="C168" s="17" t="str">
        <f t="shared" si="5"/>
        <v/>
      </c>
      <c r="D168" s="42" t="str" cm="1">
        <f t="array" ref="D168">IFERROR(INDEX(Data_Input!$1:$100, 10, MATCH(1, (Data_Input!$7:$7=$F$3) * (Data_Input!$8:$8=$B168), 0)), "")</f>
        <v/>
      </c>
      <c r="E168" s="29" t="str" cm="1">
        <f t="array" ref="E168">IFERROR(INDEX(Data_Input!$1:$100, 9, MATCH(1, (Data_Input!$7:$7=$F$3) * (Data_Input!$8:$8=$B168), 0)),"")</f>
        <v/>
      </c>
      <c r="F168" s="20" t="str" cm="1">
        <f t="array" ref="F168">IFERROR(INDEX(Data_Input!$A$1:$ZZ$502, MATCH("플랜번호", INDEX(Data_Input!$A$1:$ZZ$502, 0, MATCH(1, (Data_Input!$7:$7="IRP")*(Data_Input!$8:$8=$B168), 0)), 0) + 1, MATCH(1, (Data_Input!$7:$7=$F$3)*(Data_Input!$8:$8=$B168), 0)),"")</f>
        <v/>
      </c>
      <c r="G168" s="20" t="str" cm="1">
        <f t="array" ref="G168">IFERROR(INDEX(Data_Input!$A$1:$ZZ$502, MATCH("플랜명", INDEX(Data_Input!$A$1:$ZZ$502, 0, MATCH(1, (Data_Input!$7:$7="IRP")*(Data_Input!$8:$8=$B168), 0)), 0) + 1, MATCH(1, (Data_Input!$7:$7=$F$3)*(Data_Input!$8:$8=$B168), 0)),"")</f>
        <v/>
      </c>
      <c r="H168" s="20" t="str" cm="1">
        <f t="array" ref="H168">IFERROR(INDEX(Data_Input!$A$1:$ZZ$502, MATCH("평가금액", INDEX(Data_Input!$A$1:$ZZ$502, 0, MATCH(1, (Data_Input!$7:$7="IRP")*(Data_Input!$8:$8=$B168), 0)), 0) + 1, MATCH(1, (Data_Input!$7:$7=$F$3)*(Data_Input!$8:$8=$B168), 0)),"")</f>
        <v/>
      </c>
      <c r="I168" s="20" t="str" cm="1">
        <f t="array" ref="I168">IFERROR(INDEX(Data_Input!$A$1:$ZZ$502, MATCH("평가손익", INDEX(Data_Input!$A$1:$ZZ$502, 0, MATCH(1, (Data_Input!$7:$7="IRP")*(Data_Input!$8:$8=$B168), 0)), 0) + 1, MATCH(1, (Data_Input!$7:$7=$F$3)*(Data_Input!$8:$8=$B168), 0)),"")</f>
        <v/>
      </c>
      <c r="J168" s="14" t="str" cm="1">
        <f t="array" ref="J168">IFERROR(INDEX(Data_Input!$A$1:$ZZ$502, MATCH("누적수익률", INDEX(Data_Input!$A$1:$ZZ$502, 0, MATCH(1, (Data_Input!$7:$7="IRP")*(Data_Input!$8:$8=$B168), 0)), 0) + 1, MATCH(1, (Data_Input!$7:$7=$F$3)*(Data_Input!$8:$8=$B168), 0))/100,"")</f>
        <v/>
      </c>
      <c r="K168" t="str" cm="1">
        <f t="array" ref="K168">IFERROR(_xlfn.LET(
    _xlpm.targetDate, B168,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69" spans="1:11" x14ac:dyDescent="0.3">
      <c r="A169" s="16" t="str">
        <f t="shared" si="4"/>
        <v/>
      </c>
      <c r="B169" s="19"/>
      <c r="C169" s="17" t="str">
        <f t="shared" si="5"/>
        <v/>
      </c>
      <c r="D169" s="42" t="str" cm="1">
        <f t="array" ref="D169">IFERROR(INDEX(Data_Input!$1:$100, 10, MATCH(1, (Data_Input!$7:$7=$F$3) * (Data_Input!$8:$8=$B169), 0)), "")</f>
        <v/>
      </c>
      <c r="E169" s="29" t="str" cm="1">
        <f t="array" ref="E169">IFERROR(INDEX(Data_Input!$1:$100, 9, MATCH(1, (Data_Input!$7:$7=$F$3) * (Data_Input!$8:$8=$B169), 0)),"")</f>
        <v/>
      </c>
      <c r="F169" s="20" t="str" cm="1">
        <f t="array" ref="F169">IFERROR(INDEX(Data_Input!$A$1:$ZZ$502, MATCH("플랜번호", INDEX(Data_Input!$A$1:$ZZ$502, 0, MATCH(1, (Data_Input!$7:$7="IRP")*(Data_Input!$8:$8=$B169), 0)), 0) + 1, MATCH(1, (Data_Input!$7:$7=$F$3)*(Data_Input!$8:$8=$B169), 0)),"")</f>
        <v/>
      </c>
      <c r="G169" s="20" t="str" cm="1">
        <f t="array" ref="G169">IFERROR(INDEX(Data_Input!$A$1:$ZZ$502, MATCH("플랜명", INDEX(Data_Input!$A$1:$ZZ$502, 0, MATCH(1, (Data_Input!$7:$7="IRP")*(Data_Input!$8:$8=$B169), 0)), 0) + 1, MATCH(1, (Data_Input!$7:$7=$F$3)*(Data_Input!$8:$8=$B169), 0)),"")</f>
        <v/>
      </c>
      <c r="H169" s="20" t="str" cm="1">
        <f t="array" ref="H169">IFERROR(INDEX(Data_Input!$A$1:$ZZ$502, MATCH("평가금액", INDEX(Data_Input!$A$1:$ZZ$502, 0, MATCH(1, (Data_Input!$7:$7="IRP")*(Data_Input!$8:$8=$B169), 0)), 0) + 1, MATCH(1, (Data_Input!$7:$7=$F$3)*(Data_Input!$8:$8=$B169), 0)),"")</f>
        <v/>
      </c>
      <c r="I169" s="20" t="str" cm="1">
        <f t="array" ref="I169">IFERROR(INDEX(Data_Input!$A$1:$ZZ$502, MATCH("평가손익", INDEX(Data_Input!$A$1:$ZZ$502, 0, MATCH(1, (Data_Input!$7:$7="IRP")*(Data_Input!$8:$8=$B169), 0)), 0) + 1, MATCH(1, (Data_Input!$7:$7=$F$3)*(Data_Input!$8:$8=$B169), 0)),"")</f>
        <v/>
      </c>
      <c r="J169" s="14" t="str" cm="1">
        <f t="array" ref="J169">IFERROR(INDEX(Data_Input!$A$1:$ZZ$502, MATCH("누적수익률", INDEX(Data_Input!$A$1:$ZZ$502, 0, MATCH(1, (Data_Input!$7:$7="IRP")*(Data_Input!$8:$8=$B169), 0)), 0) + 1, MATCH(1, (Data_Input!$7:$7=$F$3)*(Data_Input!$8:$8=$B169), 0))/100,"")</f>
        <v/>
      </c>
      <c r="K169" t="str" cm="1">
        <f t="array" ref="K169">IFERROR(_xlfn.LET(
    _xlpm.targetDate, B169,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70" spans="1:11" x14ac:dyDescent="0.3">
      <c r="A170" s="16" t="str">
        <f t="shared" si="4"/>
        <v/>
      </c>
      <c r="B170" s="19"/>
      <c r="C170" s="17" t="str">
        <f t="shared" si="5"/>
        <v/>
      </c>
      <c r="D170" s="42" t="str" cm="1">
        <f t="array" ref="D170">IFERROR(INDEX(Data_Input!$1:$100, 10, MATCH(1, (Data_Input!$7:$7=$F$3) * (Data_Input!$8:$8=$B170), 0)), "")</f>
        <v/>
      </c>
      <c r="E170" s="29" t="str" cm="1">
        <f t="array" ref="E170">IFERROR(INDEX(Data_Input!$1:$100, 9, MATCH(1, (Data_Input!$7:$7=$F$3) * (Data_Input!$8:$8=$B170), 0)),"")</f>
        <v/>
      </c>
      <c r="F170" s="20" t="str" cm="1">
        <f t="array" ref="F170">IFERROR(INDEX(Data_Input!$A$1:$ZZ$502, MATCH("플랜번호", INDEX(Data_Input!$A$1:$ZZ$502, 0, MATCH(1, (Data_Input!$7:$7="IRP")*(Data_Input!$8:$8=$B170), 0)), 0) + 1, MATCH(1, (Data_Input!$7:$7=$F$3)*(Data_Input!$8:$8=$B170), 0)),"")</f>
        <v/>
      </c>
      <c r="G170" s="20" t="str" cm="1">
        <f t="array" ref="G170">IFERROR(INDEX(Data_Input!$A$1:$ZZ$502, MATCH("플랜명", INDEX(Data_Input!$A$1:$ZZ$502, 0, MATCH(1, (Data_Input!$7:$7="IRP")*(Data_Input!$8:$8=$B170), 0)), 0) + 1, MATCH(1, (Data_Input!$7:$7=$F$3)*(Data_Input!$8:$8=$B170), 0)),"")</f>
        <v/>
      </c>
      <c r="H170" s="20" t="str" cm="1">
        <f t="array" ref="H170">IFERROR(INDEX(Data_Input!$A$1:$ZZ$502, MATCH("평가금액", INDEX(Data_Input!$A$1:$ZZ$502, 0, MATCH(1, (Data_Input!$7:$7="IRP")*(Data_Input!$8:$8=$B170), 0)), 0) + 1, MATCH(1, (Data_Input!$7:$7=$F$3)*(Data_Input!$8:$8=$B170), 0)),"")</f>
        <v/>
      </c>
      <c r="I170" s="20" t="str" cm="1">
        <f t="array" ref="I170">IFERROR(INDEX(Data_Input!$A$1:$ZZ$502, MATCH("평가손익", INDEX(Data_Input!$A$1:$ZZ$502, 0, MATCH(1, (Data_Input!$7:$7="IRP")*(Data_Input!$8:$8=$B170), 0)), 0) + 1, MATCH(1, (Data_Input!$7:$7=$F$3)*(Data_Input!$8:$8=$B170), 0)),"")</f>
        <v/>
      </c>
      <c r="J170" s="14" t="str" cm="1">
        <f t="array" ref="J170">IFERROR(INDEX(Data_Input!$A$1:$ZZ$502, MATCH("누적수익률", INDEX(Data_Input!$A$1:$ZZ$502, 0, MATCH(1, (Data_Input!$7:$7="IRP")*(Data_Input!$8:$8=$B170), 0)), 0) + 1, MATCH(1, (Data_Input!$7:$7=$F$3)*(Data_Input!$8:$8=$B170), 0))/100,"")</f>
        <v/>
      </c>
      <c r="K170" t="str" cm="1">
        <f t="array" ref="K170">IFERROR(_xlfn.LET(
    _xlpm.targetDate, B170,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71" spans="1:11" x14ac:dyDescent="0.3">
      <c r="A171" s="16" t="str">
        <f t="shared" si="4"/>
        <v/>
      </c>
      <c r="B171" s="19"/>
      <c r="C171" s="17" t="str">
        <f t="shared" si="5"/>
        <v/>
      </c>
      <c r="D171" s="42" t="str" cm="1">
        <f t="array" ref="D171">IFERROR(INDEX(Data_Input!$1:$100, 10, MATCH(1, (Data_Input!$7:$7=$F$3) * (Data_Input!$8:$8=$B171), 0)), "")</f>
        <v/>
      </c>
      <c r="E171" s="29" t="str" cm="1">
        <f t="array" ref="E171">IFERROR(INDEX(Data_Input!$1:$100, 9, MATCH(1, (Data_Input!$7:$7=$F$3) * (Data_Input!$8:$8=$B171), 0)),"")</f>
        <v/>
      </c>
      <c r="F171" s="20" t="str" cm="1">
        <f t="array" ref="F171">IFERROR(INDEX(Data_Input!$A$1:$ZZ$502, MATCH("플랜번호", INDEX(Data_Input!$A$1:$ZZ$502, 0, MATCH(1, (Data_Input!$7:$7="IRP")*(Data_Input!$8:$8=$B171), 0)), 0) + 1, MATCH(1, (Data_Input!$7:$7=$F$3)*(Data_Input!$8:$8=$B171), 0)),"")</f>
        <v/>
      </c>
      <c r="G171" s="20" t="str" cm="1">
        <f t="array" ref="G171">IFERROR(INDEX(Data_Input!$A$1:$ZZ$502, MATCH("플랜명", INDEX(Data_Input!$A$1:$ZZ$502, 0, MATCH(1, (Data_Input!$7:$7="IRP")*(Data_Input!$8:$8=$B171), 0)), 0) + 1, MATCH(1, (Data_Input!$7:$7=$F$3)*(Data_Input!$8:$8=$B171), 0)),"")</f>
        <v/>
      </c>
      <c r="H171" s="20" t="str" cm="1">
        <f t="array" ref="H171">IFERROR(INDEX(Data_Input!$A$1:$ZZ$502, MATCH("평가금액", INDEX(Data_Input!$A$1:$ZZ$502, 0, MATCH(1, (Data_Input!$7:$7="IRP")*(Data_Input!$8:$8=$B171), 0)), 0) + 1, MATCH(1, (Data_Input!$7:$7=$F$3)*(Data_Input!$8:$8=$B171), 0)),"")</f>
        <v/>
      </c>
      <c r="I171" s="20" t="str" cm="1">
        <f t="array" ref="I171">IFERROR(INDEX(Data_Input!$A$1:$ZZ$502, MATCH("평가손익", INDEX(Data_Input!$A$1:$ZZ$502, 0, MATCH(1, (Data_Input!$7:$7="IRP")*(Data_Input!$8:$8=$B171), 0)), 0) + 1, MATCH(1, (Data_Input!$7:$7=$F$3)*(Data_Input!$8:$8=$B171), 0)),"")</f>
        <v/>
      </c>
      <c r="J171" s="14" t="str" cm="1">
        <f t="array" ref="J171">IFERROR(INDEX(Data_Input!$A$1:$ZZ$502, MATCH("누적수익률", INDEX(Data_Input!$A$1:$ZZ$502, 0, MATCH(1, (Data_Input!$7:$7="IRP")*(Data_Input!$8:$8=$B171), 0)), 0) + 1, MATCH(1, (Data_Input!$7:$7=$F$3)*(Data_Input!$8:$8=$B171), 0))/100,"")</f>
        <v/>
      </c>
      <c r="K171" t="str" cm="1">
        <f t="array" ref="K171">IFERROR(_xlfn.LET(
    _xlpm.targetDate, B171,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72" spans="1:11" x14ac:dyDescent="0.3">
      <c r="A172" s="16" t="str">
        <f t="shared" si="4"/>
        <v/>
      </c>
      <c r="B172" s="19"/>
      <c r="C172" s="17" t="str">
        <f t="shared" si="5"/>
        <v/>
      </c>
      <c r="D172" s="42" t="str" cm="1">
        <f t="array" ref="D172">IFERROR(INDEX(Data_Input!$1:$100, 10, MATCH(1, (Data_Input!$7:$7=$F$3) * (Data_Input!$8:$8=$B172), 0)), "")</f>
        <v/>
      </c>
      <c r="E172" s="29" t="str" cm="1">
        <f t="array" ref="E172">IFERROR(INDEX(Data_Input!$1:$100, 9, MATCH(1, (Data_Input!$7:$7=$F$3) * (Data_Input!$8:$8=$B172), 0)),"")</f>
        <v/>
      </c>
      <c r="F172" s="20" t="str" cm="1">
        <f t="array" ref="F172">IFERROR(INDEX(Data_Input!$A$1:$ZZ$502, MATCH("플랜번호", INDEX(Data_Input!$A$1:$ZZ$502, 0, MATCH(1, (Data_Input!$7:$7="IRP")*(Data_Input!$8:$8=$B172), 0)), 0) + 1, MATCH(1, (Data_Input!$7:$7=$F$3)*(Data_Input!$8:$8=$B172), 0)),"")</f>
        <v/>
      </c>
      <c r="G172" s="20" t="str" cm="1">
        <f t="array" ref="G172">IFERROR(INDEX(Data_Input!$A$1:$ZZ$502, MATCH("플랜명", INDEX(Data_Input!$A$1:$ZZ$502, 0, MATCH(1, (Data_Input!$7:$7="IRP")*(Data_Input!$8:$8=$B172), 0)), 0) + 1, MATCH(1, (Data_Input!$7:$7=$F$3)*(Data_Input!$8:$8=$B172), 0)),"")</f>
        <v/>
      </c>
      <c r="H172" s="20" t="str" cm="1">
        <f t="array" ref="H172">IFERROR(INDEX(Data_Input!$A$1:$ZZ$502, MATCH("평가금액", INDEX(Data_Input!$A$1:$ZZ$502, 0, MATCH(1, (Data_Input!$7:$7="IRP")*(Data_Input!$8:$8=$B172), 0)), 0) + 1, MATCH(1, (Data_Input!$7:$7=$F$3)*(Data_Input!$8:$8=$B172), 0)),"")</f>
        <v/>
      </c>
      <c r="I172" s="20" t="str" cm="1">
        <f t="array" ref="I172">IFERROR(INDEX(Data_Input!$A$1:$ZZ$502, MATCH("평가손익", INDEX(Data_Input!$A$1:$ZZ$502, 0, MATCH(1, (Data_Input!$7:$7="IRP")*(Data_Input!$8:$8=$B172), 0)), 0) + 1, MATCH(1, (Data_Input!$7:$7=$F$3)*(Data_Input!$8:$8=$B172), 0)),"")</f>
        <v/>
      </c>
      <c r="J172" s="14" t="str" cm="1">
        <f t="array" ref="J172">IFERROR(INDEX(Data_Input!$A$1:$ZZ$502, MATCH("누적수익률", INDEX(Data_Input!$A$1:$ZZ$502, 0, MATCH(1, (Data_Input!$7:$7="IRP")*(Data_Input!$8:$8=$B172), 0)), 0) + 1, MATCH(1, (Data_Input!$7:$7=$F$3)*(Data_Input!$8:$8=$B172), 0))/100,"")</f>
        <v/>
      </c>
      <c r="K172" t="str" cm="1">
        <f t="array" ref="K172">IFERROR(_xlfn.LET(
    _xlpm.targetDate, B172,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73" spans="1:11" x14ac:dyDescent="0.3">
      <c r="A173" s="16" t="str">
        <f t="shared" si="4"/>
        <v/>
      </c>
      <c r="B173" s="19"/>
      <c r="C173" s="17" t="str">
        <f t="shared" si="5"/>
        <v/>
      </c>
      <c r="D173" s="42" t="str" cm="1">
        <f t="array" ref="D173">IFERROR(INDEX(Data_Input!$1:$100, 10, MATCH(1, (Data_Input!$7:$7=$F$3) * (Data_Input!$8:$8=$B173), 0)), "")</f>
        <v/>
      </c>
      <c r="E173" s="29" t="str" cm="1">
        <f t="array" ref="E173">IFERROR(INDEX(Data_Input!$1:$100, 9, MATCH(1, (Data_Input!$7:$7=$F$3) * (Data_Input!$8:$8=$B173), 0)),"")</f>
        <v/>
      </c>
      <c r="F173" s="20" t="str" cm="1">
        <f t="array" ref="F173">IFERROR(INDEX(Data_Input!$A$1:$ZZ$502, MATCH("플랜번호", INDEX(Data_Input!$A$1:$ZZ$502, 0, MATCH(1, (Data_Input!$7:$7="IRP")*(Data_Input!$8:$8=$B173), 0)), 0) + 1, MATCH(1, (Data_Input!$7:$7=$F$3)*(Data_Input!$8:$8=$B173), 0)),"")</f>
        <v/>
      </c>
      <c r="G173" s="20" t="str" cm="1">
        <f t="array" ref="G173">IFERROR(INDEX(Data_Input!$A$1:$ZZ$502, MATCH("플랜명", INDEX(Data_Input!$A$1:$ZZ$502, 0, MATCH(1, (Data_Input!$7:$7="IRP")*(Data_Input!$8:$8=$B173), 0)), 0) + 1, MATCH(1, (Data_Input!$7:$7=$F$3)*(Data_Input!$8:$8=$B173), 0)),"")</f>
        <v/>
      </c>
      <c r="H173" s="20" t="str" cm="1">
        <f t="array" ref="H173">IFERROR(INDEX(Data_Input!$A$1:$ZZ$502, MATCH("평가금액", INDEX(Data_Input!$A$1:$ZZ$502, 0, MATCH(1, (Data_Input!$7:$7="IRP")*(Data_Input!$8:$8=$B173), 0)), 0) + 1, MATCH(1, (Data_Input!$7:$7=$F$3)*(Data_Input!$8:$8=$B173), 0)),"")</f>
        <v/>
      </c>
      <c r="I173" s="20" t="str" cm="1">
        <f t="array" ref="I173">IFERROR(INDEX(Data_Input!$A$1:$ZZ$502, MATCH("평가손익", INDEX(Data_Input!$A$1:$ZZ$502, 0, MATCH(1, (Data_Input!$7:$7="IRP")*(Data_Input!$8:$8=$B173), 0)), 0) + 1, MATCH(1, (Data_Input!$7:$7=$F$3)*(Data_Input!$8:$8=$B173), 0)),"")</f>
        <v/>
      </c>
      <c r="J173" s="14" t="str" cm="1">
        <f t="array" ref="J173">IFERROR(INDEX(Data_Input!$A$1:$ZZ$502, MATCH("누적수익률", INDEX(Data_Input!$A$1:$ZZ$502, 0, MATCH(1, (Data_Input!$7:$7="IRP")*(Data_Input!$8:$8=$B173), 0)), 0) + 1, MATCH(1, (Data_Input!$7:$7=$F$3)*(Data_Input!$8:$8=$B173), 0))/100,"")</f>
        <v/>
      </c>
      <c r="K173" t="str" cm="1">
        <f t="array" ref="K173">IFERROR(_xlfn.LET(
    _xlpm.targetDate, B173,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74" spans="1:11" x14ac:dyDescent="0.3">
      <c r="A174" s="16" t="str">
        <f t="shared" si="4"/>
        <v/>
      </c>
      <c r="B174" s="19"/>
      <c r="C174" s="17" t="str">
        <f t="shared" si="5"/>
        <v/>
      </c>
      <c r="D174" s="42" t="str" cm="1">
        <f t="array" ref="D174">IFERROR(INDEX(Data_Input!$1:$100, 10, MATCH(1, (Data_Input!$7:$7=$F$3) * (Data_Input!$8:$8=$B174), 0)), "")</f>
        <v/>
      </c>
      <c r="E174" s="29" t="str" cm="1">
        <f t="array" ref="E174">IFERROR(INDEX(Data_Input!$1:$100, 9, MATCH(1, (Data_Input!$7:$7=$F$3) * (Data_Input!$8:$8=$B174), 0)),"")</f>
        <v/>
      </c>
      <c r="F174" s="20" t="str" cm="1">
        <f t="array" ref="F174">IFERROR(INDEX(Data_Input!$A$1:$ZZ$502, MATCH("플랜번호", INDEX(Data_Input!$A$1:$ZZ$502, 0, MATCH(1, (Data_Input!$7:$7="IRP")*(Data_Input!$8:$8=$B174), 0)), 0) + 1, MATCH(1, (Data_Input!$7:$7=$F$3)*(Data_Input!$8:$8=$B174), 0)),"")</f>
        <v/>
      </c>
      <c r="G174" s="20" t="str" cm="1">
        <f t="array" ref="G174">IFERROR(INDEX(Data_Input!$A$1:$ZZ$502, MATCH("플랜명", INDEX(Data_Input!$A$1:$ZZ$502, 0, MATCH(1, (Data_Input!$7:$7="IRP")*(Data_Input!$8:$8=$B174), 0)), 0) + 1, MATCH(1, (Data_Input!$7:$7=$F$3)*(Data_Input!$8:$8=$B174), 0)),"")</f>
        <v/>
      </c>
      <c r="H174" s="20" t="str" cm="1">
        <f t="array" ref="H174">IFERROR(INDEX(Data_Input!$A$1:$ZZ$502, MATCH("평가금액", INDEX(Data_Input!$A$1:$ZZ$502, 0, MATCH(1, (Data_Input!$7:$7="IRP")*(Data_Input!$8:$8=$B174), 0)), 0) + 1, MATCH(1, (Data_Input!$7:$7=$F$3)*(Data_Input!$8:$8=$B174), 0)),"")</f>
        <v/>
      </c>
      <c r="I174" s="20" t="str" cm="1">
        <f t="array" ref="I174">IFERROR(INDEX(Data_Input!$A$1:$ZZ$502, MATCH("평가손익", INDEX(Data_Input!$A$1:$ZZ$502, 0, MATCH(1, (Data_Input!$7:$7="IRP")*(Data_Input!$8:$8=$B174), 0)), 0) + 1, MATCH(1, (Data_Input!$7:$7=$F$3)*(Data_Input!$8:$8=$B174), 0)),"")</f>
        <v/>
      </c>
      <c r="J174" s="14" t="str" cm="1">
        <f t="array" ref="J174">IFERROR(INDEX(Data_Input!$A$1:$ZZ$502, MATCH("누적수익률", INDEX(Data_Input!$A$1:$ZZ$502, 0, MATCH(1, (Data_Input!$7:$7="IRP")*(Data_Input!$8:$8=$B174), 0)), 0) + 1, MATCH(1, (Data_Input!$7:$7=$F$3)*(Data_Input!$8:$8=$B174), 0))/100,"")</f>
        <v/>
      </c>
      <c r="K174" t="str" cm="1">
        <f t="array" ref="K174">IFERROR(_xlfn.LET(
    _xlpm.targetDate, B174,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75" spans="1:11" x14ac:dyDescent="0.3">
      <c r="A175" s="16" t="str">
        <f t="shared" si="4"/>
        <v/>
      </c>
      <c r="B175" s="19"/>
      <c r="C175" s="17" t="str">
        <f t="shared" si="5"/>
        <v/>
      </c>
      <c r="D175" s="42" t="str" cm="1">
        <f t="array" ref="D175">IFERROR(INDEX(Data_Input!$1:$100, 10, MATCH(1, (Data_Input!$7:$7=$F$3) * (Data_Input!$8:$8=$B175), 0)), "")</f>
        <v/>
      </c>
      <c r="E175" s="29" t="str" cm="1">
        <f t="array" ref="E175">IFERROR(INDEX(Data_Input!$1:$100, 9, MATCH(1, (Data_Input!$7:$7=$F$3) * (Data_Input!$8:$8=$B175), 0)),"")</f>
        <v/>
      </c>
      <c r="F175" s="20" t="str" cm="1">
        <f t="array" ref="F175">IFERROR(INDEX(Data_Input!$A$1:$ZZ$502, MATCH("플랜번호", INDEX(Data_Input!$A$1:$ZZ$502, 0, MATCH(1, (Data_Input!$7:$7="IRP")*(Data_Input!$8:$8=$B175), 0)), 0) + 1, MATCH(1, (Data_Input!$7:$7=$F$3)*(Data_Input!$8:$8=$B175), 0)),"")</f>
        <v/>
      </c>
      <c r="G175" s="20" t="str" cm="1">
        <f t="array" ref="G175">IFERROR(INDEX(Data_Input!$A$1:$ZZ$502, MATCH("플랜명", INDEX(Data_Input!$A$1:$ZZ$502, 0, MATCH(1, (Data_Input!$7:$7="IRP")*(Data_Input!$8:$8=$B175), 0)), 0) + 1, MATCH(1, (Data_Input!$7:$7=$F$3)*(Data_Input!$8:$8=$B175), 0)),"")</f>
        <v/>
      </c>
      <c r="H175" s="20" t="str" cm="1">
        <f t="array" ref="H175">IFERROR(INDEX(Data_Input!$A$1:$ZZ$502, MATCH("평가금액", INDEX(Data_Input!$A$1:$ZZ$502, 0, MATCH(1, (Data_Input!$7:$7="IRP")*(Data_Input!$8:$8=$B175), 0)), 0) + 1, MATCH(1, (Data_Input!$7:$7=$F$3)*(Data_Input!$8:$8=$B175), 0)),"")</f>
        <v/>
      </c>
      <c r="I175" s="20" t="str" cm="1">
        <f t="array" ref="I175">IFERROR(INDEX(Data_Input!$A$1:$ZZ$502, MATCH("평가손익", INDEX(Data_Input!$A$1:$ZZ$502, 0, MATCH(1, (Data_Input!$7:$7="IRP")*(Data_Input!$8:$8=$B175), 0)), 0) + 1, MATCH(1, (Data_Input!$7:$7=$F$3)*(Data_Input!$8:$8=$B175), 0)),"")</f>
        <v/>
      </c>
      <c r="J175" s="14" t="str" cm="1">
        <f t="array" ref="J175">IFERROR(INDEX(Data_Input!$A$1:$ZZ$502, MATCH("누적수익률", INDEX(Data_Input!$A$1:$ZZ$502, 0, MATCH(1, (Data_Input!$7:$7="IRP")*(Data_Input!$8:$8=$B175), 0)), 0) + 1, MATCH(1, (Data_Input!$7:$7=$F$3)*(Data_Input!$8:$8=$B175), 0))/100,"")</f>
        <v/>
      </c>
      <c r="K175" t="str" cm="1">
        <f t="array" ref="K175">IFERROR(_xlfn.LET(
    _xlpm.targetDate, B175,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76" spans="1:11" x14ac:dyDescent="0.3">
      <c r="A176" s="16" t="str">
        <f t="shared" si="4"/>
        <v/>
      </c>
      <c r="B176" s="19"/>
      <c r="C176" s="17" t="str">
        <f t="shared" si="5"/>
        <v/>
      </c>
      <c r="D176" s="42" t="str" cm="1">
        <f t="array" ref="D176">IFERROR(INDEX(Data_Input!$1:$100, 10, MATCH(1, (Data_Input!$7:$7=$F$3) * (Data_Input!$8:$8=$B176), 0)), "")</f>
        <v/>
      </c>
      <c r="E176" s="29" t="str" cm="1">
        <f t="array" ref="E176">IFERROR(INDEX(Data_Input!$1:$100, 9, MATCH(1, (Data_Input!$7:$7=$F$3) * (Data_Input!$8:$8=$B176), 0)),"")</f>
        <v/>
      </c>
      <c r="F176" s="20" t="str" cm="1">
        <f t="array" ref="F176">IFERROR(INDEX(Data_Input!$A$1:$ZZ$502, MATCH("플랜번호", INDEX(Data_Input!$A$1:$ZZ$502, 0, MATCH(1, (Data_Input!$7:$7="IRP")*(Data_Input!$8:$8=$B176), 0)), 0) + 1, MATCH(1, (Data_Input!$7:$7=$F$3)*(Data_Input!$8:$8=$B176), 0)),"")</f>
        <v/>
      </c>
      <c r="G176" s="20" t="str" cm="1">
        <f t="array" ref="G176">IFERROR(INDEX(Data_Input!$A$1:$ZZ$502, MATCH("플랜명", INDEX(Data_Input!$A$1:$ZZ$502, 0, MATCH(1, (Data_Input!$7:$7="IRP")*(Data_Input!$8:$8=$B176), 0)), 0) + 1, MATCH(1, (Data_Input!$7:$7=$F$3)*(Data_Input!$8:$8=$B176), 0)),"")</f>
        <v/>
      </c>
      <c r="H176" s="20" t="str" cm="1">
        <f t="array" ref="H176">IFERROR(INDEX(Data_Input!$A$1:$ZZ$502, MATCH("평가금액", INDEX(Data_Input!$A$1:$ZZ$502, 0, MATCH(1, (Data_Input!$7:$7="IRP")*(Data_Input!$8:$8=$B176), 0)), 0) + 1, MATCH(1, (Data_Input!$7:$7=$F$3)*(Data_Input!$8:$8=$B176), 0)),"")</f>
        <v/>
      </c>
      <c r="I176" s="20" t="str" cm="1">
        <f t="array" ref="I176">IFERROR(INDEX(Data_Input!$A$1:$ZZ$502, MATCH("평가손익", INDEX(Data_Input!$A$1:$ZZ$502, 0, MATCH(1, (Data_Input!$7:$7="IRP")*(Data_Input!$8:$8=$B176), 0)), 0) + 1, MATCH(1, (Data_Input!$7:$7=$F$3)*(Data_Input!$8:$8=$B176), 0)),"")</f>
        <v/>
      </c>
      <c r="J176" s="14" t="str" cm="1">
        <f t="array" ref="J176">IFERROR(INDEX(Data_Input!$A$1:$ZZ$502, MATCH("누적수익률", INDEX(Data_Input!$A$1:$ZZ$502, 0, MATCH(1, (Data_Input!$7:$7="IRP")*(Data_Input!$8:$8=$B176), 0)), 0) + 1, MATCH(1, (Data_Input!$7:$7=$F$3)*(Data_Input!$8:$8=$B176), 0))/100,"")</f>
        <v/>
      </c>
      <c r="K176" t="str" cm="1">
        <f t="array" ref="K176">IFERROR(_xlfn.LET(
    _xlpm.targetDate, B176,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77" spans="1:11" x14ac:dyDescent="0.3">
      <c r="A177" s="16" t="str">
        <f t="shared" si="4"/>
        <v/>
      </c>
      <c r="B177" s="19"/>
      <c r="C177" s="17" t="str">
        <f t="shared" si="5"/>
        <v/>
      </c>
      <c r="D177" s="42" t="str" cm="1">
        <f t="array" ref="D177">IFERROR(INDEX(Data_Input!$1:$100, 10, MATCH(1, (Data_Input!$7:$7=$F$3) * (Data_Input!$8:$8=$B177), 0)), "")</f>
        <v/>
      </c>
      <c r="E177" s="29" t="str" cm="1">
        <f t="array" ref="E177">IFERROR(INDEX(Data_Input!$1:$100, 9, MATCH(1, (Data_Input!$7:$7=$F$3) * (Data_Input!$8:$8=$B177), 0)),"")</f>
        <v/>
      </c>
      <c r="F177" s="20" t="str" cm="1">
        <f t="array" ref="F177">IFERROR(INDEX(Data_Input!$A$1:$ZZ$502, MATCH("플랜번호", INDEX(Data_Input!$A$1:$ZZ$502, 0, MATCH(1, (Data_Input!$7:$7="IRP")*(Data_Input!$8:$8=$B177), 0)), 0) + 1, MATCH(1, (Data_Input!$7:$7=$F$3)*(Data_Input!$8:$8=$B177), 0)),"")</f>
        <v/>
      </c>
      <c r="G177" s="20" t="str" cm="1">
        <f t="array" ref="G177">IFERROR(INDEX(Data_Input!$A$1:$ZZ$502, MATCH("플랜명", INDEX(Data_Input!$A$1:$ZZ$502, 0, MATCH(1, (Data_Input!$7:$7="IRP")*(Data_Input!$8:$8=$B177), 0)), 0) + 1, MATCH(1, (Data_Input!$7:$7=$F$3)*(Data_Input!$8:$8=$B177), 0)),"")</f>
        <v/>
      </c>
      <c r="H177" s="20" t="str" cm="1">
        <f t="array" ref="H177">IFERROR(INDEX(Data_Input!$A$1:$ZZ$502, MATCH("평가금액", INDEX(Data_Input!$A$1:$ZZ$502, 0, MATCH(1, (Data_Input!$7:$7="IRP")*(Data_Input!$8:$8=$B177), 0)), 0) + 1, MATCH(1, (Data_Input!$7:$7=$F$3)*(Data_Input!$8:$8=$B177), 0)),"")</f>
        <v/>
      </c>
      <c r="I177" s="20" t="str" cm="1">
        <f t="array" ref="I177">IFERROR(INDEX(Data_Input!$A$1:$ZZ$502, MATCH("평가손익", INDEX(Data_Input!$A$1:$ZZ$502, 0, MATCH(1, (Data_Input!$7:$7="IRP")*(Data_Input!$8:$8=$B177), 0)), 0) + 1, MATCH(1, (Data_Input!$7:$7=$F$3)*(Data_Input!$8:$8=$B177), 0)),"")</f>
        <v/>
      </c>
      <c r="J177" s="14" t="str" cm="1">
        <f t="array" ref="J177">IFERROR(INDEX(Data_Input!$A$1:$ZZ$502, MATCH("누적수익률", INDEX(Data_Input!$A$1:$ZZ$502, 0, MATCH(1, (Data_Input!$7:$7="IRP")*(Data_Input!$8:$8=$B177), 0)), 0) + 1, MATCH(1, (Data_Input!$7:$7=$F$3)*(Data_Input!$8:$8=$B177), 0))/100,"")</f>
        <v/>
      </c>
      <c r="K177" t="str" cm="1">
        <f t="array" ref="K177">IFERROR(_xlfn.LET(
    _xlpm.targetDate, B177,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78" spans="1:11" x14ac:dyDescent="0.3">
      <c r="A178" s="16" t="str">
        <f t="shared" si="4"/>
        <v/>
      </c>
      <c r="B178" s="19"/>
      <c r="C178" s="17" t="str">
        <f t="shared" si="5"/>
        <v/>
      </c>
      <c r="D178" s="42" t="str" cm="1">
        <f t="array" ref="D178">IFERROR(INDEX(Data_Input!$1:$100, 10, MATCH(1, (Data_Input!$7:$7=$F$3) * (Data_Input!$8:$8=$B178), 0)), "")</f>
        <v/>
      </c>
      <c r="E178" s="29" t="str" cm="1">
        <f t="array" ref="E178">IFERROR(INDEX(Data_Input!$1:$100, 9, MATCH(1, (Data_Input!$7:$7=$F$3) * (Data_Input!$8:$8=$B178), 0)),"")</f>
        <v/>
      </c>
      <c r="F178" s="20" t="str" cm="1">
        <f t="array" ref="F178">IFERROR(INDEX(Data_Input!$A$1:$ZZ$502, MATCH("플랜번호", INDEX(Data_Input!$A$1:$ZZ$502, 0, MATCH(1, (Data_Input!$7:$7="IRP")*(Data_Input!$8:$8=$B178), 0)), 0) + 1, MATCH(1, (Data_Input!$7:$7=$F$3)*(Data_Input!$8:$8=$B178), 0)),"")</f>
        <v/>
      </c>
      <c r="G178" s="20" t="str" cm="1">
        <f t="array" ref="G178">IFERROR(INDEX(Data_Input!$A$1:$ZZ$502, MATCH("플랜명", INDEX(Data_Input!$A$1:$ZZ$502, 0, MATCH(1, (Data_Input!$7:$7="IRP")*(Data_Input!$8:$8=$B178), 0)), 0) + 1, MATCH(1, (Data_Input!$7:$7=$F$3)*(Data_Input!$8:$8=$B178), 0)),"")</f>
        <v/>
      </c>
      <c r="H178" s="20" t="str" cm="1">
        <f t="array" ref="H178">IFERROR(INDEX(Data_Input!$A$1:$ZZ$502, MATCH("평가금액", INDEX(Data_Input!$A$1:$ZZ$502, 0, MATCH(1, (Data_Input!$7:$7="IRP")*(Data_Input!$8:$8=$B178), 0)), 0) + 1, MATCH(1, (Data_Input!$7:$7=$F$3)*(Data_Input!$8:$8=$B178), 0)),"")</f>
        <v/>
      </c>
      <c r="I178" s="20" t="str" cm="1">
        <f t="array" ref="I178">IFERROR(INDEX(Data_Input!$A$1:$ZZ$502, MATCH("평가손익", INDEX(Data_Input!$A$1:$ZZ$502, 0, MATCH(1, (Data_Input!$7:$7="IRP")*(Data_Input!$8:$8=$B178), 0)), 0) + 1, MATCH(1, (Data_Input!$7:$7=$F$3)*(Data_Input!$8:$8=$B178), 0)),"")</f>
        <v/>
      </c>
      <c r="J178" s="14" t="str" cm="1">
        <f t="array" ref="J178">IFERROR(INDEX(Data_Input!$A$1:$ZZ$502, MATCH("누적수익률", INDEX(Data_Input!$A$1:$ZZ$502, 0, MATCH(1, (Data_Input!$7:$7="IRP")*(Data_Input!$8:$8=$B178), 0)), 0) + 1, MATCH(1, (Data_Input!$7:$7=$F$3)*(Data_Input!$8:$8=$B178), 0))/100,"")</f>
        <v/>
      </c>
      <c r="K178" t="str" cm="1">
        <f t="array" ref="K178">IFERROR(_xlfn.LET(
    _xlpm.targetDate, B178,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79" spans="1:11" x14ac:dyDescent="0.3">
      <c r="A179" s="16" t="str">
        <f t="shared" si="4"/>
        <v/>
      </c>
      <c r="B179" s="19"/>
      <c r="C179" s="17" t="str">
        <f t="shared" si="5"/>
        <v/>
      </c>
      <c r="D179" s="42" t="str" cm="1">
        <f t="array" ref="D179">IFERROR(INDEX(Data_Input!$1:$100, 10, MATCH(1, (Data_Input!$7:$7=$F$3) * (Data_Input!$8:$8=$B179), 0)), "")</f>
        <v/>
      </c>
      <c r="E179" s="29" t="str" cm="1">
        <f t="array" ref="E179">IFERROR(INDEX(Data_Input!$1:$100, 9, MATCH(1, (Data_Input!$7:$7=$F$3) * (Data_Input!$8:$8=$B179), 0)),"")</f>
        <v/>
      </c>
      <c r="F179" s="20" t="str" cm="1">
        <f t="array" ref="F179">IFERROR(INDEX(Data_Input!$A$1:$ZZ$502, MATCH("플랜번호", INDEX(Data_Input!$A$1:$ZZ$502, 0, MATCH(1, (Data_Input!$7:$7="IRP")*(Data_Input!$8:$8=$B179), 0)), 0) + 1, MATCH(1, (Data_Input!$7:$7=$F$3)*(Data_Input!$8:$8=$B179), 0)),"")</f>
        <v/>
      </c>
      <c r="G179" s="20" t="str" cm="1">
        <f t="array" ref="G179">IFERROR(INDEX(Data_Input!$A$1:$ZZ$502, MATCH("플랜명", INDEX(Data_Input!$A$1:$ZZ$502, 0, MATCH(1, (Data_Input!$7:$7="IRP")*(Data_Input!$8:$8=$B179), 0)), 0) + 1, MATCH(1, (Data_Input!$7:$7=$F$3)*(Data_Input!$8:$8=$B179), 0)),"")</f>
        <v/>
      </c>
      <c r="H179" s="20" t="str" cm="1">
        <f t="array" ref="H179">IFERROR(INDEX(Data_Input!$A$1:$ZZ$502, MATCH("평가금액", INDEX(Data_Input!$A$1:$ZZ$502, 0, MATCH(1, (Data_Input!$7:$7="IRP")*(Data_Input!$8:$8=$B179), 0)), 0) + 1, MATCH(1, (Data_Input!$7:$7=$F$3)*(Data_Input!$8:$8=$B179), 0)),"")</f>
        <v/>
      </c>
      <c r="I179" s="20" t="str" cm="1">
        <f t="array" ref="I179">IFERROR(INDEX(Data_Input!$A$1:$ZZ$502, MATCH("평가손익", INDEX(Data_Input!$A$1:$ZZ$502, 0, MATCH(1, (Data_Input!$7:$7="IRP")*(Data_Input!$8:$8=$B179), 0)), 0) + 1, MATCH(1, (Data_Input!$7:$7=$F$3)*(Data_Input!$8:$8=$B179), 0)),"")</f>
        <v/>
      </c>
      <c r="J179" s="14" t="str" cm="1">
        <f t="array" ref="J179">IFERROR(INDEX(Data_Input!$A$1:$ZZ$502, MATCH("누적수익률", INDEX(Data_Input!$A$1:$ZZ$502, 0, MATCH(1, (Data_Input!$7:$7="IRP")*(Data_Input!$8:$8=$B179), 0)), 0) + 1, MATCH(1, (Data_Input!$7:$7=$F$3)*(Data_Input!$8:$8=$B179), 0))/100,"")</f>
        <v/>
      </c>
      <c r="K179" t="str" cm="1">
        <f t="array" ref="K179">IFERROR(_xlfn.LET(
    _xlpm.targetDate, B179,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80" spans="1:11" x14ac:dyDescent="0.3">
      <c r="A180" s="16" t="str">
        <f t="shared" si="4"/>
        <v/>
      </c>
      <c r="B180" s="19"/>
      <c r="C180" s="17" t="str">
        <f t="shared" si="5"/>
        <v/>
      </c>
      <c r="D180" s="42" t="str" cm="1">
        <f t="array" ref="D180">IFERROR(INDEX(Data_Input!$1:$100, 10, MATCH(1, (Data_Input!$7:$7=$F$3) * (Data_Input!$8:$8=$B180), 0)), "")</f>
        <v/>
      </c>
      <c r="E180" s="29" t="str" cm="1">
        <f t="array" ref="E180">IFERROR(INDEX(Data_Input!$1:$100, 9, MATCH(1, (Data_Input!$7:$7=$F$3) * (Data_Input!$8:$8=$B180), 0)),"")</f>
        <v/>
      </c>
      <c r="F180" s="20" t="str" cm="1">
        <f t="array" ref="F180">IFERROR(INDEX(Data_Input!$A$1:$ZZ$502, MATCH("플랜번호", INDEX(Data_Input!$A$1:$ZZ$502, 0, MATCH(1, (Data_Input!$7:$7="IRP")*(Data_Input!$8:$8=$B180), 0)), 0) + 1, MATCH(1, (Data_Input!$7:$7=$F$3)*(Data_Input!$8:$8=$B180), 0)),"")</f>
        <v/>
      </c>
      <c r="G180" s="20" t="str" cm="1">
        <f t="array" ref="G180">IFERROR(INDEX(Data_Input!$A$1:$ZZ$502, MATCH("플랜명", INDEX(Data_Input!$A$1:$ZZ$502, 0, MATCH(1, (Data_Input!$7:$7="IRP")*(Data_Input!$8:$8=$B180), 0)), 0) + 1, MATCH(1, (Data_Input!$7:$7=$F$3)*(Data_Input!$8:$8=$B180), 0)),"")</f>
        <v/>
      </c>
      <c r="H180" s="20" t="str" cm="1">
        <f t="array" ref="H180">IFERROR(INDEX(Data_Input!$A$1:$ZZ$502, MATCH("평가금액", INDEX(Data_Input!$A$1:$ZZ$502, 0, MATCH(1, (Data_Input!$7:$7="IRP")*(Data_Input!$8:$8=$B180), 0)), 0) + 1, MATCH(1, (Data_Input!$7:$7=$F$3)*(Data_Input!$8:$8=$B180), 0)),"")</f>
        <v/>
      </c>
      <c r="I180" s="20" t="str" cm="1">
        <f t="array" ref="I180">IFERROR(INDEX(Data_Input!$A$1:$ZZ$502, MATCH("평가손익", INDEX(Data_Input!$A$1:$ZZ$502, 0, MATCH(1, (Data_Input!$7:$7="IRP")*(Data_Input!$8:$8=$B180), 0)), 0) + 1, MATCH(1, (Data_Input!$7:$7=$F$3)*(Data_Input!$8:$8=$B180), 0)),"")</f>
        <v/>
      </c>
      <c r="J180" s="14" t="str" cm="1">
        <f t="array" ref="J180">IFERROR(INDEX(Data_Input!$A$1:$ZZ$502, MATCH("누적수익률", INDEX(Data_Input!$A$1:$ZZ$502, 0, MATCH(1, (Data_Input!$7:$7="IRP")*(Data_Input!$8:$8=$B180), 0)), 0) + 1, MATCH(1, (Data_Input!$7:$7=$F$3)*(Data_Input!$8:$8=$B180), 0))/100,"")</f>
        <v/>
      </c>
      <c r="K180" t="str" cm="1">
        <f t="array" ref="K180">IFERROR(_xlfn.LET(
    _xlpm.targetDate, B180,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81" spans="1:11" x14ac:dyDescent="0.3">
      <c r="A181" s="16" t="str">
        <f t="shared" si="4"/>
        <v/>
      </c>
      <c r="B181" s="19"/>
      <c r="C181" s="17" t="str">
        <f t="shared" si="5"/>
        <v/>
      </c>
      <c r="D181" s="42" t="str" cm="1">
        <f t="array" ref="D181">IFERROR(INDEX(Data_Input!$1:$100, 10, MATCH(1, (Data_Input!$7:$7=$F$3) * (Data_Input!$8:$8=$B181), 0)), "")</f>
        <v/>
      </c>
      <c r="E181" s="29" t="str" cm="1">
        <f t="array" ref="E181">IFERROR(INDEX(Data_Input!$1:$100, 9, MATCH(1, (Data_Input!$7:$7=$F$3) * (Data_Input!$8:$8=$B181), 0)),"")</f>
        <v/>
      </c>
      <c r="F181" s="20" t="str" cm="1">
        <f t="array" ref="F181">IFERROR(INDEX(Data_Input!$A$1:$ZZ$502, MATCH("플랜번호", INDEX(Data_Input!$A$1:$ZZ$502, 0, MATCH(1, (Data_Input!$7:$7="IRP")*(Data_Input!$8:$8=$B181), 0)), 0) + 1, MATCH(1, (Data_Input!$7:$7=$F$3)*(Data_Input!$8:$8=$B181), 0)),"")</f>
        <v/>
      </c>
      <c r="G181" s="20" t="str" cm="1">
        <f t="array" ref="G181">IFERROR(INDEX(Data_Input!$A$1:$ZZ$502, MATCH("플랜명", INDEX(Data_Input!$A$1:$ZZ$502, 0, MATCH(1, (Data_Input!$7:$7="IRP")*(Data_Input!$8:$8=$B181), 0)), 0) + 1, MATCH(1, (Data_Input!$7:$7=$F$3)*(Data_Input!$8:$8=$B181), 0)),"")</f>
        <v/>
      </c>
      <c r="H181" s="20" t="str" cm="1">
        <f t="array" ref="H181">IFERROR(INDEX(Data_Input!$A$1:$ZZ$502, MATCH("평가금액", INDEX(Data_Input!$A$1:$ZZ$502, 0, MATCH(1, (Data_Input!$7:$7="IRP")*(Data_Input!$8:$8=$B181), 0)), 0) + 1, MATCH(1, (Data_Input!$7:$7=$F$3)*(Data_Input!$8:$8=$B181), 0)),"")</f>
        <v/>
      </c>
      <c r="I181" s="20" t="str" cm="1">
        <f t="array" ref="I181">IFERROR(INDEX(Data_Input!$A$1:$ZZ$502, MATCH("평가손익", INDEX(Data_Input!$A$1:$ZZ$502, 0, MATCH(1, (Data_Input!$7:$7="IRP")*(Data_Input!$8:$8=$B181), 0)), 0) + 1, MATCH(1, (Data_Input!$7:$7=$F$3)*(Data_Input!$8:$8=$B181), 0)),"")</f>
        <v/>
      </c>
      <c r="J181" s="14" t="str" cm="1">
        <f t="array" ref="J181">IFERROR(INDEX(Data_Input!$A$1:$ZZ$502, MATCH("누적수익률", INDEX(Data_Input!$A$1:$ZZ$502, 0, MATCH(1, (Data_Input!$7:$7="IRP")*(Data_Input!$8:$8=$B181), 0)), 0) + 1, MATCH(1, (Data_Input!$7:$7=$F$3)*(Data_Input!$8:$8=$B181), 0))/100,"")</f>
        <v/>
      </c>
      <c r="K181" t="str" cm="1">
        <f t="array" ref="K181">IFERROR(_xlfn.LET(
    _xlpm.targetDate, B181,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82" spans="1:11" x14ac:dyDescent="0.3">
      <c r="A182" s="16" t="str">
        <f t="shared" si="4"/>
        <v/>
      </c>
      <c r="B182" s="19"/>
      <c r="C182" s="17" t="str">
        <f t="shared" si="5"/>
        <v/>
      </c>
      <c r="D182" s="42" t="str" cm="1">
        <f t="array" ref="D182">IFERROR(INDEX(Data_Input!$1:$100, 10, MATCH(1, (Data_Input!$7:$7=$F$3) * (Data_Input!$8:$8=$B182), 0)), "")</f>
        <v/>
      </c>
      <c r="E182" s="29" t="str" cm="1">
        <f t="array" ref="E182">IFERROR(INDEX(Data_Input!$1:$100, 9, MATCH(1, (Data_Input!$7:$7=$F$3) * (Data_Input!$8:$8=$B182), 0)),"")</f>
        <v/>
      </c>
      <c r="F182" s="20" t="str" cm="1">
        <f t="array" ref="F182">IFERROR(INDEX(Data_Input!$A$1:$ZZ$502, MATCH("플랜번호", INDEX(Data_Input!$A$1:$ZZ$502, 0, MATCH(1, (Data_Input!$7:$7="IRP")*(Data_Input!$8:$8=$B182), 0)), 0) + 1, MATCH(1, (Data_Input!$7:$7=$F$3)*(Data_Input!$8:$8=$B182), 0)),"")</f>
        <v/>
      </c>
      <c r="G182" s="20" t="str" cm="1">
        <f t="array" ref="G182">IFERROR(INDEX(Data_Input!$A$1:$ZZ$502, MATCH("플랜명", INDEX(Data_Input!$A$1:$ZZ$502, 0, MATCH(1, (Data_Input!$7:$7="IRP")*(Data_Input!$8:$8=$B182), 0)), 0) + 1, MATCH(1, (Data_Input!$7:$7=$F$3)*(Data_Input!$8:$8=$B182), 0)),"")</f>
        <v/>
      </c>
      <c r="H182" s="20" t="str" cm="1">
        <f t="array" ref="H182">IFERROR(INDEX(Data_Input!$A$1:$ZZ$502, MATCH("평가금액", INDEX(Data_Input!$A$1:$ZZ$502, 0, MATCH(1, (Data_Input!$7:$7="IRP")*(Data_Input!$8:$8=$B182), 0)), 0) + 1, MATCH(1, (Data_Input!$7:$7=$F$3)*(Data_Input!$8:$8=$B182), 0)),"")</f>
        <v/>
      </c>
      <c r="I182" s="20" t="str" cm="1">
        <f t="array" ref="I182">IFERROR(INDEX(Data_Input!$A$1:$ZZ$502, MATCH("평가손익", INDEX(Data_Input!$A$1:$ZZ$502, 0, MATCH(1, (Data_Input!$7:$7="IRP")*(Data_Input!$8:$8=$B182), 0)), 0) + 1, MATCH(1, (Data_Input!$7:$7=$F$3)*(Data_Input!$8:$8=$B182), 0)),"")</f>
        <v/>
      </c>
      <c r="J182" s="14" t="str" cm="1">
        <f t="array" ref="J182">IFERROR(INDEX(Data_Input!$A$1:$ZZ$502, MATCH("누적수익률", INDEX(Data_Input!$A$1:$ZZ$502, 0, MATCH(1, (Data_Input!$7:$7="IRP")*(Data_Input!$8:$8=$B182), 0)), 0) + 1, MATCH(1, (Data_Input!$7:$7=$F$3)*(Data_Input!$8:$8=$B182), 0))/100,"")</f>
        <v/>
      </c>
      <c r="K182" t="str" cm="1">
        <f t="array" ref="K182">IFERROR(_xlfn.LET(
    _xlpm.targetDate, B182,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83" spans="1:11" x14ac:dyDescent="0.3">
      <c r="A183" s="16" t="str">
        <f t="shared" si="4"/>
        <v/>
      </c>
      <c r="B183" s="19"/>
      <c r="C183" s="17" t="str">
        <f t="shared" si="5"/>
        <v/>
      </c>
      <c r="D183" s="42" t="str" cm="1">
        <f t="array" ref="D183">IFERROR(INDEX(Data_Input!$1:$100, 10, MATCH(1, (Data_Input!$7:$7=$F$3) * (Data_Input!$8:$8=$B183), 0)), "")</f>
        <v/>
      </c>
      <c r="E183" s="29" t="str" cm="1">
        <f t="array" ref="E183">IFERROR(INDEX(Data_Input!$1:$100, 9, MATCH(1, (Data_Input!$7:$7=$F$3) * (Data_Input!$8:$8=$B183), 0)),"")</f>
        <v/>
      </c>
      <c r="F183" s="20" t="str" cm="1">
        <f t="array" ref="F183">IFERROR(INDEX(Data_Input!$A$1:$ZZ$502, MATCH("플랜번호", INDEX(Data_Input!$A$1:$ZZ$502, 0, MATCH(1, (Data_Input!$7:$7="IRP")*(Data_Input!$8:$8=$B183), 0)), 0) + 1, MATCH(1, (Data_Input!$7:$7=$F$3)*(Data_Input!$8:$8=$B183), 0)),"")</f>
        <v/>
      </c>
      <c r="G183" s="20" t="str" cm="1">
        <f t="array" ref="G183">IFERROR(INDEX(Data_Input!$A$1:$ZZ$502, MATCH("플랜명", INDEX(Data_Input!$A$1:$ZZ$502, 0, MATCH(1, (Data_Input!$7:$7="IRP")*(Data_Input!$8:$8=$B183), 0)), 0) + 1, MATCH(1, (Data_Input!$7:$7=$F$3)*(Data_Input!$8:$8=$B183), 0)),"")</f>
        <v/>
      </c>
      <c r="H183" s="20" t="str" cm="1">
        <f t="array" ref="H183">IFERROR(INDEX(Data_Input!$A$1:$ZZ$502, MATCH("평가금액", INDEX(Data_Input!$A$1:$ZZ$502, 0, MATCH(1, (Data_Input!$7:$7="IRP")*(Data_Input!$8:$8=$B183), 0)), 0) + 1, MATCH(1, (Data_Input!$7:$7=$F$3)*(Data_Input!$8:$8=$B183), 0)),"")</f>
        <v/>
      </c>
      <c r="I183" s="20" t="str" cm="1">
        <f t="array" ref="I183">IFERROR(INDEX(Data_Input!$A$1:$ZZ$502, MATCH("평가손익", INDEX(Data_Input!$A$1:$ZZ$502, 0, MATCH(1, (Data_Input!$7:$7="IRP")*(Data_Input!$8:$8=$B183), 0)), 0) + 1, MATCH(1, (Data_Input!$7:$7=$F$3)*(Data_Input!$8:$8=$B183), 0)),"")</f>
        <v/>
      </c>
      <c r="J183" s="14" t="str" cm="1">
        <f t="array" ref="J183">IFERROR(INDEX(Data_Input!$A$1:$ZZ$502, MATCH("누적수익률", INDEX(Data_Input!$A$1:$ZZ$502, 0, MATCH(1, (Data_Input!$7:$7="IRP")*(Data_Input!$8:$8=$B183), 0)), 0) + 1, MATCH(1, (Data_Input!$7:$7=$F$3)*(Data_Input!$8:$8=$B183), 0))/100,"")</f>
        <v/>
      </c>
      <c r="K183" t="str" cm="1">
        <f t="array" ref="K183">IFERROR(_xlfn.LET(
    _xlpm.targetDate, B183,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84" spans="1:11" x14ac:dyDescent="0.3">
      <c r="A184" s="16" t="str">
        <f t="shared" si="4"/>
        <v/>
      </c>
      <c r="B184" s="19"/>
      <c r="C184" s="17" t="str">
        <f t="shared" si="5"/>
        <v/>
      </c>
      <c r="D184" s="42" t="str" cm="1">
        <f t="array" ref="D184">IFERROR(INDEX(Data_Input!$1:$100, 10, MATCH(1, (Data_Input!$7:$7=$F$3) * (Data_Input!$8:$8=$B184), 0)), "")</f>
        <v/>
      </c>
      <c r="E184" s="29" t="str" cm="1">
        <f t="array" ref="E184">IFERROR(INDEX(Data_Input!$1:$100, 9, MATCH(1, (Data_Input!$7:$7=$F$3) * (Data_Input!$8:$8=$B184), 0)),"")</f>
        <v/>
      </c>
      <c r="F184" s="20" t="str" cm="1">
        <f t="array" ref="F184">IFERROR(INDEX(Data_Input!$A$1:$ZZ$502, MATCH("플랜번호", INDEX(Data_Input!$A$1:$ZZ$502, 0, MATCH(1, (Data_Input!$7:$7="IRP")*(Data_Input!$8:$8=$B184), 0)), 0) + 1, MATCH(1, (Data_Input!$7:$7=$F$3)*(Data_Input!$8:$8=$B184), 0)),"")</f>
        <v/>
      </c>
      <c r="G184" s="20" t="str" cm="1">
        <f t="array" ref="G184">IFERROR(INDEX(Data_Input!$A$1:$ZZ$502, MATCH("플랜명", INDEX(Data_Input!$A$1:$ZZ$502, 0, MATCH(1, (Data_Input!$7:$7="IRP")*(Data_Input!$8:$8=$B184), 0)), 0) + 1, MATCH(1, (Data_Input!$7:$7=$F$3)*(Data_Input!$8:$8=$B184), 0)),"")</f>
        <v/>
      </c>
      <c r="H184" s="20" t="str" cm="1">
        <f t="array" ref="H184">IFERROR(INDEX(Data_Input!$A$1:$ZZ$502, MATCH("평가금액", INDEX(Data_Input!$A$1:$ZZ$502, 0, MATCH(1, (Data_Input!$7:$7="IRP")*(Data_Input!$8:$8=$B184), 0)), 0) + 1, MATCH(1, (Data_Input!$7:$7=$F$3)*(Data_Input!$8:$8=$B184), 0)),"")</f>
        <v/>
      </c>
      <c r="I184" s="20" t="str" cm="1">
        <f t="array" ref="I184">IFERROR(INDEX(Data_Input!$A$1:$ZZ$502, MATCH("평가손익", INDEX(Data_Input!$A$1:$ZZ$502, 0, MATCH(1, (Data_Input!$7:$7="IRP")*(Data_Input!$8:$8=$B184), 0)), 0) + 1, MATCH(1, (Data_Input!$7:$7=$F$3)*(Data_Input!$8:$8=$B184), 0)),"")</f>
        <v/>
      </c>
      <c r="J184" s="14" t="str" cm="1">
        <f t="array" ref="J184">IFERROR(INDEX(Data_Input!$A$1:$ZZ$502, MATCH("누적수익률", INDEX(Data_Input!$A$1:$ZZ$502, 0, MATCH(1, (Data_Input!$7:$7="IRP")*(Data_Input!$8:$8=$B184), 0)), 0) + 1, MATCH(1, (Data_Input!$7:$7=$F$3)*(Data_Input!$8:$8=$B184), 0))/100,"")</f>
        <v/>
      </c>
      <c r="K184" t="str" cm="1">
        <f t="array" ref="K184">IFERROR(_xlfn.LET(
    _xlpm.targetDate, B184,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85" spans="1:11" x14ac:dyDescent="0.3">
      <c r="A185" s="16" t="str">
        <f t="shared" si="4"/>
        <v/>
      </c>
      <c r="B185" s="19"/>
      <c r="C185" s="17" t="str">
        <f t="shared" si="5"/>
        <v/>
      </c>
      <c r="D185" s="42" t="str" cm="1">
        <f t="array" ref="D185">IFERROR(INDEX(Data_Input!$1:$100, 10, MATCH(1, (Data_Input!$7:$7=$F$3) * (Data_Input!$8:$8=$B185), 0)), "")</f>
        <v/>
      </c>
      <c r="E185" s="29" t="str" cm="1">
        <f t="array" ref="E185">IFERROR(INDEX(Data_Input!$1:$100, 9, MATCH(1, (Data_Input!$7:$7=$F$3) * (Data_Input!$8:$8=$B185), 0)),"")</f>
        <v/>
      </c>
      <c r="F185" s="20" t="str" cm="1">
        <f t="array" ref="F185">IFERROR(INDEX(Data_Input!$A$1:$ZZ$502, MATCH("플랜번호", INDEX(Data_Input!$A$1:$ZZ$502, 0, MATCH(1, (Data_Input!$7:$7="IRP")*(Data_Input!$8:$8=$B185), 0)), 0) + 1, MATCH(1, (Data_Input!$7:$7=$F$3)*(Data_Input!$8:$8=$B185), 0)),"")</f>
        <v/>
      </c>
      <c r="G185" s="20" t="str" cm="1">
        <f t="array" ref="G185">IFERROR(INDEX(Data_Input!$A$1:$ZZ$502, MATCH("플랜명", INDEX(Data_Input!$A$1:$ZZ$502, 0, MATCH(1, (Data_Input!$7:$7="IRP")*(Data_Input!$8:$8=$B185), 0)), 0) + 1, MATCH(1, (Data_Input!$7:$7=$F$3)*(Data_Input!$8:$8=$B185), 0)),"")</f>
        <v/>
      </c>
      <c r="H185" s="20" t="str" cm="1">
        <f t="array" ref="H185">IFERROR(INDEX(Data_Input!$A$1:$ZZ$502, MATCH("평가금액", INDEX(Data_Input!$A$1:$ZZ$502, 0, MATCH(1, (Data_Input!$7:$7="IRP")*(Data_Input!$8:$8=$B185), 0)), 0) + 1, MATCH(1, (Data_Input!$7:$7=$F$3)*(Data_Input!$8:$8=$B185), 0)),"")</f>
        <v/>
      </c>
      <c r="I185" s="20" t="str" cm="1">
        <f t="array" ref="I185">IFERROR(INDEX(Data_Input!$A$1:$ZZ$502, MATCH("평가손익", INDEX(Data_Input!$A$1:$ZZ$502, 0, MATCH(1, (Data_Input!$7:$7="IRP")*(Data_Input!$8:$8=$B185), 0)), 0) + 1, MATCH(1, (Data_Input!$7:$7=$F$3)*(Data_Input!$8:$8=$B185), 0)),"")</f>
        <v/>
      </c>
      <c r="J185" s="14" t="str" cm="1">
        <f t="array" ref="J185">IFERROR(INDEX(Data_Input!$A$1:$ZZ$502, MATCH("누적수익률", INDEX(Data_Input!$A$1:$ZZ$502, 0, MATCH(1, (Data_Input!$7:$7="IRP")*(Data_Input!$8:$8=$B185), 0)), 0) + 1, MATCH(1, (Data_Input!$7:$7=$F$3)*(Data_Input!$8:$8=$B185), 0))/100,"")</f>
        <v/>
      </c>
      <c r="K185" t="str" cm="1">
        <f t="array" ref="K185">IFERROR(_xlfn.LET(
    _xlpm.targetDate, B185,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86" spans="1:11" x14ac:dyDescent="0.3">
      <c r="A186" s="16" t="str">
        <f t="shared" si="4"/>
        <v/>
      </c>
      <c r="B186" s="19"/>
      <c r="C186" s="17" t="str">
        <f t="shared" si="5"/>
        <v/>
      </c>
      <c r="D186" s="42" t="str" cm="1">
        <f t="array" ref="D186">IFERROR(INDEX(Data_Input!$1:$100, 10, MATCH(1, (Data_Input!$7:$7=$F$3) * (Data_Input!$8:$8=$B186), 0)), "")</f>
        <v/>
      </c>
      <c r="E186" s="29" t="str" cm="1">
        <f t="array" ref="E186">IFERROR(INDEX(Data_Input!$1:$100, 9, MATCH(1, (Data_Input!$7:$7=$F$3) * (Data_Input!$8:$8=$B186), 0)),"")</f>
        <v/>
      </c>
      <c r="F186" s="20" t="str" cm="1">
        <f t="array" ref="F186">IFERROR(INDEX(Data_Input!$A$1:$ZZ$502, MATCH("플랜번호", INDEX(Data_Input!$A$1:$ZZ$502, 0, MATCH(1, (Data_Input!$7:$7="IRP")*(Data_Input!$8:$8=$B186), 0)), 0) + 1, MATCH(1, (Data_Input!$7:$7=$F$3)*(Data_Input!$8:$8=$B186), 0)),"")</f>
        <v/>
      </c>
      <c r="G186" s="20" t="str" cm="1">
        <f t="array" ref="G186">IFERROR(INDEX(Data_Input!$A$1:$ZZ$502, MATCH("플랜명", INDEX(Data_Input!$A$1:$ZZ$502, 0, MATCH(1, (Data_Input!$7:$7="IRP")*(Data_Input!$8:$8=$B186), 0)), 0) + 1, MATCH(1, (Data_Input!$7:$7=$F$3)*(Data_Input!$8:$8=$B186), 0)),"")</f>
        <v/>
      </c>
      <c r="H186" s="20" t="str" cm="1">
        <f t="array" ref="H186">IFERROR(INDEX(Data_Input!$A$1:$ZZ$502, MATCH("평가금액", INDEX(Data_Input!$A$1:$ZZ$502, 0, MATCH(1, (Data_Input!$7:$7="IRP")*(Data_Input!$8:$8=$B186), 0)), 0) + 1, MATCH(1, (Data_Input!$7:$7=$F$3)*(Data_Input!$8:$8=$B186), 0)),"")</f>
        <v/>
      </c>
      <c r="I186" s="20" t="str" cm="1">
        <f t="array" ref="I186">IFERROR(INDEX(Data_Input!$A$1:$ZZ$502, MATCH("평가손익", INDEX(Data_Input!$A$1:$ZZ$502, 0, MATCH(1, (Data_Input!$7:$7="IRP")*(Data_Input!$8:$8=$B186), 0)), 0) + 1, MATCH(1, (Data_Input!$7:$7=$F$3)*(Data_Input!$8:$8=$B186), 0)),"")</f>
        <v/>
      </c>
      <c r="J186" s="14" t="str" cm="1">
        <f t="array" ref="J186">IFERROR(INDEX(Data_Input!$A$1:$ZZ$502, MATCH("누적수익률", INDEX(Data_Input!$A$1:$ZZ$502, 0, MATCH(1, (Data_Input!$7:$7="IRP")*(Data_Input!$8:$8=$B186), 0)), 0) + 1, MATCH(1, (Data_Input!$7:$7=$F$3)*(Data_Input!$8:$8=$B186), 0))/100,"")</f>
        <v/>
      </c>
      <c r="K186" t="str" cm="1">
        <f t="array" ref="K186">IFERROR(_xlfn.LET(
    _xlpm.targetDate, B186,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87" spans="1:11" x14ac:dyDescent="0.3">
      <c r="A187" s="16" t="str">
        <f t="shared" si="4"/>
        <v/>
      </c>
      <c r="B187" s="19"/>
      <c r="C187" s="17" t="str">
        <f t="shared" si="5"/>
        <v/>
      </c>
      <c r="D187" s="42" t="str" cm="1">
        <f t="array" ref="D187">IFERROR(INDEX(Data_Input!$1:$100, 10, MATCH(1, (Data_Input!$7:$7=$F$3) * (Data_Input!$8:$8=$B187), 0)), "")</f>
        <v/>
      </c>
      <c r="E187" s="29" t="str" cm="1">
        <f t="array" ref="E187">IFERROR(INDEX(Data_Input!$1:$100, 9, MATCH(1, (Data_Input!$7:$7=$F$3) * (Data_Input!$8:$8=$B187), 0)),"")</f>
        <v/>
      </c>
      <c r="F187" s="20" t="str" cm="1">
        <f t="array" ref="F187">IFERROR(INDEX(Data_Input!$A$1:$ZZ$502, MATCH("플랜번호", INDEX(Data_Input!$A$1:$ZZ$502, 0, MATCH(1, (Data_Input!$7:$7="IRP")*(Data_Input!$8:$8=$B187), 0)), 0) + 1, MATCH(1, (Data_Input!$7:$7=$F$3)*(Data_Input!$8:$8=$B187), 0)),"")</f>
        <v/>
      </c>
      <c r="G187" s="20" t="str" cm="1">
        <f t="array" ref="G187">IFERROR(INDEX(Data_Input!$A$1:$ZZ$502, MATCH("플랜명", INDEX(Data_Input!$A$1:$ZZ$502, 0, MATCH(1, (Data_Input!$7:$7="IRP")*(Data_Input!$8:$8=$B187), 0)), 0) + 1, MATCH(1, (Data_Input!$7:$7=$F$3)*(Data_Input!$8:$8=$B187), 0)),"")</f>
        <v/>
      </c>
      <c r="H187" s="20" t="str" cm="1">
        <f t="array" ref="H187">IFERROR(INDEX(Data_Input!$A$1:$ZZ$502, MATCH("평가금액", INDEX(Data_Input!$A$1:$ZZ$502, 0, MATCH(1, (Data_Input!$7:$7="IRP")*(Data_Input!$8:$8=$B187), 0)), 0) + 1, MATCH(1, (Data_Input!$7:$7=$F$3)*(Data_Input!$8:$8=$B187), 0)),"")</f>
        <v/>
      </c>
      <c r="I187" s="20" t="str" cm="1">
        <f t="array" ref="I187">IFERROR(INDEX(Data_Input!$A$1:$ZZ$502, MATCH("평가손익", INDEX(Data_Input!$A$1:$ZZ$502, 0, MATCH(1, (Data_Input!$7:$7="IRP")*(Data_Input!$8:$8=$B187), 0)), 0) + 1, MATCH(1, (Data_Input!$7:$7=$F$3)*(Data_Input!$8:$8=$B187), 0)),"")</f>
        <v/>
      </c>
      <c r="J187" s="14" t="str" cm="1">
        <f t="array" ref="J187">IFERROR(INDEX(Data_Input!$A$1:$ZZ$502, MATCH("누적수익률", INDEX(Data_Input!$A$1:$ZZ$502, 0, MATCH(1, (Data_Input!$7:$7="IRP")*(Data_Input!$8:$8=$B187), 0)), 0) + 1, MATCH(1, (Data_Input!$7:$7=$F$3)*(Data_Input!$8:$8=$B187), 0))/100,"")</f>
        <v/>
      </c>
      <c r="K187" t="str" cm="1">
        <f t="array" ref="K187">IFERROR(_xlfn.LET(
    _xlpm.targetDate, B187,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88" spans="1:11" x14ac:dyDescent="0.3">
      <c r="A188" s="16" t="str">
        <f t="shared" si="4"/>
        <v/>
      </c>
      <c r="B188" s="19"/>
      <c r="C188" s="17" t="str">
        <f t="shared" si="5"/>
        <v/>
      </c>
      <c r="D188" s="42" t="str" cm="1">
        <f t="array" ref="D188">IFERROR(INDEX(Data_Input!$1:$100, 10, MATCH(1, (Data_Input!$7:$7=$F$3) * (Data_Input!$8:$8=$B188), 0)), "")</f>
        <v/>
      </c>
      <c r="E188" s="29" t="str" cm="1">
        <f t="array" ref="E188">IFERROR(INDEX(Data_Input!$1:$100, 9, MATCH(1, (Data_Input!$7:$7=$F$3) * (Data_Input!$8:$8=$B188), 0)),"")</f>
        <v/>
      </c>
      <c r="F188" s="20" t="str" cm="1">
        <f t="array" ref="F188">IFERROR(INDEX(Data_Input!$A$1:$ZZ$502, MATCH("플랜번호", INDEX(Data_Input!$A$1:$ZZ$502, 0, MATCH(1, (Data_Input!$7:$7="IRP")*(Data_Input!$8:$8=$B188), 0)), 0) + 1, MATCH(1, (Data_Input!$7:$7=$F$3)*(Data_Input!$8:$8=$B188), 0)),"")</f>
        <v/>
      </c>
      <c r="G188" s="20" t="str" cm="1">
        <f t="array" ref="G188">IFERROR(INDEX(Data_Input!$A$1:$ZZ$502, MATCH("플랜명", INDEX(Data_Input!$A$1:$ZZ$502, 0, MATCH(1, (Data_Input!$7:$7="IRP")*(Data_Input!$8:$8=$B188), 0)), 0) + 1, MATCH(1, (Data_Input!$7:$7=$F$3)*(Data_Input!$8:$8=$B188), 0)),"")</f>
        <v/>
      </c>
      <c r="H188" s="20" t="str" cm="1">
        <f t="array" ref="H188">IFERROR(INDEX(Data_Input!$A$1:$ZZ$502, MATCH("평가금액", INDEX(Data_Input!$A$1:$ZZ$502, 0, MATCH(1, (Data_Input!$7:$7="IRP")*(Data_Input!$8:$8=$B188), 0)), 0) + 1, MATCH(1, (Data_Input!$7:$7=$F$3)*(Data_Input!$8:$8=$B188), 0)),"")</f>
        <v/>
      </c>
      <c r="I188" s="20" t="str" cm="1">
        <f t="array" ref="I188">IFERROR(INDEX(Data_Input!$A$1:$ZZ$502, MATCH("평가손익", INDEX(Data_Input!$A$1:$ZZ$502, 0, MATCH(1, (Data_Input!$7:$7="IRP")*(Data_Input!$8:$8=$B188), 0)), 0) + 1, MATCH(1, (Data_Input!$7:$7=$F$3)*(Data_Input!$8:$8=$B188), 0)),"")</f>
        <v/>
      </c>
      <c r="J188" s="14" t="str" cm="1">
        <f t="array" ref="J188">IFERROR(INDEX(Data_Input!$A$1:$ZZ$502, MATCH("누적수익률", INDEX(Data_Input!$A$1:$ZZ$502, 0, MATCH(1, (Data_Input!$7:$7="IRP")*(Data_Input!$8:$8=$B188), 0)), 0) + 1, MATCH(1, (Data_Input!$7:$7=$F$3)*(Data_Input!$8:$8=$B188), 0))/100,"")</f>
        <v/>
      </c>
      <c r="K188" t="str" cm="1">
        <f t="array" ref="K188">IFERROR(_xlfn.LET(
    _xlpm.targetDate, B188,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89" spans="1:11" x14ac:dyDescent="0.3">
      <c r="A189" s="16" t="str">
        <f t="shared" si="4"/>
        <v/>
      </c>
      <c r="B189" s="19"/>
      <c r="C189" s="17" t="str">
        <f t="shared" si="5"/>
        <v/>
      </c>
      <c r="D189" s="42" t="str" cm="1">
        <f t="array" ref="D189">IFERROR(INDEX(Data_Input!$1:$100, 10, MATCH(1, (Data_Input!$7:$7=$F$3) * (Data_Input!$8:$8=$B189), 0)), "")</f>
        <v/>
      </c>
      <c r="E189" s="29" t="str" cm="1">
        <f t="array" ref="E189">IFERROR(INDEX(Data_Input!$1:$100, 9, MATCH(1, (Data_Input!$7:$7=$F$3) * (Data_Input!$8:$8=$B189), 0)),"")</f>
        <v/>
      </c>
      <c r="F189" s="20" t="str" cm="1">
        <f t="array" ref="F189">IFERROR(INDEX(Data_Input!$A$1:$ZZ$502, MATCH("플랜번호", INDEX(Data_Input!$A$1:$ZZ$502, 0, MATCH(1, (Data_Input!$7:$7="IRP")*(Data_Input!$8:$8=$B189), 0)), 0) + 1, MATCH(1, (Data_Input!$7:$7=$F$3)*(Data_Input!$8:$8=$B189), 0)),"")</f>
        <v/>
      </c>
      <c r="G189" s="20" t="str" cm="1">
        <f t="array" ref="G189">IFERROR(INDEX(Data_Input!$A$1:$ZZ$502, MATCH("플랜명", INDEX(Data_Input!$A$1:$ZZ$502, 0, MATCH(1, (Data_Input!$7:$7="IRP")*(Data_Input!$8:$8=$B189), 0)), 0) + 1, MATCH(1, (Data_Input!$7:$7=$F$3)*(Data_Input!$8:$8=$B189), 0)),"")</f>
        <v/>
      </c>
      <c r="H189" s="20" t="str" cm="1">
        <f t="array" ref="H189">IFERROR(INDEX(Data_Input!$A$1:$ZZ$502, MATCH("평가금액", INDEX(Data_Input!$A$1:$ZZ$502, 0, MATCH(1, (Data_Input!$7:$7="IRP")*(Data_Input!$8:$8=$B189), 0)), 0) + 1, MATCH(1, (Data_Input!$7:$7=$F$3)*(Data_Input!$8:$8=$B189), 0)),"")</f>
        <v/>
      </c>
      <c r="I189" s="20" t="str" cm="1">
        <f t="array" ref="I189">IFERROR(INDEX(Data_Input!$A$1:$ZZ$502, MATCH("평가손익", INDEX(Data_Input!$A$1:$ZZ$502, 0, MATCH(1, (Data_Input!$7:$7="IRP")*(Data_Input!$8:$8=$B189), 0)), 0) + 1, MATCH(1, (Data_Input!$7:$7=$F$3)*(Data_Input!$8:$8=$B189), 0)),"")</f>
        <v/>
      </c>
      <c r="J189" s="14" t="str" cm="1">
        <f t="array" ref="J189">IFERROR(INDEX(Data_Input!$A$1:$ZZ$502, MATCH("누적수익률", INDEX(Data_Input!$A$1:$ZZ$502, 0, MATCH(1, (Data_Input!$7:$7="IRP")*(Data_Input!$8:$8=$B189), 0)), 0) + 1, MATCH(1, (Data_Input!$7:$7=$F$3)*(Data_Input!$8:$8=$B189), 0))/100,"")</f>
        <v/>
      </c>
      <c r="K189" t="str" cm="1">
        <f t="array" ref="K189">IFERROR(_xlfn.LET(
    _xlpm.targetDate, B189,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90" spans="1:11" x14ac:dyDescent="0.3">
      <c r="A190" s="16" t="str">
        <f t="shared" si="4"/>
        <v/>
      </c>
      <c r="B190" s="19"/>
      <c r="C190" s="17" t="str">
        <f t="shared" si="5"/>
        <v/>
      </c>
      <c r="D190" s="42" t="str" cm="1">
        <f t="array" ref="D190">IFERROR(INDEX(Data_Input!$1:$100, 10, MATCH(1, (Data_Input!$7:$7=$F$3) * (Data_Input!$8:$8=$B190), 0)), "")</f>
        <v/>
      </c>
      <c r="E190" s="29" t="str" cm="1">
        <f t="array" ref="E190">IFERROR(INDEX(Data_Input!$1:$100, 9, MATCH(1, (Data_Input!$7:$7=$F$3) * (Data_Input!$8:$8=$B190), 0)),"")</f>
        <v/>
      </c>
      <c r="F190" s="20" t="str" cm="1">
        <f t="array" ref="F190">IFERROR(INDEX(Data_Input!$A$1:$ZZ$502, MATCH("플랜번호", INDEX(Data_Input!$A$1:$ZZ$502, 0, MATCH(1, (Data_Input!$7:$7="IRP")*(Data_Input!$8:$8=$B190), 0)), 0) + 1, MATCH(1, (Data_Input!$7:$7=$F$3)*(Data_Input!$8:$8=$B190), 0)),"")</f>
        <v/>
      </c>
      <c r="G190" s="20" t="str" cm="1">
        <f t="array" ref="G190">IFERROR(INDEX(Data_Input!$A$1:$ZZ$502, MATCH("플랜명", INDEX(Data_Input!$A$1:$ZZ$502, 0, MATCH(1, (Data_Input!$7:$7="IRP")*(Data_Input!$8:$8=$B190), 0)), 0) + 1, MATCH(1, (Data_Input!$7:$7=$F$3)*(Data_Input!$8:$8=$B190), 0)),"")</f>
        <v/>
      </c>
      <c r="H190" s="20" t="str" cm="1">
        <f t="array" ref="H190">IFERROR(INDEX(Data_Input!$A$1:$ZZ$502, MATCH("평가금액", INDEX(Data_Input!$A$1:$ZZ$502, 0, MATCH(1, (Data_Input!$7:$7="IRP")*(Data_Input!$8:$8=$B190), 0)), 0) + 1, MATCH(1, (Data_Input!$7:$7=$F$3)*(Data_Input!$8:$8=$B190), 0)),"")</f>
        <v/>
      </c>
      <c r="I190" s="20" t="str" cm="1">
        <f t="array" ref="I190">IFERROR(INDEX(Data_Input!$A$1:$ZZ$502, MATCH("평가손익", INDEX(Data_Input!$A$1:$ZZ$502, 0, MATCH(1, (Data_Input!$7:$7="IRP")*(Data_Input!$8:$8=$B190), 0)), 0) + 1, MATCH(1, (Data_Input!$7:$7=$F$3)*(Data_Input!$8:$8=$B190), 0)),"")</f>
        <v/>
      </c>
      <c r="J190" s="14" t="str" cm="1">
        <f t="array" ref="J190">IFERROR(INDEX(Data_Input!$A$1:$ZZ$502, MATCH("누적수익률", INDEX(Data_Input!$A$1:$ZZ$502, 0, MATCH(1, (Data_Input!$7:$7="IRP")*(Data_Input!$8:$8=$B190), 0)), 0) + 1, MATCH(1, (Data_Input!$7:$7=$F$3)*(Data_Input!$8:$8=$B190), 0))/100,"")</f>
        <v/>
      </c>
      <c r="K190" t="str" cm="1">
        <f t="array" ref="K190">IFERROR(_xlfn.LET(
    _xlpm.targetDate, B190,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91" spans="1:11" x14ac:dyDescent="0.3">
      <c r="A191" s="16" t="str">
        <f t="shared" si="4"/>
        <v/>
      </c>
      <c r="B191" s="19"/>
      <c r="C191" s="17" t="str">
        <f t="shared" si="5"/>
        <v/>
      </c>
      <c r="D191" s="42" t="str" cm="1">
        <f t="array" ref="D191">IFERROR(INDEX(Data_Input!$1:$100, 10, MATCH(1, (Data_Input!$7:$7=$F$3) * (Data_Input!$8:$8=$B191), 0)), "")</f>
        <v/>
      </c>
      <c r="E191" s="29" t="str" cm="1">
        <f t="array" ref="E191">IFERROR(INDEX(Data_Input!$1:$100, 9, MATCH(1, (Data_Input!$7:$7=$F$3) * (Data_Input!$8:$8=$B191), 0)),"")</f>
        <v/>
      </c>
      <c r="F191" s="20" t="str" cm="1">
        <f t="array" ref="F191">IFERROR(INDEX(Data_Input!$A$1:$ZZ$502, MATCH("플랜번호", INDEX(Data_Input!$A$1:$ZZ$502, 0, MATCH(1, (Data_Input!$7:$7="IRP")*(Data_Input!$8:$8=$B191), 0)), 0) + 1, MATCH(1, (Data_Input!$7:$7=$F$3)*(Data_Input!$8:$8=$B191), 0)),"")</f>
        <v/>
      </c>
      <c r="G191" s="20" t="str" cm="1">
        <f t="array" ref="G191">IFERROR(INDEX(Data_Input!$A$1:$ZZ$502, MATCH("플랜명", INDEX(Data_Input!$A$1:$ZZ$502, 0, MATCH(1, (Data_Input!$7:$7="IRP")*(Data_Input!$8:$8=$B191), 0)), 0) + 1, MATCH(1, (Data_Input!$7:$7=$F$3)*(Data_Input!$8:$8=$B191), 0)),"")</f>
        <v/>
      </c>
      <c r="H191" s="20" t="str" cm="1">
        <f t="array" ref="H191">IFERROR(INDEX(Data_Input!$A$1:$ZZ$502, MATCH("평가금액", INDEX(Data_Input!$A$1:$ZZ$502, 0, MATCH(1, (Data_Input!$7:$7="IRP")*(Data_Input!$8:$8=$B191), 0)), 0) + 1, MATCH(1, (Data_Input!$7:$7=$F$3)*(Data_Input!$8:$8=$B191), 0)),"")</f>
        <v/>
      </c>
      <c r="I191" s="20" t="str" cm="1">
        <f t="array" ref="I191">IFERROR(INDEX(Data_Input!$A$1:$ZZ$502, MATCH("평가손익", INDEX(Data_Input!$A$1:$ZZ$502, 0, MATCH(1, (Data_Input!$7:$7="IRP")*(Data_Input!$8:$8=$B191), 0)), 0) + 1, MATCH(1, (Data_Input!$7:$7=$F$3)*(Data_Input!$8:$8=$B191), 0)),"")</f>
        <v/>
      </c>
      <c r="J191" s="14" t="str" cm="1">
        <f t="array" ref="J191">IFERROR(INDEX(Data_Input!$A$1:$ZZ$502, MATCH("누적수익률", INDEX(Data_Input!$A$1:$ZZ$502, 0, MATCH(1, (Data_Input!$7:$7="IRP")*(Data_Input!$8:$8=$B191), 0)), 0) + 1, MATCH(1, (Data_Input!$7:$7=$F$3)*(Data_Input!$8:$8=$B191), 0))/100,"")</f>
        <v/>
      </c>
      <c r="K191" t="str" cm="1">
        <f t="array" ref="K191">IFERROR(_xlfn.LET(
    _xlpm.targetDate, B191,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92" spans="1:11" x14ac:dyDescent="0.3">
      <c r="A192" s="16" t="str">
        <f t="shared" si="4"/>
        <v/>
      </c>
      <c r="B192" s="19"/>
      <c r="C192" s="17" t="str">
        <f t="shared" si="5"/>
        <v/>
      </c>
      <c r="D192" s="42" t="str" cm="1">
        <f t="array" ref="D192">IFERROR(INDEX(Data_Input!$1:$100, 10, MATCH(1, (Data_Input!$7:$7=$F$3) * (Data_Input!$8:$8=$B192), 0)), "")</f>
        <v/>
      </c>
      <c r="E192" s="29" t="str" cm="1">
        <f t="array" ref="E192">IFERROR(INDEX(Data_Input!$1:$100, 9, MATCH(1, (Data_Input!$7:$7=$F$3) * (Data_Input!$8:$8=$B192), 0)),"")</f>
        <v/>
      </c>
      <c r="F192" s="20" t="str" cm="1">
        <f t="array" ref="F192">IFERROR(INDEX(Data_Input!$A$1:$ZZ$502, MATCH("플랜번호", INDEX(Data_Input!$A$1:$ZZ$502, 0, MATCH(1, (Data_Input!$7:$7="IRP")*(Data_Input!$8:$8=$B192), 0)), 0) + 1, MATCH(1, (Data_Input!$7:$7=$F$3)*(Data_Input!$8:$8=$B192), 0)),"")</f>
        <v/>
      </c>
      <c r="G192" s="20" t="str" cm="1">
        <f t="array" ref="G192">IFERROR(INDEX(Data_Input!$A$1:$ZZ$502, MATCH("플랜명", INDEX(Data_Input!$A$1:$ZZ$502, 0, MATCH(1, (Data_Input!$7:$7="IRP")*(Data_Input!$8:$8=$B192), 0)), 0) + 1, MATCH(1, (Data_Input!$7:$7=$F$3)*(Data_Input!$8:$8=$B192), 0)),"")</f>
        <v/>
      </c>
      <c r="H192" s="20" t="str" cm="1">
        <f t="array" ref="H192">IFERROR(INDEX(Data_Input!$A$1:$ZZ$502, MATCH("평가금액", INDEX(Data_Input!$A$1:$ZZ$502, 0, MATCH(1, (Data_Input!$7:$7="IRP")*(Data_Input!$8:$8=$B192), 0)), 0) + 1, MATCH(1, (Data_Input!$7:$7=$F$3)*(Data_Input!$8:$8=$B192), 0)),"")</f>
        <v/>
      </c>
      <c r="I192" s="20" t="str" cm="1">
        <f t="array" ref="I192">IFERROR(INDEX(Data_Input!$A$1:$ZZ$502, MATCH("평가손익", INDEX(Data_Input!$A$1:$ZZ$502, 0, MATCH(1, (Data_Input!$7:$7="IRP")*(Data_Input!$8:$8=$B192), 0)), 0) + 1, MATCH(1, (Data_Input!$7:$7=$F$3)*(Data_Input!$8:$8=$B192), 0)),"")</f>
        <v/>
      </c>
      <c r="J192" s="14" t="str" cm="1">
        <f t="array" ref="J192">IFERROR(INDEX(Data_Input!$A$1:$ZZ$502, MATCH("누적수익률", INDEX(Data_Input!$A$1:$ZZ$502, 0, MATCH(1, (Data_Input!$7:$7="IRP")*(Data_Input!$8:$8=$B192), 0)), 0) + 1, MATCH(1, (Data_Input!$7:$7=$F$3)*(Data_Input!$8:$8=$B192), 0))/100,"")</f>
        <v/>
      </c>
      <c r="K192" t="str" cm="1">
        <f t="array" ref="K192">IFERROR(_xlfn.LET(
    _xlpm.targetDate, B192,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93" spans="1:11" x14ac:dyDescent="0.3">
      <c r="A193" s="16" t="str">
        <f t="shared" si="4"/>
        <v/>
      </c>
      <c r="B193" s="19"/>
      <c r="C193" s="17" t="str">
        <f t="shared" si="5"/>
        <v/>
      </c>
      <c r="D193" s="42" t="str" cm="1">
        <f t="array" ref="D193">IFERROR(INDEX(Data_Input!$1:$100, 10, MATCH(1, (Data_Input!$7:$7=$F$3) * (Data_Input!$8:$8=$B193), 0)), "")</f>
        <v/>
      </c>
      <c r="E193" s="29" t="str" cm="1">
        <f t="array" ref="E193">IFERROR(INDEX(Data_Input!$1:$100, 9, MATCH(1, (Data_Input!$7:$7=$F$3) * (Data_Input!$8:$8=$B193), 0)),"")</f>
        <v/>
      </c>
      <c r="F193" s="20" t="str" cm="1">
        <f t="array" ref="F193">IFERROR(INDEX(Data_Input!$A$1:$ZZ$502, MATCH("플랜번호", INDEX(Data_Input!$A$1:$ZZ$502, 0, MATCH(1, (Data_Input!$7:$7="IRP")*(Data_Input!$8:$8=$B193), 0)), 0) + 1, MATCH(1, (Data_Input!$7:$7=$F$3)*(Data_Input!$8:$8=$B193), 0)),"")</f>
        <v/>
      </c>
      <c r="G193" s="20" t="str" cm="1">
        <f t="array" ref="G193">IFERROR(INDEX(Data_Input!$A$1:$ZZ$502, MATCH("플랜명", INDEX(Data_Input!$A$1:$ZZ$502, 0, MATCH(1, (Data_Input!$7:$7="IRP")*(Data_Input!$8:$8=$B193), 0)), 0) + 1, MATCH(1, (Data_Input!$7:$7=$F$3)*(Data_Input!$8:$8=$B193), 0)),"")</f>
        <v/>
      </c>
      <c r="H193" s="20" t="str" cm="1">
        <f t="array" ref="H193">IFERROR(INDEX(Data_Input!$A$1:$ZZ$502, MATCH("평가금액", INDEX(Data_Input!$A$1:$ZZ$502, 0, MATCH(1, (Data_Input!$7:$7="IRP")*(Data_Input!$8:$8=$B193), 0)), 0) + 1, MATCH(1, (Data_Input!$7:$7=$F$3)*(Data_Input!$8:$8=$B193), 0)),"")</f>
        <v/>
      </c>
      <c r="I193" s="20" t="str" cm="1">
        <f t="array" ref="I193">IFERROR(INDEX(Data_Input!$A$1:$ZZ$502, MATCH("평가손익", INDEX(Data_Input!$A$1:$ZZ$502, 0, MATCH(1, (Data_Input!$7:$7="IRP")*(Data_Input!$8:$8=$B193), 0)), 0) + 1, MATCH(1, (Data_Input!$7:$7=$F$3)*(Data_Input!$8:$8=$B193), 0)),"")</f>
        <v/>
      </c>
      <c r="J193" s="14" t="str" cm="1">
        <f t="array" ref="J193">IFERROR(INDEX(Data_Input!$A$1:$ZZ$502, MATCH("누적수익률", INDEX(Data_Input!$A$1:$ZZ$502, 0, MATCH(1, (Data_Input!$7:$7="IRP")*(Data_Input!$8:$8=$B193), 0)), 0) + 1, MATCH(1, (Data_Input!$7:$7=$F$3)*(Data_Input!$8:$8=$B193), 0))/100,"")</f>
        <v/>
      </c>
      <c r="K193" t="str" cm="1">
        <f t="array" ref="K193">IFERROR(_xlfn.LET(
    _xlpm.targetDate, B193,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94" spans="1:11" x14ac:dyDescent="0.3">
      <c r="A194" s="16" t="str">
        <f t="shared" si="4"/>
        <v/>
      </c>
      <c r="B194" s="19"/>
      <c r="C194" s="17" t="str">
        <f t="shared" si="5"/>
        <v/>
      </c>
      <c r="D194" s="42" t="str" cm="1">
        <f t="array" ref="D194">IFERROR(INDEX(Data_Input!$1:$100, 10, MATCH(1, (Data_Input!$7:$7=$F$3) * (Data_Input!$8:$8=$B194), 0)), "")</f>
        <v/>
      </c>
      <c r="E194" s="29" t="str" cm="1">
        <f t="array" ref="E194">IFERROR(INDEX(Data_Input!$1:$100, 9, MATCH(1, (Data_Input!$7:$7=$F$3) * (Data_Input!$8:$8=$B194), 0)),"")</f>
        <v/>
      </c>
      <c r="F194" s="20" t="str" cm="1">
        <f t="array" ref="F194">IFERROR(INDEX(Data_Input!$A$1:$ZZ$502, MATCH("플랜번호", INDEX(Data_Input!$A$1:$ZZ$502, 0, MATCH(1, (Data_Input!$7:$7="IRP")*(Data_Input!$8:$8=$B194), 0)), 0) + 1, MATCH(1, (Data_Input!$7:$7=$F$3)*(Data_Input!$8:$8=$B194), 0)),"")</f>
        <v/>
      </c>
      <c r="G194" s="20" t="str" cm="1">
        <f t="array" ref="G194">IFERROR(INDEX(Data_Input!$A$1:$ZZ$502, MATCH("플랜명", INDEX(Data_Input!$A$1:$ZZ$502, 0, MATCH(1, (Data_Input!$7:$7="IRP")*(Data_Input!$8:$8=$B194), 0)), 0) + 1, MATCH(1, (Data_Input!$7:$7=$F$3)*(Data_Input!$8:$8=$B194), 0)),"")</f>
        <v/>
      </c>
      <c r="H194" s="20" t="str" cm="1">
        <f t="array" ref="H194">IFERROR(INDEX(Data_Input!$A$1:$ZZ$502, MATCH("평가금액", INDEX(Data_Input!$A$1:$ZZ$502, 0, MATCH(1, (Data_Input!$7:$7="IRP")*(Data_Input!$8:$8=$B194), 0)), 0) + 1, MATCH(1, (Data_Input!$7:$7=$F$3)*(Data_Input!$8:$8=$B194), 0)),"")</f>
        <v/>
      </c>
      <c r="I194" s="20" t="str" cm="1">
        <f t="array" ref="I194">IFERROR(INDEX(Data_Input!$A$1:$ZZ$502, MATCH("평가손익", INDEX(Data_Input!$A$1:$ZZ$502, 0, MATCH(1, (Data_Input!$7:$7="IRP")*(Data_Input!$8:$8=$B194), 0)), 0) + 1, MATCH(1, (Data_Input!$7:$7=$F$3)*(Data_Input!$8:$8=$B194), 0)),"")</f>
        <v/>
      </c>
      <c r="J194" s="14" t="str" cm="1">
        <f t="array" ref="J194">IFERROR(INDEX(Data_Input!$A$1:$ZZ$502, MATCH("누적수익률", INDEX(Data_Input!$A$1:$ZZ$502, 0, MATCH(1, (Data_Input!$7:$7="IRP")*(Data_Input!$8:$8=$B194), 0)), 0) + 1, MATCH(1, (Data_Input!$7:$7=$F$3)*(Data_Input!$8:$8=$B194), 0))/100,"")</f>
        <v/>
      </c>
      <c r="K194" t="str" cm="1">
        <f t="array" ref="K194">IFERROR(_xlfn.LET(
    _xlpm.targetDate, B194,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95" spans="1:11" x14ac:dyDescent="0.3">
      <c r="A195" s="16" t="str">
        <f t="shared" si="4"/>
        <v/>
      </c>
      <c r="B195" s="19"/>
      <c r="C195" s="17" t="str">
        <f t="shared" si="5"/>
        <v/>
      </c>
      <c r="D195" s="42" t="str" cm="1">
        <f t="array" ref="D195">IFERROR(INDEX(Data_Input!$1:$100, 10, MATCH(1, (Data_Input!$7:$7=$F$3) * (Data_Input!$8:$8=$B195), 0)), "")</f>
        <v/>
      </c>
      <c r="E195" s="29" t="str" cm="1">
        <f t="array" ref="E195">IFERROR(INDEX(Data_Input!$1:$100, 9, MATCH(1, (Data_Input!$7:$7=$F$3) * (Data_Input!$8:$8=$B195), 0)),"")</f>
        <v/>
      </c>
      <c r="F195" s="20" t="str" cm="1">
        <f t="array" ref="F195">IFERROR(INDEX(Data_Input!$A$1:$ZZ$502, MATCH("플랜번호", INDEX(Data_Input!$A$1:$ZZ$502, 0, MATCH(1, (Data_Input!$7:$7="IRP")*(Data_Input!$8:$8=$B195), 0)), 0) + 1, MATCH(1, (Data_Input!$7:$7=$F$3)*(Data_Input!$8:$8=$B195), 0)),"")</f>
        <v/>
      </c>
      <c r="G195" s="20" t="str" cm="1">
        <f t="array" ref="G195">IFERROR(INDEX(Data_Input!$A$1:$ZZ$502, MATCH("플랜명", INDEX(Data_Input!$A$1:$ZZ$502, 0, MATCH(1, (Data_Input!$7:$7="IRP")*(Data_Input!$8:$8=$B195), 0)), 0) + 1, MATCH(1, (Data_Input!$7:$7=$F$3)*(Data_Input!$8:$8=$B195), 0)),"")</f>
        <v/>
      </c>
      <c r="H195" s="20" t="str" cm="1">
        <f t="array" ref="H195">IFERROR(INDEX(Data_Input!$A$1:$ZZ$502, MATCH("평가금액", INDEX(Data_Input!$A$1:$ZZ$502, 0, MATCH(1, (Data_Input!$7:$7="IRP")*(Data_Input!$8:$8=$B195), 0)), 0) + 1, MATCH(1, (Data_Input!$7:$7=$F$3)*(Data_Input!$8:$8=$B195), 0)),"")</f>
        <v/>
      </c>
      <c r="I195" s="20" t="str" cm="1">
        <f t="array" ref="I195">IFERROR(INDEX(Data_Input!$A$1:$ZZ$502, MATCH("평가손익", INDEX(Data_Input!$A$1:$ZZ$502, 0, MATCH(1, (Data_Input!$7:$7="IRP")*(Data_Input!$8:$8=$B195), 0)), 0) + 1, MATCH(1, (Data_Input!$7:$7=$F$3)*(Data_Input!$8:$8=$B195), 0)),"")</f>
        <v/>
      </c>
      <c r="J195" s="14" t="str" cm="1">
        <f t="array" ref="J195">IFERROR(INDEX(Data_Input!$A$1:$ZZ$502, MATCH("누적수익률", INDEX(Data_Input!$A$1:$ZZ$502, 0, MATCH(1, (Data_Input!$7:$7="IRP")*(Data_Input!$8:$8=$B195), 0)), 0) + 1, MATCH(1, (Data_Input!$7:$7=$F$3)*(Data_Input!$8:$8=$B195), 0))/100,"")</f>
        <v/>
      </c>
      <c r="K195" t="str" cm="1">
        <f t="array" ref="K195">IFERROR(_xlfn.LET(
    _xlpm.targetDate, B195,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96" spans="1:11" x14ac:dyDescent="0.3">
      <c r="A196" s="16" t="str">
        <f t="shared" si="4"/>
        <v/>
      </c>
      <c r="B196" s="19"/>
      <c r="C196" s="17" t="str">
        <f t="shared" si="5"/>
        <v/>
      </c>
      <c r="D196" s="42" t="str" cm="1">
        <f t="array" ref="D196">IFERROR(INDEX(Data_Input!$1:$100, 10, MATCH(1, (Data_Input!$7:$7=$F$3) * (Data_Input!$8:$8=$B196), 0)), "")</f>
        <v/>
      </c>
      <c r="E196" s="29" t="str" cm="1">
        <f t="array" ref="E196">IFERROR(INDEX(Data_Input!$1:$100, 9, MATCH(1, (Data_Input!$7:$7=$F$3) * (Data_Input!$8:$8=$B196), 0)),"")</f>
        <v/>
      </c>
      <c r="F196" s="20" t="str" cm="1">
        <f t="array" ref="F196">IFERROR(INDEX(Data_Input!$A$1:$ZZ$502, MATCH("플랜번호", INDEX(Data_Input!$A$1:$ZZ$502, 0, MATCH(1, (Data_Input!$7:$7="IRP")*(Data_Input!$8:$8=$B196), 0)), 0) + 1, MATCH(1, (Data_Input!$7:$7=$F$3)*(Data_Input!$8:$8=$B196), 0)),"")</f>
        <v/>
      </c>
      <c r="G196" s="20" t="str" cm="1">
        <f t="array" ref="G196">IFERROR(INDEX(Data_Input!$A$1:$ZZ$502, MATCH("플랜명", INDEX(Data_Input!$A$1:$ZZ$502, 0, MATCH(1, (Data_Input!$7:$7="IRP")*(Data_Input!$8:$8=$B196), 0)), 0) + 1, MATCH(1, (Data_Input!$7:$7=$F$3)*(Data_Input!$8:$8=$B196), 0)),"")</f>
        <v/>
      </c>
      <c r="H196" s="20" t="str" cm="1">
        <f t="array" ref="H196">IFERROR(INDEX(Data_Input!$A$1:$ZZ$502, MATCH("평가금액", INDEX(Data_Input!$A$1:$ZZ$502, 0, MATCH(1, (Data_Input!$7:$7="IRP")*(Data_Input!$8:$8=$B196), 0)), 0) + 1, MATCH(1, (Data_Input!$7:$7=$F$3)*(Data_Input!$8:$8=$B196), 0)),"")</f>
        <v/>
      </c>
      <c r="I196" s="20" t="str" cm="1">
        <f t="array" ref="I196">IFERROR(INDEX(Data_Input!$A$1:$ZZ$502, MATCH("평가손익", INDEX(Data_Input!$A$1:$ZZ$502, 0, MATCH(1, (Data_Input!$7:$7="IRP")*(Data_Input!$8:$8=$B196), 0)), 0) + 1, MATCH(1, (Data_Input!$7:$7=$F$3)*(Data_Input!$8:$8=$B196), 0)),"")</f>
        <v/>
      </c>
      <c r="J196" s="14" t="str" cm="1">
        <f t="array" ref="J196">IFERROR(INDEX(Data_Input!$A$1:$ZZ$502, MATCH("누적수익률", INDEX(Data_Input!$A$1:$ZZ$502, 0, MATCH(1, (Data_Input!$7:$7="IRP")*(Data_Input!$8:$8=$B196), 0)), 0) + 1, MATCH(1, (Data_Input!$7:$7=$F$3)*(Data_Input!$8:$8=$B196), 0))/100,"")</f>
        <v/>
      </c>
      <c r="K196" t="str" cm="1">
        <f t="array" ref="K196">IFERROR(_xlfn.LET(
    _xlpm.targetDate, B196,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97" spans="1:11" x14ac:dyDescent="0.3">
      <c r="A197" s="16" t="str">
        <f t="shared" si="4"/>
        <v/>
      </c>
      <c r="B197" s="19"/>
      <c r="C197" s="17" t="str">
        <f t="shared" si="5"/>
        <v/>
      </c>
      <c r="D197" s="42" t="str" cm="1">
        <f t="array" ref="D197">IFERROR(INDEX(Data_Input!$1:$100, 10, MATCH(1, (Data_Input!$7:$7=$F$3) * (Data_Input!$8:$8=$B197), 0)), "")</f>
        <v/>
      </c>
      <c r="E197" s="29" t="str" cm="1">
        <f t="array" ref="E197">IFERROR(INDEX(Data_Input!$1:$100, 9, MATCH(1, (Data_Input!$7:$7=$F$3) * (Data_Input!$8:$8=$B197), 0)),"")</f>
        <v/>
      </c>
      <c r="F197" s="20" t="str" cm="1">
        <f t="array" ref="F197">IFERROR(INDEX(Data_Input!$A$1:$ZZ$502, MATCH("플랜번호", INDEX(Data_Input!$A$1:$ZZ$502, 0, MATCH(1, (Data_Input!$7:$7="IRP")*(Data_Input!$8:$8=$B197), 0)), 0) + 1, MATCH(1, (Data_Input!$7:$7=$F$3)*(Data_Input!$8:$8=$B197), 0)),"")</f>
        <v/>
      </c>
      <c r="G197" s="20" t="str" cm="1">
        <f t="array" ref="G197">IFERROR(INDEX(Data_Input!$A$1:$ZZ$502, MATCH("플랜명", INDEX(Data_Input!$A$1:$ZZ$502, 0, MATCH(1, (Data_Input!$7:$7="IRP")*(Data_Input!$8:$8=$B197), 0)), 0) + 1, MATCH(1, (Data_Input!$7:$7=$F$3)*(Data_Input!$8:$8=$B197), 0)),"")</f>
        <v/>
      </c>
      <c r="H197" s="20" t="str" cm="1">
        <f t="array" ref="H197">IFERROR(INDEX(Data_Input!$A$1:$ZZ$502, MATCH("평가금액", INDEX(Data_Input!$A$1:$ZZ$502, 0, MATCH(1, (Data_Input!$7:$7="IRP")*(Data_Input!$8:$8=$B197), 0)), 0) + 1, MATCH(1, (Data_Input!$7:$7=$F$3)*(Data_Input!$8:$8=$B197), 0)),"")</f>
        <v/>
      </c>
      <c r="I197" s="20" t="str" cm="1">
        <f t="array" ref="I197">IFERROR(INDEX(Data_Input!$A$1:$ZZ$502, MATCH("평가손익", INDEX(Data_Input!$A$1:$ZZ$502, 0, MATCH(1, (Data_Input!$7:$7="IRP")*(Data_Input!$8:$8=$B197), 0)), 0) + 1, MATCH(1, (Data_Input!$7:$7=$F$3)*(Data_Input!$8:$8=$B197), 0)),"")</f>
        <v/>
      </c>
      <c r="J197" s="14" t="str" cm="1">
        <f t="array" ref="J197">IFERROR(INDEX(Data_Input!$A$1:$ZZ$502, MATCH("누적수익률", INDEX(Data_Input!$A$1:$ZZ$502, 0, MATCH(1, (Data_Input!$7:$7="IRP")*(Data_Input!$8:$8=$B197), 0)), 0) + 1, MATCH(1, (Data_Input!$7:$7=$F$3)*(Data_Input!$8:$8=$B197), 0))/100,"")</f>
        <v/>
      </c>
      <c r="K197" t="str" cm="1">
        <f t="array" ref="K197">IFERROR(_xlfn.LET(
    _xlpm.targetDate, B197,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98" spans="1:11" x14ac:dyDescent="0.3">
      <c r="A198" s="16" t="str">
        <f t="shared" si="4"/>
        <v/>
      </c>
      <c r="B198" s="19"/>
      <c r="C198" s="17" t="str">
        <f t="shared" si="5"/>
        <v/>
      </c>
      <c r="D198" s="42" t="str" cm="1">
        <f t="array" ref="D198">IFERROR(INDEX(Data_Input!$1:$100, 10, MATCH(1, (Data_Input!$7:$7=$F$3) * (Data_Input!$8:$8=$B198), 0)), "")</f>
        <v/>
      </c>
      <c r="E198" s="29" t="str" cm="1">
        <f t="array" ref="E198">IFERROR(INDEX(Data_Input!$1:$100, 9, MATCH(1, (Data_Input!$7:$7=$F$3) * (Data_Input!$8:$8=$B198), 0)),"")</f>
        <v/>
      </c>
      <c r="F198" s="20" t="str" cm="1">
        <f t="array" ref="F198">IFERROR(INDEX(Data_Input!$A$1:$ZZ$502, MATCH("플랜번호", INDEX(Data_Input!$A$1:$ZZ$502, 0, MATCH(1, (Data_Input!$7:$7="IRP")*(Data_Input!$8:$8=$B198), 0)), 0) + 1, MATCH(1, (Data_Input!$7:$7=$F$3)*(Data_Input!$8:$8=$B198), 0)),"")</f>
        <v/>
      </c>
      <c r="G198" s="20" t="str" cm="1">
        <f t="array" ref="G198">IFERROR(INDEX(Data_Input!$A$1:$ZZ$502, MATCH("플랜명", INDEX(Data_Input!$A$1:$ZZ$502, 0, MATCH(1, (Data_Input!$7:$7="IRP")*(Data_Input!$8:$8=$B198), 0)), 0) + 1, MATCH(1, (Data_Input!$7:$7=$F$3)*(Data_Input!$8:$8=$B198), 0)),"")</f>
        <v/>
      </c>
      <c r="H198" s="20" t="str" cm="1">
        <f t="array" ref="H198">IFERROR(INDEX(Data_Input!$A$1:$ZZ$502, MATCH("평가금액", INDEX(Data_Input!$A$1:$ZZ$502, 0, MATCH(1, (Data_Input!$7:$7="IRP")*(Data_Input!$8:$8=$B198), 0)), 0) + 1, MATCH(1, (Data_Input!$7:$7=$F$3)*(Data_Input!$8:$8=$B198), 0)),"")</f>
        <v/>
      </c>
      <c r="I198" s="20" t="str" cm="1">
        <f t="array" ref="I198">IFERROR(INDEX(Data_Input!$A$1:$ZZ$502, MATCH("평가손익", INDEX(Data_Input!$A$1:$ZZ$502, 0, MATCH(1, (Data_Input!$7:$7="IRP")*(Data_Input!$8:$8=$B198), 0)), 0) + 1, MATCH(1, (Data_Input!$7:$7=$F$3)*(Data_Input!$8:$8=$B198), 0)),"")</f>
        <v/>
      </c>
      <c r="J198" s="14" t="str" cm="1">
        <f t="array" ref="J198">IFERROR(INDEX(Data_Input!$A$1:$ZZ$502, MATCH("누적수익률", INDEX(Data_Input!$A$1:$ZZ$502, 0, MATCH(1, (Data_Input!$7:$7="IRP")*(Data_Input!$8:$8=$B198), 0)), 0) + 1, MATCH(1, (Data_Input!$7:$7=$F$3)*(Data_Input!$8:$8=$B198), 0))/100,"")</f>
        <v/>
      </c>
      <c r="K198" t="str" cm="1">
        <f t="array" ref="K198">IFERROR(_xlfn.LET(
    _xlpm.targetDate, B198,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199" spans="1:11" x14ac:dyDescent="0.3">
      <c r="A199" s="16" t="str">
        <f t="shared" ref="A199:A262" si="6">IF(B199&gt;0,A198+1,"")</f>
        <v/>
      </c>
      <c r="B199" s="19"/>
      <c r="C199" s="17" t="str">
        <f t="shared" si="5"/>
        <v/>
      </c>
      <c r="D199" s="42" t="str" cm="1">
        <f t="array" ref="D199">IFERROR(INDEX(Data_Input!$1:$100, 10, MATCH(1, (Data_Input!$7:$7=$F$3) * (Data_Input!$8:$8=$B199), 0)), "")</f>
        <v/>
      </c>
      <c r="E199" s="29" t="str" cm="1">
        <f t="array" ref="E199">IFERROR(INDEX(Data_Input!$1:$100, 9, MATCH(1, (Data_Input!$7:$7=$F$3) * (Data_Input!$8:$8=$B199), 0)),"")</f>
        <v/>
      </c>
      <c r="F199" s="20" t="str" cm="1">
        <f t="array" ref="F199">IFERROR(INDEX(Data_Input!$A$1:$ZZ$502, MATCH("플랜번호", INDEX(Data_Input!$A$1:$ZZ$502, 0, MATCH(1, (Data_Input!$7:$7="IRP")*(Data_Input!$8:$8=$B199), 0)), 0) + 1, MATCH(1, (Data_Input!$7:$7=$F$3)*(Data_Input!$8:$8=$B199), 0)),"")</f>
        <v/>
      </c>
      <c r="G199" s="20" t="str" cm="1">
        <f t="array" ref="G199">IFERROR(INDEX(Data_Input!$A$1:$ZZ$502, MATCH("플랜명", INDEX(Data_Input!$A$1:$ZZ$502, 0, MATCH(1, (Data_Input!$7:$7="IRP")*(Data_Input!$8:$8=$B199), 0)), 0) + 1, MATCH(1, (Data_Input!$7:$7=$F$3)*(Data_Input!$8:$8=$B199), 0)),"")</f>
        <v/>
      </c>
      <c r="H199" s="20" t="str" cm="1">
        <f t="array" ref="H199">IFERROR(INDEX(Data_Input!$A$1:$ZZ$502, MATCH("평가금액", INDEX(Data_Input!$A$1:$ZZ$502, 0, MATCH(1, (Data_Input!$7:$7="IRP")*(Data_Input!$8:$8=$B199), 0)), 0) + 1, MATCH(1, (Data_Input!$7:$7=$F$3)*(Data_Input!$8:$8=$B199), 0)),"")</f>
        <v/>
      </c>
      <c r="I199" s="20" t="str" cm="1">
        <f t="array" ref="I199">IFERROR(INDEX(Data_Input!$A$1:$ZZ$502, MATCH("평가손익", INDEX(Data_Input!$A$1:$ZZ$502, 0, MATCH(1, (Data_Input!$7:$7="IRP")*(Data_Input!$8:$8=$B199), 0)), 0) + 1, MATCH(1, (Data_Input!$7:$7=$F$3)*(Data_Input!$8:$8=$B199), 0)),"")</f>
        <v/>
      </c>
      <c r="J199" s="14" t="str" cm="1">
        <f t="array" ref="J199">IFERROR(INDEX(Data_Input!$A$1:$ZZ$502, MATCH("누적수익률", INDEX(Data_Input!$A$1:$ZZ$502, 0, MATCH(1, (Data_Input!$7:$7="IRP")*(Data_Input!$8:$8=$B199), 0)), 0) + 1, MATCH(1, (Data_Input!$7:$7=$F$3)*(Data_Input!$8:$8=$B199), 0))/100,"")</f>
        <v/>
      </c>
      <c r="K199" t="str" cm="1">
        <f t="array" ref="K199">IFERROR(_xlfn.LET(
    _xlpm.targetDate, B199,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00" spans="1:11" x14ac:dyDescent="0.3">
      <c r="A200" s="16" t="str">
        <f t="shared" si="6"/>
        <v/>
      </c>
      <c r="B200" s="19"/>
      <c r="C200" s="17" t="str">
        <f t="shared" ref="C200:C263" si="7">IF(B200&gt;0,C199,"")</f>
        <v/>
      </c>
      <c r="D200" s="42" t="str" cm="1">
        <f t="array" ref="D200">IFERROR(INDEX(Data_Input!$1:$100, 10, MATCH(1, (Data_Input!$7:$7=$F$3) * (Data_Input!$8:$8=$B200), 0)), "")</f>
        <v/>
      </c>
      <c r="E200" s="29" t="str" cm="1">
        <f t="array" ref="E200">IFERROR(INDEX(Data_Input!$1:$100, 9, MATCH(1, (Data_Input!$7:$7=$F$3) * (Data_Input!$8:$8=$B200), 0)),"")</f>
        <v/>
      </c>
      <c r="F200" s="20" t="str" cm="1">
        <f t="array" ref="F200">IFERROR(INDEX(Data_Input!$A$1:$ZZ$502, MATCH("플랜번호", INDEX(Data_Input!$A$1:$ZZ$502, 0, MATCH(1, (Data_Input!$7:$7="IRP")*(Data_Input!$8:$8=$B200), 0)), 0) + 1, MATCH(1, (Data_Input!$7:$7=$F$3)*(Data_Input!$8:$8=$B200), 0)),"")</f>
        <v/>
      </c>
      <c r="G200" s="20" t="str" cm="1">
        <f t="array" ref="G200">IFERROR(INDEX(Data_Input!$A$1:$ZZ$502, MATCH("플랜명", INDEX(Data_Input!$A$1:$ZZ$502, 0, MATCH(1, (Data_Input!$7:$7="IRP")*(Data_Input!$8:$8=$B200), 0)), 0) + 1, MATCH(1, (Data_Input!$7:$7=$F$3)*(Data_Input!$8:$8=$B200), 0)),"")</f>
        <v/>
      </c>
      <c r="H200" s="20" t="str" cm="1">
        <f t="array" ref="H200">IFERROR(INDEX(Data_Input!$A$1:$ZZ$502, MATCH("평가금액", INDEX(Data_Input!$A$1:$ZZ$502, 0, MATCH(1, (Data_Input!$7:$7="IRP")*(Data_Input!$8:$8=$B200), 0)), 0) + 1, MATCH(1, (Data_Input!$7:$7=$F$3)*(Data_Input!$8:$8=$B200), 0)),"")</f>
        <v/>
      </c>
      <c r="I200" s="20" t="str" cm="1">
        <f t="array" ref="I200">IFERROR(INDEX(Data_Input!$A$1:$ZZ$502, MATCH("평가손익", INDEX(Data_Input!$A$1:$ZZ$502, 0, MATCH(1, (Data_Input!$7:$7="IRP")*(Data_Input!$8:$8=$B200), 0)), 0) + 1, MATCH(1, (Data_Input!$7:$7=$F$3)*(Data_Input!$8:$8=$B200), 0)),"")</f>
        <v/>
      </c>
      <c r="J200" s="14" t="str" cm="1">
        <f t="array" ref="J200">IFERROR(INDEX(Data_Input!$A$1:$ZZ$502, MATCH("누적수익률", INDEX(Data_Input!$A$1:$ZZ$502, 0, MATCH(1, (Data_Input!$7:$7="IRP")*(Data_Input!$8:$8=$B200), 0)), 0) + 1, MATCH(1, (Data_Input!$7:$7=$F$3)*(Data_Input!$8:$8=$B200), 0))/100,"")</f>
        <v/>
      </c>
      <c r="K200" t="str" cm="1">
        <f t="array" ref="K200">IFERROR(_xlfn.LET(
    _xlpm.targetDate, B200,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01" spans="1:11" x14ac:dyDescent="0.3">
      <c r="A201" s="16" t="str">
        <f t="shared" si="6"/>
        <v/>
      </c>
      <c r="B201" s="19"/>
      <c r="C201" s="17" t="str">
        <f t="shared" si="7"/>
        <v/>
      </c>
      <c r="D201" s="42" t="str" cm="1">
        <f t="array" ref="D201">IFERROR(INDEX(Data_Input!$1:$100, 10, MATCH(1, (Data_Input!$7:$7=$F$3) * (Data_Input!$8:$8=$B201), 0)), "")</f>
        <v/>
      </c>
      <c r="E201" s="29" t="str" cm="1">
        <f t="array" ref="E201">IFERROR(INDEX(Data_Input!$1:$100, 9, MATCH(1, (Data_Input!$7:$7=$F$3) * (Data_Input!$8:$8=$B201), 0)),"")</f>
        <v/>
      </c>
      <c r="F201" s="20" t="str" cm="1">
        <f t="array" ref="F201">IFERROR(INDEX(Data_Input!$A$1:$ZZ$502, MATCH("플랜번호", INDEX(Data_Input!$A$1:$ZZ$502, 0, MATCH(1, (Data_Input!$7:$7="IRP")*(Data_Input!$8:$8=$B201), 0)), 0) + 1, MATCH(1, (Data_Input!$7:$7=$F$3)*(Data_Input!$8:$8=$B201), 0)),"")</f>
        <v/>
      </c>
      <c r="G201" s="20" t="str" cm="1">
        <f t="array" ref="G201">IFERROR(INDEX(Data_Input!$A$1:$ZZ$502, MATCH("플랜명", INDEX(Data_Input!$A$1:$ZZ$502, 0, MATCH(1, (Data_Input!$7:$7="IRP")*(Data_Input!$8:$8=$B201), 0)), 0) + 1, MATCH(1, (Data_Input!$7:$7=$F$3)*(Data_Input!$8:$8=$B201), 0)),"")</f>
        <v/>
      </c>
      <c r="H201" s="20" t="str" cm="1">
        <f t="array" ref="H201">IFERROR(INDEX(Data_Input!$A$1:$ZZ$502, MATCH("평가금액", INDEX(Data_Input!$A$1:$ZZ$502, 0, MATCH(1, (Data_Input!$7:$7="IRP")*(Data_Input!$8:$8=$B201), 0)), 0) + 1, MATCH(1, (Data_Input!$7:$7=$F$3)*(Data_Input!$8:$8=$B201), 0)),"")</f>
        <v/>
      </c>
      <c r="I201" s="20" t="str" cm="1">
        <f t="array" ref="I201">IFERROR(INDEX(Data_Input!$A$1:$ZZ$502, MATCH("평가손익", INDEX(Data_Input!$A$1:$ZZ$502, 0, MATCH(1, (Data_Input!$7:$7="IRP")*(Data_Input!$8:$8=$B201), 0)), 0) + 1, MATCH(1, (Data_Input!$7:$7=$F$3)*(Data_Input!$8:$8=$B201), 0)),"")</f>
        <v/>
      </c>
      <c r="J201" s="14" t="str" cm="1">
        <f t="array" ref="J201">IFERROR(INDEX(Data_Input!$A$1:$ZZ$502, MATCH("누적수익률", INDEX(Data_Input!$A$1:$ZZ$502, 0, MATCH(1, (Data_Input!$7:$7="IRP")*(Data_Input!$8:$8=$B201), 0)), 0) + 1, MATCH(1, (Data_Input!$7:$7=$F$3)*(Data_Input!$8:$8=$B201), 0))/100,"")</f>
        <v/>
      </c>
      <c r="K201" t="str" cm="1">
        <f t="array" ref="K201">IFERROR(_xlfn.LET(
    _xlpm.targetDate, B201,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02" spans="1:11" x14ac:dyDescent="0.3">
      <c r="A202" s="16" t="str">
        <f t="shared" si="6"/>
        <v/>
      </c>
      <c r="B202" s="19"/>
      <c r="C202" s="17" t="str">
        <f t="shared" si="7"/>
        <v/>
      </c>
      <c r="D202" s="42" t="str" cm="1">
        <f t="array" ref="D202">IFERROR(INDEX(Data_Input!$1:$100, 10, MATCH(1, (Data_Input!$7:$7=$F$3) * (Data_Input!$8:$8=$B202), 0)), "")</f>
        <v/>
      </c>
      <c r="E202" s="29" t="str" cm="1">
        <f t="array" ref="E202">IFERROR(INDEX(Data_Input!$1:$100, 9, MATCH(1, (Data_Input!$7:$7=$F$3) * (Data_Input!$8:$8=$B202), 0)),"")</f>
        <v/>
      </c>
      <c r="F202" s="20" t="str" cm="1">
        <f t="array" ref="F202">IFERROR(INDEX(Data_Input!$A$1:$ZZ$502, MATCH("플랜번호", INDEX(Data_Input!$A$1:$ZZ$502, 0, MATCH(1, (Data_Input!$7:$7="IRP")*(Data_Input!$8:$8=$B202), 0)), 0) + 1, MATCH(1, (Data_Input!$7:$7=$F$3)*(Data_Input!$8:$8=$B202), 0)),"")</f>
        <v/>
      </c>
      <c r="G202" s="20" t="str" cm="1">
        <f t="array" ref="G202">IFERROR(INDEX(Data_Input!$A$1:$ZZ$502, MATCH("플랜명", INDEX(Data_Input!$A$1:$ZZ$502, 0, MATCH(1, (Data_Input!$7:$7="IRP")*(Data_Input!$8:$8=$B202), 0)), 0) + 1, MATCH(1, (Data_Input!$7:$7=$F$3)*(Data_Input!$8:$8=$B202), 0)),"")</f>
        <v/>
      </c>
      <c r="H202" s="20" t="str" cm="1">
        <f t="array" ref="H202">IFERROR(INDEX(Data_Input!$A$1:$ZZ$502, MATCH("평가금액", INDEX(Data_Input!$A$1:$ZZ$502, 0, MATCH(1, (Data_Input!$7:$7="IRP")*(Data_Input!$8:$8=$B202), 0)), 0) + 1, MATCH(1, (Data_Input!$7:$7=$F$3)*(Data_Input!$8:$8=$B202), 0)),"")</f>
        <v/>
      </c>
      <c r="I202" s="20" t="str" cm="1">
        <f t="array" ref="I202">IFERROR(INDEX(Data_Input!$A$1:$ZZ$502, MATCH("평가손익", INDEX(Data_Input!$A$1:$ZZ$502, 0, MATCH(1, (Data_Input!$7:$7="IRP")*(Data_Input!$8:$8=$B202), 0)), 0) + 1, MATCH(1, (Data_Input!$7:$7=$F$3)*(Data_Input!$8:$8=$B202), 0)),"")</f>
        <v/>
      </c>
      <c r="J202" s="14" t="str" cm="1">
        <f t="array" ref="J202">IFERROR(INDEX(Data_Input!$A$1:$ZZ$502, MATCH("누적수익률", INDEX(Data_Input!$A$1:$ZZ$502, 0, MATCH(1, (Data_Input!$7:$7="IRP")*(Data_Input!$8:$8=$B202), 0)), 0) + 1, MATCH(1, (Data_Input!$7:$7=$F$3)*(Data_Input!$8:$8=$B202), 0))/100,"")</f>
        <v/>
      </c>
      <c r="K202" t="str" cm="1">
        <f t="array" ref="K202">IFERROR(_xlfn.LET(
    _xlpm.targetDate, B202,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03" spans="1:11" x14ac:dyDescent="0.3">
      <c r="A203" s="16" t="str">
        <f t="shared" si="6"/>
        <v/>
      </c>
      <c r="B203" s="19"/>
      <c r="C203" s="17" t="str">
        <f t="shared" si="7"/>
        <v/>
      </c>
      <c r="D203" s="42" t="str" cm="1">
        <f t="array" ref="D203">IFERROR(INDEX(Data_Input!$1:$100, 10, MATCH(1, (Data_Input!$7:$7=$F$3) * (Data_Input!$8:$8=$B203), 0)), "")</f>
        <v/>
      </c>
      <c r="E203" s="29" t="str" cm="1">
        <f t="array" ref="E203">IFERROR(INDEX(Data_Input!$1:$100, 9, MATCH(1, (Data_Input!$7:$7=$F$3) * (Data_Input!$8:$8=$B203), 0)),"")</f>
        <v/>
      </c>
      <c r="F203" s="20" t="str" cm="1">
        <f t="array" ref="F203">IFERROR(INDEX(Data_Input!$A$1:$ZZ$502, MATCH("플랜번호", INDEX(Data_Input!$A$1:$ZZ$502, 0, MATCH(1, (Data_Input!$7:$7="IRP")*(Data_Input!$8:$8=$B203), 0)), 0) + 1, MATCH(1, (Data_Input!$7:$7=$F$3)*(Data_Input!$8:$8=$B203), 0)),"")</f>
        <v/>
      </c>
      <c r="G203" s="20" t="str" cm="1">
        <f t="array" ref="G203">IFERROR(INDEX(Data_Input!$A$1:$ZZ$502, MATCH("플랜명", INDEX(Data_Input!$A$1:$ZZ$502, 0, MATCH(1, (Data_Input!$7:$7="IRP")*(Data_Input!$8:$8=$B203), 0)), 0) + 1, MATCH(1, (Data_Input!$7:$7=$F$3)*(Data_Input!$8:$8=$B203), 0)),"")</f>
        <v/>
      </c>
      <c r="H203" s="20" t="str" cm="1">
        <f t="array" ref="H203">IFERROR(INDEX(Data_Input!$A$1:$ZZ$502, MATCH("평가금액", INDEX(Data_Input!$A$1:$ZZ$502, 0, MATCH(1, (Data_Input!$7:$7="IRP")*(Data_Input!$8:$8=$B203), 0)), 0) + 1, MATCH(1, (Data_Input!$7:$7=$F$3)*(Data_Input!$8:$8=$B203), 0)),"")</f>
        <v/>
      </c>
      <c r="I203" s="20" t="str" cm="1">
        <f t="array" ref="I203">IFERROR(INDEX(Data_Input!$A$1:$ZZ$502, MATCH("평가손익", INDEX(Data_Input!$A$1:$ZZ$502, 0, MATCH(1, (Data_Input!$7:$7="IRP")*(Data_Input!$8:$8=$B203), 0)), 0) + 1, MATCH(1, (Data_Input!$7:$7=$F$3)*(Data_Input!$8:$8=$B203), 0)),"")</f>
        <v/>
      </c>
      <c r="J203" s="14" t="str" cm="1">
        <f t="array" ref="J203">IFERROR(INDEX(Data_Input!$A$1:$ZZ$502, MATCH("누적수익률", INDEX(Data_Input!$A$1:$ZZ$502, 0, MATCH(1, (Data_Input!$7:$7="IRP")*(Data_Input!$8:$8=$B203), 0)), 0) + 1, MATCH(1, (Data_Input!$7:$7=$F$3)*(Data_Input!$8:$8=$B203), 0))/100,"")</f>
        <v/>
      </c>
      <c r="K203" t="str" cm="1">
        <f t="array" ref="K203">IFERROR(_xlfn.LET(
    _xlpm.targetDate, B203,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04" spans="1:11" x14ac:dyDescent="0.3">
      <c r="A204" s="16" t="str">
        <f t="shared" si="6"/>
        <v/>
      </c>
      <c r="B204" s="19"/>
      <c r="C204" s="17" t="str">
        <f t="shared" si="7"/>
        <v/>
      </c>
      <c r="D204" s="42" t="str" cm="1">
        <f t="array" ref="D204">IFERROR(INDEX(Data_Input!$1:$100, 10, MATCH(1, (Data_Input!$7:$7=$F$3) * (Data_Input!$8:$8=$B204), 0)), "")</f>
        <v/>
      </c>
      <c r="E204" s="29" t="str" cm="1">
        <f t="array" ref="E204">IFERROR(INDEX(Data_Input!$1:$100, 9, MATCH(1, (Data_Input!$7:$7=$F$3) * (Data_Input!$8:$8=$B204), 0)),"")</f>
        <v/>
      </c>
      <c r="F204" s="20" t="str" cm="1">
        <f t="array" ref="F204">IFERROR(INDEX(Data_Input!$A$1:$ZZ$502, MATCH("플랜번호", INDEX(Data_Input!$A$1:$ZZ$502, 0, MATCH(1, (Data_Input!$7:$7="IRP")*(Data_Input!$8:$8=$B204), 0)), 0) + 1, MATCH(1, (Data_Input!$7:$7=$F$3)*(Data_Input!$8:$8=$B204), 0)),"")</f>
        <v/>
      </c>
      <c r="G204" s="20" t="str" cm="1">
        <f t="array" ref="G204">IFERROR(INDEX(Data_Input!$A$1:$ZZ$502, MATCH("플랜명", INDEX(Data_Input!$A$1:$ZZ$502, 0, MATCH(1, (Data_Input!$7:$7="IRP")*(Data_Input!$8:$8=$B204), 0)), 0) + 1, MATCH(1, (Data_Input!$7:$7=$F$3)*(Data_Input!$8:$8=$B204), 0)),"")</f>
        <v/>
      </c>
      <c r="H204" s="20" t="str" cm="1">
        <f t="array" ref="H204">IFERROR(INDEX(Data_Input!$A$1:$ZZ$502, MATCH("평가금액", INDEX(Data_Input!$A$1:$ZZ$502, 0, MATCH(1, (Data_Input!$7:$7="IRP")*(Data_Input!$8:$8=$B204), 0)), 0) + 1, MATCH(1, (Data_Input!$7:$7=$F$3)*(Data_Input!$8:$8=$B204), 0)),"")</f>
        <v/>
      </c>
      <c r="I204" s="20" t="str" cm="1">
        <f t="array" ref="I204">IFERROR(INDEX(Data_Input!$A$1:$ZZ$502, MATCH("평가손익", INDEX(Data_Input!$A$1:$ZZ$502, 0, MATCH(1, (Data_Input!$7:$7="IRP")*(Data_Input!$8:$8=$B204), 0)), 0) + 1, MATCH(1, (Data_Input!$7:$7=$F$3)*(Data_Input!$8:$8=$B204), 0)),"")</f>
        <v/>
      </c>
      <c r="J204" s="14" t="str" cm="1">
        <f t="array" ref="J204">IFERROR(INDEX(Data_Input!$A$1:$ZZ$502, MATCH("누적수익률", INDEX(Data_Input!$A$1:$ZZ$502, 0, MATCH(1, (Data_Input!$7:$7="IRP")*(Data_Input!$8:$8=$B204), 0)), 0) + 1, MATCH(1, (Data_Input!$7:$7=$F$3)*(Data_Input!$8:$8=$B204), 0))/100,"")</f>
        <v/>
      </c>
      <c r="K204" t="str" cm="1">
        <f t="array" ref="K204">IFERROR(_xlfn.LET(
    _xlpm.targetDate, B204,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05" spans="1:11" x14ac:dyDescent="0.3">
      <c r="A205" s="16" t="str">
        <f t="shared" si="6"/>
        <v/>
      </c>
      <c r="B205" s="19"/>
      <c r="C205" s="17" t="str">
        <f t="shared" si="7"/>
        <v/>
      </c>
      <c r="D205" s="42" t="str" cm="1">
        <f t="array" ref="D205">IFERROR(INDEX(Data_Input!$1:$100, 10, MATCH(1, (Data_Input!$7:$7=$F$3) * (Data_Input!$8:$8=$B205), 0)), "")</f>
        <v/>
      </c>
      <c r="E205" s="29" t="str" cm="1">
        <f t="array" ref="E205">IFERROR(INDEX(Data_Input!$1:$100, 9, MATCH(1, (Data_Input!$7:$7=$F$3) * (Data_Input!$8:$8=$B205), 0)),"")</f>
        <v/>
      </c>
      <c r="F205" s="20" t="str" cm="1">
        <f t="array" ref="F205">IFERROR(INDEX(Data_Input!$A$1:$ZZ$502, MATCH("플랜번호", INDEX(Data_Input!$A$1:$ZZ$502, 0, MATCH(1, (Data_Input!$7:$7="IRP")*(Data_Input!$8:$8=$B205), 0)), 0) + 1, MATCH(1, (Data_Input!$7:$7=$F$3)*(Data_Input!$8:$8=$B205), 0)),"")</f>
        <v/>
      </c>
      <c r="G205" s="20" t="str" cm="1">
        <f t="array" ref="G205">IFERROR(INDEX(Data_Input!$A$1:$ZZ$502, MATCH("플랜명", INDEX(Data_Input!$A$1:$ZZ$502, 0, MATCH(1, (Data_Input!$7:$7="IRP")*(Data_Input!$8:$8=$B205), 0)), 0) + 1, MATCH(1, (Data_Input!$7:$7=$F$3)*(Data_Input!$8:$8=$B205), 0)),"")</f>
        <v/>
      </c>
      <c r="H205" s="20" t="str" cm="1">
        <f t="array" ref="H205">IFERROR(INDEX(Data_Input!$A$1:$ZZ$502, MATCH("평가금액", INDEX(Data_Input!$A$1:$ZZ$502, 0, MATCH(1, (Data_Input!$7:$7="IRP")*(Data_Input!$8:$8=$B205), 0)), 0) + 1, MATCH(1, (Data_Input!$7:$7=$F$3)*(Data_Input!$8:$8=$B205), 0)),"")</f>
        <v/>
      </c>
      <c r="I205" s="20" t="str" cm="1">
        <f t="array" ref="I205">IFERROR(INDEX(Data_Input!$A$1:$ZZ$502, MATCH("평가손익", INDEX(Data_Input!$A$1:$ZZ$502, 0, MATCH(1, (Data_Input!$7:$7="IRP")*(Data_Input!$8:$8=$B205), 0)), 0) + 1, MATCH(1, (Data_Input!$7:$7=$F$3)*(Data_Input!$8:$8=$B205), 0)),"")</f>
        <v/>
      </c>
      <c r="J205" s="14" t="str" cm="1">
        <f t="array" ref="J205">IFERROR(INDEX(Data_Input!$A$1:$ZZ$502, MATCH("누적수익률", INDEX(Data_Input!$A$1:$ZZ$502, 0, MATCH(1, (Data_Input!$7:$7="IRP")*(Data_Input!$8:$8=$B205), 0)), 0) + 1, MATCH(1, (Data_Input!$7:$7=$F$3)*(Data_Input!$8:$8=$B205), 0))/100,"")</f>
        <v/>
      </c>
      <c r="K205" t="str" cm="1">
        <f t="array" ref="K205">IFERROR(_xlfn.LET(
    _xlpm.targetDate, B205,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06" spans="1:11" x14ac:dyDescent="0.3">
      <c r="A206" s="16" t="str">
        <f t="shared" si="6"/>
        <v/>
      </c>
      <c r="B206" s="19"/>
      <c r="C206" s="17" t="str">
        <f t="shared" si="7"/>
        <v/>
      </c>
      <c r="D206" s="42" t="str" cm="1">
        <f t="array" ref="D206">IFERROR(INDEX(Data_Input!$1:$100, 10, MATCH(1, (Data_Input!$7:$7=$F$3) * (Data_Input!$8:$8=$B206), 0)), "")</f>
        <v/>
      </c>
      <c r="E206" s="29" t="str" cm="1">
        <f t="array" ref="E206">IFERROR(INDEX(Data_Input!$1:$100, 9, MATCH(1, (Data_Input!$7:$7=$F$3) * (Data_Input!$8:$8=$B206), 0)),"")</f>
        <v/>
      </c>
      <c r="F206" s="20" t="str" cm="1">
        <f t="array" ref="F206">IFERROR(INDEX(Data_Input!$A$1:$ZZ$502, MATCH("플랜번호", INDEX(Data_Input!$A$1:$ZZ$502, 0, MATCH(1, (Data_Input!$7:$7="IRP")*(Data_Input!$8:$8=$B206), 0)), 0) + 1, MATCH(1, (Data_Input!$7:$7=$F$3)*(Data_Input!$8:$8=$B206), 0)),"")</f>
        <v/>
      </c>
      <c r="G206" s="20" t="str" cm="1">
        <f t="array" ref="G206">IFERROR(INDEX(Data_Input!$A$1:$ZZ$502, MATCH("플랜명", INDEX(Data_Input!$A$1:$ZZ$502, 0, MATCH(1, (Data_Input!$7:$7="IRP")*(Data_Input!$8:$8=$B206), 0)), 0) + 1, MATCH(1, (Data_Input!$7:$7=$F$3)*(Data_Input!$8:$8=$B206), 0)),"")</f>
        <v/>
      </c>
      <c r="H206" s="20" t="str" cm="1">
        <f t="array" ref="H206">IFERROR(INDEX(Data_Input!$A$1:$ZZ$502, MATCH("평가금액", INDEX(Data_Input!$A$1:$ZZ$502, 0, MATCH(1, (Data_Input!$7:$7="IRP")*(Data_Input!$8:$8=$B206), 0)), 0) + 1, MATCH(1, (Data_Input!$7:$7=$F$3)*(Data_Input!$8:$8=$B206), 0)),"")</f>
        <v/>
      </c>
      <c r="I206" s="20" t="str" cm="1">
        <f t="array" ref="I206">IFERROR(INDEX(Data_Input!$A$1:$ZZ$502, MATCH("평가손익", INDEX(Data_Input!$A$1:$ZZ$502, 0, MATCH(1, (Data_Input!$7:$7="IRP")*(Data_Input!$8:$8=$B206), 0)), 0) + 1, MATCH(1, (Data_Input!$7:$7=$F$3)*(Data_Input!$8:$8=$B206), 0)),"")</f>
        <v/>
      </c>
      <c r="J206" s="14" t="str" cm="1">
        <f t="array" ref="J206">IFERROR(INDEX(Data_Input!$A$1:$ZZ$502, MATCH("누적수익률", INDEX(Data_Input!$A$1:$ZZ$502, 0, MATCH(1, (Data_Input!$7:$7="IRP")*(Data_Input!$8:$8=$B206), 0)), 0) + 1, MATCH(1, (Data_Input!$7:$7=$F$3)*(Data_Input!$8:$8=$B206), 0))/100,"")</f>
        <v/>
      </c>
      <c r="K206" t="str" cm="1">
        <f t="array" ref="K206">IFERROR(_xlfn.LET(
    _xlpm.targetDate, B206,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07" spans="1:11" x14ac:dyDescent="0.3">
      <c r="A207" s="16" t="str">
        <f t="shared" si="6"/>
        <v/>
      </c>
      <c r="B207" s="19"/>
      <c r="C207" s="17" t="str">
        <f t="shared" si="7"/>
        <v/>
      </c>
      <c r="D207" s="42" t="str" cm="1">
        <f t="array" ref="D207">IFERROR(INDEX(Data_Input!$1:$100, 10, MATCH(1, (Data_Input!$7:$7=$F$3) * (Data_Input!$8:$8=$B207), 0)), "")</f>
        <v/>
      </c>
      <c r="E207" s="29" t="str" cm="1">
        <f t="array" ref="E207">IFERROR(INDEX(Data_Input!$1:$100, 9, MATCH(1, (Data_Input!$7:$7=$F$3) * (Data_Input!$8:$8=$B207), 0)),"")</f>
        <v/>
      </c>
      <c r="F207" s="20" t="str" cm="1">
        <f t="array" ref="F207">IFERROR(INDEX(Data_Input!$A$1:$ZZ$502, MATCH("플랜번호", INDEX(Data_Input!$A$1:$ZZ$502, 0, MATCH(1, (Data_Input!$7:$7="IRP")*(Data_Input!$8:$8=$B207), 0)), 0) + 1, MATCH(1, (Data_Input!$7:$7=$F$3)*(Data_Input!$8:$8=$B207), 0)),"")</f>
        <v/>
      </c>
      <c r="G207" s="20" t="str" cm="1">
        <f t="array" ref="G207">IFERROR(INDEX(Data_Input!$A$1:$ZZ$502, MATCH("플랜명", INDEX(Data_Input!$A$1:$ZZ$502, 0, MATCH(1, (Data_Input!$7:$7="IRP")*(Data_Input!$8:$8=$B207), 0)), 0) + 1, MATCH(1, (Data_Input!$7:$7=$F$3)*(Data_Input!$8:$8=$B207), 0)),"")</f>
        <v/>
      </c>
      <c r="H207" s="20" t="str" cm="1">
        <f t="array" ref="H207">IFERROR(INDEX(Data_Input!$A$1:$ZZ$502, MATCH("평가금액", INDEX(Data_Input!$A$1:$ZZ$502, 0, MATCH(1, (Data_Input!$7:$7="IRP")*(Data_Input!$8:$8=$B207), 0)), 0) + 1, MATCH(1, (Data_Input!$7:$7=$F$3)*(Data_Input!$8:$8=$B207), 0)),"")</f>
        <v/>
      </c>
      <c r="I207" s="20" t="str" cm="1">
        <f t="array" ref="I207">IFERROR(INDEX(Data_Input!$A$1:$ZZ$502, MATCH("평가손익", INDEX(Data_Input!$A$1:$ZZ$502, 0, MATCH(1, (Data_Input!$7:$7="IRP")*(Data_Input!$8:$8=$B207), 0)), 0) + 1, MATCH(1, (Data_Input!$7:$7=$F$3)*(Data_Input!$8:$8=$B207), 0)),"")</f>
        <v/>
      </c>
      <c r="J207" s="14" t="str" cm="1">
        <f t="array" ref="J207">IFERROR(INDEX(Data_Input!$A$1:$ZZ$502, MATCH("누적수익률", INDEX(Data_Input!$A$1:$ZZ$502, 0, MATCH(1, (Data_Input!$7:$7="IRP")*(Data_Input!$8:$8=$B207), 0)), 0) + 1, MATCH(1, (Data_Input!$7:$7=$F$3)*(Data_Input!$8:$8=$B207), 0))/100,"")</f>
        <v/>
      </c>
      <c r="K207" t="str" cm="1">
        <f t="array" ref="K207">IFERROR(_xlfn.LET(
    _xlpm.targetDate, B207,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08" spans="1:11" x14ac:dyDescent="0.3">
      <c r="A208" s="16" t="str">
        <f t="shared" si="6"/>
        <v/>
      </c>
      <c r="B208" s="19"/>
      <c r="C208" s="17" t="str">
        <f t="shared" si="7"/>
        <v/>
      </c>
      <c r="D208" s="42" t="str" cm="1">
        <f t="array" ref="D208">IFERROR(INDEX(Data_Input!$1:$100, 10, MATCH(1, (Data_Input!$7:$7=$F$3) * (Data_Input!$8:$8=$B208), 0)), "")</f>
        <v/>
      </c>
      <c r="E208" s="29" t="str" cm="1">
        <f t="array" ref="E208">IFERROR(INDEX(Data_Input!$1:$100, 9, MATCH(1, (Data_Input!$7:$7=$F$3) * (Data_Input!$8:$8=$B208), 0)),"")</f>
        <v/>
      </c>
      <c r="F208" s="20" t="str" cm="1">
        <f t="array" ref="F208">IFERROR(INDEX(Data_Input!$A$1:$ZZ$502, MATCH("플랜번호", INDEX(Data_Input!$A$1:$ZZ$502, 0, MATCH(1, (Data_Input!$7:$7="IRP")*(Data_Input!$8:$8=$B208), 0)), 0) + 1, MATCH(1, (Data_Input!$7:$7=$F$3)*(Data_Input!$8:$8=$B208), 0)),"")</f>
        <v/>
      </c>
      <c r="G208" s="20" t="str" cm="1">
        <f t="array" ref="G208">IFERROR(INDEX(Data_Input!$A$1:$ZZ$502, MATCH("플랜명", INDEX(Data_Input!$A$1:$ZZ$502, 0, MATCH(1, (Data_Input!$7:$7="IRP")*(Data_Input!$8:$8=$B208), 0)), 0) + 1, MATCH(1, (Data_Input!$7:$7=$F$3)*(Data_Input!$8:$8=$B208), 0)),"")</f>
        <v/>
      </c>
      <c r="H208" s="20" t="str" cm="1">
        <f t="array" ref="H208">IFERROR(INDEX(Data_Input!$A$1:$ZZ$502, MATCH("평가금액", INDEX(Data_Input!$A$1:$ZZ$502, 0, MATCH(1, (Data_Input!$7:$7="IRP")*(Data_Input!$8:$8=$B208), 0)), 0) + 1, MATCH(1, (Data_Input!$7:$7=$F$3)*(Data_Input!$8:$8=$B208), 0)),"")</f>
        <v/>
      </c>
      <c r="I208" s="20" t="str" cm="1">
        <f t="array" ref="I208">IFERROR(INDEX(Data_Input!$A$1:$ZZ$502, MATCH("평가손익", INDEX(Data_Input!$A$1:$ZZ$502, 0, MATCH(1, (Data_Input!$7:$7="IRP")*(Data_Input!$8:$8=$B208), 0)), 0) + 1, MATCH(1, (Data_Input!$7:$7=$F$3)*(Data_Input!$8:$8=$B208), 0)),"")</f>
        <v/>
      </c>
      <c r="J208" s="14" t="str" cm="1">
        <f t="array" ref="J208">IFERROR(INDEX(Data_Input!$A$1:$ZZ$502, MATCH("누적수익률", INDEX(Data_Input!$A$1:$ZZ$502, 0, MATCH(1, (Data_Input!$7:$7="IRP")*(Data_Input!$8:$8=$B208), 0)), 0) + 1, MATCH(1, (Data_Input!$7:$7=$F$3)*(Data_Input!$8:$8=$B208), 0))/100,"")</f>
        <v/>
      </c>
      <c r="K208" t="str" cm="1">
        <f t="array" ref="K208">IFERROR(_xlfn.LET(
    _xlpm.targetDate, B208,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09" spans="1:11" x14ac:dyDescent="0.3">
      <c r="A209" s="16" t="str">
        <f t="shared" si="6"/>
        <v/>
      </c>
      <c r="B209" s="19"/>
      <c r="C209" s="17" t="str">
        <f t="shared" si="7"/>
        <v/>
      </c>
      <c r="D209" s="42" t="str" cm="1">
        <f t="array" ref="D209">IFERROR(INDEX(Data_Input!$1:$100, 10, MATCH(1, (Data_Input!$7:$7=$F$3) * (Data_Input!$8:$8=$B209), 0)), "")</f>
        <v/>
      </c>
      <c r="E209" s="29" t="str" cm="1">
        <f t="array" ref="E209">IFERROR(INDEX(Data_Input!$1:$100, 9, MATCH(1, (Data_Input!$7:$7=$F$3) * (Data_Input!$8:$8=$B209), 0)),"")</f>
        <v/>
      </c>
      <c r="F209" s="20" t="str" cm="1">
        <f t="array" ref="F209">IFERROR(INDEX(Data_Input!$A$1:$ZZ$502, MATCH("플랜번호", INDEX(Data_Input!$A$1:$ZZ$502, 0, MATCH(1, (Data_Input!$7:$7="IRP")*(Data_Input!$8:$8=$B209), 0)), 0) + 1, MATCH(1, (Data_Input!$7:$7=$F$3)*(Data_Input!$8:$8=$B209), 0)),"")</f>
        <v/>
      </c>
      <c r="G209" s="20" t="str" cm="1">
        <f t="array" ref="G209">IFERROR(INDEX(Data_Input!$A$1:$ZZ$502, MATCH("플랜명", INDEX(Data_Input!$A$1:$ZZ$502, 0, MATCH(1, (Data_Input!$7:$7="IRP")*(Data_Input!$8:$8=$B209), 0)), 0) + 1, MATCH(1, (Data_Input!$7:$7=$F$3)*(Data_Input!$8:$8=$B209), 0)),"")</f>
        <v/>
      </c>
      <c r="H209" s="20" t="str" cm="1">
        <f t="array" ref="H209">IFERROR(INDEX(Data_Input!$A$1:$ZZ$502, MATCH("평가금액", INDEX(Data_Input!$A$1:$ZZ$502, 0, MATCH(1, (Data_Input!$7:$7="IRP")*(Data_Input!$8:$8=$B209), 0)), 0) + 1, MATCH(1, (Data_Input!$7:$7=$F$3)*(Data_Input!$8:$8=$B209), 0)),"")</f>
        <v/>
      </c>
      <c r="I209" s="20" t="str" cm="1">
        <f t="array" ref="I209">IFERROR(INDEX(Data_Input!$A$1:$ZZ$502, MATCH("평가손익", INDEX(Data_Input!$A$1:$ZZ$502, 0, MATCH(1, (Data_Input!$7:$7="IRP")*(Data_Input!$8:$8=$B209), 0)), 0) + 1, MATCH(1, (Data_Input!$7:$7=$F$3)*(Data_Input!$8:$8=$B209), 0)),"")</f>
        <v/>
      </c>
      <c r="J209" s="14" t="str" cm="1">
        <f t="array" ref="J209">IFERROR(INDEX(Data_Input!$A$1:$ZZ$502, MATCH("누적수익률", INDEX(Data_Input!$A$1:$ZZ$502, 0, MATCH(1, (Data_Input!$7:$7="IRP")*(Data_Input!$8:$8=$B209), 0)), 0) + 1, MATCH(1, (Data_Input!$7:$7=$F$3)*(Data_Input!$8:$8=$B209), 0))/100,"")</f>
        <v/>
      </c>
      <c r="K209" t="str" cm="1">
        <f t="array" ref="K209">IFERROR(_xlfn.LET(
    _xlpm.targetDate, B209,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10" spans="1:11" x14ac:dyDescent="0.3">
      <c r="A210" s="16" t="str">
        <f t="shared" si="6"/>
        <v/>
      </c>
      <c r="B210" s="19"/>
      <c r="C210" s="17" t="str">
        <f t="shared" si="7"/>
        <v/>
      </c>
      <c r="D210" s="42" t="str" cm="1">
        <f t="array" ref="D210">IFERROR(INDEX(Data_Input!$1:$100, 10, MATCH(1, (Data_Input!$7:$7=$F$3) * (Data_Input!$8:$8=$B210), 0)), "")</f>
        <v/>
      </c>
      <c r="E210" s="29" t="str" cm="1">
        <f t="array" ref="E210">IFERROR(INDEX(Data_Input!$1:$100, 9, MATCH(1, (Data_Input!$7:$7=$F$3) * (Data_Input!$8:$8=$B210), 0)),"")</f>
        <v/>
      </c>
      <c r="F210" s="20" t="str" cm="1">
        <f t="array" ref="F210">IFERROR(INDEX(Data_Input!$A$1:$ZZ$502, MATCH("플랜번호", INDEX(Data_Input!$A$1:$ZZ$502, 0, MATCH(1, (Data_Input!$7:$7="IRP")*(Data_Input!$8:$8=$B210), 0)), 0) + 1, MATCH(1, (Data_Input!$7:$7=$F$3)*(Data_Input!$8:$8=$B210), 0)),"")</f>
        <v/>
      </c>
      <c r="G210" s="20" t="str" cm="1">
        <f t="array" ref="G210">IFERROR(INDEX(Data_Input!$A$1:$ZZ$502, MATCH("플랜명", INDEX(Data_Input!$A$1:$ZZ$502, 0, MATCH(1, (Data_Input!$7:$7="IRP")*(Data_Input!$8:$8=$B210), 0)), 0) + 1, MATCH(1, (Data_Input!$7:$7=$F$3)*(Data_Input!$8:$8=$B210), 0)),"")</f>
        <v/>
      </c>
      <c r="H210" s="20" t="str" cm="1">
        <f t="array" ref="H210">IFERROR(INDEX(Data_Input!$A$1:$ZZ$502, MATCH("평가금액", INDEX(Data_Input!$A$1:$ZZ$502, 0, MATCH(1, (Data_Input!$7:$7="IRP")*(Data_Input!$8:$8=$B210), 0)), 0) + 1, MATCH(1, (Data_Input!$7:$7=$F$3)*(Data_Input!$8:$8=$B210), 0)),"")</f>
        <v/>
      </c>
      <c r="I210" s="20" t="str" cm="1">
        <f t="array" ref="I210">IFERROR(INDEX(Data_Input!$A$1:$ZZ$502, MATCH("평가손익", INDEX(Data_Input!$A$1:$ZZ$502, 0, MATCH(1, (Data_Input!$7:$7="IRP")*(Data_Input!$8:$8=$B210), 0)), 0) + 1, MATCH(1, (Data_Input!$7:$7=$F$3)*(Data_Input!$8:$8=$B210), 0)),"")</f>
        <v/>
      </c>
      <c r="J210" s="14" t="str" cm="1">
        <f t="array" ref="J210">IFERROR(INDEX(Data_Input!$A$1:$ZZ$502, MATCH("누적수익률", INDEX(Data_Input!$A$1:$ZZ$502, 0, MATCH(1, (Data_Input!$7:$7="IRP")*(Data_Input!$8:$8=$B210), 0)), 0) + 1, MATCH(1, (Data_Input!$7:$7=$F$3)*(Data_Input!$8:$8=$B210), 0))/100,"")</f>
        <v/>
      </c>
      <c r="K210" t="str" cm="1">
        <f t="array" ref="K210">IFERROR(_xlfn.LET(
    _xlpm.targetDate, B210,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11" spans="1:11" x14ac:dyDescent="0.3">
      <c r="A211" s="16" t="str">
        <f t="shared" si="6"/>
        <v/>
      </c>
      <c r="B211" s="19"/>
      <c r="C211" s="17" t="str">
        <f t="shared" si="7"/>
        <v/>
      </c>
      <c r="D211" s="42" t="str" cm="1">
        <f t="array" ref="D211">IFERROR(INDEX(Data_Input!$1:$100, 10, MATCH(1, (Data_Input!$7:$7=$F$3) * (Data_Input!$8:$8=$B211), 0)), "")</f>
        <v/>
      </c>
      <c r="E211" s="29" t="str" cm="1">
        <f t="array" ref="E211">IFERROR(INDEX(Data_Input!$1:$100, 9, MATCH(1, (Data_Input!$7:$7=$F$3) * (Data_Input!$8:$8=$B211), 0)),"")</f>
        <v/>
      </c>
      <c r="F211" s="20" t="str" cm="1">
        <f t="array" ref="F211">IFERROR(INDEX(Data_Input!$A$1:$ZZ$502, MATCH("플랜번호", INDEX(Data_Input!$A$1:$ZZ$502, 0, MATCH(1, (Data_Input!$7:$7="IRP")*(Data_Input!$8:$8=$B211), 0)), 0) + 1, MATCH(1, (Data_Input!$7:$7=$F$3)*(Data_Input!$8:$8=$B211), 0)),"")</f>
        <v/>
      </c>
      <c r="G211" s="20" t="str" cm="1">
        <f t="array" ref="G211">IFERROR(INDEX(Data_Input!$A$1:$ZZ$502, MATCH("플랜명", INDEX(Data_Input!$A$1:$ZZ$502, 0, MATCH(1, (Data_Input!$7:$7="IRP")*(Data_Input!$8:$8=$B211), 0)), 0) + 1, MATCH(1, (Data_Input!$7:$7=$F$3)*(Data_Input!$8:$8=$B211), 0)),"")</f>
        <v/>
      </c>
      <c r="H211" s="20" t="str" cm="1">
        <f t="array" ref="H211">IFERROR(INDEX(Data_Input!$A$1:$ZZ$502, MATCH("평가금액", INDEX(Data_Input!$A$1:$ZZ$502, 0, MATCH(1, (Data_Input!$7:$7="IRP")*(Data_Input!$8:$8=$B211), 0)), 0) + 1, MATCH(1, (Data_Input!$7:$7=$F$3)*(Data_Input!$8:$8=$B211), 0)),"")</f>
        <v/>
      </c>
      <c r="I211" s="20" t="str" cm="1">
        <f t="array" ref="I211">IFERROR(INDEX(Data_Input!$A$1:$ZZ$502, MATCH("평가손익", INDEX(Data_Input!$A$1:$ZZ$502, 0, MATCH(1, (Data_Input!$7:$7="IRP")*(Data_Input!$8:$8=$B211), 0)), 0) + 1, MATCH(1, (Data_Input!$7:$7=$F$3)*(Data_Input!$8:$8=$B211), 0)),"")</f>
        <v/>
      </c>
      <c r="J211" s="14" t="str" cm="1">
        <f t="array" ref="J211">IFERROR(INDEX(Data_Input!$A$1:$ZZ$502, MATCH("누적수익률", INDEX(Data_Input!$A$1:$ZZ$502, 0, MATCH(1, (Data_Input!$7:$7="IRP")*(Data_Input!$8:$8=$B211), 0)), 0) + 1, MATCH(1, (Data_Input!$7:$7=$F$3)*(Data_Input!$8:$8=$B211), 0))/100,"")</f>
        <v/>
      </c>
      <c r="K211" t="str" cm="1">
        <f t="array" ref="K211">IFERROR(_xlfn.LET(
    _xlpm.targetDate, B211,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12" spans="1:11" x14ac:dyDescent="0.3">
      <c r="A212" s="16" t="str">
        <f t="shared" si="6"/>
        <v/>
      </c>
      <c r="B212" s="19"/>
      <c r="C212" s="17" t="str">
        <f t="shared" si="7"/>
        <v/>
      </c>
      <c r="D212" s="42" t="str" cm="1">
        <f t="array" ref="D212">IFERROR(INDEX(Data_Input!$1:$100, 10, MATCH(1, (Data_Input!$7:$7=$F$3) * (Data_Input!$8:$8=$B212), 0)), "")</f>
        <v/>
      </c>
      <c r="E212" s="29" t="str" cm="1">
        <f t="array" ref="E212">IFERROR(INDEX(Data_Input!$1:$100, 9, MATCH(1, (Data_Input!$7:$7=$F$3) * (Data_Input!$8:$8=$B212), 0)),"")</f>
        <v/>
      </c>
      <c r="F212" s="20" t="str" cm="1">
        <f t="array" ref="F212">IFERROR(INDEX(Data_Input!$A$1:$ZZ$502, MATCH("플랜번호", INDEX(Data_Input!$A$1:$ZZ$502, 0, MATCH(1, (Data_Input!$7:$7="IRP")*(Data_Input!$8:$8=$B212), 0)), 0) + 1, MATCH(1, (Data_Input!$7:$7=$F$3)*(Data_Input!$8:$8=$B212), 0)),"")</f>
        <v/>
      </c>
      <c r="G212" s="20" t="str" cm="1">
        <f t="array" ref="G212">IFERROR(INDEX(Data_Input!$A$1:$ZZ$502, MATCH("플랜명", INDEX(Data_Input!$A$1:$ZZ$502, 0, MATCH(1, (Data_Input!$7:$7="IRP")*(Data_Input!$8:$8=$B212), 0)), 0) + 1, MATCH(1, (Data_Input!$7:$7=$F$3)*(Data_Input!$8:$8=$B212), 0)),"")</f>
        <v/>
      </c>
      <c r="H212" s="20" t="str" cm="1">
        <f t="array" ref="H212">IFERROR(INDEX(Data_Input!$A$1:$ZZ$502, MATCH("평가금액", INDEX(Data_Input!$A$1:$ZZ$502, 0, MATCH(1, (Data_Input!$7:$7="IRP")*(Data_Input!$8:$8=$B212), 0)), 0) + 1, MATCH(1, (Data_Input!$7:$7=$F$3)*(Data_Input!$8:$8=$B212), 0)),"")</f>
        <v/>
      </c>
      <c r="I212" s="20" t="str" cm="1">
        <f t="array" ref="I212">IFERROR(INDEX(Data_Input!$A$1:$ZZ$502, MATCH("평가손익", INDEX(Data_Input!$A$1:$ZZ$502, 0, MATCH(1, (Data_Input!$7:$7="IRP")*(Data_Input!$8:$8=$B212), 0)), 0) + 1, MATCH(1, (Data_Input!$7:$7=$F$3)*(Data_Input!$8:$8=$B212), 0)),"")</f>
        <v/>
      </c>
      <c r="J212" s="14" t="str" cm="1">
        <f t="array" ref="J212">IFERROR(INDEX(Data_Input!$A$1:$ZZ$502, MATCH("누적수익률", INDEX(Data_Input!$A$1:$ZZ$502, 0, MATCH(1, (Data_Input!$7:$7="IRP")*(Data_Input!$8:$8=$B212), 0)), 0) + 1, MATCH(1, (Data_Input!$7:$7=$F$3)*(Data_Input!$8:$8=$B212), 0))/100,"")</f>
        <v/>
      </c>
      <c r="K212" t="str" cm="1">
        <f t="array" ref="K212">IFERROR(_xlfn.LET(
    _xlpm.targetDate, B212,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13" spans="1:11" x14ac:dyDescent="0.3">
      <c r="A213" s="16" t="str">
        <f t="shared" si="6"/>
        <v/>
      </c>
      <c r="B213" s="19"/>
      <c r="C213" s="17" t="str">
        <f t="shared" si="7"/>
        <v/>
      </c>
      <c r="D213" s="42" t="str" cm="1">
        <f t="array" ref="D213">IFERROR(INDEX(Data_Input!$1:$100, 10, MATCH(1, (Data_Input!$7:$7=$F$3) * (Data_Input!$8:$8=$B213), 0)), "")</f>
        <v/>
      </c>
      <c r="E213" s="29" t="str" cm="1">
        <f t="array" ref="E213">IFERROR(INDEX(Data_Input!$1:$100, 9, MATCH(1, (Data_Input!$7:$7=$F$3) * (Data_Input!$8:$8=$B213), 0)),"")</f>
        <v/>
      </c>
      <c r="F213" s="20" t="str" cm="1">
        <f t="array" ref="F213">IFERROR(INDEX(Data_Input!$A$1:$ZZ$502, MATCH("플랜번호", INDEX(Data_Input!$A$1:$ZZ$502, 0, MATCH(1, (Data_Input!$7:$7="IRP")*(Data_Input!$8:$8=$B213), 0)), 0) + 1, MATCH(1, (Data_Input!$7:$7=$F$3)*(Data_Input!$8:$8=$B213), 0)),"")</f>
        <v/>
      </c>
      <c r="G213" s="20" t="str" cm="1">
        <f t="array" ref="G213">IFERROR(INDEX(Data_Input!$A$1:$ZZ$502, MATCH("플랜명", INDEX(Data_Input!$A$1:$ZZ$502, 0, MATCH(1, (Data_Input!$7:$7="IRP")*(Data_Input!$8:$8=$B213), 0)), 0) + 1, MATCH(1, (Data_Input!$7:$7=$F$3)*(Data_Input!$8:$8=$B213), 0)),"")</f>
        <v/>
      </c>
      <c r="H213" s="20" t="str" cm="1">
        <f t="array" ref="H213">IFERROR(INDEX(Data_Input!$A$1:$ZZ$502, MATCH("평가금액", INDEX(Data_Input!$A$1:$ZZ$502, 0, MATCH(1, (Data_Input!$7:$7="IRP")*(Data_Input!$8:$8=$B213), 0)), 0) + 1, MATCH(1, (Data_Input!$7:$7=$F$3)*(Data_Input!$8:$8=$B213), 0)),"")</f>
        <v/>
      </c>
      <c r="I213" s="20" t="str" cm="1">
        <f t="array" ref="I213">IFERROR(INDEX(Data_Input!$A$1:$ZZ$502, MATCH("평가손익", INDEX(Data_Input!$A$1:$ZZ$502, 0, MATCH(1, (Data_Input!$7:$7="IRP")*(Data_Input!$8:$8=$B213), 0)), 0) + 1, MATCH(1, (Data_Input!$7:$7=$F$3)*(Data_Input!$8:$8=$B213), 0)),"")</f>
        <v/>
      </c>
      <c r="J213" s="14" t="str" cm="1">
        <f t="array" ref="J213">IFERROR(INDEX(Data_Input!$A$1:$ZZ$502, MATCH("누적수익률", INDEX(Data_Input!$A$1:$ZZ$502, 0, MATCH(1, (Data_Input!$7:$7="IRP")*(Data_Input!$8:$8=$B213), 0)), 0) + 1, MATCH(1, (Data_Input!$7:$7=$F$3)*(Data_Input!$8:$8=$B213), 0))/100,"")</f>
        <v/>
      </c>
      <c r="K213" t="str" cm="1">
        <f t="array" ref="K213">IFERROR(_xlfn.LET(
    _xlpm.targetDate, B213,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14" spans="1:11" x14ac:dyDescent="0.3">
      <c r="A214" s="16" t="str">
        <f t="shared" si="6"/>
        <v/>
      </c>
      <c r="B214" s="19"/>
      <c r="C214" s="17" t="str">
        <f t="shared" si="7"/>
        <v/>
      </c>
      <c r="D214" s="42" t="str" cm="1">
        <f t="array" ref="D214">IFERROR(INDEX(Data_Input!$1:$100, 10, MATCH(1, (Data_Input!$7:$7=$F$3) * (Data_Input!$8:$8=$B214), 0)), "")</f>
        <v/>
      </c>
      <c r="E214" s="29" t="str" cm="1">
        <f t="array" ref="E214">IFERROR(INDEX(Data_Input!$1:$100, 9, MATCH(1, (Data_Input!$7:$7=$F$3) * (Data_Input!$8:$8=$B214), 0)),"")</f>
        <v/>
      </c>
      <c r="F214" s="20" t="str" cm="1">
        <f t="array" ref="F214">IFERROR(INDEX(Data_Input!$A$1:$ZZ$502, MATCH("플랜번호", INDEX(Data_Input!$A$1:$ZZ$502, 0, MATCH(1, (Data_Input!$7:$7="IRP")*(Data_Input!$8:$8=$B214), 0)), 0) + 1, MATCH(1, (Data_Input!$7:$7=$F$3)*(Data_Input!$8:$8=$B214), 0)),"")</f>
        <v/>
      </c>
      <c r="G214" s="20" t="str" cm="1">
        <f t="array" ref="G214">IFERROR(INDEX(Data_Input!$A$1:$ZZ$502, MATCH("플랜명", INDEX(Data_Input!$A$1:$ZZ$502, 0, MATCH(1, (Data_Input!$7:$7="IRP")*(Data_Input!$8:$8=$B214), 0)), 0) + 1, MATCH(1, (Data_Input!$7:$7=$F$3)*(Data_Input!$8:$8=$B214), 0)),"")</f>
        <v/>
      </c>
      <c r="H214" s="20" t="str" cm="1">
        <f t="array" ref="H214">IFERROR(INDEX(Data_Input!$A$1:$ZZ$502, MATCH("평가금액", INDEX(Data_Input!$A$1:$ZZ$502, 0, MATCH(1, (Data_Input!$7:$7="IRP")*(Data_Input!$8:$8=$B214), 0)), 0) + 1, MATCH(1, (Data_Input!$7:$7=$F$3)*(Data_Input!$8:$8=$B214), 0)),"")</f>
        <v/>
      </c>
      <c r="I214" s="20" t="str" cm="1">
        <f t="array" ref="I214">IFERROR(INDEX(Data_Input!$A$1:$ZZ$502, MATCH("평가손익", INDEX(Data_Input!$A$1:$ZZ$502, 0, MATCH(1, (Data_Input!$7:$7="IRP")*(Data_Input!$8:$8=$B214), 0)), 0) + 1, MATCH(1, (Data_Input!$7:$7=$F$3)*(Data_Input!$8:$8=$B214), 0)),"")</f>
        <v/>
      </c>
      <c r="J214" s="14" t="str" cm="1">
        <f t="array" ref="J214">IFERROR(INDEX(Data_Input!$A$1:$ZZ$502, MATCH("누적수익률", INDEX(Data_Input!$A$1:$ZZ$502, 0, MATCH(1, (Data_Input!$7:$7="IRP")*(Data_Input!$8:$8=$B214), 0)), 0) + 1, MATCH(1, (Data_Input!$7:$7=$F$3)*(Data_Input!$8:$8=$B214), 0))/100,"")</f>
        <v/>
      </c>
      <c r="K214" t="str" cm="1">
        <f t="array" ref="K214">IFERROR(_xlfn.LET(
    _xlpm.targetDate, B214,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15" spans="1:11" x14ac:dyDescent="0.3">
      <c r="A215" s="16" t="str">
        <f t="shared" si="6"/>
        <v/>
      </c>
      <c r="B215" s="19"/>
      <c r="C215" s="17" t="str">
        <f t="shared" si="7"/>
        <v/>
      </c>
      <c r="D215" s="42" t="str" cm="1">
        <f t="array" ref="D215">IFERROR(INDEX(Data_Input!$1:$100, 10, MATCH(1, (Data_Input!$7:$7=$F$3) * (Data_Input!$8:$8=$B215), 0)), "")</f>
        <v/>
      </c>
      <c r="E215" s="29" t="str" cm="1">
        <f t="array" ref="E215">IFERROR(INDEX(Data_Input!$1:$100, 9, MATCH(1, (Data_Input!$7:$7=$F$3) * (Data_Input!$8:$8=$B215), 0)),"")</f>
        <v/>
      </c>
      <c r="F215" s="20" t="str" cm="1">
        <f t="array" ref="F215">IFERROR(INDEX(Data_Input!$A$1:$ZZ$502, MATCH("플랜번호", INDEX(Data_Input!$A$1:$ZZ$502, 0, MATCH(1, (Data_Input!$7:$7="IRP")*(Data_Input!$8:$8=$B215), 0)), 0) + 1, MATCH(1, (Data_Input!$7:$7=$F$3)*(Data_Input!$8:$8=$B215), 0)),"")</f>
        <v/>
      </c>
      <c r="G215" s="20" t="str" cm="1">
        <f t="array" ref="G215">IFERROR(INDEX(Data_Input!$A$1:$ZZ$502, MATCH("플랜명", INDEX(Data_Input!$A$1:$ZZ$502, 0, MATCH(1, (Data_Input!$7:$7="IRP")*(Data_Input!$8:$8=$B215), 0)), 0) + 1, MATCH(1, (Data_Input!$7:$7=$F$3)*(Data_Input!$8:$8=$B215), 0)),"")</f>
        <v/>
      </c>
      <c r="H215" s="20" t="str" cm="1">
        <f t="array" ref="H215">IFERROR(INDEX(Data_Input!$A$1:$ZZ$502, MATCH("평가금액", INDEX(Data_Input!$A$1:$ZZ$502, 0, MATCH(1, (Data_Input!$7:$7="IRP")*(Data_Input!$8:$8=$B215), 0)), 0) + 1, MATCH(1, (Data_Input!$7:$7=$F$3)*(Data_Input!$8:$8=$B215), 0)),"")</f>
        <v/>
      </c>
      <c r="I215" s="20" t="str" cm="1">
        <f t="array" ref="I215">IFERROR(INDEX(Data_Input!$A$1:$ZZ$502, MATCH("평가손익", INDEX(Data_Input!$A$1:$ZZ$502, 0, MATCH(1, (Data_Input!$7:$7="IRP")*(Data_Input!$8:$8=$B215), 0)), 0) + 1, MATCH(1, (Data_Input!$7:$7=$F$3)*(Data_Input!$8:$8=$B215), 0)),"")</f>
        <v/>
      </c>
      <c r="J215" s="14" t="str" cm="1">
        <f t="array" ref="J215">IFERROR(INDEX(Data_Input!$A$1:$ZZ$502, MATCH("누적수익률", INDEX(Data_Input!$A$1:$ZZ$502, 0, MATCH(1, (Data_Input!$7:$7="IRP")*(Data_Input!$8:$8=$B215), 0)), 0) + 1, MATCH(1, (Data_Input!$7:$7=$F$3)*(Data_Input!$8:$8=$B215), 0))/100,"")</f>
        <v/>
      </c>
      <c r="K215" t="str" cm="1">
        <f t="array" ref="K215">IFERROR(_xlfn.LET(
    _xlpm.targetDate, B215,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16" spans="1:11" x14ac:dyDescent="0.3">
      <c r="A216" s="16" t="str">
        <f t="shared" si="6"/>
        <v/>
      </c>
      <c r="B216" s="19"/>
      <c r="C216" s="17" t="str">
        <f t="shared" si="7"/>
        <v/>
      </c>
      <c r="D216" s="42" t="str" cm="1">
        <f t="array" ref="D216">IFERROR(INDEX(Data_Input!$1:$100, 10, MATCH(1, (Data_Input!$7:$7=$F$3) * (Data_Input!$8:$8=$B216), 0)), "")</f>
        <v/>
      </c>
      <c r="E216" s="29" t="str" cm="1">
        <f t="array" ref="E216">IFERROR(INDEX(Data_Input!$1:$100, 9, MATCH(1, (Data_Input!$7:$7=$F$3) * (Data_Input!$8:$8=$B216), 0)),"")</f>
        <v/>
      </c>
      <c r="F216" s="20" t="str" cm="1">
        <f t="array" ref="F216">IFERROR(INDEX(Data_Input!$A$1:$ZZ$502, MATCH("플랜번호", INDEX(Data_Input!$A$1:$ZZ$502, 0, MATCH(1, (Data_Input!$7:$7="IRP")*(Data_Input!$8:$8=$B216), 0)), 0) + 1, MATCH(1, (Data_Input!$7:$7=$F$3)*(Data_Input!$8:$8=$B216), 0)),"")</f>
        <v/>
      </c>
      <c r="G216" s="20" t="str" cm="1">
        <f t="array" ref="G216">IFERROR(INDEX(Data_Input!$A$1:$ZZ$502, MATCH("플랜명", INDEX(Data_Input!$A$1:$ZZ$502, 0, MATCH(1, (Data_Input!$7:$7="IRP")*(Data_Input!$8:$8=$B216), 0)), 0) + 1, MATCH(1, (Data_Input!$7:$7=$F$3)*(Data_Input!$8:$8=$B216), 0)),"")</f>
        <v/>
      </c>
      <c r="H216" s="20" t="str" cm="1">
        <f t="array" ref="H216">IFERROR(INDEX(Data_Input!$A$1:$ZZ$502, MATCH("평가금액", INDEX(Data_Input!$A$1:$ZZ$502, 0, MATCH(1, (Data_Input!$7:$7="IRP")*(Data_Input!$8:$8=$B216), 0)), 0) + 1, MATCH(1, (Data_Input!$7:$7=$F$3)*(Data_Input!$8:$8=$B216), 0)),"")</f>
        <v/>
      </c>
      <c r="I216" s="20" t="str" cm="1">
        <f t="array" ref="I216">IFERROR(INDEX(Data_Input!$A$1:$ZZ$502, MATCH("평가손익", INDEX(Data_Input!$A$1:$ZZ$502, 0, MATCH(1, (Data_Input!$7:$7="IRP")*(Data_Input!$8:$8=$B216), 0)), 0) + 1, MATCH(1, (Data_Input!$7:$7=$F$3)*(Data_Input!$8:$8=$B216), 0)),"")</f>
        <v/>
      </c>
      <c r="J216" s="14" t="str" cm="1">
        <f t="array" ref="J216">IFERROR(INDEX(Data_Input!$A$1:$ZZ$502, MATCH("누적수익률", INDEX(Data_Input!$A$1:$ZZ$502, 0, MATCH(1, (Data_Input!$7:$7="IRP")*(Data_Input!$8:$8=$B216), 0)), 0) + 1, MATCH(1, (Data_Input!$7:$7=$F$3)*(Data_Input!$8:$8=$B216), 0))/100,"")</f>
        <v/>
      </c>
      <c r="K216" t="str" cm="1">
        <f t="array" ref="K216">IFERROR(_xlfn.LET(
    _xlpm.targetDate, B216,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17" spans="1:11" x14ac:dyDescent="0.3">
      <c r="A217" s="16" t="str">
        <f t="shared" si="6"/>
        <v/>
      </c>
      <c r="B217" s="19"/>
      <c r="C217" s="17" t="str">
        <f t="shared" si="7"/>
        <v/>
      </c>
      <c r="D217" s="42" t="str" cm="1">
        <f t="array" ref="D217">IFERROR(INDEX(Data_Input!$1:$100, 10, MATCH(1, (Data_Input!$7:$7=$F$3) * (Data_Input!$8:$8=$B217), 0)), "")</f>
        <v/>
      </c>
      <c r="E217" s="29" t="str" cm="1">
        <f t="array" ref="E217">IFERROR(INDEX(Data_Input!$1:$100, 9, MATCH(1, (Data_Input!$7:$7=$F$3) * (Data_Input!$8:$8=$B217), 0)),"")</f>
        <v/>
      </c>
      <c r="F217" s="20" t="str" cm="1">
        <f t="array" ref="F217">IFERROR(INDEX(Data_Input!$A$1:$ZZ$502, MATCH("플랜번호", INDEX(Data_Input!$A$1:$ZZ$502, 0, MATCH(1, (Data_Input!$7:$7="IRP")*(Data_Input!$8:$8=$B217), 0)), 0) + 1, MATCH(1, (Data_Input!$7:$7=$F$3)*(Data_Input!$8:$8=$B217), 0)),"")</f>
        <v/>
      </c>
      <c r="G217" s="20" t="str" cm="1">
        <f t="array" ref="G217">IFERROR(INDEX(Data_Input!$A$1:$ZZ$502, MATCH("플랜명", INDEX(Data_Input!$A$1:$ZZ$502, 0, MATCH(1, (Data_Input!$7:$7="IRP")*(Data_Input!$8:$8=$B217), 0)), 0) + 1, MATCH(1, (Data_Input!$7:$7=$F$3)*(Data_Input!$8:$8=$B217), 0)),"")</f>
        <v/>
      </c>
      <c r="H217" s="20" t="str" cm="1">
        <f t="array" ref="H217">IFERROR(INDEX(Data_Input!$A$1:$ZZ$502, MATCH("평가금액", INDEX(Data_Input!$A$1:$ZZ$502, 0, MATCH(1, (Data_Input!$7:$7="IRP")*(Data_Input!$8:$8=$B217), 0)), 0) + 1, MATCH(1, (Data_Input!$7:$7=$F$3)*(Data_Input!$8:$8=$B217), 0)),"")</f>
        <v/>
      </c>
      <c r="I217" s="20" t="str" cm="1">
        <f t="array" ref="I217">IFERROR(INDEX(Data_Input!$A$1:$ZZ$502, MATCH("평가손익", INDEX(Data_Input!$A$1:$ZZ$502, 0, MATCH(1, (Data_Input!$7:$7="IRP")*(Data_Input!$8:$8=$B217), 0)), 0) + 1, MATCH(1, (Data_Input!$7:$7=$F$3)*(Data_Input!$8:$8=$B217), 0)),"")</f>
        <v/>
      </c>
      <c r="J217" s="14" t="str" cm="1">
        <f t="array" ref="J217">IFERROR(INDEX(Data_Input!$A$1:$ZZ$502, MATCH("누적수익률", INDEX(Data_Input!$A$1:$ZZ$502, 0, MATCH(1, (Data_Input!$7:$7="IRP")*(Data_Input!$8:$8=$B217), 0)), 0) + 1, MATCH(1, (Data_Input!$7:$7=$F$3)*(Data_Input!$8:$8=$B217), 0))/100,"")</f>
        <v/>
      </c>
      <c r="K217" t="str" cm="1">
        <f t="array" ref="K217">IFERROR(_xlfn.LET(
    _xlpm.targetDate, B217,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18" spans="1:11" x14ac:dyDescent="0.3">
      <c r="A218" s="16" t="str">
        <f t="shared" si="6"/>
        <v/>
      </c>
      <c r="B218" s="19"/>
      <c r="C218" s="17" t="str">
        <f t="shared" si="7"/>
        <v/>
      </c>
      <c r="D218" s="42" t="str" cm="1">
        <f t="array" ref="D218">IFERROR(INDEX(Data_Input!$1:$100, 10, MATCH(1, (Data_Input!$7:$7=$F$3) * (Data_Input!$8:$8=$B218), 0)), "")</f>
        <v/>
      </c>
      <c r="E218" s="29" t="str" cm="1">
        <f t="array" ref="E218">IFERROR(INDEX(Data_Input!$1:$100, 9, MATCH(1, (Data_Input!$7:$7=$F$3) * (Data_Input!$8:$8=$B218), 0)),"")</f>
        <v/>
      </c>
      <c r="F218" s="20" t="str" cm="1">
        <f t="array" ref="F218">IFERROR(INDEX(Data_Input!$A$1:$ZZ$502, MATCH("플랜번호", INDEX(Data_Input!$A$1:$ZZ$502, 0, MATCH(1, (Data_Input!$7:$7="IRP")*(Data_Input!$8:$8=$B218), 0)), 0) + 1, MATCH(1, (Data_Input!$7:$7=$F$3)*(Data_Input!$8:$8=$B218), 0)),"")</f>
        <v/>
      </c>
      <c r="G218" s="20" t="str" cm="1">
        <f t="array" ref="G218">IFERROR(INDEX(Data_Input!$A$1:$ZZ$502, MATCH("플랜명", INDEX(Data_Input!$A$1:$ZZ$502, 0, MATCH(1, (Data_Input!$7:$7="IRP")*(Data_Input!$8:$8=$B218), 0)), 0) + 1, MATCH(1, (Data_Input!$7:$7=$F$3)*(Data_Input!$8:$8=$B218), 0)),"")</f>
        <v/>
      </c>
      <c r="H218" s="20" t="str" cm="1">
        <f t="array" ref="H218">IFERROR(INDEX(Data_Input!$A$1:$ZZ$502, MATCH("평가금액", INDEX(Data_Input!$A$1:$ZZ$502, 0, MATCH(1, (Data_Input!$7:$7="IRP")*(Data_Input!$8:$8=$B218), 0)), 0) + 1, MATCH(1, (Data_Input!$7:$7=$F$3)*(Data_Input!$8:$8=$B218), 0)),"")</f>
        <v/>
      </c>
      <c r="I218" s="20" t="str" cm="1">
        <f t="array" ref="I218">IFERROR(INDEX(Data_Input!$A$1:$ZZ$502, MATCH("평가손익", INDEX(Data_Input!$A$1:$ZZ$502, 0, MATCH(1, (Data_Input!$7:$7="IRP")*(Data_Input!$8:$8=$B218), 0)), 0) + 1, MATCH(1, (Data_Input!$7:$7=$F$3)*(Data_Input!$8:$8=$B218), 0)),"")</f>
        <v/>
      </c>
      <c r="J218" s="14" t="str" cm="1">
        <f t="array" ref="J218">IFERROR(INDEX(Data_Input!$A$1:$ZZ$502, MATCH("누적수익률", INDEX(Data_Input!$A$1:$ZZ$502, 0, MATCH(1, (Data_Input!$7:$7="IRP")*(Data_Input!$8:$8=$B218), 0)), 0) + 1, MATCH(1, (Data_Input!$7:$7=$F$3)*(Data_Input!$8:$8=$B218), 0))/100,"")</f>
        <v/>
      </c>
      <c r="K218" t="str" cm="1">
        <f t="array" ref="K218">IFERROR(_xlfn.LET(
    _xlpm.targetDate, B218,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19" spans="1:11" x14ac:dyDescent="0.3">
      <c r="A219" s="16" t="str">
        <f t="shared" si="6"/>
        <v/>
      </c>
      <c r="B219" s="19"/>
      <c r="C219" s="17" t="str">
        <f t="shared" si="7"/>
        <v/>
      </c>
      <c r="D219" s="42" t="str" cm="1">
        <f t="array" ref="D219">IFERROR(INDEX(Data_Input!$1:$100, 10, MATCH(1, (Data_Input!$7:$7=$F$3) * (Data_Input!$8:$8=$B219), 0)), "")</f>
        <v/>
      </c>
      <c r="E219" s="29" t="str" cm="1">
        <f t="array" ref="E219">IFERROR(INDEX(Data_Input!$1:$100, 9, MATCH(1, (Data_Input!$7:$7=$F$3) * (Data_Input!$8:$8=$B219), 0)),"")</f>
        <v/>
      </c>
      <c r="F219" s="20" t="str" cm="1">
        <f t="array" ref="F219">IFERROR(INDEX(Data_Input!$A$1:$ZZ$502, MATCH("플랜번호", INDEX(Data_Input!$A$1:$ZZ$502, 0, MATCH(1, (Data_Input!$7:$7="IRP")*(Data_Input!$8:$8=$B219), 0)), 0) + 1, MATCH(1, (Data_Input!$7:$7=$F$3)*(Data_Input!$8:$8=$B219), 0)),"")</f>
        <v/>
      </c>
      <c r="G219" s="20" t="str" cm="1">
        <f t="array" ref="G219">IFERROR(INDEX(Data_Input!$A$1:$ZZ$502, MATCH("플랜명", INDEX(Data_Input!$A$1:$ZZ$502, 0, MATCH(1, (Data_Input!$7:$7="IRP")*(Data_Input!$8:$8=$B219), 0)), 0) + 1, MATCH(1, (Data_Input!$7:$7=$F$3)*(Data_Input!$8:$8=$B219), 0)),"")</f>
        <v/>
      </c>
      <c r="H219" s="20" t="str" cm="1">
        <f t="array" ref="H219">IFERROR(INDEX(Data_Input!$A$1:$ZZ$502, MATCH("평가금액", INDEX(Data_Input!$A$1:$ZZ$502, 0, MATCH(1, (Data_Input!$7:$7="IRP")*(Data_Input!$8:$8=$B219), 0)), 0) + 1, MATCH(1, (Data_Input!$7:$7=$F$3)*(Data_Input!$8:$8=$B219), 0)),"")</f>
        <v/>
      </c>
      <c r="I219" s="20" t="str" cm="1">
        <f t="array" ref="I219">IFERROR(INDEX(Data_Input!$A$1:$ZZ$502, MATCH("평가손익", INDEX(Data_Input!$A$1:$ZZ$502, 0, MATCH(1, (Data_Input!$7:$7="IRP")*(Data_Input!$8:$8=$B219), 0)), 0) + 1, MATCH(1, (Data_Input!$7:$7=$F$3)*(Data_Input!$8:$8=$B219), 0)),"")</f>
        <v/>
      </c>
      <c r="J219" s="14" t="str" cm="1">
        <f t="array" ref="J219">IFERROR(INDEX(Data_Input!$A$1:$ZZ$502, MATCH("누적수익률", INDEX(Data_Input!$A$1:$ZZ$502, 0, MATCH(1, (Data_Input!$7:$7="IRP")*(Data_Input!$8:$8=$B219), 0)), 0) + 1, MATCH(1, (Data_Input!$7:$7=$F$3)*(Data_Input!$8:$8=$B219), 0))/100,"")</f>
        <v/>
      </c>
      <c r="K219" t="str" cm="1">
        <f t="array" ref="K219">IFERROR(_xlfn.LET(
    _xlpm.targetDate, B219,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20" spans="1:11" x14ac:dyDescent="0.3">
      <c r="A220" s="16" t="str">
        <f t="shared" si="6"/>
        <v/>
      </c>
      <c r="B220" s="19"/>
      <c r="C220" s="17" t="str">
        <f t="shared" si="7"/>
        <v/>
      </c>
      <c r="D220" s="42" t="str" cm="1">
        <f t="array" ref="D220">IFERROR(INDEX(Data_Input!$1:$100, 10, MATCH(1, (Data_Input!$7:$7=$F$3) * (Data_Input!$8:$8=$B220), 0)), "")</f>
        <v/>
      </c>
      <c r="E220" s="29" t="str" cm="1">
        <f t="array" ref="E220">IFERROR(INDEX(Data_Input!$1:$100, 9, MATCH(1, (Data_Input!$7:$7=$F$3) * (Data_Input!$8:$8=$B220), 0)),"")</f>
        <v/>
      </c>
      <c r="F220" s="20" t="str" cm="1">
        <f t="array" ref="F220">IFERROR(INDEX(Data_Input!$A$1:$ZZ$502, MATCH("플랜번호", INDEX(Data_Input!$A$1:$ZZ$502, 0, MATCH(1, (Data_Input!$7:$7="IRP")*(Data_Input!$8:$8=$B220), 0)), 0) + 1, MATCH(1, (Data_Input!$7:$7=$F$3)*(Data_Input!$8:$8=$B220), 0)),"")</f>
        <v/>
      </c>
      <c r="G220" s="20" t="str" cm="1">
        <f t="array" ref="G220">IFERROR(INDEX(Data_Input!$A$1:$ZZ$502, MATCH("플랜명", INDEX(Data_Input!$A$1:$ZZ$502, 0, MATCH(1, (Data_Input!$7:$7="IRP")*(Data_Input!$8:$8=$B220), 0)), 0) + 1, MATCH(1, (Data_Input!$7:$7=$F$3)*(Data_Input!$8:$8=$B220), 0)),"")</f>
        <v/>
      </c>
      <c r="H220" s="20" t="str" cm="1">
        <f t="array" ref="H220">IFERROR(INDEX(Data_Input!$A$1:$ZZ$502, MATCH("평가금액", INDEX(Data_Input!$A$1:$ZZ$502, 0, MATCH(1, (Data_Input!$7:$7="IRP")*(Data_Input!$8:$8=$B220), 0)), 0) + 1, MATCH(1, (Data_Input!$7:$7=$F$3)*(Data_Input!$8:$8=$B220), 0)),"")</f>
        <v/>
      </c>
      <c r="I220" s="20" t="str" cm="1">
        <f t="array" ref="I220">IFERROR(INDEX(Data_Input!$A$1:$ZZ$502, MATCH("평가손익", INDEX(Data_Input!$A$1:$ZZ$502, 0, MATCH(1, (Data_Input!$7:$7="IRP")*(Data_Input!$8:$8=$B220), 0)), 0) + 1, MATCH(1, (Data_Input!$7:$7=$F$3)*(Data_Input!$8:$8=$B220), 0)),"")</f>
        <v/>
      </c>
      <c r="J220" s="14" t="str" cm="1">
        <f t="array" ref="J220">IFERROR(INDEX(Data_Input!$A$1:$ZZ$502, MATCH("누적수익률", INDEX(Data_Input!$A$1:$ZZ$502, 0, MATCH(1, (Data_Input!$7:$7="IRP")*(Data_Input!$8:$8=$B220), 0)), 0) + 1, MATCH(1, (Data_Input!$7:$7=$F$3)*(Data_Input!$8:$8=$B220), 0))/100,"")</f>
        <v/>
      </c>
      <c r="K220" t="str" cm="1">
        <f t="array" ref="K220">IFERROR(_xlfn.LET(
    _xlpm.targetDate, B220,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21" spans="1:11" x14ac:dyDescent="0.3">
      <c r="A221" s="16" t="str">
        <f t="shared" si="6"/>
        <v/>
      </c>
      <c r="B221" s="19"/>
      <c r="C221" s="17" t="str">
        <f t="shared" si="7"/>
        <v/>
      </c>
      <c r="D221" s="42" t="str" cm="1">
        <f t="array" ref="D221">IFERROR(INDEX(Data_Input!$1:$100, 10, MATCH(1, (Data_Input!$7:$7=$F$3) * (Data_Input!$8:$8=$B221), 0)), "")</f>
        <v/>
      </c>
      <c r="E221" s="29" t="str" cm="1">
        <f t="array" ref="E221">IFERROR(INDEX(Data_Input!$1:$100, 9, MATCH(1, (Data_Input!$7:$7=$F$3) * (Data_Input!$8:$8=$B221), 0)),"")</f>
        <v/>
      </c>
      <c r="F221" s="20" t="str" cm="1">
        <f t="array" ref="F221">IFERROR(INDEX(Data_Input!$A$1:$ZZ$502, MATCH("플랜번호", INDEX(Data_Input!$A$1:$ZZ$502, 0, MATCH(1, (Data_Input!$7:$7="IRP")*(Data_Input!$8:$8=$B221), 0)), 0) + 1, MATCH(1, (Data_Input!$7:$7=$F$3)*(Data_Input!$8:$8=$B221), 0)),"")</f>
        <v/>
      </c>
      <c r="G221" s="20" t="str" cm="1">
        <f t="array" ref="G221">IFERROR(INDEX(Data_Input!$A$1:$ZZ$502, MATCH("플랜명", INDEX(Data_Input!$A$1:$ZZ$502, 0, MATCH(1, (Data_Input!$7:$7="IRP")*(Data_Input!$8:$8=$B221), 0)), 0) + 1, MATCH(1, (Data_Input!$7:$7=$F$3)*(Data_Input!$8:$8=$B221), 0)),"")</f>
        <v/>
      </c>
      <c r="H221" s="20" t="str" cm="1">
        <f t="array" ref="H221">IFERROR(INDEX(Data_Input!$A$1:$ZZ$502, MATCH("평가금액", INDEX(Data_Input!$A$1:$ZZ$502, 0, MATCH(1, (Data_Input!$7:$7="IRP")*(Data_Input!$8:$8=$B221), 0)), 0) + 1, MATCH(1, (Data_Input!$7:$7=$F$3)*(Data_Input!$8:$8=$B221), 0)),"")</f>
        <v/>
      </c>
      <c r="I221" s="20" t="str" cm="1">
        <f t="array" ref="I221">IFERROR(INDEX(Data_Input!$A$1:$ZZ$502, MATCH("평가손익", INDEX(Data_Input!$A$1:$ZZ$502, 0, MATCH(1, (Data_Input!$7:$7="IRP")*(Data_Input!$8:$8=$B221), 0)), 0) + 1, MATCH(1, (Data_Input!$7:$7=$F$3)*(Data_Input!$8:$8=$B221), 0)),"")</f>
        <v/>
      </c>
      <c r="J221" s="14" t="str" cm="1">
        <f t="array" ref="J221">IFERROR(INDEX(Data_Input!$A$1:$ZZ$502, MATCH("누적수익률", INDEX(Data_Input!$A$1:$ZZ$502, 0, MATCH(1, (Data_Input!$7:$7="IRP")*(Data_Input!$8:$8=$B221), 0)), 0) + 1, MATCH(1, (Data_Input!$7:$7=$F$3)*(Data_Input!$8:$8=$B221), 0))/100,"")</f>
        <v/>
      </c>
      <c r="K221" t="str" cm="1">
        <f t="array" ref="K221">IFERROR(_xlfn.LET(
    _xlpm.targetDate, B221,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22" spans="1:11" x14ac:dyDescent="0.3">
      <c r="A222" s="16" t="str">
        <f t="shared" si="6"/>
        <v/>
      </c>
      <c r="B222" s="19"/>
      <c r="C222" s="17" t="str">
        <f t="shared" si="7"/>
        <v/>
      </c>
      <c r="D222" s="42" t="str" cm="1">
        <f t="array" ref="D222">IFERROR(INDEX(Data_Input!$1:$100, 10, MATCH(1, (Data_Input!$7:$7=$F$3) * (Data_Input!$8:$8=$B222), 0)), "")</f>
        <v/>
      </c>
      <c r="E222" s="29" t="str" cm="1">
        <f t="array" ref="E222">IFERROR(INDEX(Data_Input!$1:$100, 9, MATCH(1, (Data_Input!$7:$7=$F$3) * (Data_Input!$8:$8=$B222), 0)),"")</f>
        <v/>
      </c>
      <c r="F222" s="20" t="str" cm="1">
        <f t="array" ref="F222">IFERROR(INDEX(Data_Input!$A$1:$ZZ$502, MATCH("플랜번호", INDEX(Data_Input!$A$1:$ZZ$502, 0, MATCH(1, (Data_Input!$7:$7="IRP")*(Data_Input!$8:$8=$B222), 0)), 0) + 1, MATCH(1, (Data_Input!$7:$7=$F$3)*(Data_Input!$8:$8=$B222), 0)),"")</f>
        <v/>
      </c>
      <c r="G222" s="20" t="str" cm="1">
        <f t="array" ref="G222">IFERROR(INDEX(Data_Input!$A$1:$ZZ$502, MATCH("플랜명", INDEX(Data_Input!$A$1:$ZZ$502, 0, MATCH(1, (Data_Input!$7:$7="IRP")*(Data_Input!$8:$8=$B222), 0)), 0) + 1, MATCH(1, (Data_Input!$7:$7=$F$3)*(Data_Input!$8:$8=$B222), 0)),"")</f>
        <v/>
      </c>
      <c r="H222" s="20" t="str" cm="1">
        <f t="array" ref="H222">IFERROR(INDEX(Data_Input!$A$1:$ZZ$502, MATCH("평가금액", INDEX(Data_Input!$A$1:$ZZ$502, 0, MATCH(1, (Data_Input!$7:$7="IRP")*(Data_Input!$8:$8=$B222), 0)), 0) + 1, MATCH(1, (Data_Input!$7:$7=$F$3)*(Data_Input!$8:$8=$B222), 0)),"")</f>
        <v/>
      </c>
      <c r="I222" s="20" t="str" cm="1">
        <f t="array" ref="I222">IFERROR(INDEX(Data_Input!$A$1:$ZZ$502, MATCH("평가손익", INDEX(Data_Input!$A$1:$ZZ$502, 0, MATCH(1, (Data_Input!$7:$7="IRP")*(Data_Input!$8:$8=$B222), 0)), 0) + 1, MATCH(1, (Data_Input!$7:$7=$F$3)*(Data_Input!$8:$8=$B222), 0)),"")</f>
        <v/>
      </c>
      <c r="J222" s="14" t="str" cm="1">
        <f t="array" ref="J222">IFERROR(INDEX(Data_Input!$A$1:$ZZ$502, MATCH("누적수익률", INDEX(Data_Input!$A$1:$ZZ$502, 0, MATCH(1, (Data_Input!$7:$7="IRP")*(Data_Input!$8:$8=$B222), 0)), 0) + 1, MATCH(1, (Data_Input!$7:$7=$F$3)*(Data_Input!$8:$8=$B222), 0))/100,"")</f>
        <v/>
      </c>
      <c r="K222" t="str" cm="1">
        <f t="array" ref="K222">IFERROR(_xlfn.LET(
    _xlpm.targetDate, B222,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23" spans="1:11" x14ac:dyDescent="0.3">
      <c r="A223" s="16" t="str">
        <f t="shared" si="6"/>
        <v/>
      </c>
      <c r="B223" s="19"/>
      <c r="C223" s="17" t="str">
        <f t="shared" si="7"/>
        <v/>
      </c>
      <c r="D223" s="42" t="str" cm="1">
        <f t="array" ref="D223">IFERROR(INDEX(Data_Input!$1:$100, 10, MATCH(1, (Data_Input!$7:$7=$F$3) * (Data_Input!$8:$8=$B223), 0)), "")</f>
        <v/>
      </c>
      <c r="E223" s="29" t="str" cm="1">
        <f t="array" ref="E223">IFERROR(INDEX(Data_Input!$1:$100, 9, MATCH(1, (Data_Input!$7:$7=$F$3) * (Data_Input!$8:$8=$B223), 0)),"")</f>
        <v/>
      </c>
      <c r="F223" s="20" t="str" cm="1">
        <f t="array" ref="F223">IFERROR(INDEX(Data_Input!$A$1:$ZZ$502, MATCH("플랜번호", INDEX(Data_Input!$A$1:$ZZ$502, 0, MATCH(1, (Data_Input!$7:$7="IRP")*(Data_Input!$8:$8=$B223), 0)), 0) + 1, MATCH(1, (Data_Input!$7:$7=$F$3)*(Data_Input!$8:$8=$B223), 0)),"")</f>
        <v/>
      </c>
      <c r="G223" s="20" t="str" cm="1">
        <f t="array" ref="G223">IFERROR(INDEX(Data_Input!$A$1:$ZZ$502, MATCH("플랜명", INDEX(Data_Input!$A$1:$ZZ$502, 0, MATCH(1, (Data_Input!$7:$7="IRP")*(Data_Input!$8:$8=$B223), 0)), 0) + 1, MATCH(1, (Data_Input!$7:$7=$F$3)*(Data_Input!$8:$8=$B223), 0)),"")</f>
        <v/>
      </c>
      <c r="H223" s="20" t="str" cm="1">
        <f t="array" ref="H223">IFERROR(INDEX(Data_Input!$A$1:$ZZ$502, MATCH("평가금액", INDEX(Data_Input!$A$1:$ZZ$502, 0, MATCH(1, (Data_Input!$7:$7="IRP")*(Data_Input!$8:$8=$B223), 0)), 0) + 1, MATCH(1, (Data_Input!$7:$7=$F$3)*(Data_Input!$8:$8=$B223), 0)),"")</f>
        <v/>
      </c>
      <c r="I223" s="20" t="str" cm="1">
        <f t="array" ref="I223">IFERROR(INDEX(Data_Input!$A$1:$ZZ$502, MATCH("평가손익", INDEX(Data_Input!$A$1:$ZZ$502, 0, MATCH(1, (Data_Input!$7:$7="IRP")*(Data_Input!$8:$8=$B223), 0)), 0) + 1, MATCH(1, (Data_Input!$7:$7=$F$3)*(Data_Input!$8:$8=$B223), 0)),"")</f>
        <v/>
      </c>
      <c r="J223" s="14" t="str" cm="1">
        <f t="array" ref="J223">IFERROR(INDEX(Data_Input!$A$1:$ZZ$502, MATCH("누적수익률", INDEX(Data_Input!$A$1:$ZZ$502, 0, MATCH(1, (Data_Input!$7:$7="IRP")*(Data_Input!$8:$8=$B223), 0)), 0) + 1, MATCH(1, (Data_Input!$7:$7=$F$3)*(Data_Input!$8:$8=$B223), 0))/100,"")</f>
        <v/>
      </c>
      <c r="K223" t="str" cm="1">
        <f t="array" ref="K223">IFERROR(_xlfn.LET(
    _xlpm.targetDate, B223,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24" spans="1:11" x14ac:dyDescent="0.3">
      <c r="A224" s="16" t="str">
        <f t="shared" si="6"/>
        <v/>
      </c>
      <c r="B224" s="19"/>
      <c r="C224" s="17" t="str">
        <f t="shared" si="7"/>
        <v/>
      </c>
      <c r="D224" s="42" t="str" cm="1">
        <f t="array" ref="D224">IFERROR(INDEX(Data_Input!$1:$100, 10, MATCH(1, (Data_Input!$7:$7=$F$3) * (Data_Input!$8:$8=$B224), 0)), "")</f>
        <v/>
      </c>
      <c r="E224" s="29" t="str" cm="1">
        <f t="array" ref="E224">IFERROR(INDEX(Data_Input!$1:$100, 9, MATCH(1, (Data_Input!$7:$7=$F$3) * (Data_Input!$8:$8=$B224), 0)),"")</f>
        <v/>
      </c>
      <c r="F224" s="20" t="str" cm="1">
        <f t="array" ref="F224">IFERROR(INDEX(Data_Input!$A$1:$ZZ$502, MATCH("플랜번호", INDEX(Data_Input!$A$1:$ZZ$502, 0, MATCH(1, (Data_Input!$7:$7="IRP")*(Data_Input!$8:$8=$B224), 0)), 0) + 1, MATCH(1, (Data_Input!$7:$7=$F$3)*(Data_Input!$8:$8=$B224), 0)),"")</f>
        <v/>
      </c>
      <c r="G224" s="20" t="str" cm="1">
        <f t="array" ref="G224">IFERROR(INDEX(Data_Input!$A$1:$ZZ$502, MATCH("플랜명", INDEX(Data_Input!$A$1:$ZZ$502, 0, MATCH(1, (Data_Input!$7:$7="IRP")*(Data_Input!$8:$8=$B224), 0)), 0) + 1, MATCH(1, (Data_Input!$7:$7=$F$3)*(Data_Input!$8:$8=$B224), 0)),"")</f>
        <v/>
      </c>
      <c r="H224" s="20" t="str" cm="1">
        <f t="array" ref="H224">IFERROR(INDEX(Data_Input!$A$1:$ZZ$502, MATCH("평가금액", INDEX(Data_Input!$A$1:$ZZ$502, 0, MATCH(1, (Data_Input!$7:$7="IRP")*(Data_Input!$8:$8=$B224), 0)), 0) + 1, MATCH(1, (Data_Input!$7:$7=$F$3)*(Data_Input!$8:$8=$B224), 0)),"")</f>
        <v/>
      </c>
      <c r="I224" s="20" t="str" cm="1">
        <f t="array" ref="I224">IFERROR(INDEX(Data_Input!$A$1:$ZZ$502, MATCH("평가손익", INDEX(Data_Input!$A$1:$ZZ$502, 0, MATCH(1, (Data_Input!$7:$7="IRP")*(Data_Input!$8:$8=$B224), 0)), 0) + 1, MATCH(1, (Data_Input!$7:$7=$F$3)*(Data_Input!$8:$8=$B224), 0)),"")</f>
        <v/>
      </c>
      <c r="J224" s="14" t="str" cm="1">
        <f t="array" ref="J224">IFERROR(INDEX(Data_Input!$A$1:$ZZ$502, MATCH("누적수익률", INDEX(Data_Input!$A$1:$ZZ$502, 0, MATCH(1, (Data_Input!$7:$7="IRP")*(Data_Input!$8:$8=$B224), 0)), 0) + 1, MATCH(1, (Data_Input!$7:$7=$F$3)*(Data_Input!$8:$8=$B224), 0))/100,"")</f>
        <v/>
      </c>
      <c r="K224" t="str" cm="1">
        <f t="array" ref="K224">IFERROR(_xlfn.LET(
    _xlpm.targetDate, B224,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25" spans="1:11" x14ac:dyDescent="0.3">
      <c r="A225" s="16" t="str">
        <f t="shared" si="6"/>
        <v/>
      </c>
      <c r="B225" s="19"/>
      <c r="C225" s="17" t="str">
        <f t="shared" si="7"/>
        <v/>
      </c>
      <c r="D225" s="42" t="str" cm="1">
        <f t="array" ref="D225">IFERROR(INDEX(Data_Input!$1:$100, 10, MATCH(1, (Data_Input!$7:$7=$F$3) * (Data_Input!$8:$8=$B225), 0)), "")</f>
        <v/>
      </c>
      <c r="E225" s="29" t="str" cm="1">
        <f t="array" ref="E225">IFERROR(INDEX(Data_Input!$1:$100, 9, MATCH(1, (Data_Input!$7:$7=$F$3) * (Data_Input!$8:$8=$B225), 0)),"")</f>
        <v/>
      </c>
      <c r="F225" s="20" t="str" cm="1">
        <f t="array" ref="F225">IFERROR(INDEX(Data_Input!$A$1:$ZZ$502, MATCH("플랜번호", INDEX(Data_Input!$A$1:$ZZ$502, 0, MATCH(1, (Data_Input!$7:$7="IRP")*(Data_Input!$8:$8=$B225), 0)), 0) + 1, MATCH(1, (Data_Input!$7:$7=$F$3)*(Data_Input!$8:$8=$B225), 0)),"")</f>
        <v/>
      </c>
      <c r="G225" s="20" t="str" cm="1">
        <f t="array" ref="G225">IFERROR(INDEX(Data_Input!$A$1:$ZZ$502, MATCH("플랜명", INDEX(Data_Input!$A$1:$ZZ$502, 0, MATCH(1, (Data_Input!$7:$7="IRP")*(Data_Input!$8:$8=$B225), 0)), 0) + 1, MATCH(1, (Data_Input!$7:$7=$F$3)*(Data_Input!$8:$8=$B225), 0)),"")</f>
        <v/>
      </c>
      <c r="H225" s="20" t="str" cm="1">
        <f t="array" ref="H225">IFERROR(INDEX(Data_Input!$A$1:$ZZ$502, MATCH("평가금액", INDEX(Data_Input!$A$1:$ZZ$502, 0, MATCH(1, (Data_Input!$7:$7="IRP")*(Data_Input!$8:$8=$B225), 0)), 0) + 1, MATCH(1, (Data_Input!$7:$7=$F$3)*(Data_Input!$8:$8=$B225), 0)),"")</f>
        <v/>
      </c>
      <c r="I225" s="20" t="str" cm="1">
        <f t="array" ref="I225">IFERROR(INDEX(Data_Input!$A$1:$ZZ$502, MATCH("평가손익", INDEX(Data_Input!$A$1:$ZZ$502, 0, MATCH(1, (Data_Input!$7:$7="IRP")*(Data_Input!$8:$8=$B225), 0)), 0) + 1, MATCH(1, (Data_Input!$7:$7=$F$3)*(Data_Input!$8:$8=$B225), 0)),"")</f>
        <v/>
      </c>
      <c r="J225" s="14" t="str" cm="1">
        <f t="array" ref="J225">IFERROR(INDEX(Data_Input!$A$1:$ZZ$502, MATCH("누적수익률", INDEX(Data_Input!$A$1:$ZZ$502, 0, MATCH(1, (Data_Input!$7:$7="IRP")*(Data_Input!$8:$8=$B225), 0)), 0) + 1, MATCH(1, (Data_Input!$7:$7=$F$3)*(Data_Input!$8:$8=$B225), 0))/100,"")</f>
        <v/>
      </c>
      <c r="K225" t="str" cm="1">
        <f t="array" ref="K225">IFERROR(_xlfn.LET(
    _xlpm.targetDate, B225,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26" spans="1:11" x14ac:dyDescent="0.3">
      <c r="A226" s="16" t="str">
        <f t="shared" si="6"/>
        <v/>
      </c>
      <c r="B226" s="19"/>
      <c r="C226" s="17" t="str">
        <f t="shared" si="7"/>
        <v/>
      </c>
      <c r="D226" s="42" t="str" cm="1">
        <f t="array" ref="D226">IFERROR(INDEX(Data_Input!$1:$100, 10, MATCH(1, (Data_Input!$7:$7=$F$3) * (Data_Input!$8:$8=$B226), 0)), "")</f>
        <v/>
      </c>
      <c r="E226" s="29" t="str" cm="1">
        <f t="array" ref="E226">IFERROR(INDEX(Data_Input!$1:$100, 9, MATCH(1, (Data_Input!$7:$7=$F$3) * (Data_Input!$8:$8=$B226), 0)),"")</f>
        <v/>
      </c>
      <c r="F226" s="20" t="str" cm="1">
        <f t="array" ref="F226">IFERROR(INDEX(Data_Input!$A$1:$ZZ$502, MATCH("플랜번호", INDEX(Data_Input!$A$1:$ZZ$502, 0, MATCH(1, (Data_Input!$7:$7="IRP")*(Data_Input!$8:$8=$B226), 0)), 0) + 1, MATCH(1, (Data_Input!$7:$7=$F$3)*(Data_Input!$8:$8=$B226), 0)),"")</f>
        <v/>
      </c>
      <c r="G226" s="20" t="str" cm="1">
        <f t="array" ref="G226">IFERROR(INDEX(Data_Input!$A$1:$ZZ$502, MATCH("플랜명", INDEX(Data_Input!$A$1:$ZZ$502, 0, MATCH(1, (Data_Input!$7:$7="IRP")*(Data_Input!$8:$8=$B226), 0)), 0) + 1, MATCH(1, (Data_Input!$7:$7=$F$3)*(Data_Input!$8:$8=$B226), 0)),"")</f>
        <v/>
      </c>
      <c r="H226" s="20" t="str" cm="1">
        <f t="array" ref="H226">IFERROR(INDEX(Data_Input!$A$1:$ZZ$502, MATCH("평가금액", INDEX(Data_Input!$A$1:$ZZ$502, 0, MATCH(1, (Data_Input!$7:$7="IRP")*(Data_Input!$8:$8=$B226), 0)), 0) + 1, MATCH(1, (Data_Input!$7:$7=$F$3)*(Data_Input!$8:$8=$B226), 0)),"")</f>
        <v/>
      </c>
      <c r="I226" s="20" t="str" cm="1">
        <f t="array" ref="I226">IFERROR(INDEX(Data_Input!$A$1:$ZZ$502, MATCH("평가손익", INDEX(Data_Input!$A$1:$ZZ$502, 0, MATCH(1, (Data_Input!$7:$7="IRP")*(Data_Input!$8:$8=$B226), 0)), 0) + 1, MATCH(1, (Data_Input!$7:$7=$F$3)*(Data_Input!$8:$8=$B226), 0)),"")</f>
        <v/>
      </c>
      <c r="J226" s="14" t="str" cm="1">
        <f t="array" ref="J226">IFERROR(INDEX(Data_Input!$A$1:$ZZ$502, MATCH("누적수익률", INDEX(Data_Input!$A$1:$ZZ$502, 0, MATCH(1, (Data_Input!$7:$7="IRP")*(Data_Input!$8:$8=$B226), 0)), 0) + 1, MATCH(1, (Data_Input!$7:$7=$F$3)*(Data_Input!$8:$8=$B226), 0))/100,"")</f>
        <v/>
      </c>
      <c r="K226" t="str" cm="1">
        <f t="array" ref="K226">IFERROR(_xlfn.LET(
    _xlpm.targetDate, B226,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27" spans="1:11" x14ac:dyDescent="0.3">
      <c r="A227" s="16" t="str">
        <f t="shared" si="6"/>
        <v/>
      </c>
      <c r="B227" s="19"/>
      <c r="C227" s="17" t="str">
        <f t="shared" si="7"/>
        <v/>
      </c>
      <c r="D227" s="42" t="str" cm="1">
        <f t="array" ref="D227">IFERROR(INDEX(Data_Input!$1:$100, 10, MATCH(1, (Data_Input!$7:$7=$F$3) * (Data_Input!$8:$8=$B227), 0)), "")</f>
        <v/>
      </c>
      <c r="E227" s="29" t="str" cm="1">
        <f t="array" ref="E227">IFERROR(INDEX(Data_Input!$1:$100, 9, MATCH(1, (Data_Input!$7:$7=$F$3) * (Data_Input!$8:$8=$B227), 0)),"")</f>
        <v/>
      </c>
      <c r="F227" s="20" t="str" cm="1">
        <f t="array" ref="F227">IFERROR(INDEX(Data_Input!$A$1:$ZZ$502, MATCH("플랜번호", INDEX(Data_Input!$A$1:$ZZ$502, 0, MATCH(1, (Data_Input!$7:$7="IRP")*(Data_Input!$8:$8=$B227), 0)), 0) + 1, MATCH(1, (Data_Input!$7:$7=$F$3)*(Data_Input!$8:$8=$B227), 0)),"")</f>
        <v/>
      </c>
      <c r="G227" s="20" t="str" cm="1">
        <f t="array" ref="G227">IFERROR(INDEX(Data_Input!$A$1:$ZZ$502, MATCH("플랜명", INDEX(Data_Input!$A$1:$ZZ$502, 0, MATCH(1, (Data_Input!$7:$7="IRP")*(Data_Input!$8:$8=$B227), 0)), 0) + 1, MATCH(1, (Data_Input!$7:$7=$F$3)*(Data_Input!$8:$8=$B227), 0)),"")</f>
        <v/>
      </c>
      <c r="H227" s="20" t="str" cm="1">
        <f t="array" ref="H227">IFERROR(INDEX(Data_Input!$A$1:$ZZ$502, MATCH("평가금액", INDEX(Data_Input!$A$1:$ZZ$502, 0, MATCH(1, (Data_Input!$7:$7="IRP")*(Data_Input!$8:$8=$B227), 0)), 0) + 1, MATCH(1, (Data_Input!$7:$7=$F$3)*(Data_Input!$8:$8=$B227), 0)),"")</f>
        <v/>
      </c>
      <c r="I227" s="20" t="str" cm="1">
        <f t="array" ref="I227">IFERROR(INDEX(Data_Input!$A$1:$ZZ$502, MATCH("평가손익", INDEX(Data_Input!$A$1:$ZZ$502, 0, MATCH(1, (Data_Input!$7:$7="IRP")*(Data_Input!$8:$8=$B227), 0)), 0) + 1, MATCH(1, (Data_Input!$7:$7=$F$3)*(Data_Input!$8:$8=$B227), 0)),"")</f>
        <v/>
      </c>
      <c r="J227" s="14" t="str" cm="1">
        <f t="array" ref="J227">IFERROR(INDEX(Data_Input!$A$1:$ZZ$502, MATCH("누적수익률", INDEX(Data_Input!$A$1:$ZZ$502, 0, MATCH(1, (Data_Input!$7:$7="IRP")*(Data_Input!$8:$8=$B227), 0)), 0) + 1, MATCH(1, (Data_Input!$7:$7=$F$3)*(Data_Input!$8:$8=$B227), 0))/100,"")</f>
        <v/>
      </c>
      <c r="K227" t="str" cm="1">
        <f t="array" ref="K227">IFERROR(_xlfn.LET(
    _xlpm.targetDate, B227,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28" spans="1:11" x14ac:dyDescent="0.3">
      <c r="A228" s="16" t="str">
        <f t="shared" si="6"/>
        <v/>
      </c>
      <c r="B228" s="19"/>
      <c r="C228" s="17" t="str">
        <f t="shared" si="7"/>
        <v/>
      </c>
      <c r="D228" s="42" t="str" cm="1">
        <f t="array" ref="D228">IFERROR(INDEX(Data_Input!$1:$100, 10, MATCH(1, (Data_Input!$7:$7=$F$3) * (Data_Input!$8:$8=$B228), 0)), "")</f>
        <v/>
      </c>
      <c r="E228" s="29" t="str" cm="1">
        <f t="array" ref="E228">IFERROR(INDEX(Data_Input!$1:$100, 9, MATCH(1, (Data_Input!$7:$7=$F$3) * (Data_Input!$8:$8=$B228), 0)),"")</f>
        <v/>
      </c>
      <c r="F228" s="20" t="str" cm="1">
        <f t="array" ref="F228">IFERROR(INDEX(Data_Input!$A$1:$ZZ$502, MATCH("플랜번호", INDEX(Data_Input!$A$1:$ZZ$502, 0, MATCH(1, (Data_Input!$7:$7="IRP")*(Data_Input!$8:$8=$B228), 0)), 0) + 1, MATCH(1, (Data_Input!$7:$7=$F$3)*(Data_Input!$8:$8=$B228), 0)),"")</f>
        <v/>
      </c>
      <c r="G228" s="20" t="str" cm="1">
        <f t="array" ref="G228">IFERROR(INDEX(Data_Input!$A$1:$ZZ$502, MATCH("플랜명", INDEX(Data_Input!$A$1:$ZZ$502, 0, MATCH(1, (Data_Input!$7:$7="IRP")*(Data_Input!$8:$8=$B228), 0)), 0) + 1, MATCH(1, (Data_Input!$7:$7=$F$3)*(Data_Input!$8:$8=$B228), 0)),"")</f>
        <v/>
      </c>
      <c r="H228" s="20" t="str" cm="1">
        <f t="array" ref="H228">IFERROR(INDEX(Data_Input!$A$1:$ZZ$502, MATCH("평가금액", INDEX(Data_Input!$A$1:$ZZ$502, 0, MATCH(1, (Data_Input!$7:$7="IRP")*(Data_Input!$8:$8=$B228), 0)), 0) + 1, MATCH(1, (Data_Input!$7:$7=$F$3)*(Data_Input!$8:$8=$B228), 0)),"")</f>
        <v/>
      </c>
      <c r="I228" s="20" t="str" cm="1">
        <f t="array" ref="I228">IFERROR(INDEX(Data_Input!$A$1:$ZZ$502, MATCH("평가손익", INDEX(Data_Input!$A$1:$ZZ$502, 0, MATCH(1, (Data_Input!$7:$7="IRP")*(Data_Input!$8:$8=$B228), 0)), 0) + 1, MATCH(1, (Data_Input!$7:$7=$F$3)*(Data_Input!$8:$8=$B228), 0)),"")</f>
        <v/>
      </c>
      <c r="J228" s="14" t="str" cm="1">
        <f t="array" ref="J228">IFERROR(INDEX(Data_Input!$A$1:$ZZ$502, MATCH("누적수익률", INDEX(Data_Input!$A$1:$ZZ$502, 0, MATCH(1, (Data_Input!$7:$7="IRP")*(Data_Input!$8:$8=$B228), 0)), 0) + 1, MATCH(1, (Data_Input!$7:$7=$F$3)*(Data_Input!$8:$8=$B228), 0))/100,"")</f>
        <v/>
      </c>
      <c r="K228" t="str" cm="1">
        <f t="array" ref="K228">IFERROR(_xlfn.LET(
    _xlpm.targetDate, B228,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29" spans="1:11" x14ac:dyDescent="0.3">
      <c r="A229" s="16" t="str">
        <f t="shared" si="6"/>
        <v/>
      </c>
      <c r="B229" s="19"/>
      <c r="C229" s="17" t="str">
        <f t="shared" si="7"/>
        <v/>
      </c>
      <c r="D229" s="42" t="str" cm="1">
        <f t="array" ref="D229">IFERROR(INDEX(Data_Input!$1:$100, 10, MATCH(1, (Data_Input!$7:$7=$F$3) * (Data_Input!$8:$8=$B229), 0)), "")</f>
        <v/>
      </c>
      <c r="E229" s="29" t="str" cm="1">
        <f t="array" ref="E229">IFERROR(INDEX(Data_Input!$1:$100, 9, MATCH(1, (Data_Input!$7:$7=$F$3) * (Data_Input!$8:$8=$B229), 0)),"")</f>
        <v/>
      </c>
      <c r="F229" s="20" t="str" cm="1">
        <f t="array" ref="F229">IFERROR(INDEX(Data_Input!$A$1:$ZZ$502, MATCH("플랜번호", INDEX(Data_Input!$A$1:$ZZ$502, 0, MATCH(1, (Data_Input!$7:$7="IRP")*(Data_Input!$8:$8=$B229), 0)), 0) + 1, MATCH(1, (Data_Input!$7:$7=$F$3)*(Data_Input!$8:$8=$B229), 0)),"")</f>
        <v/>
      </c>
      <c r="G229" s="20" t="str" cm="1">
        <f t="array" ref="G229">IFERROR(INDEX(Data_Input!$A$1:$ZZ$502, MATCH("플랜명", INDEX(Data_Input!$A$1:$ZZ$502, 0, MATCH(1, (Data_Input!$7:$7="IRP")*(Data_Input!$8:$8=$B229), 0)), 0) + 1, MATCH(1, (Data_Input!$7:$7=$F$3)*(Data_Input!$8:$8=$B229), 0)),"")</f>
        <v/>
      </c>
      <c r="H229" s="20" t="str" cm="1">
        <f t="array" ref="H229">IFERROR(INDEX(Data_Input!$A$1:$ZZ$502, MATCH("평가금액", INDEX(Data_Input!$A$1:$ZZ$502, 0, MATCH(1, (Data_Input!$7:$7="IRP")*(Data_Input!$8:$8=$B229), 0)), 0) + 1, MATCH(1, (Data_Input!$7:$7=$F$3)*(Data_Input!$8:$8=$B229), 0)),"")</f>
        <v/>
      </c>
      <c r="I229" s="20" t="str" cm="1">
        <f t="array" ref="I229">IFERROR(INDEX(Data_Input!$A$1:$ZZ$502, MATCH("평가손익", INDEX(Data_Input!$A$1:$ZZ$502, 0, MATCH(1, (Data_Input!$7:$7="IRP")*(Data_Input!$8:$8=$B229), 0)), 0) + 1, MATCH(1, (Data_Input!$7:$7=$F$3)*(Data_Input!$8:$8=$B229), 0)),"")</f>
        <v/>
      </c>
      <c r="J229" s="14" t="str" cm="1">
        <f t="array" ref="J229">IFERROR(INDEX(Data_Input!$A$1:$ZZ$502, MATCH("누적수익률", INDEX(Data_Input!$A$1:$ZZ$502, 0, MATCH(1, (Data_Input!$7:$7="IRP")*(Data_Input!$8:$8=$B229), 0)), 0) + 1, MATCH(1, (Data_Input!$7:$7=$F$3)*(Data_Input!$8:$8=$B229), 0))/100,"")</f>
        <v/>
      </c>
      <c r="K229" t="str" cm="1">
        <f t="array" ref="K229">IFERROR(_xlfn.LET(
    _xlpm.targetDate, B229,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30" spans="1:11" x14ac:dyDescent="0.3">
      <c r="A230" s="16" t="str">
        <f t="shared" si="6"/>
        <v/>
      </c>
      <c r="B230" s="19"/>
      <c r="C230" s="17" t="str">
        <f t="shared" si="7"/>
        <v/>
      </c>
      <c r="D230" s="42" t="str" cm="1">
        <f t="array" ref="D230">IFERROR(INDEX(Data_Input!$1:$100, 10, MATCH(1, (Data_Input!$7:$7=$F$3) * (Data_Input!$8:$8=$B230), 0)), "")</f>
        <v/>
      </c>
      <c r="E230" s="29" t="str" cm="1">
        <f t="array" ref="E230">IFERROR(INDEX(Data_Input!$1:$100, 9, MATCH(1, (Data_Input!$7:$7=$F$3) * (Data_Input!$8:$8=$B230), 0)),"")</f>
        <v/>
      </c>
      <c r="F230" s="20" t="str" cm="1">
        <f t="array" ref="F230">IFERROR(INDEX(Data_Input!$A$1:$ZZ$502, MATCH("플랜번호", INDEX(Data_Input!$A$1:$ZZ$502, 0, MATCH(1, (Data_Input!$7:$7="IRP")*(Data_Input!$8:$8=$B230), 0)), 0) + 1, MATCH(1, (Data_Input!$7:$7=$F$3)*(Data_Input!$8:$8=$B230), 0)),"")</f>
        <v/>
      </c>
      <c r="G230" s="20" t="str" cm="1">
        <f t="array" ref="G230">IFERROR(INDEX(Data_Input!$A$1:$ZZ$502, MATCH("플랜명", INDEX(Data_Input!$A$1:$ZZ$502, 0, MATCH(1, (Data_Input!$7:$7="IRP")*(Data_Input!$8:$8=$B230), 0)), 0) + 1, MATCH(1, (Data_Input!$7:$7=$F$3)*(Data_Input!$8:$8=$B230), 0)),"")</f>
        <v/>
      </c>
      <c r="H230" s="20" t="str" cm="1">
        <f t="array" ref="H230">IFERROR(INDEX(Data_Input!$A$1:$ZZ$502, MATCH("평가금액", INDEX(Data_Input!$A$1:$ZZ$502, 0, MATCH(1, (Data_Input!$7:$7="IRP")*(Data_Input!$8:$8=$B230), 0)), 0) + 1, MATCH(1, (Data_Input!$7:$7=$F$3)*(Data_Input!$8:$8=$B230), 0)),"")</f>
        <v/>
      </c>
      <c r="I230" s="20" t="str" cm="1">
        <f t="array" ref="I230">IFERROR(INDEX(Data_Input!$A$1:$ZZ$502, MATCH("평가손익", INDEX(Data_Input!$A$1:$ZZ$502, 0, MATCH(1, (Data_Input!$7:$7="IRP")*(Data_Input!$8:$8=$B230), 0)), 0) + 1, MATCH(1, (Data_Input!$7:$7=$F$3)*(Data_Input!$8:$8=$B230), 0)),"")</f>
        <v/>
      </c>
      <c r="J230" s="14" t="str" cm="1">
        <f t="array" ref="J230">IFERROR(INDEX(Data_Input!$A$1:$ZZ$502, MATCH("누적수익률", INDEX(Data_Input!$A$1:$ZZ$502, 0, MATCH(1, (Data_Input!$7:$7="IRP")*(Data_Input!$8:$8=$B230), 0)), 0) + 1, MATCH(1, (Data_Input!$7:$7=$F$3)*(Data_Input!$8:$8=$B230), 0))/100,"")</f>
        <v/>
      </c>
      <c r="K230" t="str" cm="1">
        <f t="array" ref="K230">IFERROR(_xlfn.LET(
    _xlpm.targetDate, B230,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31" spans="1:11" x14ac:dyDescent="0.3">
      <c r="A231" s="16" t="str">
        <f t="shared" si="6"/>
        <v/>
      </c>
      <c r="B231" s="19"/>
      <c r="C231" s="17" t="str">
        <f t="shared" si="7"/>
        <v/>
      </c>
      <c r="D231" s="42" t="str" cm="1">
        <f t="array" ref="D231">IFERROR(INDEX(Data_Input!$1:$100, 10, MATCH(1, (Data_Input!$7:$7=$F$3) * (Data_Input!$8:$8=$B231), 0)), "")</f>
        <v/>
      </c>
      <c r="E231" s="29" t="str" cm="1">
        <f t="array" ref="E231">IFERROR(INDEX(Data_Input!$1:$100, 9, MATCH(1, (Data_Input!$7:$7=$F$3) * (Data_Input!$8:$8=$B231), 0)),"")</f>
        <v/>
      </c>
      <c r="F231" s="20" t="str" cm="1">
        <f t="array" ref="F231">IFERROR(INDEX(Data_Input!$A$1:$ZZ$502, MATCH("플랜번호", INDEX(Data_Input!$A$1:$ZZ$502, 0, MATCH(1, (Data_Input!$7:$7="IRP")*(Data_Input!$8:$8=$B231), 0)), 0) + 1, MATCH(1, (Data_Input!$7:$7=$F$3)*(Data_Input!$8:$8=$B231), 0)),"")</f>
        <v/>
      </c>
      <c r="G231" s="20" t="str" cm="1">
        <f t="array" ref="G231">IFERROR(INDEX(Data_Input!$A$1:$ZZ$502, MATCH("플랜명", INDEX(Data_Input!$A$1:$ZZ$502, 0, MATCH(1, (Data_Input!$7:$7="IRP")*(Data_Input!$8:$8=$B231), 0)), 0) + 1, MATCH(1, (Data_Input!$7:$7=$F$3)*(Data_Input!$8:$8=$B231), 0)),"")</f>
        <v/>
      </c>
      <c r="H231" s="20" t="str" cm="1">
        <f t="array" ref="H231">IFERROR(INDEX(Data_Input!$A$1:$ZZ$502, MATCH("평가금액", INDEX(Data_Input!$A$1:$ZZ$502, 0, MATCH(1, (Data_Input!$7:$7="IRP")*(Data_Input!$8:$8=$B231), 0)), 0) + 1, MATCH(1, (Data_Input!$7:$7=$F$3)*(Data_Input!$8:$8=$B231), 0)),"")</f>
        <v/>
      </c>
      <c r="I231" s="20" t="str" cm="1">
        <f t="array" ref="I231">IFERROR(INDEX(Data_Input!$A$1:$ZZ$502, MATCH("평가손익", INDEX(Data_Input!$A$1:$ZZ$502, 0, MATCH(1, (Data_Input!$7:$7="IRP")*(Data_Input!$8:$8=$B231), 0)), 0) + 1, MATCH(1, (Data_Input!$7:$7=$F$3)*(Data_Input!$8:$8=$B231), 0)),"")</f>
        <v/>
      </c>
      <c r="J231" s="14" t="str" cm="1">
        <f t="array" ref="J231">IFERROR(INDEX(Data_Input!$A$1:$ZZ$502, MATCH("누적수익률", INDEX(Data_Input!$A$1:$ZZ$502, 0, MATCH(1, (Data_Input!$7:$7="IRP")*(Data_Input!$8:$8=$B231), 0)), 0) + 1, MATCH(1, (Data_Input!$7:$7=$F$3)*(Data_Input!$8:$8=$B231), 0))/100,"")</f>
        <v/>
      </c>
      <c r="K231" t="str" cm="1">
        <f t="array" ref="K231">IFERROR(_xlfn.LET(
    _xlpm.targetDate, B231,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32" spans="1:11" x14ac:dyDescent="0.3">
      <c r="A232" s="16" t="str">
        <f t="shared" si="6"/>
        <v/>
      </c>
      <c r="B232" s="19"/>
      <c r="C232" s="17" t="str">
        <f t="shared" si="7"/>
        <v/>
      </c>
      <c r="D232" s="42" t="str" cm="1">
        <f t="array" ref="D232">IFERROR(INDEX(Data_Input!$1:$100, 10, MATCH(1, (Data_Input!$7:$7=$F$3) * (Data_Input!$8:$8=$B232), 0)), "")</f>
        <v/>
      </c>
      <c r="E232" s="29" t="str" cm="1">
        <f t="array" ref="E232">IFERROR(INDEX(Data_Input!$1:$100, 9, MATCH(1, (Data_Input!$7:$7=$F$3) * (Data_Input!$8:$8=$B232), 0)),"")</f>
        <v/>
      </c>
      <c r="F232" s="20" t="str" cm="1">
        <f t="array" ref="F232">IFERROR(INDEX(Data_Input!$A$1:$ZZ$502, MATCH("플랜번호", INDEX(Data_Input!$A$1:$ZZ$502, 0, MATCH(1, (Data_Input!$7:$7="IRP")*(Data_Input!$8:$8=$B232), 0)), 0) + 1, MATCH(1, (Data_Input!$7:$7=$F$3)*(Data_Input!$8:$8=$B232), 0)),"")</f>
        <v/>
      </c>
      <c r="G232" s="20" t="str" cm="1">
        <f t="array" ref="G232">IFERROR(INDEX(Data_Input!$A$1:$ZZ$502, MATCH("플랜명", INDEX(Data_Input!$A$1:$ZZ$502, 0, MATCH(1, (Data_Input!$7:$7="IRP")*(Data_Input!$8:$8=$B232), 0)), 0) + 1, MATCH(1, (Data_Input!$7:$7=$F$3)*(Data_Input!$8:$8=$B232), 0)),"")</f>
        <v/>
      </c>
      <c r="H232" s="20" t="str" cm="1">
        <f t="array" ref="H232">IFERROR(INDEX(Data_Input!$A$1:$ZZ$502, MATCH("평가금액", INDEX(Data_Input!$A$1:$ZZ$502, 0, MATCH(1, (Data_Input!$7:$7="IRP")*(Data_Input!$8:$8=$B232), 0)), 0) + 1, MATCH(1, (Data_Input!$7:$7=$F$3)*(Data_Input!$8:$8=$B232), 0)),"")</f>
        <v/>
      </c>
      <c r="I232" s="20" t="str" cm="1">
        <f t="array" ref="I232">IFERROR(INDEX(Data_Input!$A$1:$ZZ$502, MATCH("평가손익", INDEX(Data_Input!$A$1:$ZZ$502, 0, MATCH(1, (Data_Input!$7:$7="IRP")*(Data_Input!$8:$8=$B232), 0)), 0) + 1, MATCH(1, (Data_Input!$7:$7=$F$3)*(Data_Input!$8:$8=$B232), 0)),"")</f>
        <v/>
      </c>
      <c r="J232" s="14" t="str" cm="1">
        <f t="array" ref="J232">IFERROR(INDEX(Data_Input!$A$1:$ZZ$502, MATCH("누적수익률", INDEX(Data_Input!$A$1:$ZZ$502, 0, MATCH(1, (Data_Input!$7:$7="IRP")*(Data_Input!$8:$8=$B232), 0)), 0) + 1, MATCH(1, (Data_Input!$7:$7=$F$3)*(Data_Input!$8:$8=$B232), 0))/100,"")</f>
        <v/>
      </c>
      <c r="K232" t="str" cm="1">
        <f t="array" ref="K232">IFERROR(_xlfn.LET(
    _xlpm.targetDate, B232,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33" spans="1:11" x14ac:dyDescent="0.3">
      <c r="A233" s="16" t="str">
        <f t="shared" si="6"/>
        <v/>
      </c>
      <c r="B233" s="19"/>
      <c r="C233" s="17" t="str">
        <f t="shared" si="7"/>
        <v/>
      </c>
      <c r="D233" s="42" t="str" cm="1">
        <f t="array" ref="D233">IFERROR(INDEX(Data_Input!$1:$100, 10, MATCH(1, (Data_Input!$7:$7=$F$3) * (Data_Input!$8:$8=$B233), 0)), "")</f>
        <v/>
      </c>
      <c r="E233" s="29" t="str" cm="1">
        <f t="array" ref="E233">IFERROR(INDEX(Data_Input!$1:$100, 9, MATCH(1, (Data_Input!$7:$7=$F$3) * (Data_Input!$8:$8=$B233), 0)),"")</f>
        <v/>
      </c>
      <c r="F233" s="20" t="str" cm="1">
        <f t="array" ref="F233">IFERROR(INDEX(Data_Input!$A$1:$ZZ$502, MATCH("플랜번호", INDEX(Data_Input!$A$1:$ZZ$502, 0, MATCH(1, (Data_Input!$7:$7="IRP")*(Data_Input!$8:$8=$B233), 0)), 0) + 1, MATCH(1, (Data_Input!$7:$7=$F$3)*(Data_Input!$8:$8=$B233), 0)),"")</f>
        <v/>
      </c>
      <c r="G233" s="20" t="str" cm="1">
        <f t="array" ref="G233">IFERROR(INDEX(Data_Input!$A$1:$ZZ$502, MATCH("플랜명", INDEX(Data_Input!$A$1:$ZZ$502, 0, MATCH(1, (Data_Input!$7:$7="IRP")*(Data_Input!$8:$8=$B233), 0)), 0) + 1, MATCH(1, (Data_Input!$7:$7=$F$3)*(Data_Input!$8:$8=$B233), 0)),"")</f>
        <v/>
      </c>
      <c r="H233" s="20" t="str" cm="1">
        <f t="array" ref="H233">IFERROR(INDEX(Data_Input!$A$1:$ZZ$502, MATCH("평가금액", INDEX(Data_Input!$A$1:$ZZ$502, 0, MATCH(1, (Data_Input!$7:$7="IRP")*(Data_Input!$8:$8=$B233), 0)), 0) + 1, MATCH(1, (Data_Input!$7:$7=$F$3)*(Data_Input!$8:$8=$B233), 0)),"")</f>
        <v/>
      </c>
      <c r="I233" s="20" t="str" cm="1">
        <f t="array" ref="I233">IFERROR(INDEX(Data_Input!$A$1:$ZZ$502, MATCH("평가손익", INDEX(Data_Input!$A$1:$ZZ$502, 0, MATCH(1, (Data_Input!$7:$7="IRP")*(Data_Input!$8:$8=$B233), 0)), 0) + 1, MATCH(1, (Data_Input!$7:$7=$F$3)*(Data_Input!$8:$8=$B233), 0)),"")</f>
        <v/>
      </c>
      <c r="J233" s="14" t="str" cm="1">
        <f t="array" ref="J233">IFERROR(INDEX(Data_Input!$A$1:$ZZ$502, MATCH("누적수익률", INDEX(Data_Input!$A$1:$ZZ$502, 0, MATCH(1, (Data_Input!$7:$7="IRP")*(Data_Input!$8:$8=$B233), 0)), 0) + 1, MATCH(1, (Data_Input!$7:$7=$F$3)*(Data_Input!$8:$8=$B233), 0))/100,"")</f>
        <v/>
      </c>
      <c r="K233" t="str" cm="1">
        <f t="array" ref="K233">IFERROR(_xlfn.LET(
    _xlpm.targetDate, B233,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34" spans="1:11" x14ac:dyDescent="0.3">
      <c r="A234" s="16" t="str">
        <f t="shared" si="6"/>
        <v/>
      </c>
      <c r="B234" s="19"/>
      <c r="C234" s="17" t="str">
        <f t="shared" si="7"/>
        <v/>
      </c>
      <c r="D234" s="42" t="str" cm="1">
        <f t="array" ref="D234">IFERROR(INDEX(Data_Input!$1:$100, 10, MATCH(1, (Data_Input!$7:$7=$F$3) * (Data_Input!$8:$8=$B234), 0)), "")</f>
        <v/>
      </c>
      <c r="E234" s="29" t="str" cm="1">
        <f t="array" ref="E234">IFERROR(INDEX(Data_Input!$1:$100, 9, MATCH(1, (Data_Input!$7:$7=$F$3) * (Data_Input!$8:$8=$B234), 0)),"")</f>
        <v/>
      </c>
      <c r="F234" s="20" t="str" cm="1">
        <f t="array" ref="F234">IFERROR(INDEX(Data_Input!$A$1:$ZZ$502, MATCH("플랜번호", INDEX(Data_Input!$A$1:$ZZ$502, 0, MATCH(1, (Data_Input!$7:$7="IRP")*(Data_Input!$8:$8=$B234), 0)), 0) + 1, MATCH(1, (Data_Input!$7:$7=$F$3)*(Data_Input!$8:$8=$B234), 0)),"")</f>
        <v/>
      </c>
      <c r="G234" s="20" t="str" cm="1">
        <f t="array" ref="G234">IFERROR(INDEX(Data_Input!$A$1:$ZZ$502, MATCH("플랜명", INDEX(Data_Input!$A$1:$ZZ$502, 0, MATCH(1, (Data_Input!$7:$7="IRP")*(Data_Input!$8:$8=$B234), 0)), 0) + 1, MATCH(1, (Data_Input!$7:$7=$F$3)*(Data_Input!$8:$8=$B234), 0)),"")</f>
        <v/>
      </c>
      <c r="H234" s="20" t="str" cm="1">
        <f t="array" ref="H234">IFERROR(INDEX(Data_Input!$A$1:$ZZ$502, MATCH("평가금액", INDEX(Data_Input!$A$1:$ZZ$502, 0, MATCH(1, (Data_Input!$7:$7="IRP")*(Data_Input!$8:$8=$B234), 0)), 0) + 1, MATCH(1, (Data_Input!$7:$7=$F$3)*(Data_Input!$8:$8=$B234), 0)),"")</f>
        <v/>
      </c>
      <c r="I234" s="20" t="str" cm="1">
        <f t="array" ref="I234">IFERROR(INDEX(Data_Input!$A$1:$ZZ$502, MATCH("평가손익", INDEX(Data_Input!$A$1:$ZZ$502, 0, MATCH(1, (Data_Input!$7:$7="IRP")*(Data_Input!$8:$8=$B234), 0)), 0) + 1, MATCH(1, (Data_Input!$7:$7=$F$3)*(Data_Input!$8:$8=$B234), 0)),"")</f>
        <v/>
      </c>
      <c r="J234" s="14" t="str" cm="1">
        <f t="array" ref="J234">IFERROR(INDEX(Data_Input!$A$1:$ZZ$502, MATCH("누적수익률", INDEX(Data_Input!$A$1:$ZZ$502, 0, MATCH(1, (Data_Input!$7:$7="IRP")*(Data_Input!$8:$8=$B234), 0)), 0) + 1, MATCH(1, (Data_Input!$7:$7=$F$3)*(Data_Input!$8:$8=$B234), 0))/100,"")</f>
        <v/>
      </c>
      <c r="K234" t="str" cm="1">
        <f t="array" ref="K234">IFERROR(_xlfn.LET(
    _xlpm.targetDate, B234,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35" spans="1:11" x14ac:dyDescent="0.3">
      <c r="A235" s="16" t="str">
        <f t="shared" si="6"/>
        <v/>
      </c>
      <c r="B235" s="19"/>
      <c r="C235" s="17" t="str">
        <f t="shared" si="7"/>
        <v/>
      </c>
      <c r="D235" s="42" t="str" cm="1">
        <f t="array" ref="D235">IFERROR(INDEX(Data_Input!$1:$100, 10, MATCH(1, (Data_Input!$7:$7=$F$3) * (Data_Input!$8:$8=$B235), 0)), "")</f>
        <v/>
      </c>
      <c r="E235" s="29" t="str" cm="1">
        <f t="array" ref="E235">IFERROR(INDEX(Data_Input!$1:$100, 9, MATCH(1, (Data_Input!$7:$7=$F$3) * (Data_Input!$8:$8=$B235), 0)),"")</f>
        <v/>
      </c>
      <c r="F235" s="20" t="str" cm="1">
        <f t="array" ref="F235">IFERROR(INDEX(Data_Input!$A$1:$ZZ$502, MATCH("플랜번호", INDEX(Data_Input!$A$1:$ZZ$502, 0, MATCH(1, (Data_Input!$7:$7="IRP")*(Data_Input!$8:$8=$B235), 0)), 0) + 1, MATCH(1, (Data_Input!$7:$7=$F$3)*(Data_Input!$8:$8=$B235), 0)),"")</f>
        <v/>
      </c>
      <c r="G235" s="20" t="str" cm="1">
        <f t="array" ref="G235">IFERROR(INDEX(Data_Input!$A$1:$ZZ$502, MATCH("플랜명", INDEX(Data_Input!$A$1:$ZZ$502, 0, MATCH(1, (Data_Input!$7:$7="IRP")*(Data_Input!$8:$8=$B235), 0)), 0) + 1, MATCH(1, (Data_Input!$7:$7=$F$3)*(Data_Input!$8:$8=$B235), 0)),"")</f>
        <v/>
      </c>
      <c r="H235" s="20" t="str" cm="1">
        <f t="array" ref="H235">IFERROR(INDEX(Data_Input!$A$1:$ZZ$502, MATCH("평가금액", INDEX(Data_Input!$A$1:$ZZ$502, 0, MATCH(1, (Data_Input!$7:$7="IRP")*(Data_Input!$8:$8=$B235), 0)), 0) + 1, MATCH(1, (Data_Input!$7:$7=$F$3)*(Data_Input!$8:$8=$B235), 0)),"")</f>
        <v/>
      </c>
      <c r="I235" s="20" t="str" cm="1">
        <f t="array" ref="I235">IFERROR(INDEX(Data_Input!$A$1:$ZZ$502, MATCH("평가손익", INDEX(Data_Input!$A$1:$ZZ$502, 0, MATCH(1, (Data_Input!$7:$7="IRP")*(Data_Input!$8:$8=$B235), 0)), 0) + 1, MATCH(1, (Data_Input!$7:$7=$F$3)*(Data_Input!$8:$8=$B235), 0)),"")</f>
        <v/>
      </c>
      <c r="J235" s="14" t="str" cm="1">
        <f t="array" ref="J235">IFERROR(INDEX(Data_Input!$A$1:$ZZ$502, MATCH("누적수익률", INDEX(Data_Input!$A$1:$ZZ$502, 0, MATCH(1, (Data_Input!$7:$7="IRP")*(Data_Input!$8:$8=$B235), 0)), 0) + 1, MATCH(1, (Data_Input!$7:$7=$F$3)*(Data_Input!$8:$8=$B235), 0))/100,"")</f>
        <v/>
      </c>
      <c r="K235" t="str" cm="1">
        <f t="array" ref="K235">IFERROR(_xlfn.LET(
    _xlpm.targetDate, B235,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36" spans="1:11" x14ac:dyDescent="0.3">
      <c r="A236" s="16" t="str">
        <f t="shared" si="6"/>
        <v/>
      </c>
      <c r="B236" s="19"/>
      <c r="C236" s="17" t="str">
        <f t="shared" si="7"/>
        <v/>
      </c>
      <c r="D236" s="42" t="str" cm="1">
        <f t="array" ref="D236">IFERROR(INDEX(Data_Input!$1:$100, 10, MATCH(1, (Data_Input!$7:$7=$F$3) * (Data_Input!$8:$8=$B236), 0)), "")</f>
        <v/>
      </c>
      <c r="E236" s="29" t="str" cm="1">
        <f t="array" ref="E236">IFERROR(INDEX(Data_Input!$1:$100, 9, MATCH(1, (Data_Input!$7:$7=$F$3) * (Data_Input!$8:$8=$B236), 0)),"")</f>
        <v/>
      </c>
      <c r="F236" s="20" t="str" cm="1">
        <f t="array" ref="F236">IFERROR(INDEX(Data_Input!$A$1:$ZZ$502, MATCH("플랜번호", INDEX(Data_Input!$A$1:$ZZ$502, 0, MATCH(1, (Data_Input!$7:$7="IRP")*(Data_Input!$8:$8=$B236), 0)), 0) + 1, MATCH(1, (Data_Input!$7:$7=$F$3)*(Data_Input!$8:$8=$B236), 0)),"")</f>
        <v/>
      </c>
      <c r="G236" s="20" t="str" cm="1">
        <f t="array" ref="G236">IFERROR(INDEX(Data_Input!$A$1:$ZZ$502, MATCH("플랜명", INDEX(Data_Input!$A$1:$ZZ$502, 0, MATCH(1, (Data_Input!$7:$7="IRP")*(Data_Input!$8:$8=$B236), 0)), 0) + 1, MATCH(1, (Data_Input!$7:$7=$F$3)*(Data_Input!$8:$8=$B236), 0)),"")</f>
        <v/>
      </c>
      <c r="H236" s="20" t="str" cm="1">
        <f t="array" ref="H236">IFERROR(INDEX(Data_Input!$A$1:$ZZ$502, MATCH("평가금액", INDEX(Data_Input!$A$1:$ZZ$502, 0, MATCH(1, (Data_Input!$7:$7="IRP")*(Data_Input!$8:$8=$B236), 0)), 0) + 1, MATCH(1, (Data_Input!$7:$7=$F$3)*(Data_Input!$8:$8=$B236), 0)),"")</f>
        <v/>
      </c>
      <c r="I236" s="20" t="str" cm="1">
        <f t="array" ref="I236">IFERROR(INDEX(Data_Input!$A$1:$ZZ$502, MATCH("평가손익", INDEX(Data_Input!$A$1:$ZZ$502, 0, MATCH(1, (Data_Input!$7:$7="IRP")*(Data_Input!$8:$8=$B236), 0)), 0) + 1, MATCH(1, (Data_Input!$7:$7=$F$3)*(Data_Input!$8:$8=$B236), 0)),"")</f>
        <v/>
      </c>
      <c r="J236" s="14" t="str" cm="1">
        <f t="array" ref="J236">IFERROR(INDEX(Data_Input!$A$1:$ZZ$502, MATCH("누적수익률", INDEX(Data_Input!$A$1:$ZZ$502, 0, MATCH(1, (Data_Input!$7:$7="IRP")*(Data_Input!$8:$8=$B236), 0)), 0) + 1, MATCH(1, (Data_Input!$7:$7=$F$3)*(Data_Input!$8:$8=$B236), 0))/100,"")</f>
        <v/>
      </c>
      <c r="K236" t="str" cm="1">
        <f t="array" ref="K236">IFERROR(_xlfn.LET(
    _xlpm.targetDate, B236,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37" spans="1:11" x14ac:dyDescent="0.3">
      <c r="A237" s="16" t="str">
        <f t="shared" si="6"/>
        <v/>
      </c>
      <c r="B237" s="19"/>
      <c r="C237" s="17" t="str">
        <f t="shared" si="7"/>
        <v/>
      </c>
      <c r="D237" s="42" t="str" cm="1">
        <f t="array" ref="D237">IFERROR(INDEX(Data_Input!$1:$100, 10, MATCH(1, (Data_Input!$7:$7=$F$3) * (Data_Input!$8:$8=$B237), 0)), "")</f>
        <v/>
      </c>
      <c r="E237" s="29" t="str" cm="1">
        <f t="array" ref="E237">IFERROR(INDEX(Data_Input!$1:$100, 9, MATCH(1, (Data_Input!$7:$7=$F$3) * (Data_Input!$8:$8=$B237), 0)),"")</f>
        <v/>
      </c>
      <c r="F237" s="20" t="str" cm="1">
        <f t="array" ref="F237">IFERROR(INDEX(Data_Input!$A$1:$ZZ$502, MATCH("플랜번호", INDEX(Data_Input!$A$1:$ZZ$502, 0, MATCH(1, (Data_Input!$7:$7="IRP")*(Data_Input!$8:$8=$B237), 0)), 0) + 1, MATCH(1, (Data_Input!$7:$7=$F$3)*(Data_Input!$8:$8=$B237), 0)),"")</f>
        <v/>
      </c>
      <c r="G237" s="20" t="str" cm="1">
        <f t="array" ref="G237">IFERROR(INDEX(Data_Input!$A$1:$ZZ$502, MATCH("플랜명", INDEX(Data_Input!$A$1:$ZZ$502, 0, MATCH(1, (Data_Input!$7:$7="IRP")*(Data_Input!$8:$8=$B237), 0)), 0) + 1, MATCH(1, (Data_Input!$7:$7=$F$3)*(Data_Input!$8:$8=$B237), 0)),"")</f>
        <v/>
      </c>
      <c r="H237" s="20" t="str" cm="1">
        <f t="array" ref="H237">IFERROR(INDEX(Data_Input!$A$1:$ZZ$502, MATCH("평가금액", INDEX(Data_Input!$A$1:$ZZ$502, 0, MATCH(1, (Data_Input!$7:$7="IRP")*(Data_Input!$8:$8=$B237), 0)), 0) + 1, MATCH(1, (Data_Input!$7:$7=$F$3)*(Data_Input!$8:$8=$B237), 0)),"")</f>
        <v/>
      </c>
      <c r="I237" s="20" t="str" cm="1">
        <f t="array" ref="I237">IFERROR(INDEX(Data_Input!$A$1:$ZZ$502, MATCH("평가손익", INDEX(Data_Input!$A$1:$ZZ$502, 0, MATCH(1, (Data_Input!$7:$7="IRP")*(Data_Input!$8:$8=$B237), 0)), 0) + 1, MATCH(1, (Data_Input!$7:$7=$F$3)*(Data_Input!$8:$8=$B237), 0)),"")</f>
        <v/>
      </c>
      <c r="J237" s="14" t="str" cm="1">
        <f t="array" ref="J237">IFERROR(INDEX(Data_Input!$A$1:$ZZ$502, MATCH("누적수익률", INDEX(Data_Input!$A$1:$ZZ$502, 0, MATCH(1, (Data_Input!$7:$7="IRP")*(Data_Input!$8:$8=$B237), 0)), 0) + 1, MATCH(1, (Data_Input!$7:$7=$F$3)*(Data_Input!$8:$8=$B237), 0))/100,"")</f>
        <v/>
      </c>
      <c r="K237" t="str" cm="1">
        <f t="array" ref="K237">IFERROR(_xlfn.LET(
    _xlpm.targetDate, B237,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38" spans="1:11" x14ac:dyDescent="0.3">
      <c r="A238" s="16" t="str">
        <f t="shared" si="6"/>
        <v/>
      </c>
      <c r="B238" s="19"/>
      <c r="C238" s="17" t="str">
        <f t="shared" si="7"/>
        <v/>
      </c>
      <c r="D238" s="42" t="str" cm="1">
        <f t="array" ref="D238">IFERROR(INDEX(Data_Input!$1:$100, 10, MATCH(1, (Data_Input!$7:$7=$F$3) * (Data_Input!$8:$8=$B238), 0)), "")</f>
        <v/>
      </c>
      <c r="E238" s="29" t="str" cm="1">
        <f t="array" ref="E238">IFERROR(INDEX(Data_Input!$1:$100, 9, MATCH(1, (Data_Input!$7:$7=$F$3) * (Data_Input!$8:$8=$B238), 0)),"")</f>
        <v/>
      </c>
      <c r="F238" s="20" t="str" cm="1">
        <f t="array" ref="F238">IFERROR(INDEX(Data_Input!$A$1:$ZZ$502, MATCH("플랜번호", INDEX(Data_Input!$A$1:$ZZ$502, 0, MATCH(1, (Data_Input!$7:$7="IRP")*(Data_Input!$8:$8=$B238), 0)), 0) + 1, MATCH(1, (Data_Input!$7:$7=$F$3)*(Data_Input!$8:$8=$B238), 0)),"")</f>
        <v/>
      </c>
      <c r="G238" s="20" t="str" cm="1">
        <f t="array" ref="G238">IFERROR(INDEX(Data_Input!$A$1:$ZZ$502, MATCH("플랜명", INDEX(Data_Input!$A$1:$ZZ$502, 0, MATCH(1, (Data_Input!$7:$7="IRP")*(Data_Input!$8:$8=$B238), 0)), 0) + 1, MATCH(1, (Data_Input!$7:$7=$F$3)*(Data_Input!$8:$8=$B238), 0)),"")</f>
        <v/>
      </c>
      <c r="H238" s="20" t="str" cm="1">
        <f t="array" ref="H238">IFERROR(INDEX(Data_Input!$A$1:$ZZ$502, MATCH("평가금액", INDEX(Data_Input!$A$1:$ZZ$502, 0, MATCH(1, (Data_Input!$7:$7="IRP")*(Data_Input!$8:$8=$B238), 0)), 0) + 1, MATCH(1, (Data_Input!$7:$7=$F$3)*(Data_Input!$8:$8=$B238), 0)),"")</f>
        <v/>
      </c>
      <c r="I238" s="20" t="str" cm="1">
        <f t="array" ref="I238">IFERROR(INDEX(Data_Input!$A$1:$ZZ$502, MATCH("평가손익", INDEX(Data_Input!$A$1:$ZZ$502, 0, MATCH(1, (Data_Input!$7:$7="IRP")*(Data_Input!$8:$8=$B238), 0)), 0) + 1, MATCH(1, (Data_Input!$7:$7=$F$3)*(Data_Input!$8:$8=$B238), 0)),"")</f>
        <v/>
      </c>
      <c r="J238" s="14" t="str" cm="1">
        <f t="array" ref="J238">IFERROR(INDEX(Data_Input!$A$1:$ZZ$502, MATCH("누적수익률", INDEX(Data_Input!$A$1:$ZZ$502, 0, MATCH(1, (Data_Input!$7:$7="IRP")*(Data_Input!$8:$8=$B238), 0)), 0) + 1, MATCH(1, (Data_Input!$7:$7=$F$3)*(Data_Input!$8:$8=$B238), 0))/100,"")</f>
        <v/>
      </c>
      <c r="K238" t="str" cm="1">
        <f t="array" ref="K238">IFERROR(_xlfn.LET(
    _xlpm.targetDate, B238,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39" spans="1:11" x14ac:dyDescent="0.3">
      <c r="A239" s="16" t="str">
        <f t="shared" si="6"/>
        <v/>
      </c>
      <c r="B239" s="19"/>
      <c r="C239" s="17" t="str">
        <f t="shared" si="7"/>
        <v/>
      </c>
      <c r="D239" s="42" t="str" cm="1">
        <f t="array" ref="D239">IFERROR(INDEX(Data_Input!$1:$100, 10, MATCH(1, (Data_Input!$7:$7=$F$3) * (Data_Input!$8:$8=$B239), 0)), "")</f>
        <v/>
      </c>
      <c r="E239" s="29" t="str" cm="1">
        <f t="array" ref="E239">IFERROR(INDEX(Data_Input!$1:$100, 9, MATCH(1, (Data_Input!$7:$7=$F$3) * (Data_Input!$8:$8=$B239), 0)),"")</f>
        <v/>
      </c>
      <c r="F239" s="20" t="str" cm="1">
        <f t="array" ref="F239">IFERROR(INDEX(Data_Input!$A$1:$ZZ$502, MATCH("플랜번호", INDEX(Data_Input!$A$1:$ZZ$502, 0, MATCH(1, (Data_Input!$7:$7="IRP")*(Data_Input!$8:$8=$B239), 0)), 0) + 1, MATCH(1, (Data_Input!$7:$7=$F$3)*(Data_Input!$8:$8=$B239), 0)),"")</f>
        <v/>
      </c>
      <c r="G239" s="20" t="str" cm="1">
        <f t="array" ref="G239">IFERROR(INDEX(Data_Input!$A$1:$ZZ$502, MATCH("플랜명", INDEX(Data_Input!$A$1:$ZZ$502, 0, MATCH(1, (Data_Input!$7:$7="IRP")*(Data_Input!$8:$8=$B239), 0)), 0) + 1, MATCH(1, (Data_Input!$7:$7=$F$3)*(Data_Input!$8:$8=$B239), 0)),"")</f>
        <v/>
      </c>
      <c r="H239" s="20" t="str" cm="1">
        <f t="array" ref="H239">IFERROR(INDEX(Data_Input!$A$1:$ZZ$502, MATCH("평가금액", INDEX(Data_Input!$A$1:$ZZ$502, 0, MATCH(1, (Data_Input!$7:$7="IRP")*(Data_Input!$8:$8=$B239), 0)), 0) + 1, MATCH(1, (Data_Input!$7:$7=$F$3)*(Data_Input!$8:$8=$B239), 0)),"")</f>
        <v/>
      </c>
      <c r="I239" s="20" t="str" cm="1">
        <f t="array" ref="I239">IFERROR(INDEX(Data_Input!$A$1:$ZZ$502, MATCH("평가손익", INDEX(Data_Input!$A$1:$ZZ$502, 0, MATCH(1, (Data_Input!$7:$7="IRP")*(Data_Input!$8:$8=$B239), 0)), 0) + 1, MATCH(1, (Data_Input!$7:$7=$F$3)*(Data_Input!$8:$8=$B239), 0)),"")</f>
        <v/>
      </c>
      <c r="J239" s="14" t="str" cm="1">
        <f t="array" ref="J239">IFERROR(INDEX(Data_Input!$A$1:$ZZ$502, MATCH("누적수익률", INDEX(Data_Input!$A$1:$ZZ$502, 0, MATCH(1, (Data_Input!$7:$7="IRP")*(Data_Input!$8:$8=$B239), 0)), 0) + 1, MATCH(1, (Data_Input!$7:$7=$F$3)*(Data_Input!$8:$8=$B239), 0))/100,"")</f>
        <v/>
      </c>
      <c r="K239" t="str" cm="1">
        <f t="array" ref="K239">IFERROR(_xlfn.LET(
    _xlpm.targetDate, B239,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40" spans="1:11" x14ac:dyDescent="0.3">
      <c r="A240" s="16" t="str">
        <f t="shared" si="6"/>
        <v/>
      </c>
      <c r="B240" s="19"/>
      <c r="C240" s="17" t="str">
        <f t="shared" si="7"/>
        <v/>
      </c>
      <c r="D240" s="42" t="str" cm="1">
        <f t="array" ref="D240">IFERROR(INDEX(Data_Input!$1:$100, 10, MATCH(1, (Data_Input!$7:$7=$F$3) * (Data_Input!$8:$8=$B240), 0)), "")</f>
        <v/>
      </c>
      <c r="E240" s="29" t="str" cm="1">
        <f t="array" ref="E240">IFERROR(INDEX(Data_Input!$1:$100, 9, MATCH(1, (Data_Input!$7:$7=$F$3) * (Data_Input!$8:$8=$B240), 0)),"")</f>
        <v/>
      </c>
      <c r="F240" s="20" t="str" cm="1">
        <f t="array" ref="F240">IFERROR(INDEX(Data_Input!$A$1:$ZZ$502, MATCH("플랜번호", INDEX(Data_Input!$A$1:$ZZ$502, 0, MATCH(1, (Data_Input!$7:$7="IRP")*(Data_Input!$8:$8=$B240), 0)), 0) + 1, MATCH(1, (Data_Input!$7:$7=$F$3)*(Data_Input!$8:$8=$B240), 0)),"")</f>
        <v/>
      </c>
      <c r="G240" s="20" t="str" cm="1">
        <f t="array" ref="G240">IFERROR(INDEX(Data_Input!$A$1:$ZZ$502, MATCH("플랜명", INDEX(Data_Input!$A$1:$ZZ$502, 0, MATCH(1, (Data_Input!$7:$7="IRP")*(Data_Input!$8:$8=$B240), 0)), 0) + 1, MATCH(1, (Data_Input!$7:$7=$F$3)*(Data_Input!$8:$8=$B240), 0)),"")</f>
        <v/>
      </c>
      <c r="H240" s="20" t="str" cm="1">
        <f t="array" ref="H240">IFERROR(INDEX(Data_Input!$A$1:$ZZ$502, MATCH("평가금액", INDEX(Data_Input!$A$1:$ZZ$502, 0, MATCH(1, (Data_Input!$7:$7="IRP")*(Data_Input!$8:$8=$B240), 0)), 0) + 1, MATCH(1, (Data_Input!$7:$7=$F$3)*(Data_Input!$8:$8=$B240), 0)),"")</f>
        <v/>
      </c>
      <c r="I240" s="20" t="str" cm="1">
        <f t="array" ref="I240">IFERROR(INDEX(Data_Input!$A$1:$ZZ$502, MATCH("평가손익", INDEX(Data_Input!$A$1:$ZZ$502, 0, MATCH(1, (Data_Input!$7:$7="IRP")*(Data_Input!$8:$8=$B240), 0)), 0) + 1, MATCH(1, (Data_Input!$7:$7=$F$3)*(Data_Input!$8:$8=$B240), 0)),"")</f>
        <v/>
      </c>
      <c r="J240" s="14" t="str" cm="1">
        <f t="array" ref="J240">IFERROR(INDEX(Data_Input!$A$1:$ZZ$502, MATCH("누적수익률", INDEX(Data_Input!$A$1:$ZZ$502, 0, MATCH(1, (Data_Input!$7:$7="IRP")*(Data_Input!$8:$8=$B240), 0)), 0) + 1, MATCH(1, (Data_Input!$7:$7=$F$3)*(Data_Input!$8:$8=$B240), 0))/100,"")</f>
        <v/>
      </c>
      <c r="K240" t="str" cm="1">
        <f t="array" ref="K240">IFERROR(_xlfn.LET(
    _xlpm.targetDate, B240,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41" spans="1:11" x14ac:dyDescent="0.3">
      <c r="A241" s="16" t="str">
        <f t="shared" si="6"/>
        <v/>
      </c>
      <c r="B241" s="19"/>
      <c r="C241" s="17" t="str">
        <f t="shared" si="7"/>
        <v/>
      </c>
      <c r="D241" s="42" t="str" cm="1">
        <f t="array" ref="D241">IFERROR(INDEX(Data_Input!$1:$100, 10, MATCH(1, (Data_Input!$7:$7=$F$3) * (Data_Input!$8:$8=$B241), 0)), "")</f>
        <v/>
      </c>
      <c r="E241" s="29" t="str" cm="1">
        <f t="array" ref="E241">IFERROR(INDEX(Data_Input!$1:$100, 9, MATCH(1, (Data_Input!$7:$7=$F$3) * (Data_Input!$8:$8=$B241), 0)),"")</f>
        <v/>
      </c>
      <c r="F241" s="20" t="str" cm="1">
        <f t="array" ref="F241">IFERROR(INDEX(Data_Input!$A$1:$ZZ$502, MATCH("플랜번호", INDEX(Data_Input!$A$1:$ZZ$502, 0, MATCH(1, (Data_Input!$7:$7="IRP")*(Data_Input!$8:$8=$B241), 0)), 0) + 1, MATCH(1, (Data_Input!$7:$7=$F$3)*(Data_Input!$8:$8=$B241), 0)),"")</f>
        <v/>
      </c>
      <c r="G241" s="20" t="str" cm="1">
        <f t="array" ref="G241">IFERROR(INDEX(Data_Input!$A$1:$ZZ$502, MATCH("플랜명", INDEX(Data_Input!$A$1:$ZZ$502, 0, MATCH(1, (Data_Input!$7:$7="IRP")*(Data_Input!$8:$8=$B241), 0)), 0) + 1, MATCH(1, (Data_Input!$7:$7=$F$3)*(Data_Input!$8:$8=$B241), 0)),"")</f>
        <v/>
      </c>
      <c r="H241" s="20" t="str" cm="1">
        <f t="array" ref="H241">IFERROR(INDEX(Data_Input!$A$1:$ZZ$502, MATCH("평가금액", INDEX(Data_Input!$A$1:$ZZ$502, 0, MATCH(1, (Data_Input!$7:$7="IRP")*(Data_Input!$8:$8=$B241), 0)), 0) + 1, MATCH(1, (Data_Input!$7:$7=$F$3)*(Data_Input!$8:$8=$B241), 0)),"")</f>
        <v/>
      </c>
      <c r="I241" s="20" t="str" cm="1">
        <f t="array" ref="I241">IFERROR(INDEX(Data_Input!$A$1:$ZZ$502, MATCH("평가손익", INDEX(Data_Input!$A$1:$ZZ$502, 0, MATCH(1, (Data_Input!$7:$7="IRP")*(Data_Input!$8:$8=$B241), 0)), 0) + 1, MATCH(1, (Data_Input!$7:$7=$F$3)*(Data_Input!$8:$8=$B241), 0)),"")</f>
        <v/>
      </c>
      <c r="J241" s="14" t="str" cm="1">
        <f t="array" ref="J241">IFERROR(INDEX(Data_Input!$A$1:$ZZ$502, MATCH("누적수익률", INDEX(Data_Input!$A$1:$ZZ$502, 0, MATCH(1, (Data_Input!$7:$7="IRP")*(Data_Input!$8:$8=$B241), 0)), 0) + 1, MATCH(1, (Data_Input!$7:$7=$F$3)*(Data_Input!$8:$8=$B241), 0))/100,"")</f>
        <v/>
      </c>
      <c r="K241" t="str" cm="1">
        <f t="array" ref="K241">IFERROR(_xlfn.LET(
    _xlpm.targetDate, B241,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42" spans="1:11" x14ac:dyDescent="0.3">
      <c r="A242" s="16" t="str">
        <f t="shared" si="6"/>
        <v/>
      </c>
      <c r="B242" s="19"/>
      <c r="C242" s="17" t="str">
        <f t="shared" si="7"/>
        <v/>
      </c>
      <c r="D242" s="42" t="str" cm="1">
        <f t="array" ref="D242">IFERROR(INDEX(Data_Input!$1:$100, 10, MATCH(1, (Data_Input!$7:$7=$F$3) * (Data_Input!$8:$8=$B242), 0)), "")</f>
        <v/>
      </c>
      <c r="E242" s="29" t="str" cm="1">
        <f t="array" ref="E242">IFERROR(INDEX(Data_Input!$1:$100, 9, MATCH(1, (Data_Input!$7:$7=$F$3) * (Data_Input!$8:$8=$B242), 0)),"")</f>
        <v/>
      </c>
      <c r="F242" s="20" t="str" cm="1">
        <f t="array" ref="F242">IFERROR(INDEX(Data_Input!$A$1:$ZZ$502, MATCH("플랜번호", INDEX(Data_Input!$A$1:$ZZ$502, 0, MATCH(1, (Data_Input!$7:$7="IRP")*(Data_Input!$8:$8=$B242), 0)), 0) + 1, MATCH(1, (Data_Input!$7:$7=$F$3)*(Data_Input!$8:$8=$B242), 0)),"")</f>
        <v/>
      </c>
      <c r="G242" s="20" t="str" cm="1">
        <f t="array" ref="G242">IFERROR(INDEX(Data_Input!$A$1:$ZZ$502, MATCH("플랜명", INDEX(Data_Input!$A$1:$ZZ$502, 0, MATCH(1, (Data_Input!$7:$7="IRP")*(Data_Input!$8:$8=$B242), 0)), 0) + 1, MATCH(1, (Data_Input!$7:$7=$F$3)*(Data_Input!$8:$8=$B242), 0)),"")</f>
        <v/>
      </c>
      <c r="H242" s="20" t="str" cm="1">
        <f t="array" ref="H242">IFERROR(INDEX(Data_Input!$A$1:$ZZ$502, MATCH("평가금액", INDEX(Data_Input!$A$1:$ZZ$502, 0, MATCH(1, (Data_Input!$7:$7="IRP")*(Data_Input!$8:$8=$B242), 0)), 0) + 1, MATCH(1, (Data_Input!$7:$7=$F$3)*(Data_Input!$8:$8=$B242), 0)),"")</f>
        <v/>
      </c>
      <c r="I242" s="20" t="str" cm="1">
        <f t="array" ref="I242">IFERROR(INDEX(Data_Input!$A$1:$ZZ$502, MATCH("평가손익", INDEX(Data_Input!$A$1:$ZZ$502, 0, MATCH(1, (Data_Input!$7:$7="IRP")*(Data_Input!$8:$8=$B242), 0)), 0) + 1, MATCH(1, (Data_Input!$7:$7=$F$3)*(Data_Input!$8:$8=$B242), 0)),"")</f>
        <v/>
      </c>
      <c r="J242" s="14" t="str" cm="1">
        <f t="array" ref="J242">IFERROR(INDEX(Data_Input!$A$1:$ZZ$502, MATCH("누적수익률", INDEX(Data_Input!$A$1:$ZZ$502, 0, MATCH(1, (Data_Input!$7:$7="IRP")*(Data_Input!$8:$8=$B242), 0)), 0) + 1, MATCH(1, (Data_Input!$7:$7=$F$3)*(Data_Input!$8:$8=$B242), 0))/100,"")</f>
        <v/>
      </c>
      <c r="K242" t="str" cm="1">
        <f t="array" ref="K242">IFERROR(_xlfn.LET(
    _xlpm.targetDate, B242,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43" spans="1:11" x14ac:dyDescent="0.3">
      <c r="A243" s="16" t="str">
        <f t="shared" si="6"/>
        <v/>
      </c>
      <c r="B243" s="19"/>
      <c r="C243" s="17" t="str">
        <f t="shared" si="7"/>
        <v/>
      </c>
      <c r="D243" s="42" t="str" cm="1">
        <f t="array" ref="D243">IFERROR(INDEX(Data_Input!$1:$100, 10, MATCH(1, (Data_Input!$7:$7=$F$3) * (Data_Input!$8:$8=$B243), 0)), "")</f>
        <v/>
      </c>
      <c r="E243" s="29" t="str" cm="1">
        <f t="array" ref="E243">IFERROR(INDEX(Data_Input!$1:$100, 9, MATCH(1, (Data_Input!$7:$7=$F$3) * (Data_Input!$8:$8=$B243), 0)),"")</f>
        <v/>
      </c>
      <c r="F243" s="20" t="str" cm="1">
        <f t="array" ref="F243">IFERROR(INDEX(Data_Input!$A$1:$ZZ$502, MATCH("플랜번호", INDEX(Data_Input!$A$1:$ZZ$502, 0, MATCH(1, (Data_Input!$7:$7="IRP")*(Data_Input!$8:$8=$B243), 0)), 0) + 1, MATCH(1, (Data_Input!$7:$7=$F$3)*(Data_Input!$8:$8=$B243), 0)),"")</f>
        <v/>
      </c>
      <c r="G243" s="20" t="str" cm="1">
        <f t="array" ref="G243">IFERROR(INDEX(Data_Input!$A$1:$ZZ$502, MATCH("플랜명", INDEX(Data_Input!$A$1:$ZZ$502, 0, MATCH(1, (Data_Input!$7:$7="IRP")*(Data_Input!$8:$8=$B243), 0)), 0) + 1, MATCH(1, (Data_Input!$7:$7=$F$3)*(Data_Input!$8:$8=$B243), 0)),"")</f>
        <v/>
      </c>
      <c r="H243" s="20" t="str" cm="1">
        <f t="array" ref="H243">IFERROR(INDEX(Data_Input!$A$1:$ZZ$502, MATCH("평가금액", INDEX(Data_Input!$A$1:$ZZ$502, 0, MATCH(1, (Data_Input!$7:$7="IRP")*(Data_Input!$8:$8=$B243), 0)), 0) + 1, MATCH(1, (Data_Input!$7:$7=$F$3)*(Data_Input!$8:$8=$B243), 0)),"")</f>
        <v/>
      </c>
      <c r="I243" s="20" t="str" cm="1">
        <f t="array" ref="I243">IFERROR(INDEX(Data_Input!$A$1:$ZZ$502, MATCH("평가손익", INDEX(Data_Input!$A$1:$ZZ$502, 0, MATCH(1, (Data_Input!$7:$7="IRP")*(Data_Input!$8:$8=$B243), 0)), 0) + 1, MATCH(1, (Data_Input!$7:$7=$F$3)*(Data_Input!$8:$8=$B243), 0)),"")</f>
        <v/>
      </c>
      <c r="J243" s="14" t="str" cm="1">
        <f t="array" ref="J243">IFERROR(INDEX(Data_Input!$A$1:$ZZ$502, MATCH("누적수익률", INDEX(Data_Input!$A$1:$ZZ$502, 0, MATCH(1, (Data_Input!$7:$7="IRP")*(Data_Input!$8:$8=$B243), 0)), 0) + 1, MATCH(1, (Data_Input!$7:$7=$F$3)*(Data_Input!$8:$8=$B243), 0))/100,"")</f>
        <v/>
      </c>
      <c r="K243" t="str" cm="1">
        <f t="array" ref="K243">IFERROR(_xlfn.LET(
    _xlpm.targetDate, B243,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44" spans="1:11" x14ac:dyDescent="0.3">
      <c r="A244" s="16" t="str">
        <f t="shared" si="6"/>
        <v/>
      </c>
      <c r="B244" s="19"/>
      <c r="C244" s="17" t="str">
        <f t="shared" si="7"/>
        <v/>
      </c>
      <c r="D244" s="42" t="str" cm="1">
        <f t="array" ref="D244">IFERROR(INDEX(Data_Input!$1:$100, 10, MATCH(1, (Data_Input!$7:$7=$F$3) * (Data_Input!$8:$8=$B244), 0)), "")</f>
        <v/>
      </c>
      <c r="E244" s="29" t="str" cm="1">
        <f t="array" ref="E244">IFERROR(INDEX(Data_Input!$1:$100, 9, MATCH(1, (Data_Input!$7:$7=$F$3) * (Data_Input!$8:$8=$B244), 0)),"")</f>
        <v/>
      </c>
      <c r="F244" s="20" t="str" cm="1">
        <f t="array" ref="F244">IFERROR(INDEX(Data_Input!$A$1:$ZZ$502, MATCH("플랜번호", INDEX(Data_Input!$A$1:$ZZ$502, 0, MATCH(1, (Data_Input!$7:$7="IRP")*(Data_Input!$8:$8=$B244), 0)), 0) + 1, MATCH(1, (Data_Input!$7:$7=$F$3)*(Data_Input!$8:$8=$B244), 0)),"")</f>
        <v/>
      </c>
      <c r="G244" s="20" t="str" cm="1">
        <f t="array" ref="G244">IFERROR(INDEX(Data_Input!$A$1:$ZZ$502, MATCH("플랜명", INDEX(Data_Input!$A$1:$ZZ$502, 0, MATCH(1, (Data_Input!$7:$7="IRP")*(Data_Input!$8:$8=$B244), 0)), 0) + 1, MATCH(1, (Data_Input!$7:$7=$F$3)*(Data_Input!$8:$8=$B244), 0)),"")</f>
        <v/>
      </c>
      <c r="H244" s="20" t="str" cm="1">
        <f t="array" ref="H244">IFERROR(INDEX(Data_Input!$A$1:$ZZ$502, MATCH("평가금액", INDEX(Data_Input!$A$1:$ZZ$502, 0, MATCH(1, (Data_Input!$7:$7="IRP")*(Data_Input!$8:$8=$B244), 0)), 0) + 1, MATCH(1, (Data_Input!$7:$7=$F$3)*(Data_Input!$8:$8=$B244), 0)),"")</f>
        <v/>
      </c>
      <c r="I244" s="20" t="str" cm="1">
        <f t="array" ref="I244">IFERROR(INDEX(Data_Input!$A$1:$ZZ$502, MATCH("평가손익", INDEX(Data_Input!$A$1:$ZZ$502, 0, MATCH(1, (Data_Input!$7:$7="IRP")*(Data_Input!$8:$8=$B244), 0)), 0) + 1, MATCH(1, (Data_Input!$7:$7=$F$3)*(Data_Input!$8:$8=$B244), 0)),"")</f>
        <v/>
      </c>
      <c r="J244" s="14" t="str" cm="1">
        <f t="array" ref="J244">IFERROR(INDEX(Data_Input!$A$1:$ZZ$502, MATCH("누적수익률", INDEX(Data_Input!$A$1:$ZZ$502, 0, MATCH(1, (Data_Input!$7:$7="IRP")*(Data_Input!$8:$8=$B244), 0)), 0) + 1, MATCH(1, (Data_Input!$7:$7=$F$3)*(Data_Input!$8:$8=$B244), 0))/100,"")</f>
        <v/>
      </c>
      <c r="K244" t="str" cm="1">
        <f t="array" ref="K244">IFERROR(_xlfn.LET(
    _xlpm.targetDate, B244,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45" spans="1:11" x14ac:dyDescent="0.3">
      <c r="A245" s="16" t="str">
        <f t="shared" si="6"/>
        <v/>
      </c>
      <c r="B245" s="19"/>
      <c r="C245" s="17" t="str">
        <f t="shared" si="7"/>
        <v/>
      </c>
      <c r="D245" s="42" t="str" cm="1">
        <f t="array" ref="D245">IFERROR(INDEX(Data_Input!$1:$100, 10, MATCH(1, (Data_Input!$7:$7=$F$3) * (Data_Input!$8:$8=$B245), 0)), "")</f>
        <v/>
      </c>
      <c r="E245" s="29" t="str" cm="1">
        <f t="array" ref="E245">IFERROR(INDEX(Data_Input!$1:$100, 9, MATCH(1, (Data_Input!$7:$7=$F$3) * (Data_Input!$8:$8=$B245), 0)),"")</f>
        <v/>
      </c>
      <c r="F245" s="20" t="str" cm="1">
        <f t="array" ref="F245">IFERROR(INDEX(Data_Input!$A$1:$ZZ$502, MATCH("플랜번호", INDEX(Data_Input!$A$1:$ZZ$502, 0, MATCH(1, (Data_Input!$7:$7="IRP")*(Data_Input!$8:$8=$B245), 0)), 0) + 1, MATCH(1, (Data_Input!$7:$7=$F$3)*(Data_Input!$8:$8=$B245), 0)),"")</f>
        <v/>
      </c>
      <c r="G245" s="20" t="str" cm="1">
        <f t="array" ref="G245">IFERROR(INDEX(Data_Input!$A$1:$ZZ$502, MATCH("플랜명", INDEX(Data_Input!$A$1:$ZZ$502, 0, MATCH(1, (Data_Input!$7:$7="IRP")*(Data_Input!$8:$8=$B245), 0)), 0) + 1, MATCH(1, (Data_Input!$7:$7=$F$3)*(Data_Input!$8:$8=$B245), 0)),"")</f>
        <v/>
      </c>
      <c r="H245" s="20" t="str" cm="1">
        <f t="array" ref="H245">IFERROR(INDEX(Data_Input!$A$1:$ZZ$502, MATCH("평가금액", INDEX(Data_Input!$A$1:$ZZ$502, 0, MATCH(1, (Data_Input!$7:$7="IRP")*(Data_Input!$8:$8=$B245), 0)), 0) + 1, MATCH(1, (Data_Input!$7:$7=$F$3)*(Data_Input!$8:$8=$B245), 0)),"")</f>
        <v/>
      </c>
      <c r="I245" s="20" t="str" cm="1">
        <f t="array" ref="I245">IFERROR(INDEX(Data_Input!$A$1:$ZZ$502, MATCH("평가손익", INDEX(Data_Input!$A$1:$ZZ$502, 0, MATCH(1, (Data_Input!$7:$7="IRP")*(Data_Input!$8:$8=$B245), 0)), 0) + 1, MATCH(1, (Data_Input!$7:$7=$F$3)*(Data_Input!$8:$8=$B245), 0)),"")</f>
        <v/>
      </c>
      <c r="J245" s="14" t="str" cm="1">
        <f t="array" ref="J245">IFERROR(INDEX(Data_Input!$A$1:$ZZ$502, MATCH("누적수익률", INDEX(Data_Input!$A$1:$ZZ$502, 0, MATCH(1, (Data_Input!$7:$7="IRP")*(Data_Input!$8:$8=$B245), 0)), 0) + 1, MATCH(1, (Data_Input!$7:$7=$F$3)*(Data_Input!$8:$8=$B245), 0))/100,"")</f>
        <v/>
      </c>
      <c r="K245" t="str" cm="1">
        <f t="array" ref="K245">IFERROR(_xlfn.LET(
    _xlpm.targetDate, B245,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46" spans="1:11" x14ac:dyDescent="0.3">
      <c r="A246" s="16" t="str">
        <f t="shared" si="6"/>
        <v/>
      </c>
      <c r="B246" s="19"/>
      <c r="C246" s="17" t="str">
        <f t="shared" si="7"/>
        <v/>
      </c>
      <c r="D246" s="42" t="str" cm="1">
        <f t="array" ref="D246">IFERROR(INDEX(Data_Input!$1:$100, 10, MATCH(1, (Data_Input!$7:$7=$F$3) * (Data_Input!$8:$8=$B246), 0)), "")</f>
        <v/>
      </c>
      <c r="E246" s="29" t="str" cm="1">
        <f t="array" ref="E246">IFERROR(INDEX(Data_Input!$1:$100, 9, MATCH(1, (Data_Input!$7:$7=$F$3) * (Data_Input!$8:$8=$B246), 0)),"")</f>
        <v/>
      </c>
      <c r="F246" s="20" t="str" cm="1">
        <f t="array" ref="F246">IFERROR(INDEX(Data_Input!$A$1:$ZZ$502, MATCH("플랜번호", INDEX(Data_Input!$A$1:$ZZ$502, 0, MATCH(1, (Data_Input!$7:$7="IRP")*(Data_Input!$8:$8=$B246), 0)), 0) + 1, MATCH(1, (Data_Input!$7:$7=$F$3)*(Data_Input!$8:$8=$B246), 0)),"")</f>
        <v/>
      </c>
      <c r="G246" s="20" t="str" cm="1">
        <f t="array" ref="G246">IFERROR(INDEX(Data_Input!$A$1:$ZZ$502, MATCH("플랜명", INDEX(Data_Input!$A$1:$ZZ$502, 0, MATCH(1, (Data_Input!$7:$7="IRP")*(Data_Input!$8:$8=$B246), 0)), 0) + 1, MATCH(1, (Data_Input!$7:$7=$F$3)*(Data_Input!$8:$8=$B246), 0)),"")</f>
        <v/>
      </c>
      <c r="H246" s="20" t="str" cm="1">
        <f t="array" ref="H246">IFERROR(INDEX(Data_Input!$A$1:$ZZ$502, MATCH("평가금액", INDEX(Data_Input!$A$1:$ZZ$502, 0, MATCH(1, (Data_Input!$7:$7="IRP")*(Data_Input!$8:$8=$B246), 0)), 0) + 1, MATCH(1, (Data_Input!$7:$7=$F$3)*(Data_Input!$8:$8=$B246), 0)),"")</f>
        <v/>
      </c>
      <c r="I246" s="20" t="str" cm="1">
        <f t="array" ref="I246">IFERROR(INDEX(Data_Input!$A$1:$ZZ$502, MATCH("평가손익", INDEX(Data_Input!$A$1:$ZZ$502, 0, MATCH(1, (Data_Input!$7:$7="IRP")*(Data_Input!$8:$8=$B246), 0)), 0) + 1, MATCH(1, (Data_Input!$7:$7=$F$3)*(Data_Input!$8:$8=$B246), 0)),"")</f>
        <v/>
      </c>
      <c r="J246" s="14" t="str" cm="1">
        <f t="array" ref="J246">IFERROR(INDEX(Data_Input!$A$1:$ZZ$502, MATCH("누적수익률", INDEX(Data_Input!$A$1:$ZZ$502, 0, MATCH(1, (Data_Input!$7:$7="IRP")*(Data_Input!$8:$8=$B246), 0)), 0) + 1, MATCH(1, (Data_Input!$7:$7=$F$3)*(Data_Input!$8:$8=$B246), 0))/100,"")</f>
        <v/>
      </c>
      <c r="K246" t="str" cm="1">
        <f t="array" ref="K246">IFERROR(_xlfn.LET(
    _xlpm.targetDate, B246,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47" spans="1:11" x14ac:dyDescent="0.3">
      <c r="A247" s="16" t="str">
        <f t="shared" si="6"/>
        <v/>
      </c>
      <c r="B247" s="19"/>
      <c r="C247" s="17" t="str">
        <f t="shared" si="7"/>
        <v/>
      </c>
      <c r="D247" s="42" t="str" cm="1">
        <f t="array" ref="D247">IFERROR(INDEX(Data_Input!$1:$100, 10, MATCH(1, (Data_Input!$7:$7=$F$3) * (Data_Input!$8:$8=$B247), 0)), "")</f>
        <v/>
      </c>
      <c r="E247" s="29" t="str" cm="1">
        <f t="array" ref="E247">IFERROR(INDEX(Data_Input!$1:$100, 9, MATCH(1, (Data_Input!$7:$7=$F$3) * (Data_Input!$8:$8=$B247), 0)),"")</f>
        <v/>
      </c>
      <c r="F247" s="20" t="str" cm="1">
        <f t="array" ref="F247">IFERROR(INDEX(Data_Input!$A$1:$ZZ$502, MATCH("플랜번호", INDEX(Data_Input!$A$1:$ZZ$502, 0, MATCH(1, (Data_Input!$7:$7="IRP")*(Data_Input!$8:$8=$B247), 0)), 0) + 1, MATCH(1, (Data_Input!$7:$7=$F$3)*(Data_Input!$8:$8=$B247), 0)),"")</f>
        <v/>
      </c>
      <c r="G247" s="20" t="str" cm="1">
        <f t="array" ref="G247">IFERROR(INDEX(Data_Input!$A$1:$ZZ$502, MATCH("플랜명", INDEX(Data_Input!$A$1:$ZZ$502, 0, MATCH(1, (Data_Input!$7:$7="IRP")*(Data_Input!$8:$8=$B247), 0)), 0) + 1, MATCH(1, (Data_Input!$7:$7=$F$3)*(Data_Input!$8:$8=$B247), 0)),"")</f>
        <v/>
      </c>
      <c r="H247" s="20" t="str" cm="1">
        <f t="array" ref="H247">IFERROR(INDEX(Data_Input!$A$1:$ZZ$502, MATCH("평가금액", INDEX(Data_Input!$A$1:$ZZ$502, 0, MATCH(1, (Data_Input!$7:$7="IRP")*(Data_Input!$8:$8=$B247), 0)), 0) + 1, MATCH(1, (Data_Input!$7:$7=$F$3)*(Data_Input!$8:$8=$B247), 0)),"")</f>
        <v/>
      </c>
      <c r="I247" s="20" t="str" cm="1">
        <f t="array" ref="I247">IFERROR(INDEX(Data_Input!$A$1:$ZZ$502, MATCH("평가손익", INDEX(Data_Input!$A$1:$ZZ$502, 0, MATCH(1, (Data_Input!$7:$7="IRP")*(Data_Input!$8:$8=$B247), 0)), 0) + 1, MATCH(1, (Data_Input!$7:$7=$F$3)*(Data_Input!$8:$8=$B247), 0)),"")</f>
        <v/>
      </c>
      <c r="J247" s="14" t="str" cm="1">
        <f t="array" ref="J247">IFERROR(INDEX(Data_Input!$A$1:$ZZ$502, MATCH("누적수익률", INDEX(Data_Input!$A$1:$ZZ$502, 0, MATCH(1, (Data_Input!$7:$7="IRP")*(Data_Input!$8:$8=$B247), 0)), 0) + 1, MATCH(1, (Data_Input!$7:$7=$F$3)*(Data_Input!$8:$8=$B247), 0))/100,"")</f>
        <v/>
      </c>
      <c r="K247" t="str" cm="1">
        <f t="array" ref="K247">IFERROR(_xlfn.LET(
    _xlpm.targetDate, B247,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48" spans="1:11" x14ac:dyDescent="0.3">
      <c r="A248" s="16" t="str">
        <f t="shared" si="6"/>
        <v/>
      </c>
      <c r="B248" s="19"/>
      <c r="C248" s="17" t="str">
        <f t="shared" si="7"/>
        <v/>
      </c>
      <c r="D248" s="42" t="str" cm="1">
        <f t="array" ref="D248">IFERROR(INDEX(Data_Input!$1:$100, 10, MATCH(1, (Data_Input!$7:$7=$F$3) * (Data_Input!$8:$8=$B248), 0)), "")</f>
        <v/>
      </c>
      <c r="E248" s="29" t="str" cm="1">
        <f t="array" ref="E248">IFERROR(INDEX(Data_Input!$1:$100, 9, MATCH(1, (Data_Input!$7:$7=$F$3) * (Data_Input!$8:$8=$B248), 0)),"")</f>
        <v/>
      </c>
      <c r="F248" s="20" t="str" cm="1">
        <f t="array" ref="F248">IFERROR(INDEX(Data_Input!$A$1:$ZZ$502, MATCH("플랜번호", INDEX(Data_Input!$A$1:$ZZ$502, 0, MATCH(1, (Data_Input!$7:$7="IRP")*(Data_Input!$8:$8=$B248), 0)), 0) + 1, MATCH(1, (Data_Input!$7:$7=$F$3)*(Data_Input!$8:$8=$B248), 0)),"")</f>
        <v/>
      </c>
      <c r="G248" s="20" t="str" cm="1">
        <f t="array" ref="G248">IFERROR(INDEX(Data_Input!$A$1:$ZZ$502, MATCH("플랜명", INDEX(Data_Input!$A$1:$ZZ$502, 0, MATCH(1, (Data_Input!$7:$7="IRP")*(Data_Input!$8:$8=$B248), 0)), 0) + 1, MATCH(1, (Data_Input!$7:$7=$F$3)*(Data_Input!$8:$8=$B248), 0)),"")</f>
        <v/>
      </c>
      <c r="H248" s="20" t="str" cm="1">
        <f t="array" ref="H248">IFERROR(INDEX(Data_Input!$A$1:$ZZ$502, MATCH("평가금액", INDEX(Data_Input!$A$1:$ZZ$502, 0, MATCH(1, (Data_Input!$7:$7="IRP")*(Data_Input!$8:$8=$B248), 0)), 0) + 1, MATCH(1, (Data_Input!$7:$7=$F$3)*(Data_Input!$8:$8=$B248), 0)),"")</f>
        <v/>
      </c>
      <c r="I248" s="20" t="str" cm="1">
        <f t="array" ref="I248">IFERROR(INDEX(Data_Input!$A$1:$ZZ$502, MATCH("평가손익", INDEX(Data_Input!$A$1:$ZZ$502, 0, MATCH(1, (Data_Input!$7:$7="IRP")*(Data_Input!$8:$8=$B248), 0)), 0) + 1, MATCH(1, (Data_Input!$7:$7=$F$3)*(Data_Input!$8:$8=$B248), 0)),"")</f>
        <v/>
      </c>
      <c r="J248" s="14" t="str" cm="1">
        <f t="array" ref="J248">IFERROR(INDEX(Data_Input!$A$1:$ZZ$502, MATCH("누적수익률", INDEX(Data_Input!$A$1:$ZZ$502, 0, MATCH(1, (Data_Input!$7:$7="IRP")*(Data_Input!$8:$8=$B248), 0)), 0) + 1, MATCH(1, (Data_Input!$7:$7=$F$3)*(Data_Input!$8:$8=$B248), 0))/100,"")</f>
        <v/>
      </c>
      <c r="K248" t="str" cm="1">
        <f t="array" ref="K248">IFERROR(_xlfn.LET(
    _xlpm.targetDate, B248,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49" spans="1:11" x14ac:dyDescent="0.3">
      <c r="A249" s="16" t="str">
        <f t="shared" si="6"/>
        <v/>
      </c>
      <c r="B249" s="19"/>
      <c r="C249" s="17" t="str">
        <f t="shared" si="7"/>
        <v/>
      </c>
      <c r="D249" s="42" t="str" cm="1">
        <f t="array" ref="D249">IFERROR(INDEX(Data_Input!$1:$100, 10, MATCH(1, (Data_Input!$7:$7=$F$3) * (Data_Input!$8:$8=$B249), 0)), "")</f>
        <v/>
      </c>
      <c r="E249" s="29" t="str" cm="1">
        <f t="array" ref="E249">IFERROR(INDEX(Data_Input!$1:$100, 9, MATCH(1, (Data_Input!$7:$7=$F$3) * (Data_Input!$8:$8=$B249), 0)),"")</f>
        <v/>
      </c>
      <c r="F249" s="20" t="str" cm="1">
        <f t="array" ref="F249">IFERROR(INDEX(Data_Input!$A$1:$ZZ$502, MATCH("플랜번호", INDEX(Data_Input!$A$1:$ZZ$502, 0, MATCH(1, (Data_Input!$7:$7="IRP")*(Data_Input!$8:$8=$B249), 0)), 0) + 1, MATCH(1, (Data_Input!$7:$7=$F$3)*(Data_Input!$8:$8=$B249), 0)),"")</f>
        <v/>
      </c>
      <c r="G249" s="20" t="str" cm="1">
        <f t="array" ref="G249">IFERROR(INDEX(Data_Input!$A$1:$ZZ$502, MATCH("플랜명", INDEX(Data_Input!$A$1:$ZZ$502, 0, MATCH(1, (Data_Input!$7:$7="IRP")*(Data_Input!$8:$8=$B249), 0)), 0) + 1, MATCH(1, (Data_Input!$7:$7=$F$3)*(Data_Input!$8:$8=$B249), 0)),"")</f>
        <v/>
      </c>
      <c r="H249" s="20" t="str" cm="1">
        <f t="array" ref="H249">IFERROR(INDEX(Data_Input!$A$1:$ZZ$502, MATCH("평가금액", INDEX(Data_Input!$A$1:$ZZ$502, 0, MATCH(1, (Data_Input!$7:$7="IRP")*(Data_Input!$8:$8=$B249), 0)), 0) + 1, MATCH(1, (Data_Input!$7:$7=$F$3)*(Data_Input!$8:$8=$B249), 0)),"")</f>
        <v/>
      </c>
      <c r="I249" s="20" t="str" cm="1">
        <f t="array" ref="I249">IFERROR(INDEX(Data_Input!$A$1:$ZZ$502, MATCH("평가손익", INDEX(Data_Input!$A$1:$ZZ$502, 0, MATCH(1, (Data_Input!$7:$7="IRP")*(Data_Input!$8:$8=$B249), 0)), 0) + 1, MATCH(1, (Data_Input!$7:$7=$F$3)*(Data_Input!$8:$8=$B249), 0)),"")</f>
        <v/>
      </c>
      <c r="J249" s="14" t="str" cm="1">
        <f t="array" ref="J249">IFERROR(INDEX(Data_Input!$A$1:$ZZ$502, MATCH("누적수익률", INDEX(Data_Input!$A$1:$ZZ$502, 0, MATCH(1, (Data_Input!$7:$7="IRP")*(Data_Input!$8:$8=$B249), 0)), 0) + 1, MATCH(1, (Data_Input!$7:$7=$F$3)*(Data_Input!$8:$8=$B249), 0))/100,"")</f>
        <v/>
      </c>
      <c r="K249" t="str" cm="1">
        <f t="array" ref="K249">IFERROR(_xlfn.LET(
    _xlpm.targetDate, B249,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50" spans="1:11" x14ac:dyDescent="0.3">
      <c r="A250" s="16" t="str">
        <f t="shared" si="6"/>
        <v/>
      </c>
      <c r="B250" s="19"/>
      <c r="C250" s="17" t="str">
        <f t="shared" si="7"/>
        <v/>
      </c>
      <c r="D250" s="42" t="str" cm="1">
        <f t="array" ref="D250">IFERROR(INDEX(Data_Input!$1:$100, 10, MATCH(1, (Data_Input!$7:$7=$F$3) * (Data_Input!$8:$8=$B250), 0)), "")</f>
        <v/>
      </c>
      <c r="E250" s="29" t="str" cm="1">
        <f t="array" ref="E250">IFERROR(INDEX(Data_Input!$1:$100, 9, MATCH(1, (Data_Input!$7:$7=$F$3) * (Data_Input!$8:$8=$B250), 0)),"")</f>
        <v/>
      </c>
      <c r="F250" s="20" t="str" cm="1">
        <f t="array" ref="F250">IFERROR(INDEX(Data_Input!$A$1:$ZZ$502, MATCH("플랜번호", INDEX(Data_Input!$A$1:$ZZ$502, 0, MATCH(1, (Data_Input!$7:$7="IRP")*(Data_Input!$8:$8=$B250), 0)), 0) + 1, MATCH(1, (Data_Input!$7:$7=$F$3)*(Data_Input!$8:$8=$B250), 0)),"")</f>
        <v/>
      </c>
      <c r="G250" s="20" t="str" cm="1">
        <f t="array" ref="G250">IFERROR(INDEX(Data_Input!$A$1:$ZZ$502, MATCH("플랜명", INDEX(Data_Input!$A$1:$ZZ$502, 0, MATCH(1, (Data_Input!$7:$7="IRP")*(Data_Input!$8:$8=$B250), 0)), 0) + 1, MATCH(1, (Data_Input!$7:$7=$F$3)*(Data_Input!$8:$8=$B250), 0)),"")</f>
        <v/>
      </c>
      <c r="H250" s="20" t="str" cm="1">
        <f t="array" ref="H250">IFERROR(INDEX(Data_Input!$A$1:$ZZ$502, MATCH("평가금액", INDEX(Data_Input!$A$1:$ZZ$502, 0, MATCH(1, (Data_Input!$7:$7="IRP")*(Data_Input!$8:$8=$B250), 0)), 0) + 1, MATCH(1, (Data_Input!$7:$7=$F$3)*(Data_Input!$8:$8=$B250), 0)),"")</f>
        <v/>
      </c>
      <c r="I250" s="20" t="str" cm="1">
        <f t="array" ref="I250">IFERROR(INDEX(Data_Input!$A$1:$ZZ$502, MATCH("평가손익", INDEX(Data_Input!$A$1:$ZZ$502, 0, MATCH(1, (Data_Input!$7:$7="IRP")*(Data_Input!$8:$8=$B250), 0)), 0) + 1, MATCH(1, (Data_Input!$7:$7=$F$3)*(Data_Input!$8:$8=$B250), 0)),"")</f>
        <v/>
      </c>
      <c r="J250" s="14" t="str" cm="1">
        <f t="array" ref="J250">IFERROR(INDEX(Data_Input!$A$1:$ZZ$502, MATCH("누적수익률", INDEX(Data_Input!$A$1:$ZZ$502, 0, MATCH(1, (Data_Input!$7:$7="IRP")*(Data_Input!$8:$8=$B250), 0)), 0) + 1, MATCH(1, (Data_Input!$7:$7=$F$3)*(Data_Input!$8:$8=$B250), 0))/100,"")</f>
        <v/>
      </c>
      <c r="K250" t="str" cm="1">
        <f t="array" ref="K250">IFERROR(_xlfn.LET(
    _xlpm.targetDate, B250,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51" spans="1:11" x14ac:dyDescent="0.3">
      <c r="A251" s="16" t="str">
        <f t="shared" si="6"/>
        <v/>
      </c>
      <c r="B251" s="19"/>
      <c r="C251" s="17" t="str">
        <f t="shared" si="7"/>
        <v/>
      </c>
      <c r="D251" s="42" t="str" cm="1">
        <f t="array" ref="D251">IFERROR(INDEX(Data_Input!$1:$100, 10, MATCH(1, (Data_Input!$7:$7=$F$3) * (Data_Input!$8:$8=$B251), 0)), "")</f>
        <v/>
      </c>
      <c r="E251" s="29" t="str" cm="1">
        <f t="array" ref="E251">IFERROR(INDEX(Data_Input!$1:$100, 9, MATCH(1, (Data_Input!$7:$7=$F$3) * (Data_Input!$8:$8=$B251), 0)),"")</f>
        <v/>
      </c>
      <c r="F251" s="20" t="str" cm="1">
        <f t="array" ref="F251">IFERROR(INDEX(Data_Input!$A$1:$ZZ$502, MATCH("플랜번호", INDEX(Data_Input!$A$1:$ZZ$502, 0, MATCH(1, (Data_Input!$7:$7="IRP")*(Data_Input!$8:$8=$B251), 0)), 0) + 1, MATCH(1, (Data_Input!$7:$7=$F$3)*(Data_Input!$8:$8=$B251), 0)),"")</f>
        <v/>
      </c>
      <c r="G251" s="20" t="str" cm="1">
        <f t="array" ref="G251">IFERROR(INDEX(Data_Input!$A$1:$ZZ$502, MATCH("플랜명", INDEX(Data_Input!$A$1:$ZZ$502, 0, MATCH(1, (Data_Input!$7:$7="IRP")*(Data_Input!$8:$8=$B251), 0)), 0) + 1, MATCH(1, (Data_Input!$7:$7=$F$3)*(Data_Input!$8:$8=$B251), 0)),"")</f>
        <v/>
      </c>
      <c r="H251" s="20" t="str" cm="1">
        <f t="array" ref="H251">IFERROR(INDEX(Data_Input!$A$1:$ZZ$502, MATCH("평가금액", INDEX(Data_Input!$A$1:$ZZ$502, 0, MATCH(1, (Data_Input!$7:$7="IRP")*(Data_Input!$8:$8=$B251), 0)), 0) + 1, MATCH(1, (Data_Input!$7:$7=$F$3)*(Data_Input!$8:$8=$B251), 0)),"")</f>
        <v/>
      </c>
      <c r="I251" s="20" t="str" cm="1">
        <f t="array" ref="I251">IFERROR(INDEX(Data_Input!$A$1:$ZZ$502, MATCH("평가손익", INDEX(Data_Input!$A$1:$ZZ$502, 0, MATCH(1, (Data_Input!$7:$7="IRP")*(Data_Input!$8:$8=$B251), 0)), 0) + 1, MATCH(1, (Data_Input!$7:$7=$F$3)*(Data_Input!$8:$8=$B251), 0)),"")</f>
        <v/>
      </c>
      <c r="J251" s="14" t="str" cm="1">
        <f t="array" ref="J251">IFERROR(INDEX(Data_Input!$A$1:$ZZ$502, MATCH("누적수익률", INDEX(Data_Input!$A$1:$ZZ$502, 0, MATCH(1, (Data_Input!$7:$7="IRP")*(Data_Input!$8:$8=$B251), 0)), 0) + 1, MATCH(1, (Data_Input!$7:$7=$F$3)*(Data_Input!$8:$8=$B251), 0))/100,"")</f>
        <v/>
      </c>
      <c r="K251" t="str" cm="1">
        <f t="array" ref="K251">IFERROR(_xlfn.LET(
    _xlpm.targetDate, B251,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52" spans="1:11" x14ac:dyDescent="0.3">
      <c r="A252" s="16" t="str">
        <f t="shared" si="6"/>
        <v/>
      </c>
      <c r="B252" s="19"/>
      <c r="C252" s="17" t="str">
        <f t="shared" si="7"/>
        <v/>
      </c>
      <c r="D252" s="42" t="str" cm="1">
        <f t="array" ref="D252">IFERROR(INDEX(Data_Input!$1:$100, 10, MATCH(1, (Data_Input!$7:$7=$F$3) * (Data_Input!$8:$8=$B252), 0)), "")</f>
        <v/>
      </c>
      <c r="E252" s="29" t="str" cm="1">
        <f t="array" ref="E252">IFERROR(INDEX(Data_Input!$1:$100, 9, MATCH(1, (Data_Input!$7:$7=$F$3) * (Data_Input!$8:$8=$B252), 0)),"")</f>
        <v/>
      </c>
      <c r="F252" s="20" t="str" cm="1">
        <f t="array" ref="F252">IFERROR(INDEX(Data_Input!$A$1:$ZZ$502, MATCH("플랜번호", INDEX(Data_Input!$A$1:$ZZ$502, 0, MATCH(1, (Data_Input!$7:$7="IRP")*(Data_Input!$8:$8=$B252), 0)), 0) + 1, MATCH(1, (Data_Input!$7:$7=$F$3)*(Data_Input!$8:$8=$B252), 0)),"")</f>
        <v/>
      </c>
      <c r="G252" s="20" t="str" cm="1">
        <f t="array" ref="G252">IFERROR(INDEX(Data_Input!$A$1:$ZZ$502, MATCH("플랜명", INDEX(Data_Input!$A$1:$ZZ$502, 0, MATCH(1, (Data_Input!$7:$7="IRP")*(Data_Input!$8:$8=$B252), 0)), 0) + 1, MATCH(1, (Data_Input!$7:$7=$F$3)*(Data_Input!$8:$8=$B252), 0)),"")</f>
        <v/>
      </c>
      <c r="H252" s="20" t="str" cm="1">
        <f t="array" ref="H252">IFERROR(INDEX(Data_Input!$A$1:$ZZ$502, MATCH("평가금액", INDEX(Data_Input!$A$1:$ZZ$502, 0, MATCH(1, (Data_Input!$7:$7="IRP")*(Data_Input!$8:$8=$B252), 0)), 0) + 1, MATCH(1, (Data_Input!$7:$7=$F$3)*(Data_Input!$8:$8=$B252), 0)),"")</f>
        <v/>
      </c>
      <c r="I252" s="20" t="str" cm="1">
        <f t="array" ref="I252">IFERROR(INDEX(Data_Input!$A$1:$ZZ$502, MATCH("평가손익", INDEX(Data_Input!$A$1:$ZZ$502, 0, MATCH(1, (Data_Input!$7:$7="IRP")*(Data_Input!$8:$8=$B252), 0)), 0) + 1, MATCH(1, (Data_Input!$7:$7=$F$3)*(Data_Input!$8:$8=$B252), 0)),"")</f>
        <v/>
      </c>
      <c r="J252" s="14" t="str" cm="1">
        <f t="array" ref="J252">IFERROR(INDEX(Data_Input!$A$1:$ZZ$502, MATCH("누적수익률", INDEX(Data_Input!$A$1:$ZZ$502, 0, MATCH(1, (Data_Input!$7:$7="IRP")*(Data_Input!$8:$8=$B252), 0)), 0) + 1, MATCH(1, (Data_Input!$7:$7=$F$3)*(Data_Input!$8:$8=$B252), 0))/100,"")</f>
        <v/>
      </c>
      <c r="K252" t="str" cm="1">
        <f t="array" ref="K252">IFERROR(_xlfn.LET(
    _xlpm.targetDate, B252,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53" spans="1:11" x14ac:dyDescent="0.3">
      <c r="A253" s="16" t="str">
        <f t="shared" si="6"/>
        <v/>
      </c>
      <c r="B253" s="19"/>
      <c r="C253" s="17" t="str">
        <f t="shared" si="7"/>
        <v/>
      </c>
      <c r="D253" s="42" t="str" cm="1">
        <f t="array" ref="D253">IFERROR(INDEX(Data_Input!$1:$100, 10, MATCH(1, (Data_Input!$7:$7=$F$3) * (Data_Input!$8:$8=$B253), 0)), "")</f>
        <v/>
      </c>
      <c r="E253" s="29" t="str" cm="1">
        <f t="array" ref="E253">IFERROR(INDEX(Data_Input!$1:$100, 9, MATCH(1, (Data_Input!$7:$7=$F$3) * (Data_Input!$8:$8=$B253), 0)),"")</f>
        <v/>
      </c>
      <c r="F253" s="20" t="str" cm="1">
        <f t="array" ref="F253">IFERROR(INDEX(Data_Input!$A$1:$ZZ$502, MATCH("플랜번호", INDEX(Data_Input!$A$1:$ZZ$502, 0, MATCH(1, (Data_Input!$7:$7="IRP")*(Data_Input!$8:$8=$B253), 0)), 0) + 1, MATCH(1, (Data_Input!$7:$7=$F$3)*(Data_Input!$8:$8=$B253), 0)),"")</f>
        <v/>
      </c>
      <c r="G253" s="20" t="str" cm="1">
        <f t="array" ref="G253">IFERROR(INDEX(Data_Input!$A$1:$ZZ$502, MATCH("플랜명", INDEX(Data_Input!$A$1:$ZZ$502, 0, MATCH(1, (Data_Input!$7:$7="IRP")*(Data_Input!$8:$8=$B253), 0)), 0) + 1, MATCH(1, (Data_Input!$7:$7=$F$3)*(Data_Input!$8:$8=$B253), 0)),"")</f>
        <v/>
      </c>
      <c r="H253" s="20" t="str" cm="1">
        <f t="array" ref="H253">IFERROR(INDEX(Data_Input!$A$1:$ZZ$502, MATCH("평가금액", INDEX(Data_Input!$A$1:$ZZ$502, 0, MATCH(1, (Data_Input!$7:$7="IRP")*(Data_Input!$8:$8=$B253), 0)), 0) + 1, MATCH(1, (Data_Input!$7:$7=$F$3)*(Data_Input!$8:$8=$B253), 0)),"")</f>
        <v/>
      </c>
      <c r="I253" s="20" t="str" cm="1">
        <f t="array" ref="I253">IFERROR(INDEX(Data_Input!$A$1:$ZZ$502, MATCH("평가손익", INDEX(Data_Input!$A$1:$ZZ$502, 0, MATCH(1, (Data_Input!$7:$7="IRP")*(Data_Input!$8:$8=$B253), 0)), 0) + 1, MATCH(1, (Data_Input!$7:$7=$F$3)*(Data_Input!$8:$8=$B253), 0)),"")</f>
        <v/>
      </c>
      <c r="J253" s="14" t="str" cm="1">
        <f t="array" ref="J253">IFERROR(INDEX(Data_Input!$A$1:$ZZ$502, MATCH("누적수익률", INDEX(Data_Input!$A$1:$ZZ$502, 0, MATCH(1, (Data_Input!$7:$7="IRP")*(Data_Input!$8:$8=$B253), 0)), 0) + 1, MATCH(1, (Data_Input!$7:$7=$F$3)*(Data_Input!$8:$8=$B253), 0))/100,"")</f>
        <v/>
      </c>
      <c r="K253" t="str" cm="1">
        <f t="array" ref="K253">IFERROR(_xlfn.LET(
    _xlpm.targetDate, B253,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54" spans="1:11" x14ac:dyDescent="0.3">
      <c r="A254" s="16" t="str">
        <f t="shared" si="6"/>
        <v/>
      </c>
      <c r="B254" s="19"/>
      <c r="C254" s="17" t="str">
        <f t="shared" si="7"/>
        <v/>
      </c>
      <c r="D254" s="42" t="str" cm="1">
        <f t="array" ref="D254">IFERROR(INDEX(Data_Input!$1:$100, 10, MATCH(1, (Data_Input!$7:$7=$F$3) * (Data_Input!$8:$8=$B254), 0)), "")</f>
        <v/>
      </c>
      <c r="E254" s="29" t="str" cm="1">
        <f t="array" ref="E254">IFERROR(INDEX(Data_Input!$1:$100, 9, MATCH(1, (Data_Input!$7:$7=$F$3) * (Data_Input!$8:$8=$B254), 0)),"")</f>
        <v/>
      </c>
      <c r="F254" s="20" t="str" cm="1">
        <f t="array" ref="F254">IFERROR(INDEX(Data_Input!$A$1:$ZZ$502, MATCH("플랜번호", INDEX(Data_Input!$A$1:$ZZ$502, 0, MATCH(1, (Data_Input!$7:$7="IRP")*(Data_Input!$8:$8=$B254), 0)), 0) + 1, MATCH(1, (Data_Input!$7:$7=$F$3)*(Data_Input!$8:$8=$B254), 0)),"")</f>
        <v/>
      </c>
      <c r="G254" s="20" t="str" cm="1">
        <f t="array" ref="G254">IFERROR(INDEX(Data_Input!$A$1:$ZZ$502, MATCH("플랜명", INDEX(Data_Input!$A$1:$ZZ$502, 0, MATCH(1, (Data_Input!$7:$7="IRP")*(Data_Input!$8:$8=$B254), 0)), 0) + 1, MATCH(1, (Data_Input!$7:$7=$F$3)*(Data_Input!$8:$8=$B254), 0)),"")</f>
        <v/>
      </c>
      <c r="H254" s="20" t="str" cm="1">
        <f t="array" ref="H254">IFERROR(INDEX(Data_Input!$A$1:$ZZ$502, MATCH("평가금액", INDEX(Data_Input!$A$1:$ZZ$502, 0, MATCH(1, (Data_Input!$7:$7="IRP")*(Data_Input!$8:$8=$B254), 0)), 0) + 1, MATCH(1, (Data_Input!$7:$7=$F$3)*(Data_Input!$8:$8=$B254), 0)),"")</f>
        <v/>
      </c>
      <c r="I254" s="20" t="str" cm="1">
        <f t="array" ref="I254">IFERROR(INDEX(Data_Input!$A$1:$ZZ$502, MATCH("평가손익", INDEX(Data_Input!$A$1:$ZZ$502, 0, MATCH(1, (Data_Input!$7:$7="IRP")*(Data_Input!$8:$8=$B254), 0)), 0) + 1, MATCH(1, (Data_Input!$7:$7=$F$3)*(Data_Input!$8:$8=$B254), 0)),"")</f>
        <v/>
      </c>
      <c r="J254" s="14" t="str" cm="1">
        <f t="array" ref="J254">IFERROR(INDEX(Data_Input!$A$1:$ZZ$502, MATCH("누적수익률", INDEX(Data_Input!$A$1:$ZZ$502, 0, MATCH(1, (Data_Input!$7:$7="IRP")*(Data_Input!$8:$8=$B254), 0)), 0) + 1, MATCH(1, (Data_Input!$7:$7=$F$3)*(Data_Input!$8:$8=$B254), 0))/100,"")</f>
        <v/>
      </c>
      <c r="K254" t="str" cm="1">
        <f t="array" ref="K254">IFERROR(_xlfn.LET(
    _xlpm.targetDate, B254,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55" spans="1:11" x14ac:dyDescent="0.3">
      <c r="A255" s="16" t="str">
        <f t="shared" si="6"/>
        <v/>
      </c>
      <c r="B255" s="19"/>
      <c r="C255" s="17" t="str">
        <f t="shared" si="7"/>
        <v/>
      </c>
      <c r="D255" s="42" t="str" cm="1">
        <f t="array" ref="D255">IFERROR(INDEX(Data_Input!$1:$100, 10, MATCH(1, (Data_Input!$7:$7=$F$3) * (Data_Input!$8:$8=$B255), 0)), "")</f>
        <v/>
      </c>
      <c r="E255" s="29" t="str" cm="1">
        <f t="array" ref="E255">IFERROR(INDEX(Data_Input!$1:$100, 9, MATCH(1, (Data_Input!$7:$7=$F$3) * (Data_Input!$8:$8=$B255), 0)),"")</f>
        <v/>
      </c>
      <c r="F255" s="20" t="str" cm="1">
        <f t="array" ref="F255">IFERROR(INDEX(Data_Input!$A$1:$ZZ$502, MATCH("플랜번호", INDEX(Data_Input!$A$1:$ZZ$502, 0, MATCH(1, (Data_Input!$7:$7="IRP")*(Data_Input!$8:$8=$B255), 0)), 0) + 1, MATCH(1, (Data_Input!$7:$7=$F$3)*(Data_Input!$8:$8=$B255), 0)),"")</f>
        <v/>
      </c>
      <c r="G255" s="20" t="str" cm="1">
        <f t="array" ref="G255">IFERROR(INDEX(Data_Input!$A$1:$ZZ$502, MATCH("플랜명", INDEX(Data_Input!$A$1:$ZZ$502, 0, MATCH(1, (Data_Input!$7:$7="IRP")*(Data_Input!$8:$8=$B255), 0)), 0) + 1, MATCH(1, (Data_Input!$7:$7=$F$3)*(Data_Input!$8:$8=$B255), 0)),"")</f>
        <v/>
      </c>
      <c r="H255" s="20" t="str" cm="1">
        <f t="array" ref="H255">IFERROR(INDEX(Data_Input!$A$1:$ZZ$502, MATCH("평가금액", INDEX(Data_Input!$A$1:$ZZ$502, 0, MATCH(1, (Data_Input!$7:$7="IRP")*(Data_Input!$8:$8=$B255), 0)), 0) + 1, MATCH(1, (Data_Input!$7:$7=$F$3)*(Data_Input!$8:$8=$B255), 0)),"")</f>
        <v/>
      </c>
      <c r="I255" s="20" t="str" cm="1">
        <f t="array" ref="I255">IFERROR(INDEX(Data_Input!$A$1:$ZZ$502, MATCH("평가손익", INDEX(Data_Input!$A$1:$ZZ$502, 0, MATCH(1, (Data_Input!$7:$7="IRP")*(Data_Input!$8:$8=$B255), 0)), 0) + 1, MATCH(1, (Data_Input!$7:$7=$F$3)*(Data_Input!$8:$8=$B255), 0)),"")</f>
        <v/>
      </c>
      <c r="J255" s="14" t="str" cm="1">
        <f t="array" ref="J255">IFERROR(INDEX(Data_Input!$A$1:$ZZ$502, MATCH("누적수익률", INDEX(Data_Input!$A$1:$ZZ$502, 0, MATCH(1, (Data_Input!$7:$7="IRP")*(Data_Input!$8:$8=$B255), 0)), 0) + 1, MATCH(1, (Data_Input!$7:$7=$F$3)*(Data_Input!$8:$8=$B255), 0))/100,"")</f>
        <v/>
      </c>
      <c r="K255" t="str" cm="1">
        <f t="array" ref="K255">IFERROR(_xlfn.LET(
    _xlpm.targetDate, B255,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56" spans="1:11" x14ac:dyDescent="0.3">
      <c r="A256" s="16" t="str">
        <f t="shared" si="6"/>
        <v/>
      </c>
      <c r="B256" s="19"/>
      <c r="C256" s="17" t="str">
        <f t="shared" si="7"/>
        <v/>
      </c>
      <c r="D256" s="42" t="str" cm="1">
        <f t="array" ref="D256">IFERROR(INDEX(Data_Input!$1:$100, 10, MATCH(1, (Data_Input!$7:$7=$F$3) * (Data_Input!$8:$8=$B256), 0)), "")</f>
        <v/>
      </c>
      <c r="E256" s="29" t="str" cm="1">
        <f t="array" ref="E256">IFERROR(INDEX(Data_Input!$1:$100, 9, MATCH(1, (Data_Input!$7:$7=$F$3) * (Data_Input!$8:$8=$B256), 0)),"")</f>
        <v/>
      </c>
      <c r="F256" s="20" t="str" cm="1">
        <f t="array" ref="F256">IFERROR(INDEX(Data_Input!$A$1:$ZZ$502, MATCH("플랜번호", INDEX(Data_Input!$A$1:$ZZ$502, 0, MATCH(1, (Data_Input!$7:$7="IRP")*(Data_Input!$8:$8=$B256), 0)), 0) + 1, MATCH(1, (Data_Input!$7:$7=$F$3)*(Data_Input!$8:$8=$B256), 0)),"")</f>
        <v/>
      </c>
      <c r="G256" s="20" t="str" cm="1">
        <f t="array" ref="G256">IFERROR(INDEX(Data_Input!$A$1:$ZZ$502, MATCH("플랜명", INDEX(Data_Input!$A$1:$ZZ$502, 0, MATCH(1, (Data_Input!$7:$7="IRP")*(Data_Input!$8:$8=$B256), 0)), 0) + 1, MATCH(1, (Data_Input!$7:$7=$F$3)*(Data_Input!$8:$8=$B256), 0)),"")</f>
        <v/>
      </c>
      <c r="H256" s="20" t="str" cm="1">
        <f t="array" ref="H256">IFERROR(INDEX(Data_Input!$A$1:$ZZ$502, MATCH("평가금액", INDEX(Data_Input!$A$1:$ZZ$502, 0, MATCH(1, (Data_Input!$7:$7="IRP")*(Data_Input!$8:$8=$B256), 0)), 0) + 1, MATCH(1, (Data_Input!$7:$7=$F$3)*(Data_Input!$8:$8=$B256), 0)),"")</f>
        <v/>
      </c>
      <c r="I256" s="20" t="str" cm="1">
        <f t="array" ref="I256">IFERROR(INDEX(Data_Input!$A$1:$ZZ$502, MATCH("평가손익", INDEX(Data_Input!$A$1:$ZZ$502, 0, MATCH(1, (Data_Input!$7:$7="IRP")*(Data_Input!$8:$8=$B256), 0)), 0) + 1, MATCH(1, (Data_Input!$7:$7=$F$3)*(Data_Input!$8:$8=$B256), 0)),"")</f>
        <v/>
      </c>
      <c r="J256" s="14" t="str" cm="1">
        <f t="array" ref="J256">IFERROR(INDEX(Data_Input!$A$1:$ZZ$502, MATCH("누적수익률", INDEX(Data_Input!$A$1:$ZZ$502, 0, MATCH(1, (Data_Input!$7:$7="IRP")*(Data_Input!$8:$8=$B256), 0)), 0) + 1, MATCH(1, (Data_Input!$7:$7=$F$3)*(Data_Input!$8:$8=$B256), 0))/100,"")</f>
        <v/>
      </c>
      <c r="K256" t="str" cm="1">
        <f t="array" ref="K256">IFERROR(_xlfn.LET(
    _xlpm.targetDate, B256,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57" spans="1:11" x14ac:dyDescent="0.3">
      <c r="A257" s="16" t="str">
        <f t="shared" si="6"/>
        <v/>
      </c>
      <c r="B257" s="19"/>
      <c r="C257" s="17" t="str">
        <f t="shared" si="7"/>
        <v/>
      </c>
      <c r="D257" s="42" t="str" cm="1">
        <f t="array" ref="D257">IFERROR(INDEX(Data_Input!$1:$100, 10, MATCH(1, (Data_Input!$7:$7=$F$3) * (Data_Input!$8:$8=$B257), 0)), "")</f>
        <v/>
      </c>
      <c r="E257" s="29" t="str" cm="1">
        <f t="array" ref="E257">IFERROR(INDEX(Data_Input!$1:$100, 9, MATCH(1, (Data_Input!$7:$7=$F$3) * (Data_Input!$8:$8=$B257), 0)),"")</f>
        <v/>
      </c>
      <c r="F257" s="20" t="str" cm="1">
        <f t="array" ref="F257">IFERROR(INDEX(Data_Input!$A$1:$ZZ$502, MATCH("플랜번호", INDEX(Data_Input!$A$1:$ZZ$502, 0, MATCH(1, (Data_Input!$7:$7="IRP")*(Data_Input!$8:$8=$B257), 0)), 0) + 1, MATCH(1, (Data_Input!$7:$7=$F$3)*(Data_Input!$8:$8=$B257), 0)),"")</f>
        <v/>
      </c>
      <c r="G257" s="20" t="str" cm="1">
        <f t="array" ref="G257">IFERROR(INDEX(Data_Input!$A$1:$ZZ$502, MATCH("플랜명", INDEX(Data_Input!$A$1:$ZZ$502, 0, MATCH(1, (Data_Input!$7:$7="IRP")*(Data_Input!$8:$8=$B257), 0)), 0) + 1, MATCH(1, (Data_Input!$7:$7=$F$3)*(Data_Input!$8:$8=$B257), 0)),"")</f>
        <v/>
      </c>
      <c r="H257" s="20" t="str" cm="1">
        <f t="array" ref="H257">IFERROR(INDEX(Data_Input!$A$1:$ZZ$502, MATCH("평가금액", INDEX(Data_Input!$A$1:$ZZ$502, 0, MATCH(1, (Data_Input!$7:$7="IRP")*(Data_Input!$8:$8=$B257), 0)), 0) + 1, MATCH(1, (Data_Input!$7:$7=$F$3)*(Data_Input!$8:$8=$B257), 0)),"")</f>
        <v/>
      </c>
      <c r="I257" s="20" t="str" cm="1">
        <f t="array" ref="I257">IFERROR(INDEX(Data_Input!$A$1:$ZZ$502, MATCH("평가손익", INDEX(Data_Input!$A$1:$ZZ$502, 0, MATCH(1, (Data_Input!$7:$7="IRP")*(Data_Input!$8:$8=$B257), 0)), 0) + 1, MATCH(1, (Data_Input!$7:$7=$F$3)*(Data_Input!$8:$8=$B257), 0)),"")</f>
        <v/>
      </c>
      <c r="J257" s="14" t="str" cm="1">
        <f t="array" ref="J257">IFERROR(INDEX(Data_Input!$A$1:$ZZ$502, MATCH("누적수익률", INDEX(Data_Input!$A$1:$ZZ$502, 0, MATCH(1, (Data_Input!$7:$7="IRP")*(Data_Input!$8:$8=$B257), 0)), 0) + 1, MATCH(1, (Data_Input!$7:$7=$F$3)*(Data_Input!$8:$8=$B257), 0))/100,"")</f>
        <v/>
      </c>
      <c r="K257" t="str" cm="1">
        <f t="array" ref="K257">IFERROR(_xlfn.LET(
    _xlpm.targetDate, B257,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58" spans="1:11" x14ac:dyDescent="0.3">
      <c r="A258" s="16" t="str">
        <f t="shared" si="6"/>
        <v/>
      </c>
      <c r="B258" s="19"/>
      <c r="C258" s="17" t="str">
        <f t="shared" si="7"/>
        <v/>
      </c>
      <c r="D258" s="42" t="str" cm="1">
        <f t="array" ref="D258">IFERROR(INDEX(Data_Input!$1:$100, 10, MATCH(1, (Data_Input!$7:$7=$F$3) * (Data_Input!$8:$8=$B258), 0)), "")</f>
        <v/>
      </c>
      <c r="E258" s="29" t="str" cm="1">
        <f t="array" ref="E258">IFERROR(INDEX(Data_Input!$1:$100, 9, MATCH(1, (Data_Input!$7:$7=$F$3) * (Data_Input!$8:$8=$B258), 0)),"")</f>
        <v/>
      </c>
      <c r="F258" s="20" t="str" cm="1">
        <f t="array" ref="F258">IFERROR(INDEX(Data_Input!$A$1:$ZZ$502, MATCH("플랜번호", INDEX(Data_Input!$A$1:$ZZ$502, 0, MATCH(1, (Data_Input!$7:$7="IRP")*(Data_Input!$8:$8=$B258), 0)), 0) + 1, MATCH(1, (Data_Input!$7:$7=$F$3)*(Data_Input!$8:$8=$B258), 0)),"")</f>
        <v/>
      </c>
      <c r="G258" s="20" t="str" cm="1">
        <f t="array" ref="G258">IFERROR(INDEX(Data_Input!$A$1:$ZZ$502, MATCH("플랜명", INDEX(Data_Input!$A$1:$ZZ$502, 0, MATCH(1, (Data_Input!$7:$7="IRP")*(Data_Input!$8:$8=$B258), 0)), 0) + 1, MATCH(1, (Data_Input!$7:$7=$F$3)*(Data_Input!$8:$8=$B258), 0)),"")</f>
        <v/>
      </c>
      <c r="H258" s="20" t="str" cm="1">
        <f t="array" ref="H258">IFERROR(INDEX(Data_Input!$A$1:$ZZ$502, MATCH("평가금액", INDEX(Data_Input!$A$1:$ZZ$502, 0, MATCH(1, (Data_Input!$7:$7="IRP")*(Data_Input!$8:$8=$B258), 0)), 0) + 1, MATCH(1, (Data_Input!$7:$7=$F$3)*(Data_Input!$8:$8=$B258), 0)),"")</f>
        <v/>
      </c>
      <c r="I258" s="20" t="str" cm="1">
        <f t="array" ref="I258">IFERROR(INDEX(Data_Input!$A$1:$ZZ$502, MATCH("평가손익", INDEX(Data_Input!$A$1:$ZZ$502, 0, MATCH(1, (Data_Input!$7:$7="IRP")*(Data_Input!$8:$8=$B258), 0)), 0) + 1, MATCH(1, (Data_Input!$7:$7=$F$3)*(Data_Input!$8:$8=$B258), 0)),"")</f>
        <v/>
      </c>
      <c r="J258" s="14" t="str" cm="1">
        <f t="array" ref="J258">IFERROR(INDEX(Data_Input!$A$1:$ZZ$502, MATCH("누적수익률", INDEX(Data_Input!$A$1:$ZZ$502, 0, MATCH(1, (Data_Input!$7:$7="IRP")*(Data_Input!$8:$8=$B258), 0)), 0) + 1, MATCH(1, (Data_Input!$7:$7=$F$3)*(Data_Input!$8:$8=$B258), 0))/100,"")</f>
        <v/>
      </c>
      <c r="K258" t="str" cm="1">
        <f t="array" ref="K258">IFERROR(_xlfn.LET(
    _xlpm.targetDate, B258,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59" spans="1:11" x14ac:dyDescent="0.3">
      <c r="A259" s="16" t="str">
        <f t="shared" si="6"/>
        <v/>
      </c>
      <c r="B259" s="19"/>
      <c r="C259" s="17" t="str">
        <f t="shared" si="7"/>
        <v/>
      </c>
      <c r="D259" s="42" t="str" cm="1">
        <f t="array" ref="D259">IFERROR(INDEX(Data_Input!$1:$100, 10, MATCH(1, (Data_Input!$7:$7=$F$3) * (Data_Input!$8:$8=$B259), 0)), "")</f>
        <v/>
      </c>
      <c r="E259" s="29" t="str" cm="1">
        <f t="array" ref="E259">IFERROR(INDEX(Data_Input!$1:$100, 9, MATCH(1, (Data_Input!$7:$7=$F$3) * (Data_Input!$8:$8=$B259), 0)),"")</f>
        <v/>
      </c>
      <c r="F259" s="20" t="str" cm="1">
        <f t="array" ref="F259">IFERROR(INDEX(Data_Input!$A$1:$ZZ$502, MATCH("플랜번호", INDEX(Data_Input!$A$1:$ZZ$502, 0, MATCH(1, (Data_Input!$7:$7="IRP")*(Data_Input!$8:$8=$B259), 0)), 0) + 1, MATCH(1, (Data_Input!$7:$7=$F$3)*(Data_Input!$8:$8=$B259), 0)),"")</f>
        <v/>
      </c>
      <c r="G259" s="20" t="str" cm="1">
        <f t="array" ref="G259">IFERROR(INDEX(Data_Input!$A$1:$ZZ$502, MATCH("플랜명", INDEX(Data_Input!$A$1:$ZZ$502, 0, MATCH(1, (Data_Input!$7:$7="IRP")*(Data_Input!$8:$8=$B259), 0)), 0) + 1, MATCH(1, (Data_Input!$7:$7=$F$3)*(Data_Input!$8:$8=$B259), 0)),"")</f>
        <v/>
      </c>
      <c r="H259" s="20" t="str" cm="1">
        <f t="array" ref="H259">IFERROR(INDEX(Data_Input!$A$1:$ZZ$502, MATCH("평가금액", INDEX(Data_Input!$A$1:$ZZ$502, 0, MATCH(1, (Data_Input!$7:$7="IRP")*(Data_Input!$8:$8=$B259), 0)), 0) + 1, MATCH(1, (Data_Input!$7:$7=$F$3)*(Data_Input!$8:$8=$B259), 0)),"")</f>
        <v/>
      </c>
      <c r="I259" s="20" t="str" cm="1">
        <f t="array" ref="I259">IFERROR(INDEX(Data_Input!$A$1:$ZZ$502, MATCH("평가손익", INDEX(Data_Input!$A$1:$ZZ$502, 0, MATCH(1, (Data_Input!$7:$7="IRP")*(Data_Input!$8:$8=$B259), 0)), 0) + 1, MATCH(1, (Data_Input!$7:$7=$F$3)*(Data_Input!$8:$8=$B259), 0)),"")</f>
        <v/>
      </c>
      <c r="J259" s="14" t="str" cm="1">
        <f t="array" ref="J259">IFERROR(INDEX(Data_Input!$A$1:$ZZ$502, MATCH("누적수익률", INDEX(Data_Input!$A$1:$ZZ$502, 0, MATCH(1, (Data_Input!$7:$7="IRP")*(Data_Input!$8:$8=$B259), 0)), 0) + 1, MATCH(1, (Data_Input!$7:$7=$F$3)*(Data_Input!$8:$8=$B259), 0))/100,"")</f>
        <v/>
      </c>
      <c r="K259" t="str" cm="1">
        <f t="array" ref="K259">IFERROR(_xlfn.LET(
    _xlpm.targetDate, B259,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60" spans="1:11" x14ac:dyDescent="0.3">
      <c r="A260" s="16" t="str">
        <f t="shared" si="6"/>
        <v/>
      </c>
      <c r="B260" s="19"/>
      <c r="C260" s="17" t="str">
        <f t="shared" si="7"/>
        <v/>
      </c>
      <c r="D260" s="42" t="str" cm="1">
        <f t="array" ref="D260">IFERROR(INDEX(Data_Input!$1:$100, 10, MATCH(1, (Data_Input!$7:$7=$F$3) * (Data_Input!$8:$8=$B260), 0)), "")</f>
        <v/>
      </c>
      <c r="E260" s="29" t="str" cm="1">
        <f t="array" ref="E260">IFERROR(INDEX(Data_Input!$1:$100, 9, MATCH(1, (Data_Input!$7:$7=$F$3) * (Data_Input!$8:$8=$B260), 0)),"")</f>
        <v/>
      </c>
      <c r="F260" s="20" t="str" cm="1">
        <f t="array" ref="F260">IFERROR(INDEX(Data_Input!$A$1:$ZZ$502, MATCH("플랜번호", INDEX(Data_Input!$A$1:$ZZ$502, 0, MATCH(1, (Data_Input!$7:$7="IRP")*(Data_Input!$8:$8=$B260), 0)), 0) + 1, MATCH(1, (Data_Input!$7:$7=$F$3)*(Data_Input!$8:$8=$B260), 0)),"")</f>
        <v/>
      </c>
      <c r="G260" s="20" t="str" cm="1">
        <f t="array" ref="G260">IFERROR(INDEX(Data_Input!$A$1:$ZZ$502, MATCH("플랜명", INDEX(Data_Input!$A$1:$ZZ$502, 0, MATCH(1, (Data_Input!$7:$7="IRP")*(Data_Input!$8:$8=$B260), 0)), 0) + 1, MATCH(1, (Data_Input!$7:$7=$F$3)*(Data_Input!$8:$8=$B260), 0)),"")</f>
        <v/>
      </c>
      <c r="H260" s="20" t="str" cm="1">
        <f t="array" ref="H260">IFERROR(INDEX(Data_Input!$A$1:$ZZ$502, MATCH("평가금액", INDEX(Data_Input!$A$1:$ZZ$502, 0, MATCH(1, (Data_Input!$7:$7="IRP")*(Data_Input!$8:$8=$B260), 0)), 0) + 1, MATCH(1, (Data_Input!$7:$7=$F$3)*(Data_Input!$8:$8=$B260), 0)),"")</f>
        <v/>
      </c>
      <c r="I260" s="20" t="str" cm="1">
        <f t="array" ref="I260">IFERROR(INDEX(Data_Input!$A$1:$ZZ$502, MATCH("평가손익", INDEX(Data_Input!$A$1:$ZZ$502, 0, MATCH(1, (Data_Input!$7:$7="IRP")*(Data_Input!$8:$8=$B260), 0)), 0) + 1, MATCH(1, (Data_Input!$7:$7=$F$3)*(Data_Input!$8:$8=$B260), 0)),"")</f>
        <v/>
      </c>
      <c r="J260" s="14" t="str" cm="1">
        <f t="array" ref="J260">IFERROR(INDEX(Data_Input!$A$1:$ZZ$502, MATCH("누적수익률", INDEX(Data_Input!$A$1:$ZZ$502, 0, MATCH(1, (Data_Input!$7:$7="IRP")*(Data_Input!$8:$8=$B260), 0)), 0) + 1, MATCH(1, (Data_Input!$7:$7=$F$3)*(Data_Input!$8:$8=$B260), 0))/100,"")</f>
        <v/>
      </c>
      <c r="K260" t="str" cm="1">
        <f t="array" ref="K260">IFERROR(_xlfn.LET(
    _xlpm.targetDate, B260,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61" spans="1:11" x14ac:dyDescent="0.3">
      <c r="A261" s="16" t="str">
        <f t="shared" si="6"/>
        <v/>
      </c>
      <c r="B261" s="19"/>
      <c r="C261" s="17" t="str">
        <f t="shared" si="7"/>
        <v/>
      </c>
      <c r="D261" s="42" t="str" cm="1">
        <f t="array" ref="D261">IFERROR(INDEX(Data_Input!$1:$100, 10, MATCH(1, (Data_Input!$7:$7=$F$3) * (Data_Input!$8:$8=$B261), 0)), "")</f>
        <v/>
      </c>
      <c r="E261" s="29" t="str" cm="1">
        <f t="array" ref="E261">IFERROR(INDEX(Data_Input!$1:$100, 9, MATCH(1, (Data_Input!$7:$7=$F$3) * (Data_Input!$8:$8=$B261), 0)),"")</f>
        <v/>
      </c>
      <c r="F261" s="20" t="str" cm="1">
        <f t="array" ref="F261">IFERROR(INDEX(Data_Input!$A$1:$ZZ$502, MATCH("플랜번호", INDEX(Data_Input!$A$1:$ZZ$502, 0, MATCH(1, (Data_Input!$7:$7="IRP")*(Data_Input!$8:$8=$B261), 0)), 0) + 1, MATCH(1, (Data_Input!$7:$7=$F$3)*(Data_Input!$8:$8=$B261), 0)),"")</f>
        <v/>
      </c>
      <c r="G261" s="20" t="str" cm="1">
        <f t="array" ref="G261">IFERROR(INDEX(Data_Input!$A$1:$ZZ$502, MATCH("플랜명", INDEX(Data_Input!$A$1:$ZZ$502, 0, MATCH(1, (Data_Input!$7:$7="IRP")*(Data_Input!$8:$8=$B261), 0)), 0) + 1, MATCH(1, (Data_Input!$7:$7=$F$3)*(Data_Input!$8:$8=$B261), 0)),"")</f>
        <v/>
      </c>
      <c r="H261" s="20" t="str" cm="1">
        <f t="array" ref="H261">IFERROR(INDEX(Data_Input!$A$1:$ZZ$502, MATCH("평가금액", INDEX(Data_Input!$A$1:$ZZ$502, 0, MATCH(1, (Data_Input!$7:$7="IRP")*(Data_Input!$8:$8=$B261), 0)), 0) + 1, MATCH(1, (Data_Input!$7:$7=$F$3)*(Data_Input!$8:$8=$B261), 0)),"")</f>
        <v/>
      </c>
      <c r="I261" s="20" t="str" cm="1">
        <f t="array" ref="I261">IFERROR(INDEX(Data_Input!$A$1:$ZZ$502, MATCH("평가손익", INDEX(Data_Input!$A$1:$ZZ$502, 0, MATCH(1, (Data_Input!$7:$7="IRP")*(Data_Input!$8:$8=$B261), 0)), 0) + 1, MATCH(1, (Data_Input!$7:$7=$F$3)*(Data_Input!$8:$8=$B261), 0)),"")</f>
        <v/>
      </c>
      <c r="J261" s="14" t="str" cm="1">
        <f t="array" ref="J261">IFERROR(INDEX(Data_Input!$A$1:$ZZ$502, MATCH("누적수익률", INDEX(Data_Input!$A$1:$ZZ$502, 0, MATCH(1, (Data_Input!$7:$7="IRP")*(Data_Input!$8:$8=$B261), 0)), 0) + 1, MATCH(1, (Data_Input!$7:$7=$F$3)*(Data_Input!$8:$8=$B261), 0))/100,"")</f>
        <v/>
      </c>
      <c r="K261" t="str" cm="1">
        <f t="array" ref="K261">IFERROR(_xlfn.LET(
    _xlpm.targetDate, B261,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62" spans="1:11" x14ac:dyDescent="0.3">
      <c r="A262" s="16" t="str">
        <f t="shared" si="6"/>
        <v/>
      </c>
      <c r="B262" s="19"/>
      <c r="C262" s="17" t="str">
        <f t="shared" si="7"/>
        <v/>
      </c>
      <c r="D262" s="42" t="str" cm="1">
        <f t="array" ref="D262">IFERROR(INDEX(Data_Input!$1:$100, 10, MATCH(1, (Data_Input!$7:$7=$F$3) * (Data_Input!$8:$8=$B262), 0)), "")</f>
        <v/>
      </c>
      <c r="E262" s="29" t="str" cm="1">
        <f t="array" ref="E262">IFERROR(INDEX(Data_Input!$1:$100, 9, MATCH(1, (Data_Input!$7:$7=$F$3) * (Data_Input!$8:$8=$B262), 0)),"")</f>
        <v/>
      </c>
      <c r="F262" s="20" t="str" cm="1">
        <f t="array" ref="F262">IFERROR(INDEX(Data_Input!$A$1:$ZZ$502, MATCH("플랜번호", INDEX(Data_Input!$A$1:$ZZ$502, 0, MATCH(1, (Data_Input!$7:$7="IRP")*(Data_Input!$8:$8=$B262), 0)), 0) + 1, MATCH(1, (Data_Input!$7:$7=$F$3)*(Data_Input!$8:$8=$B262), 0)),"")</f>
        <v/>
      </c>
      <c r="G262" s="20" t="str" cm="1">
        <f t="array" ref="G262">IFERROR(INDEX(Data_Input!$A$1:$ZZ$502, MATCH("플랜명", INDEX(Data_Input!$A$1:$ZZ$502, 0, MATCH(1, (Data_Input!$7:$7="IRP")*(Data_Input!$8:$8=$B262), 0)), 0) + 1, MATCH(1, (Data_Input!$7:$7=$F$3)*(Data_Input!$8:$8=$B262), 0)),"")</f>
        <v/>
      </c>
      <c r="H262" s="20" t="str" cm="1">
        <f t="array" ref="H262">IFERROR(INDEX(Data_Input!$A$1:$ZZ$502, MATCH("평가금액", INDEX(Data_Input!$A$1:$ZZ$502, 0, MATCH(1, (Data_Input!$7:$7="IRP")*(Data_Input!$8:$8=$B262), 0)), 0) + 1, MATCH(1, (Data_Input!$7:$7=$F$3)*(Data_Input!$8:$8=$B262), 0)),"")</f>
        <v/>
      </c>
      <c r="I262" s="20" t="str" cm="1">
        <f t="array" ref="I262">IFERROR(INDEX(Data_Input!$A$1:$ZZ$502, MATCH("평가손익", INDEX(Data_Input!$A$1:$ZZ$502, 0, MATCH(1, (Data_Input!$7:$7="IRP")*(Data_Input!$8:$8=$B262), 0)), 0) + 1, MATCH(1, (Data_Input!$7:$7=$F$3)*(Data_Input!$8:$8=$B262), 0)),"")</f>
        <v/>
      </c>
      <c r="J262" s="14" t="str" cm="1">
        <f t="array" ref="J262">IFERROR(INDEX(Data_Input!$A$1:$ZZ$502, MATCH("누적수익률", INDEX(Data_Input!$A$1:$ZZ$502, 0, MATCH(1, (Data_Input!$7:$7="IRP")*(Data_Input!$8:$8=$B262), 0)), 0) + 1, MATCH(1, (Data_Input!$7:$7=$F$3)*(Data_Input!$8:$8=$B262), 0))/100,"")</f>
        <v/>
      </c>
      <c r="K262" t="str" cm="1">
        <f t="array" ref="K262">IFERROR(_xlfn.LET(
    _xlpm.targetDate, B262,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63" spans="1:11" x14ac:dyDescent="0.3">
      <c r="A263" s="16" t="str">
        <f t="shared" ref="A263:A326" si="8">IF(B263&gt;0,A262+1,"")</f>
        <v/>
      </c>
      <c r="B263" s="19"/>
      <c r="C263" s="17" t="str">
        <f t="shared" si="7"/>
        <v/>
      </c>
      <c r="D263" s="42" t="str" cm="1">
        <f t="array" ref="D263">IFERROR(INDEX(Data_Input!$1:$100, 10, MATCH(1, (Data_Input!$7:$7=$F$3) * (Data_Input!$8:$8=$B263), 0)), "")</f>
        <v/>
      </c>
      <c r="E263" s="29" t="str" cm="1">
        <f t="array" ref="E263">IFERROR(INDEX(Data_Input!$1:$100, 9, MATCH(1, (Data_Input!$7:$7=$F$3) * (Data_Input!$8:$8=$B263), 0)),"")</f>
        <v/>
      </c>
      <c r="F263" s="20" t="str" cm="1">
        <f t="array" ref="F263">IFERROR(INDEX(Data_Input!$A$1:$ZZ$502, MATCH("플랜번호", INDEX(Data_Input!$A$1:$ZZ$502, 0, MATCH(1, (Data_Input!$7:$7="IRP")*(Data_Input!$8:$8=$B263), 0)), 0) + 1, MATCH(1, (Data_Input!$7:$7=$F$3)*(Data_Input!$8:$8=$B263), 0)),"")</f>
        <v/>
      </c>
      <c r="G263" s="20" t="str" cm="1">
        <f t="array" ref="G263">IFERROR(INDEX(Data_Input!$A$1:$ZZ$502, MATCH("플랜명", INDEX(Data_Input!$A$1:$ZZ$502, 0, MATCH(1, (Data_Input!$7:$7="IRP")*(Data_Input!$8:$8=$B263), 0)), 0) + 1, MATCH(1, (Data_Input!$7:$7=$F$3)*(Data_Input!$8:$8=$B263), 0)),"")</f>
        <v/>
      </c>
      <c r="H263" s="20" t="str" cm="1">
        <f t="array" ref="H263">IFERROR(INDEX(Data_Input!$A$1:$ZZ$502, MATCH("평가금액", INDEX(Data_Input!$A$1:$ZZ$502, 0, MATCH(1, (Data_Input!$7:$7="IRP")*(Data_Input!$8:$8=$B263), 0)), 0) + 1, MATCH(1, (Data_Input!$7:$7=$F$3)*(Data_Input!$8:$8=$B263), 0)),"")</f>
        <v/>
      </c>
      <c r="I263" s="20" t="str" cm="1">
        <f t="array" ref="I263">IFERROR(INDEX(Data_Input!$A$1:$ZZ$502, MATCH("평가손익", INDEX(Data_Input!$A$1:$ZZ$502, 0, MATCH(1, (Data_Input!$7:$7="IRP")*(Data_Input!$8:$8=$B263), 0)), 0) + 1, MATCH(1, (Data_Input!$7:$7=$F$3)*(Data_Input!$8:$8=$B263), 0)),"")</f>
        <v/>
      </c>
      <c r="J263" s="14" t="str" cm="1">
        <f t="array" ref="J263">IFERROR(INDEX(Data_Input!$A$1:$ZZ$502, MATCH("누적수익률", INDEX(Data_Input!$A$1:$ZZ$502, 0, MATCH(1, (Data_Input!$7:$7="IRP")*(Data_Input!$8:$8=$B263), 0)), 0) + 1, MATCH(1, (Data_Input!$7:$7=$F$3)*(Data_Input!$8:$8=$B263), 0))/100,"")</f>
        <v/>
      </c>
      <c r="K263" t="str" cm="1">
        <f t="array" ref="K263">IFERROR(_xlfn.LET(
    _xlpm.targetDate, B263,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64" spans="1:11" x14ac:dyDescent="0.3">
      <c r="A264" s="16" t="str">
        <f t="shared" si="8"/>
        <v/>
      </c>
      <c r="B264" s="19"/>
      <c r="C264" s="17" t="str">
        <f t="shared" ref="C264:C327" si="9">IF(B264&gt;0,C263,"")</f>
        <v/>
      </c>
      <c r="D264" s="42" t="str" cm="1">
        <f t="array" ref="D264">IFERROR(INDEX(Data_Input!$1:$100, 10, MATCH(1, (Data_Input!$7:$7=$F$3) * (Data_Input!$8:$8=$B264), 0)), "")</f>
        <v/>
      </c>
      <c r="E264" s="29" t="str" cm="1">
        <f t="array" ref="E264">IFERROR(INDEX(Data_Input!$1:$100, 9, MATCH(1, (Data_Input!$7:$7=$F$3) * (Data_Input!$8:$8=$B264), 0)),"")</f>
        <v/>
      </c>
      <c r="F264" s="20" t="str" cm="1">
        <f t="array" ref="F264">IFERROR(INDEX(Data_Input!$A$1:$ZZ$502, MATCH("플랜번호", INDEX(Data_Input!$A$1:$ZZ$502, 0, MATCH(1, (Data_Input!$7:$7="IRP")*(Data_Input!$8:$8=$B264), 0)), 0) + 1, MATCH(1, (Data_Input!$7:$7=$F$3)*(Data_Input!$8:$8=$B264), 0)),"")</f>
        <v/>
      </c>
      <c r="G264" s="20" t="str" cm="1">
        <f t="array" ref="G264">IFERROR(INDEX(Data_Input!$A$1:$ZZ$502, MATCH("플랜명", INDEX(Data_Input!$A$1:$ZZ$502, 0, MATCH(1, (Data_Input!$7:$7="IRP")*(Data_Input!$8:$8=$B264), 0)), 0) + 1, MATCH(1, (Data_Input!$7:$7=$F$3)*(Data_Input!$8:$8=$B264), 0)),"")</f>
        <v/>
      </c>
      <c r="H264" s="20" t="str" cm="1">
        <f t="array" ref="H264">IFERROR(INDEX(Data_Input!$A$1:$ZZ$502, MATCH("평가금액", INDEX(Data_Input!$A$1:$ZZ$502, 0, MATCH(1, (Data_Input!$7:$7="IRP")*(Data_Input!$8:$8=$B264), 0)), 0) + 1, MATCH(1, (Data_Input!$7:$7=$F$3)*(Data_Input!$8:$8=$B264), 0)),"")</f>
        <v/>
      </c>
      <c r="I264" s="20" t="str" cm="1">
        <f t="array" ref="I264">IFERROR(INDEX(Data_Input!$A$1:$ZZ$502, MATCH("평가손익", INDEX(Data_Input!$A$1:$ZZ$502, 0, MATCH(1, (Data_Input!$7:$7="IRP")*(Data_Input!$8:$8=$B264), 0)), 0) + 1, MATCH(1, (Data_Input!$7:$7=$F$3)*(Data_Input!$8:$8=$B264), 0)),"")</f>
        <v/>
      </c>
      <c r="J264" s="14" t="str" cm="1">
        <f t="array" ref="J264">IFERROR(INDEX(Data_Input!$A$1:$ZZ$502, MATCH("누적수익률", INDEX(Data_Input!$A$1:$ZZ$502, 0, MATCH(1, (Data_Input!$7:$7="IRP")*(Data_Input!$8:$8=$B264), 0)), 0) + 1, MATCH(1, (Data_Input!$7:$7=$F$3)*(Data_Input!$8:$8=$B264), 0))/100,"")</f>
        <v/>
      </c>
      <c r="K264" t="str" cm="1">
        <f t="array" ref="K264">IFERROR(_xlfn.LET(
    _xlpm.targetDate, B264,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65" spans="1:11" x14ac:dyDescent="0.3">
      <c r="A265" s="16" t="str">
        <f t="shared" si="8"/>
        <v/>
      </c>
      <c r="B265" s="19"/>
      <c r="C265" s="17" t="str">
        <f t="shared" si="9"/>
        <v/>
      </c>
      <c r="D265" s="42" t="str" cm="1">
        <f t="array" ref="D265">IFERROR(INDEX(Data_Input!$1:$100, 10, MATCH(1, (Data_Input!$7:$7=$F$3) * (Data_Input!$8:$8=$B265), 0)), "")</f>
        <v/>
      </c>
      <c r="E265" s="29" t="str" cm="1">
        <f t="array" ref="E265">IFERROR(INDEX(Data_Input!$1:$100, 9, MATCH(1, (Data_Input!$7:$7=$F$3) * (Data_Input!$8:$8=$B265), 0)),"")</f>
        <v/>
      </c>
      <c r="F265" s="20" t="str" cm="1">
        <f t="array" ref="F265">IFERROR(INDEX(Data_Input!$A$1:$ZZ$502, MATCH("플랜번호", INDEX(Data_Input!$A$1:$ZZ$502, 0, MATCH(1, (Data_Input!$7:$7="IRP")*(Data_Input!$8:$8=$B265), 0)), 0) + 1, MATCH(1, (Data_Input!$7:$7=$F$3)*(Data_Input!$8:$8=$B265), 0)),"")</f>
        <v/>
      </c>
      <c r="G265" s="20" t="str" cm="1">
        <f t="array" ref="G265">IFERROR(INDEX(Data_Input!$A$1:$ZZ$502, MATCH("플랜명", INDEX(Data_Input!$A$1:$ZZ$502, 0, MATCH(1, (Data_Input!$7:$7="IRP")*(Data_Input!$8:$8=$B265), 0)), 0) + 1, MATCH(1, (Data_Input!$7:$7=$F$3)*(Data_Input!$8:$8=$B265), 0)),"")</f>
        <v/>
      </c>
      <c r="H265" s="20" t="str" cm="1">
        <f t="array" ref="H265">IFERROR(INDEX(Data_Input!$A$1:$ZZ$502, MATCH("평가금액", INDEX(Data_Input!$A$1:$ZZ$502, 0, MATCH(1, (Data_Input!$7:$7="IRP")*(Data_Input!$8:$8=$B265), 0)), 0) + 1, MATCH(1, (Data_Input!$7:$7=$F$3)*(Data_Input!$8:$8=$B265), 0)),"")</f>
        <v/>
      </c>
      <c r="I265" s="20" t="str" cm="1">
        <f t="array" ref="I265">IFERROR(INDEX(Data_Input!$A$1:$ZZ$502, MATCH("평가손익", INDEX(Data_Input!$A$1:$ZZ$502, 0, MATCH(1, (Data_Input!$7:$7="IRP")*(Data_Input!$8:$8=$B265), 0)), 0) + 1, MATCH(1, (Data_Input!$7:$7=$F$3)*(Data_Input!$8:$8=$B265), 0)),"")</f>
        <v/>
      </c>
      <c r="J265" s="14" t="str" cm="1">
        <f t="array" ref="J265">IFERROR(INDEX(Data_Input!$A$1:$ZZ$502, MATCH("누적수익률", INDEX(Data_Input!$A$1:$ZZ$502, 0, MATCH(1, (Data_Input!$7:$7="IRP")*(Data_Input!$8:$8=$B265), 0)), 0) + 1, MATCH(1, (Data_Input!$7:$7=$F$3)*(Data_Input!$8:$8=$B265), 0))/100,"")</f>
        <v/>
      </c>
      <c r="K265" t="str" cm="1">
        <f t="array" ref="K265">IFERROR(_xlfn.LET(
    _xlpm.targetDate, B265,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66" spans="1:11" x14ac:dyDescent="0.3">
      <c r="A266" s="16" t="str">
        <f t="shared" si="8"/>
        <v/>
      </c>
      <c r="B266" s="19"/>
      <c r="C266" s="17" t="str">
        <f t="shared" si="9"/>
        <v/>
      </c>
      <c r="D266" s="42" t="str" cm="1">
        <f t="array" ref="D266">IFERROR(INDEX(Data_Input!$1:$100, 10, MATCH(1, (Data_Input!$7:$7=$F$3) * (Data_Input!$8:$8=$B266), 0)), "")</f>
        <v/>
      </c>
      <c r="E266" s="29" t="str" cm="1">
        <f t="array" ref="E266">IFERROR(INDEX(Data_Input!$1:$100, 9, MATCH(1, (Data_Input!$7:$7=$F$3) * (Data_Input!$8:$8=$B266), 0)),"")</f>
        <v/>
      </c>
      <c r="F266" s="20" t="str" cm="1">
        <f t="array" ref="F266">IFERROR(INDEX(Data_Input!$A$1:$ZZ$502, MATCH("플랜번호", INDEX(Data_Input!$A$1:$ZZ$502, 0, MATCH(1, (Data_Input!$7:$7="IRP")*(Data_Input!$8:$8=$B266), 0)), 0) + 1, MATCH(1, (Data_Input!$7:$7=$F$3)*(Data_Input!$8:$8=$B266), 0)),"")</f>
        <v/>
      </c>
      <c r="G266" s="20" t="str" cm="1">
        <f t="array" ref="G266">IFERROR(INDEX(Data_Input!$A$1:$ZZ$502, MATCH("플랜명", INDEX(Data_Input!$A$1:$ZZ$502, 0, MATCH(1, (Data_Input!$7:$7="IRP")*(Data_Input!$8:$8=$B266), 0)), 0) + 1, MATCH(1, (Data_Input!$7:$7=$F$3)*(Data_Input!$8:$8=$B266), 0)),"")</f>
        <v/>
      </c>
      <c r="H266" s="20" t="str" cm="1">
        <f t="array" ref="H266">IFERROR(INDEX(Data_Input!$A$1:$ZZ$502, MATCH("평가금액", INDEX(Data_Input!$A$1:$ZZ$502, 0, MATCH(1, (Data_Input!$7:$7="IRP")*(Data_Input!$8:$8=$B266), 0)), 0) + 1, MATCH(1, (Data_Input!$7:$7=$F$3)*(Data_Input!$8:$8=$B266), 0)),"")</f>
        <v/>
      </c>
      <c r="I266" s="20" t="str" cm="1">
        <f t="array" ref="I266">IFERROR(INDEX(Data_Input!$A$1:$ZZ$502, MATCH("평가손익", INDEX(Data_Input!$A$1:$ZZ$502, 0, MATCH(1, (Data_Input!$7:$7="IRP")*(Data_Input!$8:$8=$B266), 0)), 0) + 1, MATCH(1, (Data_Input!$7:$7=$F$3)*(Data_Input!$8:$8=$B266), 0)),"")</f>
        <v/>
      </c>
      <c r="J266" s="14" t="str" cm="1">
        <f t="array" ref="J266">IFERROR(INDEX(Data_Input!$A$1:$ZZ$502, MATCH("누적수익률", INDEX(Data_Input!$A$1:$ZZ$502, 0, MATCH(1, (Data_Input!$7:$7="IRP")*(Data_Input!$8:$8=$B266), 0)), 0) + 1, MATCH(1, (Data_Input!$7:$7=$F$3)*(Data_Input!$8:$8=$B266), 0))/100,"")</f>
        <v/>
      </c>
      <c r="K266" t="str" cm="1">
        <f t="array" ref="K266">IFERROR(_xlfn.LET(
    _xlpm.targetDate, B266,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67" spans="1:11" x14ac:dyDescent="0.3">
      <c r="A267" s="16" t="str">
        <f t="shared" si="8"/>
        <v/>
      </c>
      <c r="B267" s="19"/>
      <c r="C267" s="17" t="str">
        <f t="shared" si="9"/>
        <v/>
      </c>
      <c r="D267" s="42" t="str" cm="1">
        <f t="array" ref="D267">IFERROR(INDEX(Data_Input!$1:$100, 10, MATCH(1, (Data_Input!$7:$7=$F$3) * (Data_Input!$8:$8=$B267), 0)), "")</f>
        <v/>
      </c>
      <c r="E267" s="29" t="str" cm="1">
        <f t="array" ref="E267">IFERROR(INDEX(Data_Input!$1:$100, 9, MATCH(1, (Data_Input!$7:$7=$F$3) * (Data_Input!$8:$8=$B267), 0)),"")</f>
        <v/>
      </c>
      <c r="F267" s="20" t="str" cm="1">
        <f t="array" ref="F267">IFERROR(INDEX(Data_Input!$A$1:$ZZ$502, MATCH("플랜번호", INDEX(Data_Input!$A$1:$ZZ$502, 0, MATCH(1, (Data_Input!$7:$7="IRP")*(Data_Input!$8:$8=$B267), 0)), 0) + 1, MATCH(1, (Data_Input!$7:$7=$F$3)*(Data_Input!$8:$8=$B267), 0)),"")</f>
        <v/>
      </c>
      <c r="G267" s="20" t="str" cm="1">
        <f t="array" ref="G267">IFERROR(INDEX(Data_Input!$A$1:$ZZ$502, MATCH("플랜명", INDEX(Data_Input!$A$1:$ZZ$502, 0, MATCH(1, (Data_Input!$7:$7="IRP")*(Data_Input!$8:$8=$B267), 0)), 0) + 1, MATCH(1, (Data_Input!$7:$7=$F$3)*(Data_Input!$8:$8=$B267), 0)),"")</f>
        <v/>
      </c>
      <c r="H267" s="20" t="str" cm="1">
        <f t="array" ref="H267">IFERROR(INDEX(Data_Input!$A$1:$ZZ$502, MATCH("평가금액", INDEX(Data_Input!$A$1:$ZZ$502, 0, MATCH(1, (Data_Input!$7:$7="IRP")*(Data_Input!$8:$8=$B267), 0)), 0) + 1, MATCH(1, (Data_Input!$7:$7=$F$3)*(Data_Input!$8:$8=$B267), 0)),"")</f>
        <v/>
      </c>
      <c r="I267" s="20" t="str" cm="1">
        <f t="array" ref="I267">IFERROR(INDEX(Data_Input!$A$1:$ZZ$502, MATCH("평가손익", INDEX(Data_Input!$A$1:$ZZ$502, 0, MATCH(1, (Data_Input!$7:$7="IRP")*(Data_Input!$8:$8=$B267), 0)), 0) + 1, MATCH(1, (Data_Input!$7:$7=$F$3)*(Data_Input!$8:$8=$B267), 0)),"")</f>
        <v/>
      </c>
      <c r="J267" s="14" t="str" cm="1">
        <f t="array" ref="J267">IFERROR(INDEX(Data_Input!$A$1:$ZZ$502, MATCH("누적수익률", INDEX(Data_Input!$A$1:$ZZ$502, 0, MATCH(1, (Data_Input!$7:$7="IRP")*(Data_Input!$8:$8=$B267), 0)), 0) + 1, MATCH(1, (Data_Input!$7:$7=$F$3)*(Data_Input!$8:$8=$B267), 0))/100,"")</f>
        <v/>
      </c>
      <c r="K267" t="str" cm="1">
        <f t="array" ref="K267">IFERROR(_xlfn.LET(
    _xlpm.targetDate, B267,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68" spans="1:11" x14ac:dyDescent="0.3">
      <c r="A268" s="16" t="str">
        <f t="shared" si="8"/>
        <v/>
      </c>
      <c r="B268" s="19"/>
      <c r="C268" s="17" t="str">
        <f t="shared" si="9"/>
        <v/>
      </c>
      <c r="D268" s="42" t="str" cm="1">
        <f t="array" ref="D268">IFERROR(INDEX(Data_Input!$1:$100, 10, MATCH(1, (Data_Input!$7:$7=$F$3) * (Data_Input!$8:$8=$B268), 0)), "")</f>
        <v/>
      </c>
      <c r="E268" s="29" t="str" cm="1">
        <f t="array" ref="E268">IFERROR(INDEX(Data_Input!$1:$100, 9, MATCH(1, (Data_Input!$7:$7=$F$3) * (Data_Input!$8:$8=$B268), 0)),"")</f>
        <v/>
      </c>
      <c r="F268" s="20" t="str" cm="1">
        <f t="array" ref="F268">IFERROR(INDEX(Data_Input!$A$1:$ZZ$502, MATCH("플랜번호", INDEX(Data_Input!$A$1:$ZZ$502, 0, MATCH(1, (Data_Input!$7:$7="IRP")*(Data_Input!$8:$8=$B268), 0)), 0) + 1, MATCH(1, (Data_Input!$7:$7=$F$3)*(Data_Input!$8:$8=$B268), 0)),"")</f>
        <v/>
      </c>
      <c r="G268" s="20" t="str" cm="1">
        <f t="array" ref="G268">IFERROR(INDEX(Data_Input!$A$1:$ZZ$502, MATCH("플랜명", INDEX(Data_Input!$A$1:$ZZ$502, 0, MATCH(1, (Data_Input!$7:$7="IRP")*(Data_Input!$8:$8=$B268), 0)), 0) + 1, MATCH(1, (Data_Input!$7:$7=$F$3)*(Data_Input!$8:$8=$B268), 0)),"")</f>
        <v/>
      </c>
      <c r="H268" s="20" t="str" cm="1">
        <f t="array" ref="H268">IFERROR(INDEX(Data_Input!$A$1:$ZZ$502, MATCH("평가금액", INDEX(Data_Input!$A$1:$ZZ$502, 0, MATCH(1, (Data_Input!$7:$7="IRP")*(Data_Input!$8:$8=$B268), 0)), 0) + 1, MATCH(1, (Data_Input!$7:$7=$F$3)*(Data_Input!$8:$8=$B268), 0)),"")</f>
        <v/>
      </c>
      <c r="I268" s="20" t="str" cm="1">
        <f t="array" ref="I268">IFERROR(INDEX(Data_Input!$A$1:$ZZ$502, MATCH("평가손익", INDEX(Data_Input!$A$1:$ZZ$502, 0, MATCH(1, (Data_Input!$7:$7="IRP")*(Data_Input!$8:$8=$B268), 0)), 0) + 1, MATCH(1, (Data_Input!$7:$7=$F$3)*(Data_Input!$8:$8=$B268), 0)),"")</f>
        <v/>
      </c>
      <c r="J268" s="14" t="str" cm="1">
        <f t="array" ref="J268">IFERROR(INDEX(Data_Input!$A$1:$ZZ$502, MATCH("누적수익률", INDEX(Data_Input!$A$1:$ZZ$502, 0, MATCH(1, (Data_Input!$7:$7="IRP")*(Data_Input!$8:$8=$B268), 0)), 0) + 1, MATCH(1, (Data_Input!$7:$7=$F$3)*(Data_Input!$8:$8=$B268), 0))/100,"")</f>
        <v/>
      </c>
      <c r="K268" t="str" cm="1">
        <f t="array" ref="K268">IFERROR(_xlfn.LET(
    _xlpm.targetDate, B268,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69" spans="1:11" x14ac:dyDescent="0.3">
      <c r="A269" s="16" t="str">
        <f t="shared" si="8"/>
        <v/>
      </c>
      <c r="B269" s="19"/>
      <c r="C269" s="17" t="str">
        <f t="shared" si="9"/>
        <v/>
      </c>
      <c r="D269" s="42" t="str" cm="1">
        <f t="array" ref="D269">IFERROR(INDEX(Data_Input!$1:$100, 10, MATCH(1, (Data_Input!$7:$7=$F$3) * (Data_Input!$8:$8=$B269), 0)), "")</f>
        <v/>
      </c>
      <c r="E269" s="29" t="str" cm="1">
        <f t="array" ref="E269">IFERROR(INDEX(Data_Input!$1:$100, 9, MATCH(1, (Data_Input!$7:$7=$F$3) * (Data_Input!$8:$8=$B269), 0)),"")</f>
        <v/>
      </c>
      <c r="F269" s="20" t="str" cm="1">
        <f t="array" ref="F269">IFERROR(INDEX(Data_Input!$A$1:$ZZ$502, MATCH("플랜번호", INDEX(Data_Input!$A$1:$ZZ$502, 0, MATCH(1, (Data_Input!$7:$7="IRP")*(Data_Input!$8:$8=$B269), 0)), 0) + 1, MATCH(1, (Data_Input!$7:$7=$F$3)*(Data_Input!$8:$8=$B269), 0)),"")</f>
        <v/>
      </c>
      <c r="G269" s="20" t="str" cm="1">
        <f t="array" ref="G269">IFERROR(INDEX(Data_Input!$A$1:$ZZ$502, MATCH("플랜명", INDEX(Data_Input!$A$1:$ZZ$502, 0, MATCH(1, (Data_Input!$7:$7="IRP")*(Data_Input!$8:$8=$B269), 0)), 0) + 1, MATCH(1, (Data_Input!$7:$7=$F$3)*(Data_Input!$8:$8=$B269), 0)),"")</f>
        <v/>
      </c>
      <c r="H269" s="20" t="str" cm="1">
        <f t="array" ref="H269">IFERROR(INDEX(Data_Input!$A$1:$ZZ$502, MATCH("평가금액", INDEX(Data_Input!$A$1:$ZZ$502, 0, MATCH(1, (Data_Input!$7:$7="IRP")*(Data_Input!$8:$8=$B269), 0)), 0) + 1, MATCH(1, (Data_Input!$7:$7=$F$3)*(Data_Input!$8:$8=$B269), 0)),"")</f>
        <v/>
      </c>
      <c r="I269" s="20" t="str" cm="1">
        <f t="array" ref="I269">IFERROR(INDEX(Data_Input!$A$1:$ZZ$502, MATCH("평가손익", INDEX(Data_Input!$A$1:$ZZ$502, 0, MATCH(1, (Data_Input!$7:$7="IRP")*(Data_Input!$8:$8=$B269), 0)), 0) + 1, MATCH(1, (Data_Input!$7:$7=$F$3)*(Data_Input!$8:$8=$B269), 0)),"")</f>
        <v/>
      </c>
      <c r="J269" s="14" t="str" cm="1">
        <f t="array" ref="J269">IFERROR(INDEX(Data_Input!$A$1:$ZZ$502, MATCH("누적수익률", INDEX(Data_Input!$A$1:$ZZ$502, 0, MATCH(1, (Data_Input!$7:$7="IRP")*(Data_Input!$8:$8=$B269), 0)), 0) + 1, MATCH(1, (Data_Input!$7:$7=$F$3)*(Data_Input!$8:$8=$B269), 0))/100,"")</f>
        <v/>
      </c>
      <c r="K269" t="str" cm="1">
        <f t="array" ref="K269">IFERROR(_xlfn.LET(
    _xlpm.targetDate, B269,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70" spans="1:11" x14ac:dyDescent="0.3">
      <c r="A270" s="16" t="str">
        <f t="shared" si="8"/>
        <v/>
      </c>
      <c r="B270" s="19"/>
      <c r="C270" s="17" t="str">
        <f t="shared" si="9"/>
        <v/>
      </c>
      <c r="D270" s="42" t="str" cm="1">
        <f t="array" ref="D270">IFERROR(INDEX(Data_Input!$1:$100, 10, MATCH(1, (Data_Input!$7:$7=$F$3) * (Data_Input!$8:$8=$B270), 0)), "")</f>
        <v/>
      </c>
      <c r="E270" s="29" t="str" cm="1">
        <f t="array" ref="E270">IFERROR(INDEX(Data_Input!$1:$100, 9, MATCH(1, (Data_Input!$7:$7=$F$3) * (Data_Input!$8:$8=$B270), 0)),"")</f>
        <v/>
      </c>
      <c r="F270" s="20" t="str" cm="1">
        <f t="array" ref="F270">IFERROR(INDEX(Data_Input!$A$1:$ZZ$502, MATCH("플랜번호", INDEX(Data_Input!$A$1:$ZZ$502, 0, MATCH(1, (Data_Input!$7:$7="IRP")*(Data_Input!$8:$8=$B270), 0)), 0) + 1, MATCH(1, (Data_Input!$7:$7=$F$3)*(Data_Input!$8:$8=$B270), 0)),"")</f>
        <v/>
      </c>
      <c r="G270" s="20" t="str" cm="1">
        <f t="array" ref="G270">IFERROR(INDEX(Data_Input!$A$1:$ZZ$502, MATCH("플랜명", INDEX(Data_Input!$A$1:$ZZ$502, 0, MATCH(1, (Data_Input!$7:$7="IRP")*(Data_Input!$8:$8=$B270), 0)), 0) + 1, MATCH(1, (Data_Input!$7:$7=$F$3)*(Data_Input!$8:$8=$B270), 0)),"")</f>
        <v/>
      </c>
      <c r="H270" s="20" t="str" cm="1">
        <f t="array" ref="H270">IFERROR(INDEX(Data_Input!$A$1:$ZZ$502, MATCH("평가금액", INDEX(Data_Input!$A$1:$ZZ$502, 0, MATCH(1, (Data_Input!$7:$7="IRP")*(Data_Input!$8:$8=$B270), 0)), 0) + 1, MATCH(1, (Data_Input!$7:$7=$F$3)*(Data_Input!$8:$8=$B270), 0)),"")</f>
        <v/>
      </c>
      <c r="I270" s="20" t="str" cm="1">
        <f t="array" ref="I270">IFERROR(INDEX(Data_Input!$A$1:$ZZ$502, MATCH("평가손익", INDEX(Data_Input!$A$1:$ZZ$502, 0, MATCH(1, (Data_Input!$7:$7="IRP")*(Data_Input!$8:$8=$B270), 0)), 0) + 1, MATCH(1, (Data_Input!$7:$7=$F$3)*(Data_Input!$8:$8=$B270), 0)),"")</f>
        <v/>
      </c>
      <c r="J270" s="14" t="str" cm="1">
        <f t="array" ref="J270">IFERROR(INDEX(Data_Input!$A$1:$ZZ$502, MATCH("누적수익률", INDEX(Data_Input!$A$1:$ZZ$502, 0, MATCH(1, (Data_Input!$7:$7="IRP")*(Data_Input!$8:$8=$B270), 0)), 0) + 1, MATCH(1, (Data_Input!$7:$7=$F$3)*(Data_Input!$8:$8=$B270), 0))/100,"")</f>
        <v/>
      </c>
      <c r="K270" t="str" cm="1">
        <f t="array" ref="K270">IFERROR(_xlfn.LET(
    _xlpm.targetDate, B270,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71" spans="1:11" x14ac:dyDescent="0.3">
      <c r="A271" s="16" t="str">
        <f t="shared" si="8"/>
        <v/>
      </c>
      <c r="B271" s="19"/>
      <c r="C271" s="17" t="str">
        <f t="shared" si="9"/>
        <v/>
      </c>
      <c r="D271" s="42" t="str" cm="1">
        <f t="array" ref="D271">IFERROR(INDEX(Data_Input!$1:$100, 10, MATCH(1, (Data_Input!$7:$7=$F$3) * (Data_Input!$8:$8=$B271), 0)), "")</f>
        <v/>
      </c>
      <c r="E271" s="29" t="str" cm="1">
        <f t="array" ref="E271">IFERROR(INDEX(Data_Input!$1:$100, 9, MATCH(1, (Data_Input!$7:$7=$F$3) * (Data_Input!$8:$8=$B271), 0)),"")</f>
        <v/>
      </c>
      <c r="F271" s="20" t="str" cm="1">
        <f t="array" ref="F271">IFERROR(INDEX(Data_Input!$A$1:$ZZ$502, MATCH("플랜번호", INDEX(Data_Input!$A$1:$ZZ$502, 0, MATCH(1, (Data_Input!$7:$7="IRP")*(Data_Input!$8:$8=$B271), 0)), 0) + 1, MATCH(1, (Data_Input!$7:$7=$F$3)*(Data_Input!$8:$8=$B271), 0)),"")</f>
        <v/>
      </c>
      <c r="G271" s="20" t="str" cm="1">
        <f t="array" ref="G271">IFERROR(INDEX(Data_Input!$A$1:$ZZ$502, MATCH("플랜명", INDEX(Data_Input!$A$1:$ZZ$502, 0, MATCH(1, (Data_Input!$7:$7="IRP")*(Data_Input!$8:$8=$B271), 0)), 0) + 1, MATCH(1, (Data_Input!$7:$7=$F$3)*(Data_Input!$8:$8=$B271), 0)),"")</f>
        <v/>
      </c>
      <c r="H271" s="20" t="str" cm="1">
        <f t="array" ref="H271">IFERROR(INDEX(Data_Input!$A$1:$ZZ$502, MATCH("평가금액", INDEX(Data_Input!$A$1:$ZZ$502, 0, MATCH(1, (Data_Input!$7:$7="IRP")*(Data_Input!$8:$8=$B271), 0)), 0) + 1, MATCH(1, (Data_Input!$7:$7=$F$3)*(Data_Input!$8:$8=$B271), 0)),"")</f>
        <v/>
      </c>
      <c r="I271" s="20" t="str" cm="1">
        <f t="array" ref="I271">IFERROR(INDEX(Data_Input!$A$1:$ZZ$502, MATCH("평가손익", INDEX(Data_Input!$A$1:$ZZ$502, 0, MATCH(1, (Data_Input!$7:$7="IRP")*(Data_Input!$8:$8=$B271), 0)), 0) + 1, MATCH(1, (Data_Input!$7:$7=$F$3)*(Data_Input!$8:$8=$B271), 0)),"")</f>
        <v/>
      </c>
      <c r="J271" s="14" t="str" cm="1">
        <f t="array" ref="J271">IFERROR(INDEX(Data_Input!$A$1:$ZZ$502, MATCH("누적수익률", INDEX(Data_Input!$A$1:$ZZ$502, 0, MATCH(1, (Data_Input!$7:$7="IRP")*(Data_Input!$8:$8=$B271), 0)), 0) + 1, MATCH(1, (Data_Input!$7:$7=$F$3)*(Data_Input!$8:$8=$B271), 0))/100,"")</f>
        <v/>
      </c>
      <c r="K271" t="str" cm="1">
        <f t="array" ref="K271">IFERROR(_xlfn.LET(
    _xlpm.targetDate, B271,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72" spans="1:11" x14ac:dyDescent="0.3">
      <c r="A272" s="16" t="str">
        <f t="shared" si="8"/>
        <v/>
      </c>
      <c r="B272" s="19"/>
      <c r="C272" s="17" t="str">
        <f t="shared" si="9"/>
        <v/>
      </c>
      <c r="D272" s="42" t="str" cm="1">
        <f t="array" ref="D272">IFERROR(INDEX(Data_Input!$1:$100, 10, MATCH(1, (Data_Input!$7:$7=$F$3) * (Data_Input!$8:$8=$B272), 0)), "")</f>
        <v/>
      </c>
      <c r="E272" s="29" t="str" cm="1">
        <f t="array" ref="E272">IFERROR(INDEX(Data_Input!$1:$100, 9, MATCH(1, (Data_Input!$7:$7=$F$3) * (Data_Input!$8:$8=$B272), 0)),"")</f>
        <v/>
      </c>
      <c r="F272" s="20" t="str" cm="1">
        <f t="array" ref="F272">IFERROR(INDEX(Data_Input!$A$1:$ZZ$502, MATCH("플랜번호", INDEX(Data_Input!$A$1:$ZZ$502, 0, MATCH(1, (Data_Input!$7:$7="IRP")*(Data_Input!$8:$8=$B272), 0)), 0) + 1, MATCH(1, (Data_Input!$7:$7=$F$3)*(Data_Input!$8:$8=$B272), 0)),"")</f>
        <v/>
      </c>
      <c r="G272" s="20" t="str" cm="1">
        <f t="array" ref="G272">IFERROR(INDEX(Data_Input!$A$1:$ZZ$502, MATCH("플랜명", INDEX(Data_Input!$A$1:$ZZ$502, 0, MATCH(1, (Data_Input!$7:$7="IRP")*(Data_Input!$8:$8=$B272), 0)), 0) + 1, MATCH(1, (Data_Input!$7:$7=$F$3)*(Data_Input!$8:$8=$B272), 0)),"")</f>
        <v/>
      </c>
      <c r="H272" s="20" t="str" cm="1">
        <f t="array" ref="H272">IFERROR(INDEX(Data_Input!$A$1:$ZZ$502, MATCH("평가금액", INDEX(Data_Input!$A$1:$ZZ$502, 0, MATCH(1, (Data_Input!$7:$7="IRP")*(Data_Input!$8:$8=$B272), 0)), 0) + 1, MATCH(1, (Data_Input!$7:$7=$F$3)*(Data_Input!$8:$8=$B272), 0)),"")</f>
        <v/>
      </c>
      <c r="I272" s="20" t="str" cm="1">
        <f t="array" ref="I272">IFERROR(INDEX(Data_Input!$A$1:$ZZ$502, MATCH("평가손익", INDEX(Data_Input!$A$1:$ZZ$502, 0, MATCH(1, (Data_Input!$7:$7="IRP")*(Data_Input!$8:$8=$B272), 0)), 0) + 1, MATCH(1, (Data_Input!$7:$7=$F$3)*(Data_Input!$8:$8=$B272), 0)),"")</f>
        <v/>
      </c>
      <c r="J272" s="14" t="str" cm="1">
        <f t="array" ref="J272">IFERROR(INDEX(Data_Input!$A$1:$ZZ$502, MATCH("누적수익률", INDEX(Data_Input!$A$1:$ZZ$502, 0, MATCH(1, (Data_Input!$7:$7="IRP")*(Data_Input!$8:$8=$B272), 0)), 0) + 1, MATCH(1, (Data_Input!$7:$7=$F$3)*(Data_Input!$8:$8=$B272), 0))/100,"")</f>
        <v/>
      </c>
      <c r="K272" t="str" cm="1">
        <f t="array" ref="K272">IFERROR(_xlfn.LET(
    _xlpm.targetDate, B272,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73" spans="1:11" x14ac:dyDescent="0.3">
      <c r="A273" s="16" t="str">
        <f t="shared" si="8"/>
        <v/>
      </c>
      <c r="B273" s="19"/>
      <c r="C273" s="17" t="str">
        <f t="shared" si="9"/>
        <v/>
      </c>
      <c r="D273" s="42" t="str" cm="1">
        <f t="array" ref="D273">IFERROR(INDEX(Data_Input!$1:$100, 10, MATCH(1, (Data_Input!$7:$7=$F$3) * (Data_Input!$8:$8=$B273), 0)), "")</f>
        <v/>
      </c>
      <c r="E273" s="29" t="str" cm="1">
        <f t="array" ref="E273">IFERROR(INDEX(Data_Input!$1:$100, 9, MATCH(1, (Data_Input!$7:$7=$F$3) * (Data_Input!$8:$8=$B273), 0)),"")</f>
        <v/>
      </c>
      <c r="F273" s="20" t="str" cm="1">
        <f t="array" ref="F273">IFERROR(INDEX(Data_Input!$A$1:$ZZ$502, MATCH("플랜번호", INDEX(Data_Input!$A$1:$ZZ$502, 0, MATCH(1, (Data_Input!$7:$7="IRP")*(Data_Input!$8:$8=$B273), 0)), 0) + 1, MATCH(1, (Data_Input!$7:$7=$F$3)*(Data_Input!$8:$8=$B273), 0)),"")</f>
        <v/>
      </c>
      <c r="G273" s="20" t="str" cm="1">
        <f t="array" ref="G273">IFERROR(INDEX(Data_Input!$A$1:$ZZ$502, MATCH("플랜명", INDEX(Data_Input!$A$1:$ZZ$502, 0, MATCH(1, (Data_Input!$7:$7="IRP")*(Data_Input!$8:$8=$B273), 0)), 0) + 1, MATCH(1, (Data_Input!$7:$7=$F$3)*(Data_Input!$8:$8=$B273), 0)),"")</f>
        <v/>
      </c>
      <c r="H273" s="20" t="str" cm="1">
        <f t="array" ref="H273">IFERROR(INDEX(Data_Input!$A$1:$ZZ$502, MATCH("평가금액", INDEX(Data_Input!$A$1:$ZZ$502, 0, MATCH(1, (Data_Input!$7:$7="IRP")*(Data_Input!$8:$8=$B273), 0)), 0) + 1, MATCH(1, (Data_Input!$7:$7=$F$3)*(Data_Input!$8:$8=$B273), 0)),"")</f>
        <v/>
      </c>
      <c r="I273" s="20" t="str" cm="1">
        <f t="array" ref="I273">IFERROR(INDEX(Data_Input!$A$1:$ZZ$502, MATCH("평가손익", INDEX(Data_Input!$A$1:$ZZ$502, 0, MATCH(1, (Data_Input!$7:$7="IRP")*(Data_Input!$8:$8=$B273), 0)), 0) + 1, MATCH(1, (Data_Input!$7:$7=$F$3)*(Data_Input!$8:$8=$B273), 0)),"")</f>
        <v/>
      </c>
      <c r="J273" s="14" t="str" cm="1">
        <f t="array" ref="J273">IFERROR(INDEX(Data_Input!$A$1:$ZZ$502, MATCH("누적수익률", INDEX(Data_Input!$A$1:$ZZ$502, 0, MATCH(1, (Data_Input!$7:$7="IRP")*(Data_Input!$8:$8=$B273), 0)), 0) + 1, MATCH(1, (Data_Input!$7:$7=$F$3)*(Data_Input!$8:$8=$B273), 0))/100,"")</f>
        <v/>
      </c>
      <c r="K273" t="str" cm="1">
        <f t="array" ref="K273">IFERROR(_xlfn.LET(
    _xlpm.targetDate, B273,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74" spans="1:11" x14ac:dyDescent="0.3">
      <c r="A274" s="16" t="str">
        <f t="shared" si="8"/>
        <v/>
      </c>
      <c r="B274" s="19"/>
      <c r="C274" s="17" t="str">
        <f t="shared" si="9"/>
        <v/>
      </c>
      <c r="D274" s="42" t="str" cm="1">
        <f t="array" ref="D274">IFERROR(INDEX(Data_Input!$1:$100, 10, MATCH(1, (Data_Input!$7:$7=$F$3) * (Data_Input!$8:$8=$B274), 0)), "")</f>
        <v/>
      </c>
      <c r="E274" s="29" t="str" cm="1">
        <f t="array" ref="E274">IFERROR(INDEX(Data_Input!$1:$100, 9, MATCH(1, (Data_Input!$7:$7=$F$3) * (Data_Input!$8:$8=$B274), 0)),"")</f>
        <v/>
      </c>
      <c r="F274" s="20" t="str" cm="1">
        <f t="array" ref="F274">IFERROR(INDEX(Data_Input!$A$1:$ZZ$502, MATCH("플랜번호", INDEX(Data_Input!$A$1:$ZZ$502, 0, MATCH(1, (Data_Input!$7:$7="IRP")*(Data_Input!$8:$8=$B274), 0)), 0) + 1, MATCH(1, (Data_Input!$7:$7=$F$3)*(Data_Input!$8:$8=$B274), 0)),"")</f>
        <v/>
      </c>
      <c r="G274" s="20" t="str" cm="1">
        <f t="array" ref="G274">IFERROR(INDEX(Data_Input!$A$1:$ZZ$502, MATCH("플랜명", INDEX(Data_Input!$A$1:$ZZ$502, 0, MATCH(1, (Data_Input!$7:$7="IRP")*(Data_Input!$8:$8=$B274), 0)), 0) + 1, MATCH(1, (Data_Input!$7:$7=$F$3)*(Data_Input!$8:$8=$B274), 0)),"")</f>
        <v/>
      </c>
      <c r="H274" s="20" t="str" cm="1">
        <f t="array" ref="H274">IFERROR(INDEX(Data_Input!$A$1:$ZZ$502, MATCH("평가금액", INDEX(Data_Input!$A$1:$ZZ$502, 0, MATCH(1, (Data_Input!$7:$7="IRP")*(Data_Input!$8:$8=$B274), 0)), 0) + 1, MATCH(1, (Data_Input!$7:$7=$F$3)*(Data_Input!$8:$8=$B274), 0)),"")</f>
        <v/>
      </c>
      <c r="I274" s="20" t="str" cm="1">
        <f t="array" ref="I274">IFERROR(INDEX(Data_Input!$A$1:$ZZ$502, MATCH("평가손익", INDEX(Data_Input!$A$1:$ZZ$502, 0, MATCH(1, (Data_Input!$7:$7="IRP")*(Data_Input!$8:$8=$B274), 0)), 0) + 1, MATCH(1, (Data_Input!$7:$7=$F$3)*(Data_Input!$8:$8=$B274), 0)),"")</f>
        <v/>
      </c>
      <c r="J274" s="14" t="str" cm="1">
        <f t="array" ref="J274">IFERROR(INDEX(Data_Input!$A$1:$ZZ$502, MATCH("누적수익률", INDEX(Data_Input!$A$1:$ZZ$502, 0, MATCH(1, (Data_Input!$7:$7="IRP")*(Data_Input!$8:$8=$B274), 0)), 0) + 1, MATCH(1, (Data_Input!$7:$7=$F$3)*(Data_Input!$8:$8=$B274), 0))/100,"")</f>
        <v/>
      </c>
      <c r="K274" t="str" cm="1">
        <f t="array" ref="K274">IFERROR(_xlfn.LET(
    _xlpm.targetDate, B274,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75" spans="1:11" x14ac:dyDescent="0.3">
      <c r="A275" s="16" t="str">
        <f t="shared" si="8"/>
        <v/>
      </c>
      <c r="B275" s="19"/>
      <c r="C275" s="17" t="str">
        <f t="shared" si="9"/>
        <v/>
      </c>
      <c r="D275" s="42" t="str" cm="1">
        <f t="array" ref="D275">IFERROR(INDEX(Data_Input!$1:$100, 10, MATCH(1, (Data_Input!$7:$7=$F$3) * (Data_Input!$8:$8=$B275), 0)), "")</f>
        <v/>
      </c>
      <c r="E275" s="29" t="str" cm="1">
        <f t="array" ref="E275">IFERROR(INDEX(Data_Input!$1:$100, 9, MATCH(1, (Data_Input!$7:$7=$F$3) * (Data_Input!$8:$8=$B275), 0)),"")</f>
        <v/>
      </c>
      <c r="F275" s="20" t="str" cm="1">
        <f t="array" ref="F275">IFERROR(INDEX(Data_Input!$A$1:$ZZ$502, MATCH("플랜번호", INDEX(Data_Input!$A$1:$ZZ$502, 0, MATCH(1, (Data_Input!$7:$7="IRP")*(Data_Input!$8:$8=$B275), 0)), 0) + 1, MATCH(1, (Data_Input!$7:$7=$F$3)*(Data_Input!$8:$8=$B275), 0)),"")</f>
        <v/>
      </c>
      <c r="G275" s="20" t="str" cm="1">
        <f t="array" ref="G275">IFERROR(INDEX(Data_Input!$A$1:$ZZ$502, MATCH("플랜명", INDEX(Data_Input!$A$1:$ZZ$502, 0, MATCH(1, (Data_Input!$7:$7="IRP")*(Data_Input!$8:$8=$B275), 0)), 0) + 1, MATCH(1, (Data_Input!$7:$7=$F$3)*(Data_Input!$8:$8=$B275), 0)),"")</f>
        <v/>
      </c>
      <c r="H275" s="20" t="str" cm="1">
        <f t="array" ref="H275">IFERROR(INDEX(Data_Input!$A$1:$ZZ$502, MATCH("평가금액", INDEX(Data_Input!$A$1:$ZZ$502, 0, MATCH(1, (Data_Input!$7:$7="IRP")*(Data_Input!$8:$8=$B275), 0)), 0) + 1, MATCH(1, (Data_Input!$7:$7=$F$3)*(Data_Input!$8:$8=$B275), 0)),"")</f>
        <v/>
      </c>
      <c r="I275" s="20" t="str" cm="1">
        <f t="array" ref="I275">IFERROR(INDEX(Data_Input!$A$1:$ZZ$502, MATCH("평가손익", INDEX(Data_Input!$A$1:$ZZ$502, 0, MATCH(1, (Data_Input!$7:$7="IRP")*(Data_Input!$8:$8=$B275), 0)), 0) + 1, MATCH(1, (Data_Input!$7:$7=$F$3)*(Data_Input!$8:$8=$B275), 0)),"")</f>
        <v/>
      </c>
      <c r="J275" s="14" t="str" cm="1">
        <f t="array" ref="J275">IFERROR(INDEX(Data_Input!$A$1:$ZZ$502, MATCH("누적수익률", INDEX(Data_Input!$A$1:$ZZ$502, 0, MATCH(1, (Data_Input!$7:$7="IRP")*(Data_Input!$8:$8=$B275), 0)), 0) + 1, MATCH(1, (Data_Input!$7:$7=$F$3)*(Data_Input!$8:$8=$B275), 0))/100,"")</f>
        <v/>
      </c>
      <c r="K275" t="str" cm="1">
        <f t="array" ref="K275">IFERROR(_xlfn.LET(
    _xlpm.targetDate, B275,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76" spans="1:11" x14ac:dyDescent="0.3">
      <c r="A276" s="16" t="str">
        <f t="shared" si="8"/>
        <v/>
      </c>
      <c r="B276" s="19"/>
      <c r="C276" s="17" t="str">
        <f t="shared" si="9"/>
        <v/>
      </c>
      <c r="D276" s="42" t="str" cm="1">
        <f t="array" ref="D276">IFERROR(INDEX(Data_Input!$1:$100, 10, MATCH(1, (Data_Input!$7:$7=$F$3) * (Data_Input!$8:$8=$B276), 0)), "")</f>
        <v/>
      </c>
      <c r="E276" s="29" t="str" cm="1">
        <f t="array" ref="E276">IFERROR(INDEX(Data_Input!$1:$100, 9, MATCH(1, (Data_Input!$7:$7=$F$3) * (Data_Input!$8:$8=$B276), 0)),"")</f>
        <v/>
      </c>
      <c r="F276" s="20" t="str" cm="1">
        <f t="array" ref="F276">IFERROR(INDEX(Data_Input!$A$1:$ZZ$502, MATCH("플랜번호", INDEX(Data_Input!$A$1:$ZZ$502, 0, MATCH(1, (Data_Input!$7:$7="IRP")*(Data_Input!$8:$8=$B276), 0)), 0) + 1, MATCH(1, (Data_Input!$7:$7=$F$3)*(Data_Input!$8:$8=$B276), 0)),"")</f>
        <v/>
      </c>
      <c r="G276" s="20" t="str" cm="1">
        <f t="array" ref="G276">IFERROR(INDEX(Data_Input!$A$1:$ZZ$502, MATCH("플랜명", INDEX(Data_Input!$A$1:$ZZ$502, 0, MATCH(1, (Data_Input!$7:$7="IRP")*(Data_Input!$8:$8=$B276), 0)), 0) + 1, MATCH(1, (Data_Input!$7:$7=$F$3)*(Data_Input!$8:$8=$B276), 0)),"")</f>
        <v/>
      </c>
      <c r="H276" s="20" t="str" cm="1">
        <f t="array" ref="H276">IFERROR(INDEX(Data_Input!$A$1:$ZZ$502, MATCH("평가금액", INDEX(Data_Input!$A$1:$ZZ$502, 0, MATCH(1, (Data_Input!$7:$7="IRP")*(Data_Input!$8:$8=$B276), 0)), 0) + 1, MATCH(1, (Data_Input!$7:$7=$F$3)*(Data_Input!$8:$8=$B276), 0)),"")</f>
        <v/>
      </c>
      <c r="I276" s="20" t="str" cm="1">
        <f t="array" ref="I276">IFERROR(INDEX(Data_Input!$A$1:$ZZ$502, MATCH("평가손익", INDEX(Data_Input!$A$1:$ZZ$502, 0, MATCH(1, (Data_Input!$7:$7="IRP")*(Data_Input!$8:$8=$B276), 0)), 0) + 1, MATCH(1, (Data_Input!$7:$7=$F$3)*(Data_Input!$8:$8=$B276), 0)),"")</f>
        <v/>
      </c>
      <c r="J276" s="14" t="str" cm="1">
        <f t="array" ref="J276">IFERROR(INDEX(Data_Input!$A$1:$ZZ$502, MATCH("누적수익률", INDEX(Data_Input!$A$1:$ZZ$502, 0, MATCH(1, (Data_Input!$7:$7="IRP")*(Data_Input!$8:$8=$B276), 0)), 0) + 1, MATCH(1, (Data_Input!$7:$7=$F$3)*(Data_Input!$8:$8=$B276), 0))/100,"")</f>
        <v/>
      </c>
      <c r="K276" t="str" cm="1">
        <f t="array" ref="K276">IFERROR(_xlfn.LET(
    _xlpm.targetDate, B276,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77" spans="1:11" x14ac:dyDescent="0.3">
      <c r="A277" s="16" t="str">
        <f t="shared" si="8"/>
        <v/>
      </c>
      <c r="B277" s="19"/>
      <c r="C277" s="17" t="str">
        <f t="shared" si="9"/>
        <v/>
      </c>
      <c r="D277" s="42" t="str" cm="1">
        <f t="array" ref="D277">IFERROR(INDEX(Data_Input!$1:$100, 10, MATCH(1, (Data_Input!$7:$7=$F$3) * (Data_Input!$8:$8=$B277), 0)), "")</f>
        <v/>
      </c>
      <c r="E277" s="29" t="str" cm="1">
        <f t="array" ref="E277">IFERROR(INDEX(Data_Input!$1:$100, 9, MATCH(1, (Data_Input!$7:$7=$F$3) * (Data_Input!$8:$8=$B277), 0)),"")</f>
        <v/>
      </c>
      <c r="F277" s="20" t="str" cm="1">
        <f t="array" ref="F277">IFERROR(INDEX(Data_Input!$A$1:$ZZ$502, MATCH("플랜번호", INDEX(Data_Input!$A$1:$ZZ$502, 0, MATCH(1, (Data_Input!$7:$7="IRP")*(Data_Input!$8:$8=$B277), 0)), 0) + 1, MATCH(1, (Data_Input!$7:$7=$F$3)*(Data_Input!$8:$8=$B277), 0)),"")</f>
        <v/>
      </c>
      <c r="G277" s="20" t="str" cm="1">
        <f t="array" ref="G277">IFERROR(INDEX(Data_Input!$A$1:$ZZ$502, MATCH("플랜명", INDEX(Data_Input!$A$1:$ZZ$502, 0, MATCH(1, (Data_Input!$7:$7="IRP")*(Data_Input!$8:$8=$B277), 0)), 0) + 1, MATCH(1, (Data_Input!$7:$7=$F$3)*(Data_Input!$8:$8=$B277), 0)),"")</f>
        <v/>
      </c>
      <c r="H277" s="20" t="str" cm="1">
        <f t="array" ref="H277">IFERROR(INDEX(Data_Input!$A$1:$ZZ$502, MATCH("평가금액", INDEX(Data_Input!$A$1:$ZZ$502, 0, MATCH(1, (Data_Input!$7:$7="IRP")*(Data_Input!$8:$8=$B277), 0)), 0) + 1, MATCH(1, (Data_Input!$7:$7=$F$3)*(Data_Input!$8:$8=$B277), 0)),"")</f>
        <v/>
      </c>
      <c r="I277" s="20" t="str" cm="1">
        <f t="array" ref="I277">IFERROR(INDEX(Data_Input!$A$1:$ZZ$502, MATCH("평가손익", INDEX(Data_Input!$A$1:$ZZ$502, 0, MATCH(1, (Data_Input!$7:$7="IRP")*(Data_Input!$8:$8=$B277), 0)), 0) + 1, MATCH(1, (Data_Input!$7:$7=$F$3)*(Data_Input!$8:$8=$B277), 0)),"")</f>
        <v/>
      </c>
      <c r="J277" s="14" t="str" cm="1">
        <f t="array" ref="J277">IFERROR(INDEX(Data_Input!$A$1:$ZZ$502, MATCH("누적수익률", INDEX(Data_Input!$A$1:$ZZ$502, 0, MATCH(1, (Data_Input!$7:$7="IRP")*(Data_Input!$8:$8=$B277), 0)), 0) + 1, MATCH(1, (Data_Input!$7:$7=$F$3)*(Data_Input!$8:$8=$B277), 0))/100,"")</f>
        <v/>
      </c>
      <c r="K277" t="str" cm="1">
        <f t="array" ref="K277">IFERROR(_xlfn.LET(
    _xlpm.targetDate, B277,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78" spans="1:11" x14ac:dyDescent="0.3">
      <c r="A278" s="16" t="str">
        <f t="shared" si="8"/>
        <v/>
      </c>
      <c r="B278" s="19"/>
      <c r="C278" s="17" t="str">
        <f t="shared" si="9"/>
        <v/>
      </c>
      <c r="D278" s="42" t="str" cm="1">
        <f t="array" ref="D278">IFERROR(INDEX(Data_Input!$1:$100, 10, MATCH(1, (Data_Input!$7:$7=$F$3) * (Data_Input!$8:$8=$B278), 0)), "")</f>
        <v/>
      </c>
      <c r="E278" s="29" t="str" cm="1">
        <f t="array" ref="E278">IFERROR(INDEX(Data_Input!$1:$100, 9, MATCH(1, (Data_Input!$7:$7=$F$3) * (Data_Input!$8:$8=$B278), 0)),"")</f>
        <v/>
      </c>
      <c r="F278" s="20" t="str" cm="1">
        <f t="array" ref="F278">IFERROR(INDEX(Data_Input!$A$1:$ZZ$502, MATCH("플랜번호", INDEX(Data_Input!$A$1:$ZZ$502, 0, MATCH(1, (Data_Input!$7:$7="IRP")*(Data_Input!$8:$8=$B278), 0)), 0) + 1, MATCH(1, (Data_Input!$7:$7=$F$3)*(Data_Input!$8:$8=$B278), 0)),"")</f>
        <v/>
      </c>
      <c r="G278" s="20" t="str" cm="1">
        <f t="array" ref="G278">IFERROR(INDEX(Data_Input!$A$1:$ZZ$502, MATCH("플랜명", INDEX(Data_Input!$A$1:$ZZ$502, 0, MATCH(1, (Data_Input!$7:$7="IRP")*(Data_Input!$8:$8=$B278), 0)), 0) + 1, MATCH(1, (Data_Input!$7:$7=$F$3)*(Data_Input!$8:$8=$B278), 0)),"")</f>
        <v/>
      </c>
      <c r="H278" s="20" t="str" cm="1">
        <f t="array" ref="H278">IFERROR(INDEX(Data_Input!$A$1:$ZZ$502, MATCH("평가금액", INDEX(Data_Input!$A$1:$ZZ$502, 0, MATCH(1, (Data_Input!$7:$7="IRP")*(Data_Input!$8:$8=$B278), 0)), 0) + 1, MATCH(1, (Data_Input!$7:$7=$F$3)*(Data_Input!$8:$8=$B278), 0)),"")</f>
        <v/>
      </c>
      <c r="I278" s="20" t="str" cm="1">
        <f t="array" ref="I278">IFERROR(INDEX(Data_Input!$A$1:$ZZ$502, MATCH("평가손익", INDEX(Data_Input!$A$1:$ZZ$502, 0, MATCH(1, (Data_Input!$7:$7="IRP")*(Data_Input!$8:$8=$B278), 0)), 0) + 1, MATCH(1, (Data_Input!$7:$7=$F$3)*(Data_Input!$8:$8=$B278), 0)),"")</f>
        <v/>
      </c>
      <c r="J278" s="14" t="str" cm="1">
        <f t="array" ref="J278">IFERROR(INDEX(Data_Input!$A$1:$ZZ$502, MATCH("누적수익률", INDEX(Data_Input!$A$1:$ZZ$502, 0, MATCH(1, (Data_Input!$7:$7="IRP")*(Data_Input!$8:$8=$B278), 0)), 0) + 1, MATCH(1, (Data_Input!$7:$7=$F$3)*(Data_Input!$8:$8=$B278), 0))/100,"")</f>
        <v/>
      </c>
      <c r="K278" t="str" cm="1">
        <f t="array" ref="K278">IFERROR(_xlfn.LET(
    _xlpm.targetDate, B278,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79" spans="1:11" x14ac:dyDescent="0.3">
      <c r="A279" s="16" t="str">
        <f t="shared" si="8"/>
        <v/>
      </c>
      <c r="B279" s="19"/>
      <c r="C279" s="17" t="str">
        <f t="shared" si="9"/>
        <v/>
      </c>
      <c r="D279" s="42" t="str" cm="1">
        <f t="array" ref="D279">IFERROR(INDEX(Data_Input!$1:$100, 10, MATCH(1, (Data_Input!$7:$7=$F$3) * (Data_Input!$8:$8=$B279), 0)), "")</f>
        <v/>
      </c>
      <c r="E279" s="29" t="str" cm="1">
        <f t="array" ref="E279">IFERROR(INDEX(Data_Input!$1:$100, 9, MATCH(1, (Data_Input!$7:$7=$F$3) * (Data_Input!$8:$8=$B279), 0)),"")</f>
        <v/>
      </c>
      <c r="F279" s="20" t="str" cm="1">
        <f t="array" ref="F279">IFERROR(INDEX(Data_Input!$A$1:$ZZ$502, MATCH("플랜번호", INDEX(Data_Input!$A$1:$ZZ$502, 0, MATCH(1, (Data_Input!$7:$7="IRP")*(Data_Input!$8:$8=$B279), 0)), 0) + 1, MATCH(1, (Data_Input!$7:$7=$F$3)*(Data_Input!$8:$8=$B279), 0)),"")</f>
        <v/>
      </c>
      <c r="G279" s="20" t="str" cm="1">
        <f t="array" ref="G279">IFERROR(INDEX(Data_Input!$A$1:$ZZ$502, MATCH("플랜명", INDEX(Data_Input!$A$1:$ZZ$502, 0, MATCH(1, (Data_Input!$7:$7="IRP")*(Data_Input!$8:$8=$B279), 0)), 0) + 1, MATCH(1, (Data_Input!$7:$7=$F$3)*(Data_Input!$8:$8=$B279), 0)),"")</f>
        <v/>
      </c>
      <c r="H279" s="20" t="str" cm="1">
        <f t="array" ref="H279">IFERROR(INDEX(Data_Input!$A$1:$ZZ$502, MATCH("평가금액", INDEX(Data_Input!$A$1:$ZZ$502, 0, MATCH(1, (Data_Input!$7:$7="IRP")*(Data_Input!$8:$8=$B279), 0)), 0) + 1, MATCH(1, (Data_Input!$7:$7=$F$3)*(Data_Input!$8:$8=$B279), 0)),"")</f>
        <v/>
      </c>
      <c r="I279" s="20" t="str" cm="1">
        <f t="array" ref="I279">IFERROR(INDEX(Data_Input!$A$1:$ZZ$502, MATCH("평가손익", INDEX(Data_Input!$A$1:$ZZ$502, 0, MATCH(1, (Data_Input!$7:$7="IRP")*(Data_Input!$8:$8=$B279), 0)), 0) + 1, MATCH(1, (Data_Input!$7:$7=$F$3)*(Data_Input!$8:$8=$B279), 0)),"")</f>
        <v/>
      </c>
      <c r="J279" s="14" t="str" cm="1">
        <f t="array" ref="J279">IFERROR(INDEX(Data_Input!$A$1:$ZZ$502, MATCH("누적수익률", INDEX(Data_Input!$A$1:$ZZ$502, 0, MATCH(1, (Data_Input!$7:$7="IRP")*(Data_Input!$8:$8=$B279), 0)), 0) + 1, MATCH(1, (Data_Input!$7:$7=$F$3)*(Data_Input!$8:$8=$B279), 0))/100,"")</f>
        <v/>
      </c>
      <c r="K279" t="str" cm="1">
        <f t="array" ref="K279">IFERROR(_xlfn.LET(
    _xlpm.targetDate, B279,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80" spans="1:11" x14ac:dyDescent="0.3">
      <c r="A280" s="16" t="str">
        <f t="shared" si="8"/>
        <v/>
      </c>
      <c r="B280" s="19"/>
      <c r="C280" s="17" t="str">
        <f t="shared" si="9"/>
        <v/>
      </c>
      <c r="D280" s="42" t="str" cm="1">
        <f t="array" ref="D280">IFERROR(INDEX(Data_Input!$1:$100, 10, MATCH(1, (Data_Input!$7:$7=$F$3) * (Data_Input!$8:$8=$B280), 0)), "")</f>
        <v/>
      </c>
      <c r="E280" s="29" t="str" cm="1">
        <f t="array" ref="E280">IFERROR(INDEX(Data_Input!$1:$100, 9, MATCH(1, (Data_Input!$7:$7=$F$3) * (Data_Input!$8:$8=$B280), 0)),"")</f>
        <v/>
      </c>
      <c r="F280" s="20" t="str" cm="1">
        <f t="array" ref="F280">IFERROR(INDEX(Data_Input!$A$1:$ZZ$502, MATCH("플랜번호", INDEX(Data_Input!$A$1:$ZZ$502, 0, MATCH(1, (Data_Input!$7:$7="IRP")*(Data_Input!$8:$8=$B280), 0)), 0) + 1, MATCH(1, (Data_Input!$7:$7=$F$3)*(Data_Input!$8:$8=$B280), 0)),"")</f>
        <v/>
      </c>
      <c r="G280" s="20" t="str" cm="1">
        <f t="array" ref="G280">IFERROR(INDEX(Data_Input!$A$1:$ZZ$502, MATCH("플랜명", INDEX(Data_Input!$A$1:$ZZ$502, 0, MATCH(1, (Data_Input!$7:$7="IRP")*(Data_Input!$8:$8=$B280), 0)), 0) + 1, MATCH(1, (Data_Input!$7:$7=$F$3)*(Data_Input!$8:$8=$B280), 0)),"")</f>
        <v/>
      </c>
      <c r="H280" s="20" t="str" cm="1">
        <f t="array" ref="H280">IFERROR(INDEX(Data_Input!$A$1:$ZZ$502, MATCH("평가금액", INDEX(Data_Input!$A$1:$ZZ$502, 0, MATCH(1, (Data_Input!$7:$7="IRP")*(Data_Input!$8:$8=$B280), 0)), 0) + 1, MATCH(1, (Data_Input!$7:$7=$F$3)*(Data_Input!$8:$8=$B280), 0)),"")</f>
        <v/>
      </c>
      <c r="I280" s="20" t="str" cm="1">
        <f t="array" ref="I280">IFERROR(INDEX(Data_Input!$A$1:$ZZ$502, MATCH("평가손익", INDEX(Data_Input!$A$1:$ZZ$502, 0, MATCH(1, (Data_Input!$7:$7="IRP")*(Data_Input!$8:$8=$B280), 0)), 0) + 1, MATCH(1, (Data_Input!$7:$7=$F$3)*(Data_Input!$8:$8=$B280), 0)),"")</f>
        <v/>
      </c>
      <c r="J280" s="14" t="str" cm="1">
        <f t="array" ref="J280">IFERROR(INDEX(Data_Input!$A$1:$ZZ$502, MATCH("누적수익률", INDEX(Data_Input!$A$1:$ZZ$502, 0, MATCH(1, (Data_Input!$7:$7="IRP")*(Data_Input!$8:$8=$B280), 0)), 0) + 1, MATCH(1, (Data_Input!$7:$7=$F$3)*(Data_Input!$8:$8=$B280), 0))/100,"")</f>
        <v/>
      </c>
      <c r="K280" t="str" cm="1">
        <f t="array" ref="K280">IFERROR(_xlfn.LET(
    _xlpm.targetDate, B280,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81" spans="1:11" x14ac:dyDescent="0.3">
      <c r="A281" s="16" t="str">
        <f t="shared" si="8"/>
        <v/>
      </c>
      <c r="B281" s="19"/>
      <c r="C281" s="17" t="str">
        <f t="shared" si="9"/>
        <v/>
      </c>
      <c r="D281" s="42" t="str" cm="1">
        <f t="array" ref="D281">IFERROR(INDEX(Data_Input!$1:$100, 10, MATCH(1, (Data_Input!$7:$7=$F$3) * (Data_Input!$8:$8=$B281), 0)), "")</f>
        <v/>
      </c>
      <c r="E281" s="29" t="str" cm="1">
        <f t="array" ref="E281">IFERROR(INDEX(Data_Input!$1:$100, 9, MATCH(1, (Data_Input!$7:$7=$F$3) * (Data_Input!$8:$8=$B281), 0)),"")</f>
        <v/>
      </c>
      <c r="F281" s="20" t="str" cm="1">
        <f t="array" ref="F281">IFERROR(INDEX(Data_Input!$A$1:$ZZ$502, MATCH("플랜번호", INDEX(Data_Input!$A$1:$ZZ$502, 0, MATCH(1, (Data_Input!$7:$7="IRP")*(Data_Input!$8:$8=$B281), 0)), 0) + 1, MATCH(1, (Data_Input!$7:$7=$F$3)*(Data_Input!$8:$8=$B281), 0)),"")</f>
        <v/>
      </c>
      <c r="G281" s="20" t="str" cm="1">
        <f t="array" ref="G281">IFERROR(INDEX(Data_Input!$A$1:$ZZ$502, MATCH("플랜명", INDEX(Data_Input!$A$1:$ZZ$502, 0, MATCH(1, (Data_Input!$7:$7="IRP")*(Data_Input!$8:$8=$B281), 0)), 0) + 1, MATCH(1, (Data_Input!$7:$7=$F$3)*(Data_Input!$8:$8=$B281), 0)),"")</f>
        <v/>
      </c>
      <c r="H281" s="20" t="str" cm="1">
        <f t="array" ref="H281">IFERROR(INDEX(Data_Input!$A$1:$ZZ$502, MATCH("평가금액", INDEX(Data_Input!$A$1:$ZZ$502, 0, MATCH(1, (Data_Input!$7:$7="IRP")*(Data_Input!$8:$8=$B281), 0)), 0) + 1, MATCH(1, (Data_Input!$7:$7=$F$3)*(Data_Input!$8:$8=$B281), 0)),"")</f>
        <v/>
      </c>
      <c r="I281" s="20" t="str" cm="1">
        <f t="array" ref="I281">IFERROR(INDEX(Data_Input!$A$1:$ZZ$502, MATCH("평가손익", INDEX(Data_Input!$A$1:$ZZ$502, 0, MATCH(1, (Data_Input!$7:$7="IRP")*(Data_Input!$8:$8=$B281), 0)), 0) + 1, MATCH(1, (Data_Input!$7:$7=$F$3)*(Data_Input!$8:$8=$B281), 0)),"")</f>
        <v/>
      </c>
      <c r="J281" s="14" t="str" cm="1">
        <f t="array" ref="J281">IFERROR(INDEX(Data_Input!$A$1:$ZZ$502, MATCH("누적수익률", INDEX(Data_Input!$A$1:$ZZ$502, 0, MATCH(1, (Data_Input!$7:$7="IRP")*(Data_Input!$8:$8=$B281), 0)), 0) + 1, MATCH(1, (Data_Input!$7:$7=$F$3)*(Data_Input!$8:$8=$B281), 0))/100,"")</f>
        <v/>
      </c>
      <c r="K281" t="str" cm="1">
        <f t="array" ref="K281">IFERROR(_xlfn.LET(
    _xlpm.targetDate, B281,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82" spans="1:11" x14ac:dyDescent="0.3">
      <c r="A282" s="16" t="str">
        <f t="shared" si="8"/>
        <v/>
      </c>
      <c r="B282" s="19"/>
      <c r="C282" s="17" t="str">
        <f t="shared" si="9"/>
        <v/>
      </c>
      <c r="D282" s="42" t="str" cm="1">
        <f t="array" ref="D282">IFERROR(INDEX(Data_Input!$1:$100, 10, MATCH(1, (Data_Input!$7:$7=$F$3) * (Data_Input!$8:$8=$B282), 0)), "")</f>
        <v/>
      </c>
      <c r="E282" s="29" t="str" cm="1">
        <f t="array" ref="E282">IFERROR(INDEX(Data_Input!$1:$100, 9, MATCH(1, (Data_Input!$7:$7=$F$3) * (Data_Input!$8:$8=$B282), 0)),"")</f>
        <v/>
      </c>
      <c r="F282" s="20" t="str" cm="1">
        <f t="array" ref="F282">IFERROR(INDEX(Data_Input!$A$1:$ZZ$502, MATCH("플랜번호", INDEX(Data_Input!$A$1:$ZZ$502, 0, MATCH(1, (Data_Input!$7:$7="IRP")*(Data_Input!$8:$8=$B282), 0)), 0) + 1, MATCH(1, (Data_Input!$7:$7=$F$3)*(Data_Input!$8:$8=$B282), 0)),"")</f>
        <v/>
      </c>
      <c r="G282" s="20" t="str" cm="1">
        <f t="array" ref="G282">IFERROR(INDEX(Data_Input!$A$1:$ZZ$502, MATCH("플랜명", INDEX(Data_Input!$A$1:$ZZ$502, 0, MATCH(1, (Data_Input!$7:$7="IRP")*(Data_Input!$8:$8=$B282), 0)), 0) + 1, MATCH(1, (Data_Input!$7:$7=$F$3)*(Data_Input!$8:$8=$B282), 0)),"")</f>
        <v/>
      </c>
      <c r="H282" s="20" t="str" cm="1">
        <f t="array" ref="H282">IFERROR(INDEX(Data_Input!$A$1:$ZZ$502, MATCH("평가금액", INDEX(Data_Input!$A$1:$ZZ$502, 0, MATCH(1, (Data_Input!$7:$7="IRP")*(Data_Input!$8:$8=$B282), 0)), 0) + 1, MATCH(1, (Data_Input!$7:$7=$F$3)*(Data_Input!$8:$8=$B282), 0)),"")</f>
        <v/>
      </c>
      <c r="I282" s="20" t="str" cm="1">
        <f t="array" ref="I282">IFERROR(INDEX(Data_Input!$A$1:$ZZ$502, MATCH("평가손익", INDEX(Data_Input!$A$1:$ZZ$502, 0, MATCH(1, (Data_Input!$7:$7="IRP")*(Data_Input!$8:$8=$B282), 0)), 0) + 1, MATCH(1, (Data_Input!$7:$7=$F$3)*(Data_Input!$8:$8=$B282), 0)),"")</f>
        <v/>
      </c>
      <c r="J282" s="14" t="str" cm="1">
        <f t="array" ref="J282">IFERROR(INDEX(Data_Input!$A$1:$ZZ$502, MATCH("누적수익률", INDEX(Data_Input!$A$1:$ZZ$502, 0, MATCH(1, (Data_Input!$7:$7="IRP")*(Data_Input!$8:$8=$B282), 0)), 0) + 1, MATCH(1, (Data_Input!$7:$7=$F$3)*(Data_Input!$8:$8=$B282), 0))/100,"")</f>
        <v/>
      </c>
      <c r="K282" t="str" cm="1">
        <f t="array" ref="K282">IFERROR(_xlfn.LET(
    _xlpm.targetDate, B282,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83" spans="1:11" x14ac:dyDescent="0.3">
      <c r="A283" s="16" t="str">
        <f t="shared" si="8"/>
        <v/>
      </c>
      <c r="B283" s="19"/>
      <c r="C283" s="17" t="str">
        <f t="shared" si="9"/>
        <v/>
      </c>
      <c r="D283" s="42" t="str" cm="1">
        <f t="array" ref="D283">IFERROR(INDEX(Data_Input!$1:$100, 10, MATCH(1, (Data_Input!$7:$7=$F$3) * (Data_Input!$8:$8=$B283), 0)), "")</f>
        <v/>
      </c>
      <c r="E283" s="29" t="str" cm="1">
        <f t="array" ref="E283">IFERROR(INDEX(Data_Input!$1:$100, 9, MATCH(1, (Data_Input!$7:$7=$F$3) * (Data_Input!$8:$8=$B283), 0)),"")</f>
        <v/>
      </c>
      <c r="F283" s="20" t="str" cm="1">
        <f t="array" ref="F283">IFERROR(INDEX(Data_Input!$A$1:$ZZ$502, MATCH("플랜번호", INDEX(Data_Input!$A$1:$ZZ$502, 0, MATCH(1, (Data_Input!$7:$7="IRP")*(Data_Input!$8:$8=$B283), 0)), 0) + 1, MATCH(1, (Data_Input!$7:$7=$F$3)*(Data_Input!$8:$8=$B283), 0)),"")</f>
        <v/>
      </c>
      <c r="G283" s="20" t="str" cm="1">
        <f t="array" ref="G283">IFERROR(INDEX(Data_Input!$A$1:$ZZ$502, MATCH("플랜명", INDEX(Data_Input!$A$1:$ZZ$502, 0, MATCH(1, (Data_Input!$7:$7="IRP")*(Data_Input!$8:$8=$B283), 0)), 0) + 1, MATCH(1, (Data_Input!$7:$7=$F$3)*(Data_Input!$8:$8=$B283), 0)),"")</f>
        <v/>
      </c>
      <c r="H283" s="20" t="str" cm="1">
        <f t="array" ref="H283">IFERROR(INDEX(Data_Input!$A$1:$ZZ$502, MATCH("평가금액", INDEX(Data_Input!$A$1:$ZZ$502, 0, MATCH(1, (Data_Input!$7:$7="IRP")*(Data_Input!$8:$8=$B283), 0)), 0) + 1, MATCH(1, (Data_Input!$7:$7=$F$3)*(Data_Input!$8:$8=$B283), 0)),"")</f>
        <v/>
      </c>
      <c r="I283" s="20" t="str" cm="1">
        <f t="array" ref="I283">IFERROR(INDEX(Data_Input!$A$1:$ZZ$502, MATCH("평가손익", INDEX(Data_Input!$A$1:$ZZ$502, 0, MATCH(1, (Data_Input!$7:$7="IRP")*(Data_Input!$8:$8=$B283), 0)), 0) + 1, MATCH(1, (Data_Input!$7:$7=$F$3)*(Data_Input!$8:$8=$B283), 0)),"")</f>
        <v/>
      </c>
      <c r="J283" s="14" t="str" cm="1">
        <f t="array" ref="J283">IFERROR(INDEX(Data_Input!$A$1:$ZZ$502, MATCH("누적수익률", INDEX(Data_Input!$A$1:$ZZ$502, 0, MATCH(1, (Data_Input!$7:$7="IRP")*(Data_Input!$8:$8=$B283), 0)), 0) + 1, MATCH(1, (Data_Input!$7:$7=$F$3)*(Data_Input!$8:$8=$B283), 0))/100,"")</f>
        <v/>
      </c>
      <c r="K283" t="str" cm="1">
        <f t="array" ref="K283">IFERROR(_xlfn.LET(
    _xlpm.targetDate, B283,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84" spans="1:11" x14ac:dyDescent="0.3">
      <c r="A284" s="16" t="str">
        <f t="shared" si="8"/>
        <v/>
      </c>
      <c r="B284" s="19"/>
      <c r="C284" s="17" t="str">
        <f t="shared" si="9"/>
        <v/>
      </c>
      <c r="D284" s="42" t="str" cm="1">
        <f t="array" ref="D284">IFERROR(INDEX(Data_Input!$1:$100, 10, MATCH(1, (Data_Input!$7:$7=$F$3) * (Data_Input!$8:$8=$B284), 0)), "")</f>
        <v/>
      </c>
      <c r="E284" s="29" t="str" cm="1">
        <f t="array" ref="E284">IFERROR(INDEX(Data_Input!$1:$100, 9, MATCH(1, (Data_Input!$7:$7=$F$3) * (Data_Input!$8:$8=$B284), 0)),"")</f>
        <v/>
      </c>
      <c r="F284" s="20" t="str" cm="1">
        <f t="array" ref="F284">IFERROR(INDEX(Data_Input!$A$1:$ZZ$502, MATCH("플랜번호", INDEX(Data_Input!$A$1:$ZZ$502, 0, MATCH(1, (Data_Input!$7:$7="IRP")*(Data_Input!$8:$8=$B284), 0)), 0) + 1, MATCH(1, (Data_Input!$7:$7=$F$3)*(Data_Input!$8:$8=$B284), 0)),"")</f>
        <v/>
      </c>
      <c r="G284" s="20" t="str" cm="1">
        <f t="array" ref="G284">IFERROR(INDEX(Data_Input!$A$1:$ZZ$502, MATCH("플랜명", INDEX(Data_Input!$A$1:$ZZ$502, 0, MATCH(1, (Data_Input!$7:$7="IRP")*(Data_Input!$8:$8=$B284), 0)), 0) + 1, MATCH(1, (Data_Input!$7:$7=$F$3)*(Data_Input!$8:$8=$B284), 0)),"")</f>
        <v/>
      </c>
      <c r="H284" s="20" t="str" cm="1">
        <f t="array" ref="H284">IFERROR(INDEX(Data_Input!$A$1:$ZZ$502, MATCH("평가금액", INDEX(Data_Input!$A$1:$ZZ$502, 0, MATCH(1, (Data_Input!$7:$7="IRP")*(Data_Input!$8:$8=$B284), 0)), 0) + 1, MATCH(1, (Data_Input!$7:$7=$F$3)*(Data_Input!$8:$8=$B284), 0)),"")</f>
        <v/>
      </c>
      <c r="I284" s="20" t="str" cm="1">
        <f t="array" ref="I284">IFERROR(INDEX(Data_Input!$A$1:$ZZ$502, MATCH("평가손익", INDEX(Data_Input!$A$1:$ZZ$502, 0, MATCH(1, (Data_Input!$7:$7="IRP")*(Data_Input!$8:$8=$B284), 0)), 0) + 1, MATCH(1, (Data_Input!$7:$7=$F$3)*(Data_Input!$8:$8=$B284), 0)),"")</f>
        <v/>
      </c>
      <c r="J284" s="14" t="str" cm="1">
        <f t="array" ref="J284">IFERROR(INDEX(Data_Input!$A$1:$ZZ$502, MATCH("누적수익률", INDEX(Data_Input!$A$1:$ZZ$502, 0, MATCH(1, (Data_Input!$7:$7="IRP")*(Data_Input!$8:$8=$B284), 0)), 0) + 1, MATCH(1, (Data_Input!$7:$7=$F$3)*(Data_Input!$8:$8=$B284), 0))/100,"")</f>
        <v/>
      </c>
      <c r="K284" t="str" cm="1">
        <f t="array" ref="K284">IFERROR(_xlfn.LET(
    _xlpm.targetDate, B284,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85" spans="1:11" x14ac:dyDescent="0.3">
      <c r="A285" s="16" t="str">
        <f t="shared" si="8"/>
        <v/>
      </c>
      <c r="B285" s="19"/>
      <c r="C285" s="17" t="str">
        <f t="shared" si="9"/>
        <v/>
      </c>
      <c r="D285" s="42" t="str" cm="1">
        <f t="array" ref="D285">IFERROR(INDEX(Data_Input!$1:$100, 10, MATCH(1, (Data_Input!$7:$7=$F$3) * (Data_Input!$8:$8=$B285), 0)), "")</f>
        <v/>
      </c>
      <c r="E285" s="29" t="str" cm="1">
        <f t="array" ref="E285">IFERROR(INDEX(Data_Input!$1:$100, 9, MATCH(1, (Data_Input!$7:$7=$F$3) * (Data_Input!$8:$8=$B285), 0)),"")</f>
        <v/>
      </c>
      <c r="F285" s="20" t="str" cm="1">
        <f t="array" ref="F285">IFERROR(INDEX(Data_Input!$A$1:$ZZ$502, MATCH("플랜번호", INDEX(Data_Input!$A$1:$ZZ$502, 0, MATCH(1, (Data_Input!$7:$7="IRP")*(Data_Input!$8:$8=$B285), 0)), 0) + 1, MATCH(1, (Data_Input!$7:$7=$F$3)*(Data_Input!$8:$8=$B285), 0)),"")</f>
        <v/>
      </c>
      <c r="G285" s="20" t="str" cm="1">
        <f t="array" ref="G285">IFERROR(INDEX(Data_Input!$A$1:$ZZ$502, MATCH("플랜명", INDEX(Data_Input!$A$1:$ZZ$502, 0, MATCH(1, (Data_Input!$7:$7="IRP")*(Data_Input!$8:$8=$B285), 0)), 0) + 1, MATCH(1, (Data_Input!$7:$7=$F$3)*(Data_Input!$8:$8=$B285), 0)),"")</f>
        <v/>
      </c>
      <c r="H285" s="20" t="str" cm="1">
        <f t="array" ref="H285">IFERROR(INDEX(Data_Input!$A$1:$ZZ$502, MATCH("평가금액", INDEX(Data_Input!$A$1:$ZZ$502, 0, MATCH(1, (Data_Input!$7:$7="IRP")*(Data_Input!$8:$8=$B285), 0)), 0) + 1, MATCH(1, (Data_Input!$7:$7=$F$3)*(Data_Input!$8:$8=$B285), 0)),"")</f>
        <v/>
      </c>
      <c r="I285" s="20" t="str" cm="1">
        <f t="array" ref="I285">IFERROR(INDEX(Data_Input!$A$1:$ZZ$502, MATCH("평가손익", INDEX(Data_Input!$A$1:$ZZ$502, 0, MATCH(1, (Data_Input!$7:$7="IRP")*(Data_Input!$8:$8=$B285), 0)), 0) + 1, MATCH(1, (Data_Input!$7:$7=$F$3)*(Data_Input!$8:$8=$B285), 0)),"")</f>
        <v/>
      </c>
      <c r="J285" s="14" t="str" cm="1">
        <f t="array" ref="J285">IFERROR(INDEX(Data_Input!$A$1:$ZZ$502, MATCH("누적수익률", INDEX(Data_Input!$A$1:$ZZ$502, 0, MATCH(1, (Data_Input!$7:$7="IRP")*(Data_Input!$8:$8=$B285), 0)), 0) + 1, MATCH(1, (Data_Input!$7:$7=$F$3)*(Data_Input!$8:$8=$B285), 0))/100,"")</f>
        <v/>
      </c>
      <c r="K285" t="str" cm="1">
        <f t="array" ref="K285">IFERROR(_xlfn.LET(
    _xlpm.targetDate, B285,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86" spans="1:11" x14ac:dyDescent="0.3">
      <c r="A286" s="16" t="str">
        <f t="shared" si="8"/>
        <v/>
      </c>
      <c r="B286" s="19"/>
      <c r="C286" s="17" t="str">
        <f t="shared" si="9"/>
        <v/>
      </c>
      <c r="D286" s="42" t="str" cm="1">
        <f t="array" ref="D286">IFERROR(INDEX(Data_Input!$1:$100, 10, MATCH(1, (Data_Input!$7:$7=$F$3) * (Data_Input!$8:$8=$B286), 0)), "")</f>
        <v/>
      </c>
      <c r="E286" s="29" t="str" cm="1">
        <f t="array" ref="E286">IFERROR(INDEX(Data_Input!$1:$100, 9, MATCH(1, (Data_Input!$7:$7=$F$3) * (Data_Input!$8:$8=$B286), 0)),"")</f>
        <v/>
      </c>
      <c r="F286" s="20" t="str" cm="1">
        <f t="array" ref="F286">IFERROR(INDEX(Data_Input!$A$1:$ZZ$502, MATCH("플랜번호", INDEX(Data_Input!$A$1:$ZZ$502, 0, MATCH(1, (Data_Input!$7:$7="IRP")*(Data_Input!$8:$8=$B286), 0)), 0) + 1, MATCH(1, (Data_Input!$7:$7=$F$3)*(Data_Input!$8:$8=$B286), 0)),"")</f>
        <v/>
      </c>
      <c r="G286" s="20" t="str" cm="1">
        <f t="array" ref="G286">IFERROR(INDEX(Data_Input!$A$1:$ZZ$502, MATCH("플랜명", INDEX(Data_Input!$A$1:$ZZ$502, 0, MATCH(1, (Data_Input!$7:$7="IRP")*(Data_Input!$8:$8=$B286), 0)), 0) + 1, MATCH(1, (Data_Input!$7:$7=$F$3)*(Data_Input!$8:$8=$B286), 0)),"")</f>
        <v/>
      </c>
      <c r="H286" s="20" t="str" cm="1">
        <f t="array" ref="H286">IFERROR(INDEX(Data_Input!$A$1:$ZZ$502, MATCH("평가금액", INDEX(Data_Input!$A$1:$ZZ$502, 0, MATCH(1, (Data_Input!$7:$7="IRP")*(Data_Input!$8:$8=$B286), 0)), 0) + 1, MATCH(1, (Data_Input!$7:$7=$F$3)*(Data_Input!$8:$8=$B286), 0)),"")</f>
        <v/>
      </c>
      <c r="I286" s="20" t="str" cm="1">
        <f t="array" ref="I286">IFERROR(INDEX(Data_Input!$A$1:$ZZ$502, MATCH("평가손익", INDEX(Data_Input!$A$1:$ZZ$502, 0, MATCH(1, (Data_Input!$7:$7="IRP")*(Data_Input!$8:$8=$B286), 0)), 0) + 1, MATCH(1, (Data_Input!$7:$7=$F$3)*(Data_Input!$8:$8=$B286), 0)),"")</f>
        <v/>
      </c>
      <c r="J286" s="14" t="str" cm="1">
        <f t="array" ref="J286">IFERROR(INDEX(Data_Input!$A$1:$ZZ$502, MATCH("누적수익률", INDEX(Data_Input!$A$1:$ZZ$502, 0, MATCH(1, (Data_Input!$7:$7="IRP")*(Data_Input!$8:$8=$B286), 0)), 0) + 1, MATCH(1, (Data_Input!$7:$7=$F$3)*(Data_Input!$8:$8=$B286), 0))/100,"")</f>
        <v/>
      </c>
      <c r="K286" t="str" cm="1">
        <f t="array" ref="K286">IFERROR(_xlfn.LET(
    _xlpm.targetDate, B286,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87" spans="1:11" x14ac:dyDescent="0.3">
      <c r="A287" s="16" t="str">
        <f t="shared" si="8"/>
        <v/>
      </c>
      <c r="B287" s="19"/>
      <c r="C287" s="17" t="str">
        <f t="shared" si="9"/>
        <v/>
      </c>
      <c r="D287" s="42" t="str" cm="1">
        <f t="array" ref="D287">IFERROR(INDEX(Data_Input!$1:$100, 10, MATCH(1, (Data_Input!$7:$7=$F$3) * (Data_Input!$8:$8=$B287), 0)), "")</f>
        <v/>
      </c>
      <c r="E287" s="29" t="str" cm="1">
        <f t="array" ref="E287">IFERROR(INDEX(Data_Input!$1:$100, 9, MATCH(1, (Data_Input!$7:$7=$F$3) * (Data_Input!$8:$8=$B287), 0)),"")</f>
        <v/>
      </c>
      <c r="F287" s="20" t="str" cm="1">
        <f t="array" ref="F287">IFERROR(INDEX(Data_Input!$A$1:$ZZ$502, MATCH("플랜번호", INDEX(Data_Input!$A$1:$ZZ$502, 0, MATCH(1, (Data_Input!$7:$7="IRP")*(Data_Input!$8:$8=$B287), 0)), 0) + 1, MATCH(1, (Data_Input!$7:$7=$F$3)*(Data_Input!$8:$8=$B287), 0)),"")</f>
        <v/>
      </c>
      <c r="G287" s="20" t="str" cm="1">
        <f t="array" ref="G287">IFERROR(INDEX(Data_Input!$A$1:$ZZ$502, MATCH("플랜명", INDEX(Data_Input!$A$1:$ZZ$502, 0, MATCH(1, (Data_Input!$7:$7="IRP")*(Data_Input!$8:$8=$B287), 0)), 0) + 1, MATCH(1, (Data_Input!$7:$7=$F$3)*(Data_Input!$8:$8=$B287), 0)),"")</f>
        <v/>
      </c>
      <c r="H287" s="20" t="str" cm="1">
        <f t="array" ref="H287">IFERROR(INDEX(Data_Input!$A$1:$ZZ$502, MATCH("평가금액", INDEX(Data_Input!$A$1:$ZZ$502, 0, MATCH(1, (Data_Input!$7:$7="IRP")*(Data_Input!$8:$8=$B287), 0)), 0) + 1, MATCH(1, (Data_Input!$7:$7=$F$3)*(Data_Input!$8:$8=$B287), 0)),"")</f>
        <v/>
      </c>
      <c r="I287" s="20" t="str" cm="1">
        <f t="array" ref="I287">IFERROR(INDEX(Data_Input!$A$1:$ZZ$502, MATCH("평가손익", INDEX(Data_Input!$A$1:$ZZ$502, 0, MATCH(1, (Data_Input!$7:$7="IRP")*(Data_Input!$8:$8=$B287), 0)), 0) + 1, MATCH(1, (Data_Input!$7:$7=$F$3)*(Data_Input!$8:$8=$B287), 0)),"")</f>
        <v/>
      </c>
      <c r="J287" s="14" t="str" cm="1">
        <f t="array" ref="J287">IFERROR(INDEX(Data_Input!$A$1:$ZZ$502, MATCH("누적수익률", INDEX(Data_Input!$A$1:$ZZ$502, 0, MATCH(1, (Data_Input!$7:$7="IRP")*(Data_Input!$8:$8=$B287), 0)), 0) + 1, MATCH(1, (Data_Input!$7:$7=$F$3)*(Data_Input!$8:$8=$B287), 0))/100,"")</f>
        <v/>
      </c>
      <c r="K287" t="str" cm="1">
        <f t="array" ref="K287">IFERROR(_xlfn.LET(
    _xlpm.targetDate, B287,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88" spans="1:11" x14ac:dyDescent="0.3">
      <c r="A288" s="16" t="str">
        <f t="shared" si="8"/>
        <v/>
      </c>
      <c r="B288" s="19"/>
      <c r="C288" s="17" t="str">
        <f t="shared" si="9"/>
        <v/>
      </c>
      <c r="D288" s="42" t="str" cm="1">
        <f t="array" ref="D288">IFERROR(INDEX(Data_Input!$1:$100, 10, MATCH(1, (Data_Input!$7:$7=$F$3) * (Data_Input!$8:$8=$B288), 0)), "")</f>
        <v/>
      </c>
      <c r="E288" s="29" t="str" cm="1">
        <f t="array" ref="E288">IFERROR(INDEX(Data_Input!$1:$100, 9, MATCH(1, (Data_Input!$7:$7=$F$3) * (Data_Input!$8:$8=$B288), 0)),"")</f>
        <v/>
      </c>
      <c r="F288" s="20" t="str" cm="1">
        <f t="array" ref="F288">IFERROR(INDEX(Data_Input!$A$1:$ZZ$502, MATCH("플랜번호", INDEX(Data_Input!$A$1:$ZZ$502, 0, MATCH(1, (Data_Input!$7:$7="IRP")*(Data_Input!$8:$8=$B288), 0)), 0) + 1, MATCH(1, (Data_Input!$7:$7=$F$3)*(Data_Input!$8:$8=$B288), 0)),"")</f>
        <v/>
      </c>
      <c r="G288" s="20" t="str" cm="1">
        <f t="array" ref="G288">IFERROR(INDEX(Data_Input!$A$1:$ZZ$502, MATCH("플랜명", INDEX(Data_Input!$A$1:$ZZ$502, 0, MATCH(1, (Data_Input!$7:$7="IRP")*(Data_Input!$8:$8=$B288), 0)), 0) + 1, MATCH(1, (Data_Input!$7:$7=$F$3)*(Data_Input!$8:$8=$B288), 0)),"")</f>
        <v/>
      </c>
      <c r="H288" s="20" t="str" cm="1">
        <f t="array" ref="H288">IFERROR(INDEX(Data_Input!$A$1:$ZZ$502, MATCH("평가금액", INDEX(Data_Input!$A$1:$ZZ$502, 0, MATCH(1, (Data_Input!$7:$7="IRP")*(Data_Input!$8:$8=$B288), 0)), 0) + 1, MATCH(1, (Data_Input!$7:$7=$F$3)*(Data_Input!$8:$8=$B288), 0)),"")</f>
        <v/>
      </c>
      <c r="I288" s="20" t="str" cm="1">
        <f t="array" ref="I288">IFERROR(INDEX(Data_Input!$A$1:$ZZ$502, MATCH("평가손익", INDEX(Data_Input!$A$1:$ZZ$502, 0, MATCH(1, (Data_Input!$7:$7="IRP")*(Data_Input!$8:$8=$B288), 0)), 0) + 1, MATCH(1, (Data_Input!$7:$7=$F$3)*(Data_Input!$8:$8=$B288), 0)),"")</f>
        <v/>
      </c>
      <c r="J288" s="14" t="str" cm="1">
        <f t="array" ref="J288">IFERROR(INDEX(Data_Input!$A$1:$ZZ$502, MATCH("누적수익률", INDEX(Data_Input!$A$1:$ZZ$502, 0, MATCH(1, (Data_Input!$7:$7="IRP")*(Data_Input!$8:$8=$B288), 0)), 0) + 1, MATCH(1, (Data_Input!$7:$7=$F$3)*(Data_Input!$8:$8=$B288), 0))/100,"")</f>
        <v/>
      </c>
      <c r="K288" t="str" cm="1">
        <f t="array" ref="K288">IFERROR(_xlfn.LET(
    _xlpm.targetDate, B288,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89" spans="1:11" x14ac:dyDescent="0.3">
      <c r="A289" s="16" t="str">
        <f t="shared" si="8"/>
        <v/>
      </c>
      <c r="B289" s="19"/>
      <c r="C289" s="17" t="str">
        <f t="shared" si="9"/>
        <v/>
      </c>
      <c r="D289" s="42" t="str" cm="1">
        <f t="array" ref="D289">IFERROR(INDEX(Data_Input!$1:$100, 10, MATCH(1, (Data_Input!$7:$7=$F$3) * (Data_Input!$8:$8=$B289), 0)), "")</f>
        <v/>
      </c>
      <c r="E289" s="29" t="str" cm="1">
        <f t="array" ref="E289">IFERROR(INDEX(Data_Input!$1:$100, 9, MATCH(1, (Data_Input!$7:$7=$F$3) * (Data_Input!$8:$8=$B289), 0)),"")</f>
        <v/>
      </c>
      <c r="F289" s="20" t="str" cm="1">
        <f t="array" ref="F289">IFERROR(INDEX(Data_Input!$A$1:$ZZ$502, MATCH("플랜번호", INDEX(Data_Input!$A$1:$ZZ$502, 0, MATCH(1, (Data_Input!$7:$7="IRP")*(Data_Input!$8:$8=$B289), 0)), 0) + 1, MATCH(1, (Data_Input!$7:$7=$F$3)*(Data_Input!$8:$8=$B289), 0)),"")</f>
        <v/>
      </c>
      <c r="G289" s="20" t="str" cm="1">
        <f t="array" ref="G289">IFERROR(INDEX(Data_Input!$A$1:$ZZ$502, MATCH("플랜명", INDEX(Data_Input!$A$1:$ZZ$502, 0, MATCH(1, (Data_Input!$7:$7="IRP")*(Data_Input!$8:$8=$B289), 0)), 0) + 1, MATCH(1, (Data_Input!$7:$7=$F$3)*(Data_Input!$8:$8=$B289), 0)),"")</f>
        <v/>
      </c>
      <c r="H289" s="20" t="str" cm="1">
        <f t="array" ref="H289">IFERROR(INDEX(Data_Input!$A$1:$ZZ$502, MATCH("평가금액", INDEX(Data_Input!$A$1:$ZZ$502, 0, MATCH(1, (Data_Input!$7:$7="IRP")*(Data_Input!$8:$8=$B289), 0)), 0) + 1, MATCH(1, (Data_Input!$7:$7=$F$3)*(Data_Input!$8:$8=$B289), 0)),"")</f>
        <v/>
      </c>
      <c r="I289" s="20" t="str" cm="1">
        <f t="array" ref="I289">IFERROR(INDEX(Data_Input!$A$1:$ZZ$502, MATCH("평가손익", INDEX(Data_Input!$A$1:$ZZ$502, 0, MATCH(1, (Data_Input!$7:$7="IRP")*(Data_Input!$8:$8=$B289), 0)), 0) + 1, MATCH(1, (Data_Input!$7:$7=$F$3)*(Data_Input!$8:$8=$B289), 0)),"")</f>
        <v/>
      </c>
      <c r="J289" s="14" t="str" cm="1">
        <f t="array" ref="J289">IFERROR(INDEX(Data_Input!$A$1:$ZZ$502, MATCH("누적수익률", INDEX(Data_Input!$A$1:$ZZ$502, 0, MATCH(1, (Data_Input!$7:$7="IRP")*(Data_Input!$8:$8=$B289), 0)), 0) + 1, MATCH(1, (Data_Input!$7:$7=$F$3)*(Data_Input!$8:$8=$B289), 0))/100,"")</f>
        <v/>
      </c>
      <c r="K289" t="str" cm="1">
        <f t="array" ref="K289">IFERROR(_xlfn.LET(
    _xlpm.targetDate, B289,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90" spans="1:11" x14ac:dyDescent="0.3">
      <c r="A290" s="16" t="str">
        <f t="shared" si="8"/>
        <v/>
      </c>
      <c r="B290" s="19"/>
      <c r="C290" s="17" t="str">
        <f t="shared" si="9"/>
        <v/>
      </c>
      <c r="D290" s="42" t="str" cm="1">
        <f t="array" ref="D290">IFERROR(INDEX(Data_Input!$1:$100, 10, MATCH(1, (Data_Input!$7:$7=$F$3) * (Data_Input!$8:$8=$B290), 0)), "")</f>
        <v/>
      </c>
      <c r="E290" s="29" t="str" cm="1">
        <f t="array" ref="E290">IFERROR(INDEX(Data_Input!$1:$100, 9, MATCH(1, (Data_Input!$7:$7=$F$3) * (Data_Input!$8:$8=$B290), 0)),"")</f>
        <v/>
      </c>
      <c r="F290" s="20" t="str" cm="1">
        <f t="array" ref="F290">IFERROR(INDEX(Data_Input!$A$1:$ZZ$502, MATCH("플랜번호", INDEX(Data_Input!$A$1:$ZZ$502, 0, MATCH(1, (Data_Input!$7:$7="IRP")*(Data_Input!$8:$8=$B290), 0)), 0) + 1, MATCH(1, (Data_Input!$7:$7=$F$3)*(Data_Input!$8:$8=$B290), 0)),"")</f>
        <v/>
      </c>
      <c r="G290" s="20" t="str" cm="1">
        <f t="array" ref="G290">IFERROR(INDEX(Data_Input!$A$1:$ZZ$502, MATCH("플랜명", INDEX(Data_Input!$A$1:$ZZ$502, 0, MATCH(1, (Data_Input!$7:$7="IRP")*(Data_Input!$8:$8=$B290), 0)), 0) + 1, MATCH(1, (Data_Input!$7:$7=$F$3)*(Data_Input!$8:$8=$B290), 0)),"")</f>
        <v/>
      </c>
      <c r="H290" s="20" t="str" cm="1">
        <f t="array" ref="H290">IFERROR(INDEX(Data_Input!$A$1:$ZZ$502, MATCH("평가금액", INDEX(Data_Input!$A$1:$ZZ$502, 0, MATCH(1, (Data_Input!$7:$7="IRP")*(Data_Input!$8:$8=$B290), 0)), 0) + 1, MATCH(1, (Data_Input!$7:$7=$F$3)*(Data_Input!$8:$8=$B290), 0)),"")</f>
        <v/>
      </c>
      <c r="I290" s="20" t="str" cm="1">
        <f t="array" ref="I290">IFERROR(INDEX(Data_Input!$A$1:$ZZ$502, MATCH("평가손익", INDEX(Data_Input!$A$1:$ZZ$502, 0, MATCH(1, (Data_Input!$7:$7="IRP")*(Data_Input!$8:$8=$B290), 0)), 0) + 1, MATCH(1, (Data_Input!$7:$7=$F$3)*(Data_Input!$8:$8=$B290), 0)),"")</f>
        <v/>
      </c>
      <c r="J290" s="14" t="str" cm="1">
        <f t="array" ref="J290">IFERROR(INDEX(Data_Input!$A$1:$ZZ$502, MATCH("누적수익률", INDEX(Data_Input!$A$1:$ZZ$502, 0, MATCH(1, (Data_Input!$7:$7="IRP")*(Data_Input!$8:$8=$B290), 0)), 0) + 1, MATCH(1, (Data_Input!$7:$7=$F$3)*(Data_Input!$8:$8=$B290), 0))/100,"")</f>
        <v/>
      </c>
      <c r="K290" t="str" cm="1">
        <f t="array" ref="K290">IFERROR(_xlfn.LET(
    _xlpm.targetDate, B290,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91" spans="1:11" x14ac:dyDescent="0.3">
      <c r="A291" s="16" t="str">
        <f t="shared" si="8"/>
        <v/>
      </c>
      <c r="B291" s="19"/>
      <c r="C291" s="17" t="str">
        <f t="shared" si="9"/>
        <v/>
      </c>
      <c r="D291" s="42" t="str" cm="1">
        <f t="array" ref="D291">IFERROR(INDEX(Data_Input!$1:$100, 10, MATCH(1, (Data_Input!$7:$7=$F$3) * (Data_Input!$8:$8=$B291), 0)), "")</f>
        <v/>
      </c>
      <c r="E291" s="29" t="str" cm="1">
        <f t="array" ref="E291">IFERROR(INDEX(Data_Input!$1:$100, 9, MATCH(1, (Data_Input!$7:$7=$F$3) * (Data_Input!$8:$8=$B291), 0)),"")</f>
        <v/>
      </c>
      <c r="F291" s="20" t="str" cm="1">
        <f t="array" ref="F291">IFERROR(INDEX(Data_Input!$A$1:$ZZ$502, MATCH("플랜번호", INDEX(Data_Input!$A$1:$ZZ$502, 0, MATCH(1, (Data_Input!$7:$7="IRP")*(Data_Input!$8:$8=$B291), 0)), 0) + 1, MATCH(1, (Data_Input!$7:$7=$F$3)*(Data_Input!$8:$8=$B291), 0)),"")</f>
        <v/>
      </c>
      <c r="G291" s="20" t="str" cm="1">
        <f t="array" ref="G291">IFERROR(INDEX(Data_Input!$A$1:$ZZ$502, MATCH("플랜명", INDEX(Data_Input!$A$1:$ZZ$502, 0, MATCH(1, (Data_Input!$7:$7="IRP")*(Data_Input!$8:$8=$B291), 0)), 0) + 1, MATCH(1, (Data_Input!$7:$7=$F$3)*(Data_Input!$8:$8=$B291), 0)),"")</f>
        <v/>
      </c>
      <c r="H291" s="20" t="str" cm="1">
        <f t="array" ref="H291">IFERROR(INDEX(Data_Input!$A$1:$ZZ$502, MATCH("평가금액", INDEX(Data_Input!$A$1:$ZZ$502, 0, MATCH(1, (Data_Input!$7:$7="IRP")*(Data_Input!$8:$8=$B291), 0)), 0) + 1, MATCH(1, (Data_Input!$7:$7=$F$3)*(Data_Input!$8:$8=$B291), 0)),"")</f>
        <v/>
      </c>
      <c r="I291" s="20" t="str" cm="1">
        <f t="array" ref="I291">IFERROR(INDEX(Data_Input!$A$1:$ZZ$502, MATCH("평가손익", INDEX(Data_Input!$A$1:$ZZ$502, 0, MATCH(1, (Data_Input!$7:$7="IRP")*(Data_Input!$8:$8=$B291), 0)), 0) + 1, MATCH(1, (Data_Input!$7:$7=$F$3)*(Data_Input!$8:$8=$B291), 0)),"")</f>
        <v/>
      </c>
      <c r="J291" s="14" t="str" cm="1">
        <f t="array" ref="J291">IFERROR(INDEX(Data_Input!$A$1:$ZZ$502, MATCH("누적수익률", INDEX(Data_Input!$A$1:$ZZ$502, 0, MATCH(1, (Data_Input!$7:$7="IRP")*(Data_Input!$8:$8=$B291), 0)), 0) + 1, MATCH(1, (Data_Input!$7:$7=$F$3)*(Data_Input!$8:$8=$B291), 0))/100,"")</f>
        <v/>
      </c>
      <c r="K291" t="str" cm="1">
        <f t="array" ref="K291">IFERROR(_xlfn.LET(
    _xlpm.targetDate, B291,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92" spans="1:11" x14ac:dyDescent="0.3">
      <c r="A292" s="16" t="str">
        <f t="shared" si="8"/>
        <v/>
      </c>
      <c r="B292" s="19"/>
      <c r="C292" s="17" t="str">
        <f t="shared" si="9"/>
        <v/>
      </c>
      <c r="D292" s="42" t="str" cm="1">
        <f t="array" ref="D292">IFERROR(INDEX(Data_Input!$1:$100, 10, MATCH(1, (Data_Input!$7:$7=$F$3) * (Data_Input!$8:$8=$B292), 0)), "")</f>
        <v/>
      </c>
      <c r="E292" s="29" t="str" cm="1">
        <f t="array" ref="E292">IFERROR(INDEX(Data_Input!$1:$100, 9, MATCH(1, (Data_Input!$7:$7=$F$3) * (Data_Input!$8:$8=$B292), 0)),"")</f>
        <v/>
      </c>
      <c r="F292" s="20" t="str" cm="1">
        <f t="array" ref="F292">IFERROR(INDEX(Data_Input!$A$1:$ZZ$502, MATCH("플랜번호", INDEX(Data_Input!$A$1:$ZZ$502, 0, MATCH(1, (Data_Input!$7:$7="IRP")*(Data_Input!$8:$8=$B292), 0)), 0) + 1, MATCH(1, (Data_Input!$7:$7=$F$3)*(Data_Input!$8:$8=$B292), 0)),"")</f>
        <v/>
      </c>
      <c r="G292" s="20" t="str" cm="1">
        <f t="array" ref="G292">IFERROR(INDEX(Data_Input!$A$1:$ZZ$502, MATCH("플랜명", INDEX(Data_Input!$A$1:$ZZ$502, 0, MATCH(1, (Data_Input!$7:$7="IRP")*(Data_Input!$8:$8=$B292), 0)), 0) + 1, MATCH(1, (Data_Input!$7:$7=$F$3)*(Data_Input!$8:$8=$B292), 0)),"")</f>
        <v/>
      </c>
      <c r="H292" s="20" t="str" cm="1">
        <f t="array" ref="H292">IFERROR(INDEX(Data_Input!$A$1:$ZZ$502, MATCH("평가금액", INDEX(Data_Input!$A$1:$ZZ$502, 0, MATCH(1, (Data_Input!$7:$7="IRP")*(Data_Input!$8:$8=$B292), 0)), 0) + 1, MATCH(1, (Data_Input!$7:$7=$F$3)*(Data_Input!$8:$8=$B292), 0)),"")</f>
        <v/>
      </c>
      <c r="I292" s="20" t="str" cm="1">
        <f t="array" ref="I292">IFERROR(INDEX(Data_Input!$A$1:$ZZ$502, MATCH("평가손익", INDEX(Data_Input!$A$1:$ZZ$502, 0, MATCH(1, (Data_Input!$7:$7="IRP")*(Data_Input!$8:$8=$B292), 0)), 0) + 1, MATCH(1, (Data_Input!$7:$7=$F$3)*(Data_Input!$8:$8=$B292), 0)),"")</f>
        <v/>
      </c>
      <c r="J292" s="14" t="str" cm="1">
        <f t="array" ref="J292">IFERROR(INDEX(Data_Input!$A$1:$ZZ$502, MATCH("누적수익률", INDEX(Data_Input!$A$1:$ZZ$502, 0, MATCH(1, (Data_Input!$7:$7="IRP")*(Data_Input!$8:$8=$B292), 0)), 0) + 1, MATCH(1, (Data_Input!$7:$7=$F$3)*(Data_Input!$8:$8=$B292), 0))/100,"")</f>
        <v/>
      </c>
      <c r="K292" t="str" cm="1">
        <f t="array" ref="K292">IFERROR(_xlfn.LET(
    _xlpm.targetDate, B292,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93" spans="1:11" x14ac:dyDescent="0.3">
      <c r="A293" s="16" t="str">
        <f t="shared" si="8"/>
        <v/>
      </c>
      <c r="B293" s="19"/>
      <c r="C293" s="17" t="str">
        <f t="shared" si="9"/>
        <v/>
      </c>
      <c r="D293" s="42" t="str" cm="1">
        <f t="array" ref="D293">IFERROR(INDEX(Data_Input!$1:$100, 10, MATCH(1, (Data_Input!$7:$7=$F$3) * (Data_Input!$8:$8=$B293), 0)), "")</f>
        <v/>
      </c>
      <c r="E293" s="29" t="str" cm="1">
        <f t="array" ref="E293">IFERROR(INDEX(Data_Input!$1:$100, 9, MATCH(1, (Data_Input!$7:$7=$F$3) * (Data_Input!$8:$8=$B293), 0)),"")</f>
        <v/>
      </c>
      <c r="F293" s="20" t="str" cm="1">
        <f t="array" ref="F293">IFERROR(INDEX(Data_Input!$A$1:$ZZ$502, MATCH("플랜번호", INDEX(Data_Input!$A$1:$ZZ$502, 0, MATCH(1, (Data_Input!$7:$7="IRP")*(Data_Input!$8:$8=$B293), 0)), 0) + 1, MATCH(1, (Data_Input!$7:$7=$F$3)*(Data_Input!$8:$8=$B293), 0)),"")</f>
        <v/>
      </c>
      <c r="G293" s="20" t="str" cm="1">
        <f t="array" ref="G293">IFERROR(INDEX(Data_Input!$A$1:$ZZ$502, MATCH("플랜명", INDEX(Data_Input!$A$1:$ZZ$502, 0, MATCH(1, (Data_Input!$7:$7="IRP")*(Data_Input!$8:$8=$B293), 0)), 0) + 1, MATCH(1, (Data_Input!$7:$7=$F$3)*(Data_Input!$8:$8=$B293), 0)),"")</f>
        <v/>
      </c>
      <c r="H293" s="20" t="str" cm="1">
        <f t="array" ref="H293">IFERROR(INDEX(Data_Input!$A$1:$ZZ$502, MATCH("평가금액", INDEX(Data_Input!$A$1:$ZZ$502, 0, MATCH(1, (Data_Input!$7:$7="IRP")*(Data_Input!$8:$8=$B293), 0)), 0) + 1, MATCH(1, (Data_Input!$7:$7=$F$3)*(Data_Input!$8:$8=$B293), 0)),"")</f>
        <v/>
      </c>
      <c r="I293" s="20" t="str" cm="1">
        <f t="array" ref="I293">IFERROR(INDEX(Data_Input!$A$1:$ZZ$502, MATCH("평가손익", INDEX(Data_Input!$A$1:$ZZ$502, 0, MATCH(1, (Data_Input!$7:$7="IRP")*(Data_Input!$8:$8=$B293), 0)), 0) + 1, MATCH(1, (Data_Input!$7:$7=$F$3)*(Data_Input!$8:$8=$B293), 0)),"")</f>
        <v/>
      </c>
      <c r="J293" s="14" t="str" cm="1">
        <f t="array" ref="J293">IFERROR(INDEX(Data_Input!$A$1:$ZZ$502, MATCH("누적수익률", INDEX(Data_Input!$A$1:$ZZ$502, 0, MATCH(1, (Data_Input!$7:$7="IRP")*(Data_Input!$8:$8=$B293), 0)), 0) + 1, MATCH(1, (Data_Input!$7:$7=$F$3)*(Data_Input!$8:$8=$B293), 0))/100,"")</f>
        <v/>
      </c>
      <c r="K293" t="str" cm="1">
        <f t="array" ref="K293">IFERROR(_xlfn.LET(
    _xlpm.targetDate, B293,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94" spans="1:11" x14ac:dyDescent="0.3">
      <c r="A294" s="16" t="str">
        <f t="shared" si="8"/>
        <v/>
      </c>
      <c r="B294" s="19"/>
      <c r="C294" s="17" t="str">
        <f t="shared" si="9"/>
        <v/>
      </c>
      <c r="D294" s="42" t="str" cm="1">
        <f t="array" ref="D294">IFERROR(INDEX(Data_Input!$1:$100, 10, MATCH(1, (Data_Input!$7:$7=$F$3) * (Data_Input!$8:$8=$B294), 0)), "")</f>
        <v/>
      </c>
      <c r="E294" s="29" t="str" cm="1">
        <f t="array" ref="E294">IFERROR(INDEX(Data_Input!$1:$100, 9, MATCH(1, (Data_Input!$7:$7=$F$3) * (Data_Input!$8:$8=$B294), 0)),"")</f>
        <v/>
      </c>
      <c r="F294" s="20" t="str" cm="1">
        <f t="array" ref="F294">IFERROR(INDEX(Data_Input!$A$1:$ZZ$502, MATCH("플랜번호", INDEX(Data_Input!$A$1:$ZZ$502, 0, MATCH(1, (Data_Input!$7:$7="IRP")*(Data_Input!$8:$8=$B294), 0)), 0) + 1, MATCH(1, (Data_Input!$7:$7=$F$3)*(Data_Input!$8:$8=$B294), 0)),"")</f>
        <v/>
      </c>
      <c r="G294" s="20" t="str" cm="1">
        <f t="array" ref="G294">IFERROR(INDEX(Data_Input!$A$1:$ZZ$502, MATCH("플랜명", INDEX(Data_Input!$A$1:$ZZ$502, 0, MATCH(1, (Data_Input!$7:$7="IRP")*(Data_Input!$8:$8=$B294), 0)), 0) + 1, MATCH(1, (Data_Input!$7:$7=$F$3)*(Data_Input!$8:$8=$B294), 0)),"")</f>
        <v/>
      </c>
      <c r="H294" s="20" t="str" cm="1">
        <f t="array" ref="H294">IFERROR(INDEX(Data_Input!$A$1:$ZZ$502, MATCH("평가금액", INDEX(Data_Input!$A$1:$ZZ$502, 0, MATCH(1, (Data_Input!$7:$7="IRP")*(Data_Input!$8:$8=$B294), 0)), 0) + 1, MATCH(1, (Data_Input!$7:$7=$F$3)*(Data_Input!$8:$8=$B294), 0)),"")</f>
        <v/>
      </c>
      <c r="I294" s="20" t="str" cm="1">
        <f t="array" ref="I294">IFERROR(INDEX(Data_Input!$A$1:$ZZ$502, MATCH("평가손익", INDEX(Data_Input!$A$1:$ZZ$502, 0, MATCH(1, (Data_Input!$7:$7="IRP")*(Data_Input!$8:$8=$B294), 0)), 0) + 1, MATCH(1, (Data_Input!$7:$7=$F$3)*(Data_Input!$8:$8=$B294), 0)),"")</f>
        <v/>
      </c>
      <c r="J294" s="14" t="str" cm="1">
        <f t="array" ref="J294">IFERROR(INDEX(Data_Input!$A$1:$ZZ$502, MATCH("누적수익률", INDEX(Data_Input!$A$1:$ZZ$502, 0, MATCH(1, (Data_Input!$7:$7="IRP")*(Data_Input!$8:$8=$B294), 0)), 0) + 1, MATCH(1, (Data_Input!$7:$7=$F$3)*(Data_Input!$8:$8=$B294), 0))/100,"")</f>
        <v/>
      </c>
      <c r="K294" t="str" cm="1">
        <f t="array" ref="K294">IFERROR(_xlfn.LET(
    _xlpm.targetDate, B294,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95" spans="1:11" x14ac:dyDescent="0.3">
      <c r="A295" s="16" t="str">
        <f t="shared" si="8"/>
        <v/>
      </c>
      <c r="B295" s="19"/>
      <c r="C295" s="17" t="str">
        <f t="shared" si="9"/>
        <v/>
      </c>
      <c r="D295" s="42" t="str" cm="1">
        <f t="array" ref="D295">IFERROR(INDEX(Data_Input!$1:$100, 10, MATCH(1, (Data_Input!$7:$7=$F$3) * (Data_Input!$8:$8=$B295), 0)), "")</f>
        <v/>
      </c>
      <c r="E295" s="29" t="str" cm="1">
        <f t="array" ref="E295">IFERROR(INDEX(Data_Input!$1:$100, 9, MATCH(1, (Data_Input!$7:$7=$F$3) * (Data_Input!$8:$8=$B295), 0)),"")</f>
        <v/>
      </c>
      <c r="F295" s="20" t="str" cm="1">
        <f t="array" ref="F295">IFERROR(INDEX(Data_Input!$A$1:$ZZ$502, MATCH("플랜번호", INDEX(Data_Input!$A$1:$ZZ$502, 0, MATCH(1, (Data_Input!$7:$7="IRP")*(Data_Input!$8:$8=$B295), 0)), 0) + 1, MATCH(1, (Data_Input!$7:$7=$F$3)*(Data_Input!$8:$8=$B295), 0)),"")</f>
        <v/>
      </c>
      <c r="G295" s="20" t="str" cm="1">
        <f t="array" ref="G295">IFERROR(INDEX(Data_Input!$A$1:$ZZ$502, MATCH("플랜명", INDEX(Data_Input!$A$1:$ZZ$502, 0, MATCH(1, (Data_Input!$7:$7="IRP")*(Data_Input!$8:$8=$B295), 0)), 0) + 1, MATCH(1, (Data_Input!$7:$7=$F$3)*(Data_Input!$8:$8=$B295), 0)),"")</f>
        <v/>
      </c>
      <c r="H295" s="20" t="str" cm="1">
        <f t="array" ref="H295">IFERROR(INDEX(Data_Input!$A$1:$ZZ$502, MATCH("평가금액", INDEX(Data_Input!$A$1:$ZZ$502, 0, MATCH(1, (Data_Input!$7:$7="IRP")*(Data_Input!$8:$8=$B295), 0)), 0) + 1, MATCH(1, (Data_Input!$7:$7=$F$3)*(Data_Input!$8:$8=$B295), 0)),"")</f>
        <v/>
      </c>
      <c r="I295" s="20" t="str" cm="1">
        <f t="array" ref="I295">IFERROR(INDEX(Data_Input!$A$1:$ZZ$502, MATCH("평가손익", INDEX(Data_Input!$A$1:$ZZ$502, 0, MATCH(1, (Data_Input!$7:$7="IRP")*(Data_Input!$8:$8=$B295), 0)), 0) + 1, MATCH(1, (Data_Input!$7:$7=$F$3)*(Data_Input!$8:$8=$B295), 0)),"")</f>
        <v/>
      </c>
      <c r="J295" s="14" t="str" cm="1">
        <f t="array" ref="J295">IFERROR(INDEX(Data_Input!$A$1:$ZZ$502, MATCH("누적수익률", INDEX(Data_Input!$A$1:$ZZ$502, 0, MATCH(1, (Data_Input!$7:$7="IRP")*(Data_Input!$8:$8=$B295), 0)), 0) + 1, MATCH(1, (Data_Input!$7:$7=$F$3)*(Data_Input!$8:$8=$B295), 0))/100,"")</f>
        <v/>
      </c>
      <c r="K295" t="str" cm="1">
        <f t="array" ref="K295">IFERROR(_xlfn.LET(
    _xlpm.targetDate, B295,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96" spans="1:11" x14ac:dyDescent="0.3">
      <c r="A296" s="16" t="str">
        <f t="shared" si="8"/>
        <v/>
      </c>
      <c r="B296" s="19"/>
      <c r="C296" s="17" t="str">
        <f t="shared" si="9"/>
        <v/>
      </c>
      <c r="D296" s="42" t="str" cm="1">
        <f t="array" ref="D296">IFERROR(INDEX(Data_Input!$1:$100, 10, MATCH(1, (Data_Input!$7:$7=$F$3) * (Data_Input!$8:$8=$B296), 0)), "")</f>
        <v/>
      </c>
      <c r="E296" s="29" t="str" cm="1">
        <f t="array" ref="E296">IFERROR(INDEX(Data_Input!$1:$100, 9, MATCH(1, (Data_Input!$7:$7=$F$3) * (Data_Input!$8:$8=$B296), 0)),"")</f>
        <v/>
      </c>
      <c r="F296" s="20" t="str" cm="1">
        <f t="array" ref="F296">IFERROR(INDEX(Data_Input!$A$1:$ZZ$502, MATCH("플랜번호", INDEX(Data_Input!$A$1:$ZZ$502, 0, MATCH(1, (Data_Input!$7:$7="IRP")*(Data_Input!$8:$8=$B296), 0)), 0) + 1, MATCH(1, (Data_Input!$7:$7=$F$3)*(Data_Input!$8:$8=$B296), 0)),"")</f>
        <v/>
      </c>
      <c r="G296" s="20" t="str" cm="1">
        <f t="array" ref="G296">IFERROR(INDEX(Data_Input!$A$1:$ZZ$502, MATCH("플랜명", INDEX(Data_Input!$A$1:$ZZ$502, 0, MATCH(1, (Data_Input!$7:$7="IRP")*(Data_Input!$8:$8=$B296), 0)), 0) + 1, MATCH(1, (Data_Input!$7:$7=$F$3)*(Data_Input!$8:$8=$B296), 0)),"")</f>
        <v/>
      </c>
      <c r="H296" s="20" t="str" cm="1">
        <f t="array" ref="H296">IFERROR(INDEX(Data_Input!$A$1:$ZZ$502, MATCH("평가금액", INDEX(Data_Input!$A$1:$ZZ$502, 0, MATCH(1, (Data_Input!$7:$7="IRP")*(Data_Input!$8:$8=$B296), 0)), 0) + 1, MATCH(1, (Data_Input!$7:$7=$F$3)*(Data_Input!$8:$8=$B296), 0)),"")</f>
        <v/>
      </c>
      <c r="I296" s="20" t="str" cm="1">
        <f t="array" ref="I296">IFERROR(INDEX(Data_Input!$A$1:$ZZ$502, MATCH("평가손익", INDEX(Data_Input!$A$1:$ZZ$502, 0, MATCH(1, (Data_Input!$7:$7="IRP")*(Data_Input!$8:$8=$B296), 0)), 0) + 1, MATCH(1, (Data_Input!$7:$7=$F$3)*(Data_Input!$8:$8=$B296), 0)),"")</f>
        <v/>
      </c>
      <c r="J296" s="14" t="str" cm="1">
        <f t="array" ref="J296">IFERROR(INDEX(Data_Input!$A$1:$ZZ$502, MATCH("누적수익률", INDEX(Data_Input!$A$1:$ZZ$502, 0, MATCH(1, (Data_Input!$7:$7="IRP")*(Data_Input!$8:$8=$B296), 0)), 0) + 1, MATCH(1, (Data_Input!$7:$7=$F$3)*(Data_Input!$8:$8=$B296), 0))/100,"")</f>
        <v/>
      </c>
      <c r="K296" t="str" cm="1">
        <f t="array" ref="K296">IFERROR(_xlfn.LET(
    _xlpm.targetDate, B296,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97" spans="1:11" x14ac:dyDescent="0.3">
      <c r="A297" s="16" t="str">
        <f t="shared" si="8"/>
        <v/>
      </c>
      <c r="B297" s="19"/>
      <c r="C297" s="17" t="str">
        <f t="shared" si="9"/>
        <v/>
      </c>
      <c r="D297" s="42" t="str" cm="1">
        <f t="array" ref="D297">IFERROR(INDEX(Data_Input!$1:$100, 10, MATCH(1, (Data_Input!$7:$7=$F$3) * (Data_Input!$8:$8=$B297), 0)), "")</f>
        <v/>
      </c>
      <c r="E297" s="29" t="str" cm="1">
        <f t="array" ref="E297">IFERROR(INDEX(Data_Input!$1:$100, 9, MATCH(1, (Data_Input!$7:$7=$F$3) * (Data_Input!$8:$8=$B297), 0)),"")</f>
        <v/>
      </c>
      <c r="F297" s="20" t="str" cm="1">
        <f t="array" ref="F297">IFERROR(INDEX(Data_Input!$A$1:$ZZ$502, MATCH("플랜번호", INDEX(Data_Input!$A$1:$ZZ$502, 0, MATCH(1, (Data_Input!$7:$7="IRP")*(Data_Input!$8:$8=$B297), 0)), 0) + 1, MATCH(1, (Data_Input!$7:$7=$F$3)*(Data_Input!$8:$8=$B297), 0)),"")</f>
        <v/>
      </c>
      <c r="G297" s="20" t="str" cm="1">
        <f t="array" ref="G297">IFERROR(INDEX(Data_Input!$A$1:$ZZ$502, MATCH("플랜명", INDEX(Data_Input!$A$1:$ZZ$502, 0, MATCH(1, (Data_Input!$7:$7="IRP")*(Data_Input!$8:$8=$B297), 0)), 0) + 1, MATCH(1, (Data_Input!$7:$7=$F$3)*(Data_Input!$8:$8=$B297), 0)),"")</f>
        <v/>
      </c>
      <c r="H297" s="20" t="str" cm="1">
        <f t="array" ref="H297">IFERROR(INDEX(Data_Input!$A$1:$ZZ$502, MATCH("평가금액", INDEX(Data_Input!$A$1:$ZZ$502, 0, MATCH(1, (Data_Input!$7:$7="IRP")*(Data_Input!$8:$8=$B297), 0)), 0) + 1, MATCH(1, (Data_Input!$7:$7=$F$3)*(Data_Input!$8:$8=$B297), 0)),"")</f>
        <v/>
      </c>
      <c r="I297" s="20" t="str" cm="1">
        <f t="array" ref="I297">IFERROR(INDEX(Data_Input!$A$1:$ZZ$502, MATCH("평가손익", INDEX(Data_Input!$A$1:$ZZ$502, 0, MATCH(1, (Data_Input!$7:$7="IRP")*(Data_Input!$8:$8=$B297), 0)), 0) + 1, MATCH(1, (Data_Input!$7:$7=$F$3)*(Data_Input!$8:$8=$B297), 0)),"")</f>
        <v/>
      </c>
      <c r="J297" s="14" t="str" cm="1">
        <f t="array" ref="J297">IFERROR(INDEX(Data_Input!$A$1:$ZZ$502, MATCH("누적수익률", INDEX(Data_Input!$A$1:$ZZ$502, 0, MATCH(1, (Data_Input!$7:$7="IRP")*(Data_Input!$8:$8=$B297), 0)), 0) + 1, MATCH(1, (Data_Input!$7:$7=$F$3)*(Data_Input!$8:$8=$B297), 0))/100,"")</f>
        <v/>
      </c>
      <c r="K297" t="str" cm="1">
        <f t="array" ref="K297">IFERROR(_xlfn.LET(
    _xlpm.targetDate, B297,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98" spans="1:11" x14ac:dyDescent="0.3">
      <c r="A298" s="16" t="str">
        <f t="shared" si="8"/>
        <v/>
      </c>
      <c r="B298" s="19"/>
      <c r="C298" s="17" t="str">
        <f t="shared" si="9"/>
        <v/>
      </c>
      <c r="D298" s="42" t="str" cm="1">
        <f t="array" ref="D298">IFERROR(INDEX(Data_Input!$1:$100, 10, MATCH(1, (Data_Input!$7:$7=$F$3) * (Data_Input!$8:$8=$B298), 0)), "")</f>
        <v/>
      </c>
      <c r="E298" s="29" t="str" cm="1">
        <f t="array" ref="E298">IFERROR(INDEX(Data_Input!$1:$100, 9, MATCH(1, (Data_Input!$7:$7=$F$3) * (Data_Input!$8:$8=$B298), 0)),"")</f>
        <v/>
      </c>
      <c r="F298" s="20" t="str" cm="1">
        <f t="array" ref="F298">IFERROR(INDEX(Data_Input!$A$1:$ZZ$502, MATCH("플랜번호", INDEX(Data_Input!$A$1:$ZZ$502, 0, MATCH(1, (Data_Input!$7:$7="IRP")*(Data_Input!$8:$8=$B298), 0)), 0) + 1, MATCH(1, (Data_Input!$7:$7=$F$3)*(Data_Input!$8:$8=$B298), 0)),"")</f>
        <v/>
      </c>
      <c r="G298" s="20" t="str" cm="1">
        <f t="array" ref="G298">IFERROR(INDEX(Data_Input!$A$1:$ZZ$502, MATCH("플랜명", INDEX(Data_Input!$A$1:$ZZ$502, 0, MATCH(1, (Data_Input!$7:$7="IRP")*(Data_Input!$8:$8=$B298), 0)), 0) + 1, MATCH(1, (Data_Input!$7:$7=$F$3)*(Data_Input!$8:$8=$B298), 0)),"")</f>
        <v/>
      </c>
      <c r="H298" s="20" t="str" cm="1">
        <f t="array" ref="H298">IFERROR(INDEX(Data_Input!$A$1:$ZZ$502, MATCH("평가금액", INDEX(Data_Input!$A$1:$ZZ$502, 0, MATCH(1, (Data_Input!$7:$7="IRP")*(Data_Input!$8:$8=$B298), 0)), 0) + 1, MATCH(1, (Data_Input!$7:$7=$F$3)*(Data_Input!$8:$8=$B298), 0)),"")</f>
        <v/>
      </c>
      <c r="I298" s="20" t="str" cm="1">
        <f t="array" ref="I298">IFERROR(INDEX(Data_Input!$A$1:$ZZ$502, MATCH("평가손익", INDEX(Data_Input!$A$1:$ZZ$502, 0, MATCH(1, (Data_Input!$7:$7="IRP")*(Data_Input!$8:$8=$B298), 0)), 0) + 1, MATCH(1, (Data_Input!$7:$7=$F$3)*(Data_Input!$8:$8=$B298), 0)),"")</f>
        <v/>
      </c>
      <c r="J298" s="14" t="str" cm="1">
        <f t="array" ref="J298">IFERROR(INDEX(Data_Input!$A$1:$ZZ$502, MATCH("누적수익률", INDEX(Data_Input!$A$1:$ZZ$502, 0, MATCH(1, (Data_Input!$7:$7="IRP")*(Data_Input!$8:$8=$B298), 0)), 0) + 1, MATCH(1, (Data_Input!$7:$7=$F$3)*(Data_Input!$8:$8=$B298), 0))/100,"")</f>
        <v/>
      </c>
      <c r="K298" t="str" cm="1">
        <f t="array" ref="K298">IFERROR(_xlfn.LET(
    _xlpm.targetDate, B298,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299" spans="1:11" x14ac:dyDescent="0.3">
      <c r="A299" s="16" t="str">
        <f t="shared" si="8"/>
        <v/>
      </c>
      <c r="B299" s="19"/>
      <c r="C299" s="17" t="str">
        <f t="shared" si="9"/>
        <v/>
      </c>
      <c r="D299" s="42" t="str" cm="1">
        <f t="array" ref="D299">IFERROR(INDEX(Data_Input!$1:$100, 10, MATCH(1, (Data_Input!$7:$7=$F$3) * (Data_Input!$8:$8=$B299), 0)), "")</f>
        <v/>
      </c>
      <c r="E299" s="29" t="str" cm="1">
        <f t="array" ref="E299">IFERROR(INDEX(Data_Input!$1:$100, 9, MATCH(1, (Data_Input!$7:$7=$F$3) * (Data_Input!$8:$8=$B299), 0)),"")</f>
        <v/>
      </c>
      <c r="F299" s="20" t="str" cm="1">
        <f t="array" ref="F299">IFERROR(INDEX(Data_Input!$A$1:$ZZ$502, MATCH("플랜번호", INDEX(Data_Input!$A$1:$ZZ$502, 0, MATCH(1, (Data_Input!$7:$7="IRP")*(Data_Input!$8:$8=$B299), 0)), 0) + 1, MATCH(1, (Data_Input!$7:$7=$F$3)*(Data_Input!$8:$8=$B299), 0)),"")</f>
        <v/>
      </c>
      <c r="G299" s="20" t="str" cm="1">
        <f t="array" ref="G299">IFERROR(INDEX(Data_Input!$A$1:$ZZ$502, MATCH("플랜명", INDEX(Data_Input!$A$1:$ZZ$502, 0, MATCH(1, (Data_Input!$7:$7="IRP")*(Data_Input!$8:$8=$B299), 0)), 0) + 1, MATCH(1, (Data_Input!$7:$7=$F$3)*(Data_Input!$8:$8=$B299), 0)),"")</f>
        <v/>
      </c>
      <c r="H299" s="20" t="str" cm="1">
        <f t="array" ref="H299">IFERROR(INDEX(Data_Input!$A$1:$ZZ$502, MATCH("평가금액", INDEX(Data_Input!$A$1:$ZZ$502, 0, MATCH(1, (Data_Input!$7:$7="IRP")*(Data_Input!$8:$8=$B299), 0)), 0) + 1, MATCH(1, (Data_Input!$7:$7=$F$3)*(Data_Input!$8:$8=$B299), 0)),"")</f>
        <v/>
      </c>
      <c r="I299" s="20" t="str" cm="1">
        <f t="array" ref="I299">IFERROR(INDEX(Data_Input!$A$1:$ZZ$502, MATCH("평가손익", INDEX(Data_Input!$A$1:$ZZ$502, 0, MATCH(1, (Data_Input!$7:$7="IRP")*(Data_Input!$8:$8=$B299), 0)), 0) + 1, MATCH(1, (Data_Input!$7:$7=$F$3)*(Data_Input!$8:$8=$B299), 0)),"")</f>
        <v/>
      </c>
      <c r="J299" s="14" t="str" cm="1">
        <f t="array" ref="J299">IFERROR(INDEX(Data_Input!$A$1:$ZZ$502, MATCH("누적수익률", INDEX(Data_Input!$A$1:$ZZ$502, 0, MATCH(1, (Data_Input!$7:$7="IRP")*(Data_Input!$8:$8=$B299), 0)), 0) + 1, MATCH(1, (Data_Input!$7:$7=$F$3)*(Data_Input!$8:$8=$B299), 0))/100,"")</f>
        <v/>
      </c>
      <c r="K299" t="str" cm="1">
        <f t="array" ref="K299">IFERROR(_xlfn.LET(
    _xlpm.targetDate, B299,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00" spans="1:11" x14ac:dyDescent="0.3">
      <c r="A300" s="16" t="str">
        <f t="shared" si="8"/>
        <v/>
      </c>
      <c r="B300" s="19"/>
      <c r="C300" s="17" t="str">
        <f t="shared" si="9"/>
        <v/>
      </c>
      <c r="D300" s="42" t="str" cm="1">
        <f t="array" ref="D300">IFERROR(INDEX(Data_Input!$1:$100, 10, MATCH(1, (Data_Input!$7:$7=$F$3) * (Data_Input!$8:$8=$B300), 0)), "")</f>
        <v/>
      </c>
      <c r="E300" s="29" t="str" cm="1">
        <f t="array" ref="E300">IFERROR(INDEX(Data_Input!$1:$100, 9, MATCH(1, (Data_Input!$7:$7=$F$3) * (Data_Input!$8:$8=$B300), 0)),"")</f>
        <v/>
      </c>
      <c r="F300" s="20" t="str" cm="1">
        <f t="array" ref="F300">IFERROR(INDEX(Data_Input!$A$1:$ZZ$502, MATCH("플랜번호", INDEX(Data_Input!$A$1:$ZZ$502, 0, MATCH(1, (Data_Input!$7:$7="IRP")*(Data_Input!$8:$8=$B300), 0)), 0) + 1, MATCH(1, (Data_Input!$7:$7=$F$3)*(Data_Input!$8:$8=$B300), 0)),"")</f>
        <v/>
      </c>
      <c r="G300" s="20" t="str" cm="1">
        <f t="array" ref="G300">IFERROR(INDEX(Data_Input!$A$1:$ZZ$502, MATCH("플랜명", INDEX(Data_Input!$A$1:$ZZ$502, 0, MATCH(1, (Data_Input!$7:$7="IRP")*(Data_Input!$8:$8=$B300), 0)), 0) + 1, MATCH(1, (Data_Input!$7:$7=$F$3)*(Data_Input!$8:$8=$B300), 0)),"")</f>
        <v/>
      </c>
      <c r="H300" s="20" t="str" cm="1">
        <f t="array" ref="H300">IFERROR(INDEX(Data_Input!$A$1:$ZZ$502, MATCH("평가금액", INDEX(Data_Input!$A$1:$ZZ$502, 0, MATCH(1, (Data_Input!$7:$7="IRP")*(Data_Input!$8:$8=$B300), 0)), 0) + 1, MATCH(1, (Data_Input!$7:$7=$F$3)*(Data_Input!$8:$8=$B300), 0)),"")</f>
        <v/>
      </c>
      <c r="I300" s="20" t="str" cm="1">
        <f t="array" ref="I300">IFERROR(INDEX(Data_Input!$A$1:$ZZ$502, MATCH("평가손익", INDEX(Data_Input!$A$1:$ZZ$502, 0, MATCH(1, (Data_Input!$7:$7="IRP")*(Data_Input!$8:$8=$B300), 0)), 0) + 1, MATCH(1, (Data_Input!$7:$7=$F$3)*(Data_Input!$8:$8=$B300), 0)),"")</f>
        <v/>
      </c>
      <c r="J300" s="14" t="str" cm="1">
        <f t="array" ref="J300">IFERROR(INDEX(Data_Input!$A$1:$ZZ$502, MATCH("누적수익률", INDEX(Data_Input!$A$1:$ZZ$502, 0, MATCH(1, (Data_Input!$7:$7="IRP")*(Data_Input!$8:$8=$B300), 0)), 0) + 1, MATCH(1, (Data_Input!$7:$7=$F$3)*(Data_Input!$8:$8=$B300), 0))/100,"")</f>
        <v/>
      </c>
      <c r="K300" t="str" cm="1">
        <f t="array" ref="K300">IFERROR(_xlfn.LET(
    _xlpm.targetDate, B300,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01" spans="1:11" x14ac:dyDescent="0.3">
      <c r="A301" s="16" t="str">
        <f t="shared" si="8"/>
        <v/>
      </c>
      <c r="B301" s="19"/>
      <c r="C301" s="17" t="str">
        <f t="shared" si="9"/>
        <v/>
      </c>
      <c r="D301" s="42" t="str" cm="1">
        <f t="array" ref="D301">IFERROR(INDEX(Data_Input!$1:$100, 10, MATCH(1, (Data_Input!$7:$7=$F$3) * (Data_Input!$8:$8=$B301), 0)), "")</f>
        <v/>
      </c>
      <c r="E301" s="29" t="str" cm="1">
        <f t="array" ref="E301">IFERROR(INDEX(Data_Input!$1:$100, 9, MATCH(1, (Data_Input!$7:$7=$F$3) * (Data_Input!$8:$8=$B301), 0)),"")</f>
        <v/>
      </c>
      <c r="F301" s="20" t="str" cm="1">
        <f t="array" ref="F301">IFERROR(INDEX(Data_Input!$A$1:$ZZ$502, MATCH("플랜번호", INDEX(Data_Input!$A$1:$ZZ$502, 0, MATCH(1, (Data_Input!$7:$7="IRP")*(Data_Input!$8:$8=$B301), 0)), 0) + 1, MATCH(1, (Data_Input!$7:$7=$F$3)*(Data_Input!$8:$8=$B301), 0)),"")</f>
        <v/>
      </c>
      <c r="G301" s="20" t="str" cm="1">
        <f t="array" ref="G301">IFERROR(INDEX(Data_Input!$A$1:$ZZ$502, MATCH("플랜명", INDEX(Data_Input!$A$1:$ZZ$502, 0, MATCH(1, (Data_Input!$7:$7="IRP")*(Data_Input!$8:$8=$B301), 0)), 0) + 1, MATCH(1, (Data_Input!$7:$7=$F$3)*(Data_Input!$8:$8=$B301), 0)),"")</f>
        <v/>
      </c>
      <c r="H301" s="20" t="str" cm="1">
        <f t="array" ref="H301">IFERROR(INDEX(Data_Input!$A$1:$ZZ$502, MATCH("평가금액", INDEX(Data_Input!$A$1:$ZZ$502, 0, MATCH(1, (Data_Input!$7:$7="IRP")*(Data_Input!$8:$8=$B301), 0)), 0) + 1, MATCH(1, (Data_Input!$7:$7=$F$3)*(Data_Input!$8:$8=$B301), 0)),"")</f>
        <v/>
      </c>
      <c r="I301" s="20" t="str" cm="1">
        <f t="array" ref="I301">IFERROR(INDEX(Data_Input!$A$1:$ZZ$502, MATCH("평가손익", INDEX(Data_Input!$A$1:$ZZ$502, 0, MATCH(1, (Data_Input!$7:$7="IRP")*(Data_Input!$8:$8=$B301), 0)), 0) + 1, MATCH(1, (Data_Input!$7:$7=$F$3)*(Data_Input!$8:$8=$B301), 0)),"")</f>
        <v/>
      </c>
      <c r="J301" s="14" t="str" cm="1">
        <f t="array" ref="J301">IFERROR(INDEX(Data_Input!$A$1:$ZZ$502, MATCH("누적수익률", INDEX(Data_Input!$A$1:$ZZ$502, 0, MATCH(1, (Data_Input!$7:$7="IRP")*(Data_Input!$8:$8=$B301), 0)), 0) + 1, MATCH(1, (Data_Input!$7:$7=$F$3)*(Data_Input!$8:$8=$B301), 0))/100,"")</f>
        <v/>
      </c>
      <c r="K301" t="str" cm="1">
        <f t="array" ref="K301">IFERROR(_xlfn.LET(
    _xlpm.targetDate, B301,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02" spans="1:11" x14ac:dyDescent="0.3">
      <c r="A302" s="16" t="str">
        <f t="shared" si="8"/>
        <v/>
      </c>
      <c r="B302" s="19"/>
      <c r="C302" s="17" t="str">
        <f t="shared" si="9"/>
        <v/>
      </c>
      <c r="D302" s="42" t="str" cm="1">
        <f t="array" ref="D302">IFERROR(INDEX(Data_Input!$1:$100, 10, MATCH(1, (Data_Input!$7:$7=$F$3) * (Data_Input!$8:$8=$B302), 0)), "")</f>
        <v/>
      </c>
      <c r="E302" s="29" t="str" cm="1">
        <f t="array" ref="E302">IFERROR(INDEX(Data_Input!$1:$100, 9, MATCH(1, (Data_Input!$7:$7=$F$3) * (Data_Input!$8:$8=$B302), 0)),"")</f>
        <v/>
      </c>
      <c r="F302" s="20" t="str" cm="1">
        <f t="array" ref="F302">IFERROR(INDEX(Data_Input!$A$1:$ZZ$502, MATCH("플랜번호", INDEX(Data_Input!$A$1:$ZZ$502, 0, MATCH(1, (Data_Input!$7:$7="IRP")*(Data_Input!$8:$8=$B302), 0)), 0) + 1, MATCH(1, (Data_Input!$7:$7=$F$3)*(Data_Input!$8:$8=$B302), 0)),"")</f>
        <v/>
      </c>
      <c r="G302" s="20" t="str" cm="1">
        <f t="array" ref="G302">IFERROR(INDEX(Data_Input!$A$1:$ZZ$502, MATCH("플랜명", INDEX(Data_Input!$A$1:$ZZ$502, 0, MATCH(1, (Data_Input!$7:$7="IRP")*(Data_Input!$8:$8=$B302), 0)), 0) + 1, MATCH(1, (Data_Input!$7:$7=$F$3)*(Data_Input!$8:$8=$B302), 0)),"")</f>
        <v/>
      </c>
      <c r="H302" s="20" t="str" cm="1">
        <f t="array" ref="H302">IFERROR(INDEX(Data_Input!$A$1:$ZZ$502, MATCH("평가금액", INDEX(Data_Input!$A$1:$ZZ$502, 0, MATCH(1, (Data_Input!$7:$7="IRP")*(Data_Input!$8:$8=$B302), 0)), 0) + 1, MATCH(1, (Data_Input!$7:$7=$F$3)*(Data_Input!$8:$8=$B302), 0)),"")</f>
        <v/>
      </c>
      <c r="I302" s="20" t="str" cm="1">
        <f t="array" ref="I302">IFERROR(INDEX(Data_Input!$A$1:$ZZ$502, MATCH("평가손익", INDEX(Data_Input!$A$1:$ZZ$502, 0, MATCH(1, (Data_Input!$7:$7="IRP")*(Data_Input!$8:$8=$B302), 0)), 0) + 1, MATCH(1, (Data_Input!$7:$7=$F$3)*(Data_Input!$8:$8=$B302), 0)),"")</f>
        <v/>
      </c>
      <c r="J302" s="14" t="str" cm="1">
        <f t="array" ref="J302">IFERROR(INDEX(Data_Input!$A$1:$ZZ$502, MATCH("누적수익률", INDEX(Data_Input!$A$1:$ZZ$502, 0, MATCH(1, (Data_Input!$7:$7="IRP")*(Data_Input!$8:$8=$B302), 0)), 0) + 1, MATCH(1, (Data_Input!$7:$7=$F$3)*(Data_Input!$8:$8=$B302), 0))/100,"")</f>
        <v/>
      </c>
      <c r="K302" t="str" cm="1">
        <f t="array" ref="K302">IFERROR(_xlfn.LET(
    _xlpm.targetDate, B302,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03" spans="1:11" x14ac:dyDescent="0.3">
      <c r="A303" s="16" t="str">
        <f t="shared" si="8"/>
        <v/>
      </c>
      <c r="B303" s="19"/>
      <c r="C303" s="17" t="str">
        <f t="shared" si="9"/>
        <v/>
      </c>
      <c r="D303" s="42" t="str" cm="1">
        <f t="array" ref="D303">IFERROR(INDEX(Data_Input!$1:$100, 10, MATCH(1, (Data_Input!$7:$7=$F$3) * (Data_Input!$8:$8=$B303), 0)), "")</f>
        <v/>
      </c>
      <c r="E303" s="29" t="str" cm="1">
        <f t="array" ref="E303">IFERROR(INDEX(Data_Input!$1:$100, 9, MATCH(1, (Data_Input!$7:$7=$F$3) * (Data_Input!$8:$8=$B303), 0)),"")</f>
        <v/>
      </c>
      <c r="F303" s="20" t="str" cm="1">
        <f t="array" ref="F303">IFERROR(INDEX(Data_Input!$A$1:$ZZ$502, MATCH("플랜번호", INDEX(Data_Input!$A$1:$ZZ$502, 0, MATCH(1, (Data_Input!$7:$7="IRP")*(Data_Input!$8:$8=$B303), 0)), 0) + 1, MATCH(1, (Data_Input!$7:$7=$F$3)*(Data_Input!$8:$8=$B303), 0)),"")</f>
        <v/>
      </c>
      <c r="G303" s="20" t="str" cm="1">
        <f t="array" ref="G303">IFERROR(INDEX(Data_Input!$A$1:$ZZ$502, MATCH("플랜명", INDEX(Data_Input!$A$1:$ZZ$502, 0, MATCH(1, (Data_Input!$7:$7="IRP")*(Data_Input!$8:$8=$B303), 0)), 0) + 1, MATCH(1, (Data_Input!$7:$7=$F$3)*(Data_Input!$8:$8=$B303), 0)),"")</f>
        <v/>
      </c>
      <c r="H303" s="20" t="str" cm="1">
        <f t="array" ref="H303">IFERROR(INDEX(Data_Input!$A$1:$ZZ$502, MATCH("평가금액", INDEX(Data_Input!$A$1:$ZZ$502, 0, MATCH(1, (Data_Input!$7:$7="IRP")*(Data_Input!$8:$8=$B303), 0)), 0) + 1, MATCH(1, (Data_Input!$7:$7=$F$3)*(Data_Input!$8:$8=$B303), 0)),"")</f>
        <v/>
      </c>
      <c r="I303" s="20" t="str" cm="1">
        <f t="array" ref="I303">IFERROR(INDEX(Data_Input!$A$1:$ZZ$502, MATCH("평가손익", INDEX(Data_Input!$A$1:$ZZ$502, 0, MATCH(1, (Data_Input!$7:$7="IRP")*(Data_Input!$8:$8=$B303), 0)), 0) + 1, MATCH(1, (Data_Input!$7:$7=$F$3)*(Data_Input!$8:$8=$B303), 0)),"")</f>
        <v/>
      </c>
      <c r="J303" s="14" t="str" cm="1">
        <f t="array" ref="J303">IFERROR(INDEX(Data_Input!$A$1:$ZZ$502, MATCH("누적수익률", INDEX(Data_Input!$A$1:$ZZ$502, 0, MATCH(1, (Data_Input!$7:$7="IRP")*(Data_Input!$8:$8=$B303), 0)), 0) + 1, MATCH(1, (Data_Input!$7:$7=$F$3)*(Data_Input!$8:$8=$B303), 0))/100,"")</f>
        <v/>
      </c>
      <c r="K303" t="str" cm="1">
        <f t="array" ref="K303">IFERROR(_xlfn.LET(
    _xlpm.targetDate, B303,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04" spans="1:11" x14ac:dyDescent="0.3">
      <c r="A304" s="16" t="str">
        <f t="shared" si="8"/>
        <v/>
      </c>
      <c r="B304" s="19"/>
      <c r="C304" s="17" t="str">
        <f t="shared" si="9"/>
        <v/>
      </c>
      <c r="D304" s="42" t="str" cm="1">
        <f t="array" ref="D304">IFERROR(INDEX(Data_Input!$1:$100, 10, MATCH(1, (Data_Input!$7:$7=$F$3) * (Data_Input!$8:$8=$B304), 0)), "")</f>
        <v/>
      </c>
      <c r="E304" s="29" t="str" cm="1">
        <f t="array" ref="E304">IFERROR(INDEX(Data_Input!$1:$100, 9, MATCH(1, (Data_Input!$7:$7=$F$3) * (Data_Input!$8:$8=$B304), 0)),"")</f>
        <v/>
      </c>
      <c r="F304" s="20" t="str" cm="1">
        <f t="array" ref="F304">IFERROR(INDEX(Data_Input!$A$1:$ZZ$502, MATCH("플랜번호", INDEX(Data_Input!$A$1:$ZZ$502, 0, MATCH(1, (Data_Input!$7:$7="IRP")*(Data_Input!$8:$8=$B304), 0)), 0) + 1, MATCH(1, (Data_Input!$7:$7=$F$3)*(Data_Input!$8:$8=$B304), 0)),"")</f>
        <v/>
      </c>
      <c r="G304" s="20" t="str" cm="1">
        <f t="array" ref="G304">IFERROR(INDEX(Data_Input!$A$1:$ZZ$502, MATCH("플랜명", INDEX(Data_Input!$A$1:$ZZ$502, 0, MATCH(1, (Data_Input!$7:$7="IRP")*(Data_Input!$8:$8=$B304), 0)), 0) + 1, MATCH(1, (Data_Input!$7:$7=$F$3)*(Data_Input!$8:$8=$B304), 0)),"")</f>
        <v/>
      </c>
      <c r="H304" s="20" t="str" cm="1">
        <f t="array" ref="H304">IFERROR(INDEX(Data_Input!$A$1:$ZZ$502, MATCH("평가금액", INDEX(Data_Input!$A$1:$ZZ$502, 0, MATCH(1, (Data_Input!$7:$7="IRP")*(Data_Input!$8:$8=$B304), 0)), 0) + 1, MATCH(1, (Data_Input!$7:$7=$F$3)*(Data_Input!$8:$8=$B304), 0)),"")</f>
        <v/>
      </c>
      <c r="I304" s="20" t="str" cm="1">
        <f t="array" ref="I304">IFERROR(INDEX(Data_Input!$A$1:$ZZ$502, MATCH("평가손익", INDEX(Data_Input!$A$1:$ZZ$502, 0, MATCH(1, (Data_Input!$7:$7="IRP")*(Data_Input!$8:$8=$B304), 0)), 0) + 1, MATCH(1, (Data_Input!$7:$7=$F$3)*(Data_Input!$8:$8=$B304), 0)),"")</f>
        <v/>
      </c>
      <c r="J304" s="14" t="str" cm="1">
        <f t="array" ref="J304">IFERROR(INDEX(Data_Input!$A$1:$ZZ$502, MATCH("누적수익률", INDEX(Data_Input!$A$1:$ZZ$502, 0, MATCH(1, (Data_Input!$7:$7="IRP")*(Data_Input!$8:$8=$B304), 0)), 0) + 1, MATCH(1, (Data_Input!$7:$7=$F$3)*(Data_Input!$8:$8=$B304), 0))/100,"")</f>
        <v/>
      </c>
      <c r="K304" t="str" cm="1">
        <f t="array" ref="K304">IFERROR(_xlfn.LET(
    _xlpm.targetDate, B304,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05" spans="1:11" x14ac:dyDescent="0.3">
      <c r="A305" s="16" t="str">
        <f t="shared" si="8"/>
        <v/>
      </c>
      <c r="B305" s="19"/>
      <c r="C305" s="17" t="str">
        <f t="shared" si="9"/>
        <v/>
      </c>
      <c r="D305" s="42" t="str" cm="1">
        <f t="array" ref="D305">IFERROR(INDEX(Data_Input!$1:$100, 10, MATCH(1, (Data_Input!$7:$7=$F$3) * (Data_Input!$8:$8=$B305), 0)), "")</f>
        <v/>
      </c>
      <c r="E305" s="29" t="str" cm="1">
        <f t="array" ref="E305">IFERROR(INDEX(Data_Input!$1:$100, 9, MATCH(1, (Data_Input!$7:$7=$F$3) * (Data_Input!$8:$8=$B305), 0)),"")</f>
        <v/>
      </c>
      <c r="F305" s="20" t="str" cm="1">
        <f t="array" ref="F305">IFERROR(INDEX(Data_Input!$A$1:$ZZ$502, MATCH("플랜번호", INDEX(Data_Input!$A$1:$ZZ$502, 0, MATCH(1, (Data_Input!$7:$7="IRP")*(Data_Input!$8:$8=$B305), 0)), 0) + 1, MATCH(1, (Data_Input!$7:$7=$F$3)*(Data_Input!$8:$8=$B305), 0)),"")</f>
        <v/>
      </c>
      <c r="G305" s="20" t="str" cm="1">
        <f t="array" ref="G305">IFERROR(INDEX(Data_Input!$A$1:$ZZ$502, MATCH("플랜명", INDEX(Data_Input!$A$1:$ZZ$502, 0, MATCH(1, (Data_Input!$7:$7="IRP")*(Data_Input!$8:$8=$B305), 0)), 0) + 1, MATCH(1, (Data_Input!$7:$7=$F$3)*(Data_Input!$8:$8=$B305), 0)),"")</f>
        <v/>
      </c>
      <c r="H305" s="20" t="str" cm="1">
        <f t="array" ref="H305">IFERROR(INDEX(Data_Input!$A$1:$ZZ$502, MATCH("평가금액", INDEX(Data_Input!$A$1:$ZZ$502, 0, MATCH(1, (Data_Input!$7:$7="IRP")*(Data_Input!$8:$8=$B305), 0)), 0) + 1, MATCH(1, (Data_Input!$7:$7=$F$3)*(Data_Input!$8:$8=$B305), 0)),"")</f>
        <v/>
      </c>
      <c r="I305" s="20" t="str" cm="1">
        <f t="array" ref="I305">IFERROR(INDEX(Data_Input!$A$1:$ZZ$502, MATCH("평가손익", INDEX(Data_Input!$A$1:$ZZ$502, 0, MATCH(1, (Data_Input!$7:$7="IRP")*(Data_Input!$8:$8=$B305), 0)), 0) + 1, MATCH(1, (Data_Input!$7:$7=$F$3)*(Data_Input!$8:$8=$B305), 0)),"")</f>
        <v/>
      </c>
      <c r="J305" s="14" t="str" cm="1">
        <f t="array" ref="J305">IFERROR(INDEX(Data_Input!$A$1:$ZZ$502, MATCH("누적수익률", INDEX(Data_Input!$A$1:$ZZ$502, 0, MATCH(1, (Data_Input!$7:$7="IRP")*(Data_Input!$8:$8=$B305), 0)), 0) + 1, MATCH(1, (Data_Input!$7:$7=$F$3)*(Data_Input!$8:$8=$B305), 0))/100,"")</f>
        <v/>
      </c>
      <c r="K305" t="str" cm="1">
        <f t="array" ref="K305">IFERROR(_xlfn.LET(
    _xlpm.targetDate, B305,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06" spans="1:11" x14ac:dyDescent="0.3">
      <c r="A306" s="16" t="str">
        <f t="shared" si="8"/>
        <v/>
      </c>
      <c r="B306" s="19"/>
      <c r="C306" s="17" t="str">
        <f t="shared" si="9"/>
        <v/>
      </c>
      <c r="D306" s="42" t="str" cm="1">
        <f t="array" ref="D306">IFERROR(INDEX(Data_Input!$1:$100, 10, MATCH(1, (Data_Input!$7:$7=$F$3) * (Data_Input!$8:$8=$B306), 0)), "")</f>
        <v/>
      </c>
      <c r="E306" s="29" t="str" cm="1">
        <f t="array" ref="E306">IFERROR(INDEX(Data_Input!$1:$100, 9, MATCH(1, (Data_Input!$7:$7=$F$3) * (Data_Input!$8:$8=$B306), 0)),"")</f>
        <v/>
      </c>
      <c r="F306" s="20" t="str" cm="1">
        <f t="array" ref="F306">IFERROR(INDEX(Data_Input!$A$1:$ZZ$502, MATCH("플랜번호", INDEX(Data_Input!$A$1:$ZZ$502, 0, MATCH(1, (Data_Input!$7:$7="IRP")*(Data_Input!$8:$8=$B306), 0)), 0) + 1, MATCH(1, (Data_Input!$7:$7=$F$3)*(Data_Input!$8:$8=$B306), 0)),"")</f>
        <v/>
      </c>
      <c r="G306" s="20" t="str" cm="1">
        <f t="array" ref="G306">IFERROR(INDEX(Data_Input!$A$1:$ZZ$502, MATCH("플랜명", INDEX(Data_Input!$A$1:$ZZ$502, 0, MATCH(1, (Data_Input!$7:$7="IRP")*(Data_Input!$8:$8=$B306), 0)), 0) + 1, MATCH(1, (Data_Input!$7:$7=$F$3)*(Data_Input!$8:$8=$B306), 0)),"")</f>
        <v/>
      </c>
      <c r="H306" s="20" t="str" cm="1">
        <f t="array" ref="H306">IFERROR(INDEX(Data_Input!$A$1:$ZZ$502, MATCH("평가금액", INDEX(Data_Input!$A$1:$ZZ$502, 0, MATCH(1, (Data_Input!$7:$7="IRP")*(Data_Input!$8:$8=$B306), 0)), 0) + 1, MATCH(1, (Data_Input!$7:$7=$F$3)*(Data_Input!$8:$8=$B306), 0)),"")</f>
        <v/>
      </c>
      <c r="I306" s="20" t="str" cm="1">
        <f t="array" ref="I306">IFERROR(INDEX(Data_Input!$A$1:$ZZ$502, MATCH("평가손익", INDEX(Data_Input!$A$1:$ZZ$502, 0, MATCH(1, (Data_Input!$7:$7="IRP")*(Data_Input!$8:$8=$B306), 0)), 0) + 1, MATCH(1, (Data_Input!$7:$7=$F$3)*(Data_Input!$8:$8=$B306), 0)),"")</f>
        <v/>
      </c>
      <c r="J306" s="14" t="str" cm="1">
        <f t="array" ref="J306">IFERROR(INDEX(Data_Input!$A$1:$ZZ$502, MATCH("누적수익률", INDEX(Data_Input!$A$1:$ZZ$502, 0, MATCH(1, (Data_Input!$7:$7="IRP")*(Data_Input!$8:$8=$B306), 0)), 0) + 1, MATCH(1, (Data_Input!$7:$7=$F$3)*(Data_Input!$8:$8=$B306), 0))/100,"")</f>
        <v/>
      </c>
      <c r="K306" t="str" cm="1">
        <f t="array" ref="K306">IFERROR(_xlfn.LET(
    _xlpm.targetDate, B306,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07" spans="1:11" x14ac:dyDescent="0.3">
      <c r="A307" s="16" t="str">
        <f t="shared" si="8"/>
        <v/>
      </c>
      <c r="B307" s="19"/>
      <c r="C307" s="17" t="str">
        <f t="shared" si="9"/>
        <v/>
      </c>
      <c r="D307" s="42" t="str" cm="1">
        <f t="array" ref="D307">IFERROR(INDEX(Data_Input!$1:$100, 10, MATCH(1, (Data_Input!$7:$7=$F$3) * (Data_Input!$8:$8=$B307), 0)), "")</f>
        <v/>
      </c>
      <c r="E307" s="29" t="str" cm="1">
        <f t="array" ref="E307">IFERROR(INDEX(Data_Input!$1:$100, 9, MATCH(1, (Data_Input!$7:$7=$F$3) * (Data_Input!$8:$8=$B307), 0)),"")</f>
        <v/>
      </c>
      <c r="F307" s="20" t="str" cm="1">
        <f t="array" ref="F307">IFERROR(INDEX(Data_Input!$A$1:$ZZ$502, MATCH("플랜번호", INDEX(Data_Input!$A$1:$ZZ$502, 0, MATCH(1, (Data_Input!$7:$7="IRP")*(Data_Input!$8:$8=$B307), 0)), 0) + 1, MATCH(1, (Data_Input!$7:$7=$F$3)*(Data_Input!$8:$8=$B307), 0)),"")</f>
        <v/>
      </c>
      <c r="G307" s="20" t="str" cm="1">
        <f t="array" ref="G307">IFERROR(INDEX(Data_Input!$A$1:$ZZ$502, MATCH("플랜명", INDEX(Data_Input!$A$1:$ZZ$502, 0, MATCH(1, (Data_Input!$7:$7="IRP")*(Data_Input!$8:$8=$B307), 0)), 0) + 1, MATCH(1, (Data_Input!$7:$7=$F$3)*(Data_Input!$8:$8=$B307), 0)),"")</f>
        <v/>
      </c>
      <c r="H307" s="20" t="str" cm="1">
        <f t="array" ref="H307">IFERROR(INDEX(Data_Input!$A$1:$ZZ$502, MATCH("평가금액", INDEX(Data_Input!$A$1:$ZZ$502, 0, MATCH(1, (Data_Input!$7:$7="IRP")*(Data_Input!$8:$8=$B307), 0)), 0) + 1, MATCH(1, (Data_Input!$7:$7=$F$3)*(Data_Input!$8:$8=$B307), 0)),"")</f>
        <v/>
      </c>
      <c r="I307" s="20" t="str" cm="1">
        <f t="array" ref="I307">IFERROR(INDEX(Data_Input!$A$1:$ZZ$502, MATCH("평가손익", INDEX(Data_Input!$A$1:$ZZ$502, 0, MATCH(1, (Data_Input!$7:$7="IRP")*(Data_Input!$8:$8=$B307), 0)), 0) + 1, MATCH(1, (Data_Input!$7:$7=$F$3)*(Data_Input!$8:$8=$B307), 0)),"")</f>
        <v/>
      </c>
      <c r="J307" s="14" t="str" cm="1">
        <f t="array" ref="J307">IFERROR(INDEX(Data_Input!$A$1:$ZZ$502, MATCH("누적수익률", INDEX(Data_Input!$A$1:$ZZ$502, 0, MATCH(1, (Data_Input!$7:$7="IRP")*(Data_Input!$8:$8=$B307), 0)), 0) + 1, MATCH(1, (Data_Input!$7:$7=$F$3)*(Data_Input!$8:$8=$B307), 0))/100,"")</f>
        <v/>
      </c>
      <c r="K307" t="str" cm="1">
        <f t="array" ref="K307">IFERROR(_xlfn.LET(
    _xlpm.targetDate, B307,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08" spans="1:11" x14ac:dyDescent="0.3">
      <c r="A308" s="16" t="str">
        <f t="shared" si="8"/>
        <v/>
      </c>
      <c r="B308" s="19"/>
      <c r="C308" s="17" t="str">
        <f t="shared" si="9"/>
        <v/>
      </c>
      <c r="D308" s="42" t="str" cm="1">
        <f t="array" ref="D308">IFERROR(INDEX(Data_Input!$1:$100, 10, MATCH(1, (Data_Input!$7:$7=$F$3) * (Data_Input!$8:$8=$B308), 0)), "")</f>
        <v/>
      </c>
      <c r="E308" s="29" t="str" cm="1">
        <f t="array" ref="E308">IFERROR(INDEX(Data_Input!$1:$100, 9, MATCH(1, (Data_Input!$7:$7=$F$3) * (Data_Input!$8:$8=$B308), 0)),"")</f>
        <v/>
      </c>
      <c r="F308" s="20" t="str" cm="1">
        <f t="array" ref="F308">IFERROR(INDEX(Data_Input!$A$1:$ZZ$502, MATCH("플랜번호", INDEX(Data_Input!$A$1:$ZZ$502, 0, MATCH(1, (Data_Input!$7:$7="IRP")*(Data_Input!$8:$8=$B308), 0)), 0) + 1, MATCH(1, (Data_Input!$7:$7=$F$3)*(Data_Input!$8:$8=$B308), 0)),"")</f>
        <v/>
      </c>
      <c r="G308" s="20" t="str" cm="1">
        <f t="array" ref="G308">IFERROR(INDEX(Data_Input!$A$1:$ZZ$502, MATCH("플랜명", INDEX(Data_Input!$A$1:$ZZ$502, 0, MATCH(1, (Data_Input!$7:$7="IRP")*(Data_Input!$8:$8=$B308), 0)), 0) + 1, MATCH(1, (Data_Input!$7:$7=$F$3)*(Data_Input!$8:$8=$B308), 0)),"")</f>
        <v/>
      </c>
      <c r="H308" s="20" t="str" cm="1">
        <f t="array" ref="H308">IFERROR(INDEX(Data_Input!$A$1:$ZZ$502, MATCH("평가금액", INDEX(Data_Input!$A$1:$ZZ$502, 0, MATCH(1, (Data_Input!$7:$7="IRP")*(Data_Input!$8:$8=$B308), 0)), 0) + 1, MATCH(1, (Data_Input!$7:$7=$F$3)*(Data_Input!$8:$8=$B308), 0)),"")</f>
        <v/>
      </c>
      <c r="I308" s="20" t="str" cm="1">
        <f t="array" ref="I308">IFERROR(INDEX(Data_Input!$A$1:$ZZ$502, MATCH("평가손익", INDEX(Data_Input!$A$1:$ZZ$502, 0, MATCH(1, (Data_Input!$7:$7="IRP")*(Data_Input!$8:$8=$B308), 0)), 0) + 1, MATCH(1, (Data_Input!$7:$7=$F$3)*(Data_Input!$8:$8=$B308), 0)),"")</f>
        <v/>
      </c>
      <c r="J308" s="14" t="str" cm="1">
        <f t="array" ref="J308">IFERROR(INDEX(Data_Input!$A$1:$ZZ$502, MATCH("누적수익률", INDEX(Data_Input!$A$1:$ZZ$502, 0, MATCH(1, (Data_Input!$7:$7="IRP")*(Data_Input!$8:$8=$B308), 0)), 0) + 1, MATCH(1, (Data_Input!$7:$7=$F$3)*(Data_Input!$8:$8=$B308), 0))/100,"")</f>
        <v/>
      </c>
      <c r="K308" t="str" cm="1">
        <f t="array" ref="K308">IFERROR(_xlfn.LET(
    _xlpm.targetDate, B308,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09" spans="1:11" x14ac:dyDescent="0.3">
      <c r="A309" s="16" t="str">
        <f t="shared" si="8"/>
        <v/>
      </c>
      <c r="B309" s="19"/>
      <c r="C309" s="17" t="str">
        <f t="shared" si="9"/>
        <v/>
      </c>
      <c r="D309" s="42" t="str" cm="1">
        <f t="array" ref="D309">IFERROR(INDEX(Data_Input!$1:$100, 10, MATCH(1, (Data_Input!$7:$7=$F$3) * (Data_Input!$8:$8=$B309), 0)), "")</f>
        <v/>
      </c>
      <c r="E309" s="29" t="str" cm="1">
        <f t="array" ref="E309">IFERROR(INDEX(Data_Input!$1:$100, 9, MATCH(1, (Data_Input!$7:$7=$F$3) * (Data_Input!$8:$8=$B309), 0)),"")</f>
        <v/>
      </c>
      <c r="F309" s="20" t="str" cm="1">
        <f t="array" ref="F309">IFERROR(INDEX(Data_Input!$A$1:$ZZ$502, MATCH("플랜번호", INDEX(Data_Input!$A$1:$ZZ$502, 0, MATCH(1, (Data_Input!$7:$7="IRP")*(Data_Input!$8:$8=$B309), 0)), 0) + 1, MATCH(1, (Data_Input!$7:$7=$F$3)*(Data_Input!$8:$8=$B309), 0)),"")</f>
        <v/>
      </c>
      <c r="G309" s="20" t="str" cm="1">
        <f t="array" ref="G309">IFERROR(INDEX(Data_Input!$A$1:$ZZ$502, MATCH("플랜명", INDEX(Data_Input!$A$1:$ZZ$502, 0, MATCH(1, (Data_Input!$7:$7="IRP")*(Data_Input!$8:$8=$B309), 0)), 0) + 1, MATCH(1, (Data_Input!$7:$7=$F$3)*(Data_Input!$8:$8=$B309), 0)),"")</f>
        <v/>
      </c>
      <c r="H309" s="20" t="str" cm="1">
        <f t="array" ref="H309">IFERROR(INDEX(Data_Input!$A$1:$ZZ$502, MATCH("평가금액", INDEX(Data_Input!$A$1:$ZZ$502, 0, MATCH(1, (Data_Input!$7:$7="IRP")*(Data_Input!$8:$8=$B309), 0)), 0) + 1, MATCH(1, (Data_Input!$7:$7=$F$3)*(Data_Input!$8:$8=$B309), 0)),"")</f>
        <v/>
      </c>
      <c r="I309" s="20" t="str" cm="1">
        <f t="array" ref="I309">IFERROR(INDEX(Data_Input!$A$1:$ZZ$502, MATCH("평가손익", INDEX(Data_Input!$A$1:$ZZ$502, 0, MATCH(1, (Data_Input!$7:$7="IRP")*(Data_Input!$8:$8=$B309), 0)), 0) + 1, MATCH(1, (Data_Input!$7:$7=$F$3)*(Data_Input!$8:$8=$B309), 0)),"")</f>
        <v/>
      </c>
      <c r="J309" s="14" t="str" cm="1">
        <f t="array" ref="J309">IFERROR(INDEX(Data_Input!$A$1:$ZZ$502, MATCH("누적수익률", INDEX(Data_Input!$A$1:$ZZ$502, 0, MATCH(1, (Data_Input!$7:$7="IRP")*(Data_Input!$8:$8=$B309), 0)), 0) + 1, MATCH(1, (Data_Input!$7:$7=$F$3)*(Data_Input!$8:$8=$B309), 0))/100,"")</f>
        <v/>
      </c>
      <c r="K309" t="str" cm="1">
        <f t="array" ref="K309">IFERROR(_xlfn.LET(
    _xlpm.targetDate, B309,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10" spans="1:11" x14ac:dyDescent="0.3">
      <c r="A310" s="16" t="str">
        <f t="shared" si="8"/>
        <v/>
      </c>
      <c r="B310" s="19"/>
      <c r="C310" s="17" t="str">
        <f t="shared" si="9"/>
        <v/>
      </c>
      <c r="D310" s="42" t="str" cm="1">
        <f t="array" ref="D310">IFERROR(INDEX(Data_Input!$1:$100, 10, MATCH(1, (Data_Input!$7:$7=$F$3) * (Data_Input!$8:$8=$B310), 0)), "")</f>
        <v/>
      </c>
      <c r="E310" s="29" t="str" cm="1">
        <f t="array" ref="E310">IFERROR(INDEX(Data_Input!$1:$100, 9, MATCH(1, (Data_Input!$7:$7=$F$3) * (Data_Input!$8:$8=$B310), 0)),"")</f>
        <v/>
      </c>
      <c r="F310" s="20" t="str" cm="1">
        <f t="array" ref="F310">IFERROR(INDEX(Data_Input!$A$1:$ZZ$502, MATCH("플랜번호", INDEX(Data_Input!$A$1:$ZZ$502, 0, MATCH(1, (Data_Input!$7:$7="IRP")*(Data_Input!$8:$8=$B310), 0)), 0) + 1, MATCH(1, (Data_Input!$7:$7=$F$3)*(Data_Input!$8:$8=$B310), 0)),"")</f>
        <v/>
      </c>
      <c r="G310" s="20" t="str" cm="1">
        <f t="array" ref="G310">IFERROR(INDEX(Data_Input!$A$1:$ZZ$502, MATCH("플랜명", INDEX(Data_Input!$A$1:$ZZ$502, 0, MATCH(1, (Data_Input!$7:$7="IRP")*(Data_Input!$8:$8=$B310), 0)), 0) + 1, MATCH(1, (Data_Input!$7:$7=$F$3)*(Data_Input!$8:$8=$B310), 0)),"")</f>
        <v/>
      </c>
      <c r="H310" s="20" t="str" cm="1">
        <f t="array" ref="H310">IFERROR(INDEX(Data_Input!$A$1:$ZZ$502, MATCH("평가금액", INDEX(Data_Input!$A$1:$ZZ$502, 0, MATCH(1, (Data_Input!$7:$7="IRP")*(Data_Input!$8:$8=$B310), 0)), 0) + 1, MATCH(1, (Data_Input!$7:$7=$F$3)*(Data_Input!$8:$8=$B310), 0)),"")</f>
        <v/>
      </c>
      <c r="I310" s="20" t="str" cm="1">
        <f t="array" ref="I310">IFERROR(INDEX(Data_Input!$A$1:$ZZ$502, MATCH("평가손익", INDEX(Data_Input!$A$1:$ZZ$502, 0, MATCH(1, (Data_Input!$7:$7="IRP")*(Data_Input!$8:$8=$B310), 0)), 0) + 1, MATCH(1, (Data_Input!$7:$7=$F$3)*(Data_Input!$8:$8=$B310), 0)),"")</f>
        <v/>
      </c>
      <c r="J310" s="14" t="str" cm="1">
        <f t="array" ref="J310">IFERROR(INDEX(Data_Input!$A$1:$ZZ$502, MATCH("누적수익률", INDEX(Data_Input!$A$1:$ZZ$502, 0, MATCH(1, (Data_Input!$7:$7="IRP")*(Data_Input!$8:$8=$B310), 0)), 0) + 1, MATCH(1, (Data_Input!$7:$7=$F$3)*(Data_Input!$8:$8=$B310), 0))/100,"")</f>
        <v/>
      </c>
      <c r="K310" t="str" cm="1">
        <f t="array" ref="K310">IFERROR(_xlfn.LET(
    _xlpm.targetDate, B310,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11" spans="1:11" x14ac:dyDescent="0.3">
      <c r="A311" s="16" t="str">
        <f t="shared" si="8"/>
        <v/>
      </c>
      <c r="B311" s="19"/>
      <c r="C311" s="17" t="str">
        <f t="shared" si="9"/>
        <v/>
      </c>
      <c r="D311" s="42" t="str" cm="1">
        <f t="array" ref="D311">IFERROR(INDEX(Data_Input!$1:$100, 10, MATCH(1, (Data_Input!$7:$7=$F$3) * (Data_Input!$8:$8=$B311), 0)), "")</f>
        <v/>
      </c>
      <c r="E311" s="29" t="str" cm="1">
        <f t="array" ref="E311">IFERROR(INDEX(Data_Input!$1:$100, 9, MATCH(1, (Data_Input!$7:$7=$F$3) * (Data_Input!$8:$8=$B311), 0)),"")</f>
        <v/>
      </c>
      <c r="F311" s="20" t="str" cm="1">
        <f t="array" ref="F311">IFERROR(INDEX(Data_Input!$A$1:$ZZ$502, MATCH("플랜번호", INDEX(Data_Input!$A$1:$ZZ$502, 0, MATCH(1, (Data_Input!$7:$7="IRP")*(Data_Input!$8:$8=$B311), 0)), 0) + 1, MATCH(1, (Data_Input!$7:$7=$F$3)*(Data_Input!$8:$8=$B311), 0)),"")</f>
        <v/>
      </c>
      <c r="G311" s="20" t="str" cm="1">
        <f t="array" ref="G311">IFERROR(INDEX(Data_Input!$A$1:$ZZ$502, MATCH("플랜명", INDEX(Data_Input!$A$1:$ZZ$502, 0, MATCH(1, (Data_Input!$7:$7="IRP")*(Data_Input!$8:$8=$B311), 0)), 0) + 1, MATCH(1, (Data_Input!$7:$7=$F$3)*(Data_Input!$8:$8=$B311), 0)),"")</f>
        <v/>
      </c>
      <c r="H311" s="20" t="str" cm="1">
        <f t="array" ref="H311">IFERROR(INDEX(Data_Input!$A$1:$ZZ$502, MATCH("평가금액", INDEX(Data_Input!$A$1:$ZZ$502, 0, MATCH(1, (Data_Input!$7:$7="IRP")*(Data_Input!$8:$8=$B311), 0)), 0) + 1, MATCH(1, (Data_Input!$7:$7=$F$3)*(Data_Input!$8:$8=$B311), 0)),"")</f>
        <v/>
      </c>
      <c r="I311" s="20" t="str" cm="1">
        <f t="array" ref="I311">IFERROR(INDEX(Data_Input!$A$1:$ZZ$502, MATCH("평가손익", INDEX(Data_Input!$A$1:$ZZ$502, 0, MATCH(1, (Data_Input!$7:$7="IRP")*(Data_Input!$8:$8=$B311), 0)), 0) + 1, MATCH(1, (Data_Input!$7:$7=$F$3)*(Data_Input!$8:$8=$B311), 0)),"")</f>
        <v/>
      </c>
      <c r="J311" s="14" t="str" cm="1">
        <f t="array" ref="J311">IFERROR(INDEX(Data_Input!$A$1:$ZZ$502, MATCH("누적수익률", INDEX(Data_Input!$A$1:$ZZ$502, 0, MATCH(1, (Data_Input!$7:$7="IRP")*(Data_Input!$8:$8=$B311), 0)), 0) + 1, MATCH(1, (Data_Input!$7:$7=$F$3)*(Data_Input!$8:$8=$B311), 0))/100,"")</f>
        <v/>
      </c>
      <c r="K311" t="str" cm="1">
        <f t="array" ref="K311">IFERROR(_xlfn.LET(
    _xlpm.targetDate, B311,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12" spans="1:11" x14ac:dyDescent="0.3">
      <c r="A312" s="16" t="str">
        <f t="shared" si="8"/>
        <v/>
      </c>
      <c r="B312" s="19"/>
      <c r="C312" s="17" t="str">
        <f t="shared" si="9"/>
        <v/>
      </c>
      <c r="D312" s="42" t="str" cm="1">
        <f t="array" ref="D312">IFERROR(INDEX(Data_Input!$1:$100, 10, MATCH(1, (Data_Input!$7:$7=$F$3) * (Data_Input!$8:$8=$B312), 0)), "")</f>
        <v/>
      </c>
      <c r="E312" s="29" t="str" cm="1">
        <f t="array" ref="E312">IFERROR(INDEX(Data_Input!$1:$100, 9, MATCH(1, (Data_Input!$7:$7=$F$3) * (Data_Input!$8:$8=$B312), 0)),"")</f>
        <v/>
      </c>
      <c r="F312" s="20" t="str" cm="1">
        <f t="array" ref="F312">IFERROR(INDEX(Data_Input!$A$1:$ZZ$502, MATCH("플랜번호", INDEX(Data_Input!$A$1:$ZZ$502, 0, MATCH(1, (Data_Input!$7:$7="IRP")*(Data_Input!$8:$8=$B312), 0)), 0) + 1, MATCH(1, (Data_Input!$7:$7=$F$3)*(Data_Input!$8:$8=$B312), 0)),"")</f>
        <v/>
      </c>
      <c r="G312" s="20" t="str" cm="1">
        <f t="array" ref="G312">IFERROR(INDEX(Data_Input!$A$1:$ZZ$502, MATCH("플랜명", INDEX(Data_Input!$A$1:$ZZ$502, 0, MATCH(1, (Data_Input!$7:$7="IRP")*(Data_Input!$8:$8=$B312), 0)), 0) + 1, MATCH(1, (Data_Input!$7:$7=$F$3)*(Data_Input!$8:$8=$B312), 0)),"")</f>
        <v/>
      </c>
      <c r="H312" s="20" t="str" cm="1">
        <f t="array" ref="H312">IFERROR(INDEX(Data_Input!$A$1:$ZZ$502, MATCH("평가금액", INDEX(Data_Input!$A$1:$ZZ$502, 0, MATCH(1, (Data_Input!$7:$7="IRP")*(Data_Input!$8:$8=$B312), 0)), 0) + 1, MATCH(1, (Data_Input!$7:$7=$F$3)*(Data_Input!$8:$8=$B312), 0)),"")</f>
        <v/>
      </c>
      <c r="I312" s="20" t="str" cm="1">
        <f t="array" ref="I312">IFERROR(INDEX(Data_Input!$A$1:$ZZ$502, MATCH("평가손익", INDEX(Data_Input!$A$1:$ZZ$502, 0, MATCH(1, (Data_Input!$7:$7="IRP")*(Data_Input!$8:$8=$B312), 0)), 0) + 1, MATCH(1, (Data_Input!$7:$7=$F$3)*(Data_Input!$8:$8=$B312), 0)),"")</f>
        <v/>
      </c>
      <c r="J312" s="14" t="str" cm="1">
        <f t="array" ref="J312">IFERROR(INDEX(Data_Input!$A$1:$ZZ$502, MATCH("누적수익률", INDEX(Data_Input!$A$1:$ZZ$502, 0, MATCH(1, (Data_Input!$7:$7="IRP")*(Data_Input!$8:$8=$B312), 0)), 0) + 1, MATCH(1, (Data_Input!$7:$7=$F$3)*(Data_Input!$8:$8=$B312), 0))/100,"")</f>
        <v/>
      </c>
      <c r="K312" t="str" cm="1">
        <f t="array" ref="K312">IFERROR(_xlfn.LET(
    _xlpm.targetDate, B312,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13" spans="1:11" x14ac:dyDescent="0.3">
      <c r="A313" s="16" t="str">
        <f t="shared" si="8"/>
        <v/>
      </c>
      <c r="B313" s="19"/>
      <c r="C313" s="17" t="str">
        <f t="shared" si="9"/>
        <v/>
      </c>
      <c r="D313" s="42" t="str" cm="1">
        <f t="array" ref="D313">IFERROR(INDEX(Data_Input!$1:$100, 10, MATCH(1, (Data_Input!$7:$7=$F$3) * (Data_Input!$8:$8=$B313), 0)), "")</f>
        <v/>
      </c>
      <c r="E313" s="29" t="str" cm="1">
        <f t="array" ref="E313">IFERROR(INDEX(Data_Input!$1:$100, 9, MATCH(1, (Data_Input!$7:$7=$F$3) * (Data_Input!$8:$8=$B313), 0)),"")</f>
        <v/>
      </c>
      <c r="F313" s="20" t="str" cm="1">
        <f t="array" ref="F313">IFERROR(INDEX(Data_Input!$A$1:$ZZ$502, MATCH("플랜번호", INDEX(Data_Input!$A$1:$ZZ$502, 0, MATCH(1, (Data_Input!$7:$7="IRP")*(Data_Input!$8:$8=$B313), 0)), 0) + 1, MATCH(1, (Data_Input!$7:$7=$F$3)*(Data_Input!$8:$8=$B313), 0)),"")</f>
        <v/>
      </c>
      <c r="G313" s="20" t="str" cm="1">
        <f t="array" ref="G313">IFERROR(INDEX(Data_Input!$A$1:$ZZ$502, MATCH("플랜명", INDEX(Data_Input!$A$1:$ZZ$502, 0, MATCH(1, (Data_Input!$7:$7="IRP")*(Data_Input!$8:$8=$B313), 0)), 0) + 1, MATCH(1, (Data_Input!$7:$7=$F$3)*(Data_Input!$8:$8=$B313), 0)),"")</f>
        <v/>
      </c>
      <c r="H313" s="20" t="str" cm="1">
        <f t="array" ref="H313">IFERROR(INDEX(Data_Input!$A$1:$ZZ$502, MATCH("평가금액", INDEX(Data_Input!$A$1:$ZZ$502, 0, MATCH(1, (Data_Input!$7:$7="IRP")*(Data_Input!$8:$8=$B313), 0)), 0) + 1, MATCH(1, (Data_Input!$7:$7=$F$3)*(Data_Input!$8:$8=$B313), 0)),"")</f>
        <v/>
      </c>
      <c r="I313" s="20" t="str" cm="1">
        <f t="array" ref="I313">IFERROR(INDEX(Data_Input!$A$1:$ZZ$502, MATCH("평가손익", INDEX(Data_Input!$A$1:$ZZ$502, 0, MATCH(1, (Data_Input!$7:$7="IRP")*(Data_Input!$8:$8=$B313), 0)), 0) + 1, MATCH(1, (Data_Input!$7:$7=$F$3)*(Data_Input!$8:$8=$B313), 0)),"")</f>
        <v/>
      </c>
      <c r="J313" s="14" t="str" cm="1">
        <f t="array" ref="J313">IFERROR(INDEX(Data_Input!$A$1:$ZZ$502, MATCH("누적수익률", INDEX(Data_Input!$A$1:$ZZ$502, 0, MATCH(1, (Data_Input!$7:$7="IRP")*(Data_Input!$8:$8=$B313), 0)), 0) + 1, MATCH(1, (Data_Input!$7:$7=$F$3)*(Data_Input!$8:$8=$B313), 0))/100,"")</f>
        <v/>
      </c>
      <c r="K313" t="str" cm="1">
        <f t="array" ref="K313">IFERROR(_xlfn.LET(
    _xlpm.targetDate, B313,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14" spans="1:11" x14ac:dyDescent="0.3">
      <c r="A314" s="16" t="str">
        <f t="shared" si="8"/>
        <v/>
      </c>
      <c r="B314" s="19"/>
      <c r="C314" s="17" t="str">
        <f t="shared" si="9"/>
        <v/>
      </c>
      <c r="D314" s="42" t="str" cm="1">
        <f t="array" ref="D314">IFERROR(INDEX(Data_Input!$1:$100, 10, MATCH(1, (Data_Input!$7:$7=$F$3) * (Data_Input!$8:$8=$B314), 0)), "")</f>
        <v/>
      </c>
      <c r="E314" s="29" t="str" cm="1">
        <f t="array" ref="E314">IFERROR(INDEX(Data_Input!$1:$100, 9, MATCH(1, (Data_Input!$7:$7=$F$3) * (Data_Input!$8:$8=$B314), 0)),"")</f>
        <v/>
      </c>
      <c r="F314" s="20" t="str" cm="1">
        <f t="array" ref="F314">IFERROR(INDEX(Data_Input!$A$1:$ZZ$502, MATCH("플랜번호", INDEX(Data_Input!$A$1:$ZZ$502, 0, MATCH(1, (Data_Input!$7:$7="IRP")*(Data_Input!$8:$8=$B314), 0)), 0) + 1, MATCH(1, (Data_Input!$7:$7=$F$3)*(Data_Input!$8:$8=$B314), 0)),"")</f>
        <v/>
      </c>
      <c r="G314" s="20" t="str" cm="1">
        <f t="array" ref="G314">IFERROR(INDEX(Data_Input!$A$1:$ZZ$502, MATCH("플랜명", INDEX(Data_Input!$A$1:$ZZ$502, 0, MATCH(1, (Data_Input!$7:$7="IRP")*(Data_Input!$8:$8=$B314), 0)), 0) + 1, MATCH(1, (Data_Input!$7:$7=$F$3)*(Data_Input!$8:$8=$B314), 0)),"")</f>
        <v/>
      </c>
      <c r="H314" s="20" t="str" cm="1">
        <f t="array" ref="H314">IFERROR(INDEX(Data_Input!$A$1:$ZZ$502, MATCH("평가금액", INDEX(Data_Input!$A$1:$ZZ$502, 0, MATCH(1, (Data_Input!$7:$7="IRP")*(Data_Input!$8:$8=$B314), 0)), 0) + 1, MATCH(1, (Data_Input!$7:$7=$F$3)*(Data_Input!$8:$8=$B314), 0)),"")</f>
        <v/>
      </c>
      <c r="I314" s="20" t="str" cm="1">
        <f t="array" ref="I314">IFERROR(INDEX(Data_Input!$A$1:$ZZ$502, MATCH("평가손익", INDEX(Data_Input!$A$1:$ZZ$502, 0, MATCH(1, (Data_Input!$7:$7="IRP")*(Data_Input!$8:$8=$B314), 0)), 0) + 1, MATCH(1, (Data_Input!$7:$7=$F$3)*(Data_Input!$8:$8=$B314), 0)),"")</f>
        <v/>
      </c>
      <c r="J314" s="14" t="str" cm="1">
        <f t="array" ref="J314">IFERROR(INDEX(Data_Input!$A$1:$ZZ$502, MATCH("누적수익률", INDEX(Data_Input!$A$1:$ZZ$502, 0, MATCH(1, (Data_Input!$7:$7="IRP")*(Data_Input!$8:$8=$B314), 0)), 0) + 1, MATCH(1, (Data_Input!$7:$7=$F$3)*(Data_Input!$8:$8=$B314), 0))/100,"")</f>
        <v/>
      </c>
      <c r="K314" t="str" cm="1">
        <f t="array" ref="K314">IFERROR(_xlfn.LET(
    _xlpm.targetDate, B314,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15" spans="1:11" x14ac:dyDescent="0.3">
      <c r="A315" s="16" t="str">
        <f t="shared" si="8"/>
        <v/>
      </c>
      <c r="B315" s="19"/>
      <c r="C315" s="17" t="str">
        <f t="shared" si="9"/>
        <v/>
      </c>
      <c r="D315" s="42" t="str" cm="1">
        <f t="array" ref="D315">IFERROR(INDEX(Data_Input!$1:$100, 10, MATCH(1, (Data_Input!$7:$7=$F$3) * (Data_Input!$8:$8=$B315), 0)), "")</f>
        <v/>
      </c>
      <c r="E315" s="29" t="str" cm="1">
        <f t="array" ref="E315">IFERROR(INDEX(Data_Input!$1:$100, 9, MATCH(1, (Data_Input!$7:$7=$F$3) * (Data_Input!$8:$8=$B315), 0)),"")</f>
        <v/>
      </c>
      <c r="F315" s="20" t="str" cm="1">
        <f t="array" ref="F315">IFERROR(INDEX(Data_Input!$A$1:$ZZ$502, MATCH("플랜번호", INDEX(Data_Input!$A$1:$ZZ$502, 0, MATCH(1, (Data_Input!$7:$7="IRP")*(Data_Input!$8:$8=$B315), 0)), 0) + 1, MATCH(1, (Data_Input!$7:$7=$F$3)*(Data_Input!$8:$8=$B315), 0)),"")</f>
        <v/>
      </c>
      <c r="G315" s="20" t="str" cm="1">
        <f t="array" ref="G315">IFERROR(INDEX(Data_Input!$A$1:$ZZ$502, MATCH("플랜명", INDEX(Data_Input!$A$1:$ZZ$502, 0, MATCH(1, (Data_Input!$7:$7="IRP")*(Data_Input!$8:$8=$B315), 0)), 0) + 1, MATCH(1, (Data_Input!$7:$7=$F$3)*(Data_Input!$8:$8=$B315), 0)),"")</f>
        <v/>
      </c>
      <c r="H315" s="20" t="str" cm="1">
        <f t="array" ref="H315">IFERROR(INDEX(Data_Input!$A$1:$ZZ$502, MATCH("평가금액", INDEX(Data_Input!$A$1:$ZZ$502, 0, MATCH(1, (Data_Input!$7:$7="IRP")*(Data_Input!$8:$8=$B315), 0)), 0) + 1, MATCH(1, (Data_Input!$7:$7=$F$3)*(Data_Input!$8:$8=$B315), 0)),"")</f>
        <v/>
      </c>
      <c r="I315" s="20" t="str" cm="1">
        <f t="array" ref="I315">IFERROR(INDEX(Data_Input!$A$1:$ZZ$502, MATCH("평가손익", INDEX(Data_Input!$A$1:$ZZ$502, 0, MATCH(1, (Data_Input!$7:$7="IRP")*(Data_Input!$8:$8=$B315), 0)), 0) + 1, MATCH(1, (Data_Input!$7:$7=$F$3)*(Data_Input!$8:$8=$B315), 0)),"")</f>
        <v/>
      </c>
      <c r="J315" s="14" t="str" cm="1">
        <f t="array" ref="J315">IFERROR(INDEX(Data_Input!$A$1:$ZZ$502, MATCH("누적수익률", INDEX(Data_Input!$A$1:$ZZ$502, 0, MATCH(1, (Data_Input!$7:$7="IRP")*(Data_Input!$8:$8=$B315), 0)), 0) + 1, MATCH(1, (Data_Input!$7:$7=$F$3)*(Data_Input!$8:$8=$B315), 0))/100,"")</f>
        <v/>
      </c>
      <c r="K315" t="str" cm="1">
        <f t="array" ref="K315">IFERROR(_xlfn.LET(
    _xlpm.targetDate, B315,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16" spans="1:11" x14ac:dyDescent="0.3">
      <c r="A316" s="16" t="str">
        <f t="shared" si="8"/>
        <v/>
      </c>
      <c r="B316" s="19"/>
      <c r="C316" s="17" t="str">
        <f t="shared" si="9"/>
        <v/>
      </c>
      <c r="D316" s="42" t="str" cm="1">
        <f t="array" ref="D316">IFERROR(INDEX(Data_Input!$1:$100, 10, MATCH(1, (Data_Input!$7:$7=$F$3) * (Data_Input!$8:$8=$B316), 0)), "")</f>
        <v/>
      </c>
      <c r="E316" s="29" t="str" cm="1">
        <f t="array" ref="E316">IFERROR(INDEX(Data_Input!$1:$100, 9, MATCH(1, (Data_Input!$7:$7=$F$3) * (Data_Input!$8:$8=$B316), 0)),"")</f>
        <v/>
      </c>
      <c r="F316" s="20" t="str" cm="1">
        <f t="array" ref="F316">IFERROR(INDEX(Data_Input!$A$1:$ZZ$502, MATCH("플랜번호", INDEX(Data_Input!$A$1:$ZZ$502, 0, MATCH(1, (Data_Input!$7:$7="IRP")*(Data_Input!$8:$8=$B316), 0)), 0) + 1, MATCH(1, (Data_Input!$7:$7=$F$3)*(Data_Input!$8:$8=$B316), 0)),"")</f>
        <v/>
      </c>
      <c r="G316" s="20" t="str" cm="1">
        <f t="array" ref="G316">IFERROR(INDEX(Data_Input!$A$1:$ZZ$502, MATCH("플랜명", INDEX(Data_Input!$A$1:$ZZ$502, 0, MATCH(1, (Data_Input!$7:$7="IRP")*(Data_Input!$8:$8=$B316), 0)), 0) + 1, MATCH(1, (Data_Input!$7:$7=$F$3)*(Data_Input!$8:$8=$B316), 0)),"")</f>
        <v/>
      </c>
      <c r="H316" s="20" t="str" cm="1">
        <f t="array" ref="H316">IFERROR(INDEX(Data_Input!$A$1:$ZZ$502, MATCH("평가금액", INDEX(Data_Input!$A$1:$ZZ$502, 0, MATCH(1, (Data_Input!$7:$7="IRP")*(Data_Input!$8:$8=$B316), 0)), 0) + 1, MATCH(1, (Data_Input!$7:$7=$F$3)*(Data_Input!$8:$8=$B316), 0)),"")</f>
        <v/>
      </c>
      <c r="I316" s="20" t="str" cm="1">
        <f t="array" ref="I316">IFERROR(INDEX(Data_Input!$A$1:$ZZ$502, MATCH("평가손익", INDEX(Data_Input!$A$1:$ZZ$502, 0, MATCH(1, (Data_Input!$7:$7="IRP")*(Data_Input!$8:$8=$B316), 0)), 0) + 1, MATCH(1, (Data_Input!$7:$7=$F$3)*(Data_Input!$8:$8=$B316), 0)),"")</f>
        <v/>
      </c>
      <c r="J316" s="14" t="str" cm="1">
        <f t="array" ref="J316">IFERROR(INDEX(Data_Input!$A$1:$ZZ$502, MATCH("누적수익률", INDEX(Data_Input!$A$1:$ZZ$502, 0, MATCH(1, (Data_Input!$7:$7="IRP")*(Data_Input!$8:$8=$B316), 0)), 0) + 1, MATCH(1, (Data_Input!$7:$7=$F$3)*(Data_Input!$8:$8=$B316), 0))/100,"")</f>
        <v/>
      </c>
      <c r="K316" t="str" cm="1">
        <f t="array" ref="K316">IFERROR(_xlfn.LET(
    _xlpm.targetDate, B316,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17" spans="1:11" x14ac:dyDescent="0.3">
      <c r="A317" s="16" t="str">
        <f t="shared" si="8"/>
        <v/>
      </c>
      <c r="B317" s="19"/>
      <c r="C317" s="17" t="str">
        <f t="shared" si="9"/>
        <v/>
      </c>
      <c r="D317" s="42" t="str" cm="1">
        <f t="array" ref="D317">IFERROR(INDEX(Data_Input!$1:$100, 10, MATCH(1, (Data_Input!$7:$7=$F$3) * (Data_Input!$8:$8=$B317), 0)), "")</f>
        <v/>
      </c>
      <c r="E317" s="29" t="str" cm="1">
        <f t="array" ref="E317">IFERROR(INDEX(Data_Input!$1:$100, 9, MATCH(1, (Data_Input!$7:$7=$F$3) * (Data_Input!$8:$8=$B317), 0)),"")</f>
        <v/>
      </c>
      <c r="F317" s="20" t="str" cm="1">
        <f t="array" ref="F317">IFERROR(INDEX(Data_Input!$A$1:$ZZ$502, MATCH("플랜번호", INDEX(Data_Input!$A$1:$ZZ$502, 0, MATCH(1, (Data_Input!$7:$7="IRP")*(Data_Input!$8:$8=$B317), 0)), 0) + 1, MATCH(1, (Data_Input!$7:$7=$F$3)*(Data_Input!$8:$8=$B317), 0)),"")</f>
        <v/>
      </c>
      <c r="G317" s="20" t="str" cm="1">
        <f t="array" ref="G317">IFERROR(INDEX(Data_Input!$A$1:$ZZ$502, MATCH("플랜명", INDEX(Data_Input!$A$1:$ZZ$502, 0, MATCH(1, (Data_Input!$7:$7="IRP")*(Data_Input!$8:$8=$B317), 0)), 0) + 1, MATCH(1, (Data_Input!$7:$7=$F$3)*(Data_Input!$8:$8=$B317), 0)),"")</f>
        <v/>
      </c>
      <c r="H317" s="20" t="str" cm="1">
        <f t="array" ref="H317">IFERROR(INDEX(Data_Input!$A$1:$ZZ$502, MATCH("평가금액", INDEX(Data_Input!$A$1:$ZZ$502, 0, MATCH(1, (Data_Input!$7:$7="IRP")*(Data_Input!$8:$8=$B317), 0)), 0) + 1, MATCH(1, (Data_Input!$7:$7=$F$3)*(Data_Input!$8:$8=$B317), 0)),"")</f>
        <v/>
      </c>
      <c r="I317" s="20" t="str" cm="1">
        <f t="array" ref="I317">IFERROR(INDEX(Data_Input!$A$1:$ZZ$502, MATCH("평가손익", INDEX(Data_Input!$A$1:$ZZ$502, 0, MATCH(1, (Data_Input!$7:$7="IRP")*(Data_Input!$8:$8=$B317), 0)), 0) + 1, MATCH(1, (Data_Input!$7:$7=$F$3)*(Data_Input!$8:$8=$B317), 0)),"")</f>
        <v/>
      </c>
      <c r="J317" s="14" t="str" cm="1">
        <f t="array" ref="J317">IFERROR(INDEX(Data_Input!$A$1:$ZZ$502, MATCH("누적수익률", INDEX(Data_Input!$A$1:$ZZ$502, 0, MATCH(1, (Data_Input!$7:$7="IRP")*(Data_Input!$8:$8=$B317), 0)), 0) + 1, MATCH(1, (Data_Input!$7:$7=$F$3)*(Data_Input!$8:$8=$B317), 0))/100,"")</f>
        <v/>
      </c>
      <c r="K317" t="str" cm="1">
        <f t="array" ref="K317">IFERROR(_xlfn.LET(
    _xlpm.targetDate, B317,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18" spans="1:11" x14ac:dyDescent="0.3">
      <c r="A318" s="16" t="str">
        <f t="shared" si="8"/>
        <v/>
      </c>
      <c r="B318" s="19"/>
      <c r="C318" s="17" t="str">
        <f t="shared" si="9"/>
        <v/>
      </c>
      <c r="D318" s="42" t="str" cm="1">
        <f t="array" ref="D318">IFERROR(INDEX(Data_Input!$1:$100, 10, MATCH(1, (Data_Input!$7:$7=$F$3) * (Data_Input!$8:$8=$B318), 0)), "")</f>
        <v/>
      </c>
      <c r="E318" s="29" t="str" cm="1">
        <f t="array" ref="E318">IFERROR(INDEX(Data_Input!$1:$100, 9, MATCH(1, (Data_Input!$7:$7=$F$3) * (Data_Input!$8:$8=$B318), 0)),"")</f>
        <v/>
      </c>
      <c r="F318" s="20" t="str" cm="1">
        <f t="array" ref="F318">IFERROR(INDEX(Data_Input!$A$1:$ZZ$502, MATCH("플랜번호", INDEX(Data_Input!$A$1:$ZZ$502, 0, MATCH(1, (Data_Input!$7:$7="IRP")*(Data_Input!$8:$8=$B318), 0)), 0) + 1, MATCH(1, (Data_Input!$7:$7=$F$3)*(Data_Input!$8:$8=$B318), 0)),"")</f>
        <v/>
      </c>
      <c r="G318" s="20" t="str" cm="1">
        <f t="array" ref="G318">IFERROR(INDEX(Data_Input!$A$1:$ZZ$502, MATCH("플랜명", INDEX(Data_Input!$A$1:$ZZ$502, 0, MATCH(1, (Data_Input!$7:$7="IRP")*(Data_Input!$8:$8=$B318), 0)), 0) + 1, MATCH(1, (Data_Input!$7:$7=$F$3)*(Data_Input!$8:$8=$B318), 0)),"")</f>
        <v/>
      </c>
      <c r="H318" s="20" t="str" cm="1">
        <f t="array" ref="H318">IFERROR(INDEX(Data_Input!$A$1:$ZZ$502, MATCH("평가금액", INDEX(Data_Input!$A$1:$ZZ$502, 0, MATCH(1, (Data_Input!$7:$7="IRP")*(Data_Input!$8:$8=$B318), 0)), 0) + 1, MATCH(1, (Data_Input!$7:$7=$F$3)*(Data_Input!$8:$8=$B318), 0)),"")</f>
        <v/>
      </c>
      <c r="I318" s="20" t="str" cm="1">
        <f t="array" ref="I318">IFERROR(INDEX(Data_Input!$A$1:$ZZ$502, MATCH("평가손익", INDEX(Data_Input!$A$1:$ZZ$502, 0, MATCH(1, (Data_Input!$7:$7="IRP")*(Data_Input!$8:$8=$B318), 0)), 0) + 1, MATCH(1, (Data_Input!$7:$7=$F$3)*(Data_Input!$8:$8=$B318), 0)),"")</f>
        <v/>
      </c>
      <c r="J318" s="14" t="str" cm="1">
        <f t="array" ref="J318">IFERROR(INDEX(Data_Input!$A$1:$ZZ$502, MATCH("누적수익률", INDEX(Data_Input!$A$1:$ZZ$502, 0, MATCH(1, (Data_Input!$7:$7="IRP")*(Data_Input!$8:$8=$B318), 0)), 0) + 1, MATCH(1, (Data_Input!$7:$7=$F$3)*(Data_Input!$8:$8=$B318), 0))/100,"")</f>
        <v/>
      </c>
      <c r="K318" t="str" cm="1">
        <f t="array" ref="K318">IFERROR(_xlfn.LET(
    _xlpm.targetDate, B318,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19" spans="1:11" x14ac:dyDescent="0.3">
      <c r="A319" s="16" t="str">
        <f t="shared" si="8"/>
        <v/>
      </c>
      <c r="B319" s="19"/>
      <c r="C319" s="17" t="str">
        <f t="shared" si="9"/>
        <v/>
      </c>
      <c r="D319" s="42" t="str" cm="1">
        <f t="array" ref="D319">IFERROR(INDEX(Data_Input!$1:$100, 10, MATCH(1, (Data_Input!$7:$7=$F$3) * (Data_Input!$8:$8=$B319), 0)), "")</f>
        <v/>
      </c>
      <c r="E319" s="29" t="str" cm="1">
        <f t="array" ref="E319">IFERROR(INDEX(Data_Input!$1:$100, 9, MATCH(1, (Data_Input!$7:$7=$F$3) * (Data_Input!$8:$8=$B319), 0)),"")</f>
        <v/>
      </c>
      <c r="F319" s="20" t="str" cm="1">
        <f t="array" ref="F319">IFERROR(INDEX(Data_Input!$A$1:$ZZ$502, MATCH("플랜번호", INDEX(Data_Input!$A$1:$ZZ$502, 0, MATCH(1, (Data_Input!$7:$7="IRP")*(Data_Input!$8:$8=$B319), 0)), 0) + 1, MATCH(1, (Data_Input!$7:$7=$F$3)*(Data_Input!$8:$8=$B319), 0)),"")</f>
        <v/>
      </c>
      <c r="G319" s="20" t="str" cm="1">
        <f t="array" ref="G319">IFERROR(INDEX(Data_Input!$A$1:$ZZ$502, MATCH("플랜명", INDEX(Data_Input!$A$1:$ZZ$502, 0, MATCH(1, (Data_Input!$7:$7="IRP")*(Data_Input!$8:$8=$B319), 0)), 0) + 1, MATCH(1, (Data_Input!$7:$7=$F$3)*(Data_Input!$8:$8=$B319), 0)),"")</f>
        <v/>
      </c>
      <c r="H319" s="20" t="str" cm="1">
        <f t="array" ref="H319">IFERROR(INDEX(Data_Input!$A$1:$ZZ$502, MATCH("평가금액", INDEX(Data_Input!$A$1:$ZZ$502, 0, MATCH(1, (Data_Input!$7:$7="IRP")*(Data_Input!$8:$8=$B319), 0)), 0) + 1, MATCH(1, (Data_Input!$7:$7=$F$3)*(Data_Input!$8:$8=$B319), 0)),"")</f>
        <v/>
      </c>
      <c r="I319" s="20" t="str" cm="1">
        <f t="array" ref="I319">IFERROR(INDEX(Data_Input!$A$1:$ZZ$502, MATCH("평가손익", INDEX(Data_Input!$A$1:$ZZ$502, 0, MATCH(1, (Data_Input!$7:$7="IRP")*(Data_Input!$8:$8=$B319), 0)), 0) + 1, MATCH(1, (Data_Input!$7:$7=$F$3)*(Data_Input!$8:$8=$B319), 0)),"")</f>
        <v/>
      </c>
      <c r="J319" s="14" t="str" cm="1">
        <f t="array" ref="J319">IFERROR(INDEX(Data_Input!$A$1:$ZZ$502, MATCH("누적수익률", INDEX(Data_Input!$A$1:$ZZ$502, 0, MATCH(1, (Data_Input!$7:$7="IRP")*(Data_Input!$8:$8=$B319), 0)), 0) + 1, MATCH(1, (Data_Input!$7:$7=$F$3)*(Data_Input!$8:$8=$B319), 0))/100,"")</f>
        <v/>
      </c>
      <c r="K319" t="str" cm="1">
        <f t="array" ref="K319">IFERROR(_xlfn.LET(
    _xlpm.targetDate, B319,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20" spans="1:11" x14ac:dyDescent="0.3">
      <c r="A320" s="16" t="str">
        <f t="shared" si="8"/>
        <v/>
      </c>
      <c r="B320" s="19"/>
      <c r="C320" s="17" t="str">
        <f t="shared" si="9"/>
        <v/>
      </c>
      <c r="D320" s="42" t="str" cm="1">
        <f t="array" ref="D320">IFERROR(INDEX(Data_Input!$1:$100, 10, MATCH(1, (Data_Input!$7:$7=$F$3) * (Data_Input!$8:$8=$B320), 0)), "")</f>
        <v/>
      </c>
      <c r="E320" s="29" t="str" cm="1">
        <f t="array" ref="E320">IFERROR(INDEX(Data_Input!$1:$100, 9, MATCH(1, (Data_Input!$7:$7=$F$3) * (Data_Input!$8:$8=$B320), 0)),"")</f>
        <v/>
      </c>
      <c r="F320" s="20" t="str" cm="1">
        <f t="array" ref="F320">IFERROR(INDEX(Data_Input!$A$1:$ZZ$502, MATCH("플랜번호", INDEX(Data_Input!$A$1:$ZZ$502, 0, MATCH(1, (Data_Input!$7:$7="IRP")*(Data_Input!$8:$8=$B320), 0)), 0) + 1, MATCH(1, (Data_Input!$7:$7=$F$3)*(Data_Input!$8:$8=$B320), 0)),"")</f>
        <v/>
      </c>
      <c r="G320" s="20" t="str" cm="1">
        <f t="array" ref="G320">IFERROR(INDEX(Data_Input!$A$1:$ZZ$502, MATCH("플랜명", INDEX(Data_Input!$A$1:$ZZ$502, 0, MATCH(1, (Data_Input!$7:$7="IRP")*(Data_Input!$8:$8=$B320), 0)), 0) + 1, MATCH(1, (Data_Input!$7:$7=$F$3)*(Data_Input!$8:$8=$B320), 0)),"")</f>
        <v/>
      </c>
      <c r="H320" s="20" t="str" cm="1">
        <f t="array" ref="H320">IFERROR(INDEX(Data_Input!$A$1:$ZZ$502, MATCH("평가금액", INDEX(Data_Input!$A$1:$ZZ$502, 0, MATCH(1, (Data_Input!$7:$7="IRP")*(Data_Input!$8:$8=$B320), 0)), 0) + 1, MATCH(1, (Data_Input!$7:$7=$F$3)*(Data_Input!$8:$8=$B320), 0)),"")</f>
        <v/>
      </c>
      <c r="I320" s="20" t="str" cm="1">
        <f t="array" ref="I320">IFERROR(INDEX(Data_Input!$A$1:$ZZ$502, MATCH("평가손익", INDEX(Data_Input!$A$1:$ZZ$502, 0, MATCH(1, (Data_Input!$7:$7="IRP")*(Data_Input!$8:$8=$B320), 0)), 0) + 1, MATCH(1, (Data_Input!$7:$7=$F$3)*(Data_Input!$8:$8=$B320), 0)),"")</f>
        <v/>
      </c>
      <c r="J320" s="14" t="str" cm="1">
        <f t="array" ref="J320">IFERROR(INDEX(Data_Input!$A$1:$ZZ$502, MATCH("누적수익률", INDEX(Data_Input!$A$1:$ZZ$502, 0, MATCH(1, (Data_Input!$7:$7="IRP")*(Data_Input!$8:$8=$B320), 0)), 0) + 1, MATCH(1, (Data_Input!$7:$7=$F$3)*(Data_Input!$8:$8=$B320), 0))/100,"")</f>
        <v/>
      </c>
      <c r="K320" t="str" cm="1">
        <f t="array" ref="K320">IFERROR(_xlfn.LET(
    _xlpm.targetDate, B320,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21" spans="1:11" x14ac:dyDescent="0.3">
      <c r="A321" s="16" t="str">
        <f t="shared" si="8"/>
        <v/>
      </c>
      <c r="B321" s="19"/>
      <c r="C321" s="17" t="str">
        <f t="shared" si="9"/>
        <v/>
      </c>
      <c r="D321" s="42" t="str" cm="1">
        <f t="array" ref="D321">IFERROR(INDEX(Data_Input!$1:$100, 10, MATCH(1, (Data_Input!$7:$7=$F$3) * (Data_Input!$8:$8=$B321), 0)), "")</f>
        <v/>
      </c>
      <c r="E321" s="29" t="str" cm="1">
        <f t="array" ref="E321">IFERROR(INDEX(Data_Input!$1:$100, 9, MATCH(1, (Data_Input!$7:$7=$F$3) * (Data_Input!$8:$8=$B321), 0)),"")</f>
        <v/>
      </c>
      <c r="F321" s="20" t="str" cm="1">
        <f t="array" ref="F321">IFERROR(INDEX(Data_Input!$A$1:$ZZ$502, MATCH("플랜번호", INDEX(Data_Input!$A$1:$ZZ$502, 0, MATCH(1, (Data_Input!$7:$7="IRP")*(Data_Input!$8:$8=$B321), 0)), 0) + 1, MATCH(1, (Data_Input!$7:$7=$F$3)*(Data_Input!$8:$8=$B321), 0)),"")</f>
        <v/>
      </c>
      <c r="G321" s="20" t="str" cm="1">
        <f t="array" ref="G321">IFERROR(INDEX(Data_Input!$A$1:$ZZ$502, MATCH("플랜명", INDEX(Data_Input!$A$1:$ZZ$502, 0, MATCH(1, (Data_Input!$7:$7="IRP")*(Data_Input!$8:$8=$B321), 0)), 0) + 1, MATCH(1, (Data_Input!$7:$7=$F$3)*(Data_Input!$8:$8=$B321), 0)),"")</f>
        <v/>
      </c>
      <c r="H321" s="20" t="str" cm="1">
        <f t="array" ref="H321">IFERROR(INDEX(Data_Input!$A$1:$ZZ$502, MATCH("평가금액", INDEX(Data_Input!$A$1:$ZZ$502, 0, MATCH(1, (Data_Input!$7:$7="IRP")*(Data_Input!$8:$8=$B321), 0)), 0) + 1, MATCH(1, (Data_Input!$7:$7=$F$3)*(Data_Input!$8:$8=$B321), 0)),"")</f>
        <v/>
      </c>
      <c r="I321" s="20" t="str" cm="1">
        <f t="array" ref="I321">IFERROR(INDEX(Data_Input!$A$1:$ZZ$502, MATCH("평가손익", INDEX(Data_Input!$A$1:$ZZ$502, 0, MATCH(1, (Data_Input!$7:$7="IRP")*(Data_Input!$8:$8=$B321), 0)), 0) + 1, MATCH(1, (Data_Input!$7:$7=$F$3)*(Data_Input!$8:$8=$B321), 0)),"")</f>
        <v/>
      </c>
      <c r="J321" s="14" t="str" cm="1">
        <f t="array" ref="J321">IFERROR(INDEX(Data_Input!$A$1:$ZZ$502, MATCH("누적수익률", INDEX(Data_Input!$A$1:$ZZ$502, 0, MATCH(1, (Data_Input!$7:$7="IRP")*(Data_Input!$8:$8=$B321), 0)), 0) + 1, MATCH(1, (Data_Input!$7:$7=$F$3)*(Data_Input!$8:$8=$B321), 0))/100,"")</f>
        <v/>
      </c>
      <c r="K321" t="str" cm="1">
        <f t="array" ref="K321">IFERROR(_xlfn.LET(
    _xlpm.targetDate, B321,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22" spans="1:11" x14ac:dyDescent="0.3">
      <c r="A322" s="16" t="str">
        <f t="shared" si="8"/>
        <v/>
      </c>
      <c r="B322" s="19"/>
      <c r="C322" s="17" t="str">
        <f t="shared" si="9"/>
        <v/>
      </c>
      <c r="D322" s="42" t="str" cm="1">
        <f t="array" ref="D322">IFERROR(INDEX(Data_Input!$1:$100, 10, MATCH(1, (Data_Input!$7:$7=$F$3) * (Data_Input!$8:$8=$B322), 0)), "")</f>
        <v/>
      </c>
      <c r="E322" s="29" t="str" cm="1">
        <f t="array" ref="E322">IFERROR(INDEX(Data_Input!$1:$100, 9, MATCH(1, (Data_Input!$7:$7=$F$3) * (Data_Input!$8:$8=$B322), 0)),"")</f>
        <v/>
      </c>
      <c r="F322" s="20" t="str" cm="1">
        <f t="array" ref="F322">IFERROR(INDEX(Data_Input!$A$1:$ZZ$502, MATCH("플랜번호", INDEX(Data_Input!$A$1:$ZZ$502, 0, MATCH(1, (Data_Input!$7:$7="IRP")*(Data_Input!$8:$8=$B322), 0)), 0) + 1, MATCH(1, (Data_Input!$7:$7=$F$3)*(Data_Input!$8:$8=$B322), 0)),"")</f>
        <v/>
      </c>
      <c r="G322" s="20" t="str" cm="1">
        <f t="array" ref="G322">IFERROR(INDEX(Data_Input!$A$1:$ZZ$502, MATCH("플랜명", INDEX(Data_Input!$A$1:$ZZ$502, 0, MATCH(1, (Data_Input!$7:$7="IRP")*(Data_Input!$8:$8=$B322), 0)), 0) + 1, MATCH(1, (Data_Input!$7:$7=$F$3)*(Data_Input!$8:$8=$B322), 0)),"")</f>
        <v/>
      </c>
      <c r="H322" s="20" t="str" cm="1">
        <f t="array" ref="H322">IFERROR(INDEX(Data_Input!$A$1:$ZZ$502, MATCH("평가금액", INDEX(Data_Input!$A$1:$ZZ$502, 0, MATCH(1, (Data_Input!$7:$7="IRP")*(Data_Input!$8:$8=$B322), 0)), 0) + 1, MATCH(1, (Data_Input!$7:$7=$F$3)*(Data_Input!$8:$8=$B322), 0)),"")</f>
        <v/>
      </c>
      <c r="I322" s="20" t="str" cm="1">
        <f t="array" ref="I322">IFERROR(INDEX(Data_Input!$A$1:$ZZ$502, MATCH("평가손익", INDEX(Data_Input!$A$1:$ZZ$502, 0, MATCH(1, (Data_Input!$7:$7="IRP")*(Data_Input!$8:$8=$B322), 0)), 0) + 1, MATCH(1, (Data_Input!$7:$7=$F$3)*(Data_Input!$8:$8=$B322), 0)),"")</f>
        <v/>
      </c>
      <c r="J322" s="14" t="str" cm="1">
        <f t="array" ref="J322">IFERROR(INDEX(Data_Input!$A$1:$ZZ$502, MATCH("누적수익률", INDEX(Data_Input!$A$1:$ZZ$502, 0, MATCH(1, (Data_Input!$7:$7="IRP")*(Data_Input!$8:$8=$B322), 0)), 0) + 1, MATCH(1, (Data_Input!$7:$7=$F$3)*(Data_Input!$8:$8=$B322), 0))/100,"")</f>
        <v/>
      </c>
      <c r="K322" t="str" cm="1">
        <f t="array" ref="K322">IFERROR(_xlfn.LET(
    _xlpm.targetDate, B322,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23" spans="1:11" x14ac:dyDescent="0.3">
      <c r="A323" s="16" t="str">
        <f t="shared" si="8"/>
        <v/>
      </c>
      <c r="B323" s="19"/>
      <c r="C323" s="17" t="str">
        <f t="shared" si="9"/>
        <v/>
      </c>
      <c r="D323" s="42" t="str" cm="1">
        <f t="array" ref="D323">IFERROR(INDEX(Data_Input!$1:$100, 10, MATCH(1, (Data_Input!$7:$7=$F$3) * (Data_Input!$8:$8=$B323), 0)), "")</f>
        <v/>
      </c>
      <c r="E323" s="29" t="str" cm="1">
        <f t="array" ref="E323">IFERROR(INDEX(Data_Input!$1:$100, 9, MATCH(1, (Data_Input!$7:$7=$F$3) * (Data_Input!$8:$8=$B323), 0)),"")</f>
        <v/>
      </c>
      <c r="F323" s="20" t="str" cm="1">
        <f t="array" ref="F323">IFERROR(INDEX(Data_Input!$A$1:$ZZ$502, MATCH("플랜번호", INDEX(Data_Input!$A$1:$ZZ$502, 0, MATCH(1, (Data_Input!$7:$7="IRP")*(Data_Input!$8:$8=$B323), 0)), 0) + 1, MATCH(1, (Data_Input!$7:$7=$F$3)*(Data_Input!$8:$8=$B323), 0)),"")</f>
        <v/>
      </c>
      <c r="G323" s="20" t="str" cm="1">
        <f t="array" ref="G323">IFERROR(INDEX(Data_Input!$A$1:$ZZ$502, MATCH("플랜명", INDEX(Data_Input!$A$1:$ZZ$502, 0, MATCH(1, (Data_Input!$7:$7="IRP")*(Data_Input!$8:$8=$B323), 0)), 0) + 1, MATCH(1, (Data_Input!$7:$7=$F$3)*(Data_Input!$8:$8=$B323), 0)),"")</f>
        <v/>
      </c>
      <c r="H323" s="20" t="str" cm="1">
        <f t="array" ref="H323">IFERROR(INDEX(Data_Input!$A$1:$ZZ$502, MATCH("평가금액", INDEX(Data_Input!$A$1:$ZZ$502, 0, MATCH(1, (Data_Input!$7:$7="IRP")*(Data_Input!$8:$8=$B323), 0)), 0) + 1, MATCH(1, (Data_Input!$7:$7=$F$3)*(Data_Input!$8:$8=$B323), 0)),"")</f>
        <v/>
      </c>
      <c r="I323" s="20" t="str" cm="1">
        <f t="array" ref="I323">IFERROR(INDEX(Data_Input!$A$1:$ZZ$502, MATCH("평가손익", INDEX(Data_Input!$A$1:$ZZ$502, 0, MATCH(1, (Data_Input!$7:$7="IRP")*(Data_Input!$8:$8=$B323), 0)), 0) + 1, MATCH(1, (Data_Input!$7:$7=$F$3)*(Data_Input!$8:$8=$B323), 0)),"")</f>
        <v/>
      </c>
      <c r="J323" s="14" t="str" cm="1">
        <f t="array" ref="J323">IFERROR(INDEX(Data_Input!$A$1:$ZZ$502, MATCH("누적수익률", INDEX(Data_Input!$A$1:$ZZ$502, 0, MATCH(1, (Data_Input!$7:$7="IRP")*(Data_Input!$8:$8=$B323), 0)), 0) + 1, MATCH(1, (Data_Input!$7:$7=$F$3)*(Data_Input!$8:$8=$B323), 0))/100,"")</f>
        <v/>
      </c>
      <c r="K323" t="str" cm="1">
        <f t="array" ref="K323">IFERROR(_xlfn.LET(
    _xlpm.targetDate, B323,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24" spans="1:11" x14ac:dyDescent="0.3">
      <c r="A324" s="16" t="str">
        <f t="shared" si="8"/>
        <v/>
      </c>
      <c r="B324" s="19"/>
      <c r="C324" s="17" t="str">
        <f t="shared" si="9"/>
        <v/>
      </c>
      <c r="D324" s="42" t="str" cm="1">
        <f t="array" ref="D324">IFERROR(INDEX(Data_Input!$1:$100, 10, MATCH(1, (Data_Input!$7:$7=$F$3) * (Data_Input!$8:$8=$B324), 0)), "")</f>
        <v/>
      </c>
      <c r="E324" s="29" t="str" cm="1">
        <f t="array" ref="E324">IFERROR(INDEX(Data_Input!$1:$100, 9, MATCH(1, (Data_Input!$7:$7=$F$3) * (Data_Input!$8:$8=$B324), 0)),"")</f>
        <v/>
      </c>
      <c r="F324" s="20" t="str" cm="1">
        <f t="array" ref="F324">IFERROR(INDEX(Data_Input!$A$1:$ZZ$502, MATCH("플랜번호", INDEX(Data_Input!$A$1:$ZZ$502, 0, MATCH(1, (Data_Input!$7:$7="IRP")*(Data_Input!$8:$8=$B324), 0)), 0) + 1, MATCH(1, (Data_Input!$7:$7=$F$3)*(Data_Input!$8:$8=$B324), 0)),"")</f>
        <v/>
      </c>
      <c r="G324" s="20" t="str" cm="1">
        <f t="array" ref="G324">IFERROR(INDEX(Data_Input!$A$1:$ZZ$502, MATCH("플랜명", INDEX(Data_Input!$A$1:$ZZ$502, 0, MATCH(1, (Data_Input!$7:$7="IRP")*(Data_Input!$8:$8=$B324), 0)), 0) + 1, MATCH(1, (Data_Input!$7:$7=$F$3)*(Data_Input!$8:$8=$B324), 0)),"")</f>
        <v/>
      </c>
      <c r="H324" s="20" t="str" cm="1">
        <f t="array" ref="H324">IFERROR(INDEX(Data_Input!$A$1:$ZZ$502, MATCH("평가금액", INDEX(Data_Input!$A$1:$ZZ$502, 0, MATCH(1, (Data_Input!$7:$7="IRP")*(Data_Input!$8:$8=$B324), 0)), 0) + 1, MATCH(1, (Data_Input!$7:$7=$F$3)*(Data_Input!$8:$8=$B324), 0)),"")</f>
        <v/>
      </c>
      <c r="I324" s="20" t="str" cm="1">
        <f t="array" ref="I324">IFERROR(INDEX(Data_Input!$A$1:$ZZ$502, MATCH("평가손익", INDEX(Data_Input!$A$1:$ZZ$502, 0, MATCH(1, (Data_Input!$7:$7="IRP")*(Data_Input!$8:$8=$B324), 0)), 0) + 1, MATCH(1, (Data_Input!$7:$7=$F$3)*(Data_Input!$8:$8=$B324), 0)),"")</f>
        <v/>
      </c>
      <c r="J324" s="14" t="str" cm="1">
        <f t="array" ref="J324">IFERROR(INDEX(Data_Input!$A$1:$ZZ$502, MATCH("누적수익률", INDEX(Data_Input!$A$1:$ZZ$502, 0, MATCH(1, (Data_Input!$7:$7="IRP")*(Data_Input!$8:$8=$B324), 0)), 0) + 1, MATCH(1, (Data_Input!$7:$7=$F$3)*(Data_Input!$8:$8=$B324), 0))/100,"")</f>
        <v/>
      </c>
      <c r="K324" t="str" cm="1">
        <f t="array" ref="K324">IFERROR(_xlfn.LET(
    _xlpm.targetDate, B324,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25" spans="1:11" x14ac:dyDescent="0.3">
      <c r="A325" s="16" t="str">
        <f t="shared" si="8"/>
        <v/>
      </c>
      <c r="B325" s="19"/>
      <c r="C325" s="17" t="str">
        <f t="shared" si="9"/>
        <v/>
      </c>
      <c r="D325" s="42" t="str" cm="1">
        <f t="array" ref="D325">IFERROR(INDEX(Data_Input!$1:$100, 10, MATCH(1, (Data_Input!$7:$7=$F$3) * (Data_Input!$8:$8=$B325), 0)), "")</f>
        <v/>
      </c>
      <c r="E325" s="29" t="str" cm="1">
        <f t="array" ref="E325">IFERROR(INDEX(Data_Input!$1:$100, 9, MATCH(1, (Data_Input!$7:$7=$F$3) * (Data_Input!$8:$8=$B325), 0)),"")</f>
        <v/>
      </c>
      <c r="F325" s="20" t="str" cm="1">
        <f t="array" ref="F325">IFERROR(INDEX(Data_Input!$A$1:$ZZ$502, MATCH("플랜번호", INDEX(Data_Input!$A$1:$ZZ$502, 0, MATCH(1, (Data_Input!$7:$7="IRP")*(Data_Input!$8:$8=$B325), 0)), 0) + 1, MATCH(1, (Data_Input!$7:$7=$F$3)*(Data_Input!$8:$8=$B325), 0)),"")</f>
        <v/>
      </c>
      <c r="G325" s="20" t="str" cm="1">
        <f t="array" ref="G325">IFERROR(INDEX(Data_Input!$A$1:$ZZ$502, MATCH("플랜명", INDEX(Data_Input!$A$1:$ZZ$502, 0, MATCH(1, (Data_Input!$7:$7="IRP")*(Data_Input!$8:$8=$B325), 0)), 0) + 1, MATCH(1, (Data_Input!$7:$7=$F$3)*(Data_Input!$8:$8=$B325), 0)),"")</f>
        <v/>
      </c>
      <c r="H325" s="20" t="str" cm="1">
        <f t="array" ref="H325">IFERROR(INDEX(Data_Input!$A$1:$ZZ$502, MATCH("평가금액", INDEX(Data_Input!$A$1:$ZZ$502, 0, MATCH(1, (Data_Input!$7:$7="IRP")*(Data_Input!$8:$8=$B325), 0)), 0) + 1, MATCH(1, (Data_Input!$7:$7=$F$3)*(Data_Input!$8:$8=$B325), 0)),"")</f>
        <v/>
      </c>
      <c r="I325" s="20" t="str" cm="1">
        <f t="array" ref="I325">IFERROR(INDEX(Data_Input!$A$1:$ZZ$502, MATCH("평가손익", INDEX(Data_Input!$A$1:$ZZ$502, 0, MATCH(1, (Data_Input!$7:$7="IRP")*(Data_Input!$8:$8=$B325), 0)), 0) + 1, MATCH(1, (Data_Input!$7:$7=$F$3)*(Data_Input!$8:$8=$B325), 0)),"")</f>
        <v/>
      </c>
      <c r="J325" s="14" t="str" cm="1">
        <f t="array" ref="J325">IFERROR(INDEX(Data_Input!$A$1:$ZZ$502, MATCH("누적수익률", INDEX(Data_Input!$A$1:$ZZ$502, 0, MATCH(1, (Data_Input!$7:$7="IRP")*(Data_Input!$8:$8=$B325), 0)), 0) + 1, MATCH(1, (Data_Input!$7:$7=$F$3)*(Data_Input!$8:$8=$B325), 0))/100,"")</f>
        <v/>
      </c>
      <c r="K325" t="str" cm="1">
        <f t="array" ref="K325">IFERROR(_xlfn.LET(
    _xlpm.targetDate, B325,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26" spans="1:11" x14ac:dyDescent="0.3">
      <c r="A326" s="16" t="str">
        <f t="shared" si="8"/>
        <v/>
      </c>
      <c r="B326" s="19"/>
      <c r="C326" s="17" t="str">
        <f t="shared" si="9"/>
        <v/>
      </c>
      <c r="D326" s="42" t="str" cm="1">
        <f t="array" ref="D326">IFERROR(INDEX(Data_Input!$1:$100, 10, MATCH(1, (Data_Input!$7:$7=$F$3) * (Data_Input!$8:$8=$B326), 0)), "")</f>
        <v/>
      </c>
      <c r="E326" s="29" t="str" cm="1">
        <f t="array" ref="E326">IFERROR(INDEX(Data_Input!$1:$100, 9, MATCH(1, (Data_Input!$7:$7=$F$3) * (Data_Input!$8:$8=$B326), 0)),"")</f>
        <v/>
      </c>
      <c r="F326" s="20" t="str" cm="1">
        <f t="array" ref="F326">IFERROR(INDEX(Data_Input!$A$1:$ZZ$502, MATCH("플랜번호", INDEX(Data_Input!$A$1:$ZZ$502, 0, MATCH(1, (Data_Input!$7:$7="IRP")*(Data_Input!$8:$8=$B326), 0)), 0) + 1, MATCH(1, (Data_Input!$7:$7=$F$3)*(Data_Input!$8:$8=$B326), 0)),"")</f>
        <v/>
      </c>
      <c r="G326" s="20" t="str" cm="1">
        <f t="array" ref="G326">IFERROR(INDEX(Data_Input!$A$1:$ZZ$502, MATCH("플랜명", INDEX(Data_Input!$A$1:$ZZ$502, 0, MATCH(1, (Data_Input!$7:$7="IRP")*(Data_Input!$8:$8=$B326), 0)), 0) + 1, MATCH(1, (Data_Input!$7:$7=$F$3)*(Data_Input!$8:$8=$B326), 0)),"")</f>
        <v/>
      </c>
      <c r="H326" s="20" t="str" cm="1">
        <f t="array" ref="H326">IFERROR(INDEX(Data_Input!$A$1:$ZZ$502, MATCH("평가금액", INDEX(Data_Input!$A$1:$ZZ$502, 0, MATCH(1, (Data_Input!$7:$7="IRP")*(Data_Input!$8:$8=$B326), 0)), 0) + 1, MATCH(1, (Data_Input!$7:$7=$F$3)*(Data_Input!$8:$8=$B326), 0)),"")</f>
        <v/>
      </c>
      <c r="I326" s="20" t="str" cm="1">
        <f t="array" ref="I326">IFERROR(INDEX(Data_Input!$A$1:$ZZ$502, MATCH("평가손익", INDEX(Data_Input!$A$1:$ZZ$502, 0, MATCH(1, (Data_Input!$7:$7="IRP")*(Data_Input!$8:$8=$B326), 0)), 0) + 1, MATCH(1, (Data_Input!$7:$7=$F$3)*(Data_Input!$8:$8=$B326), 0)),"")</f>
        <v/>
      </c>
      <c r="J326" s="14" t="str" cm="1">
        <f t="array" ref="J326">IFERROR(INDEX(Data_Input!$A$1:$ZZ$502, MATCH("누적수익률", INDEX(Data_Input!$A$1:$ZZ$502, 0, MATCH(1, (Data_Input!$7:$7="IRP")*(Data_Input!$8:$8=$B326), 0)), 0) + 1, MATCH(1, (Data_Input!$7:$7=$F$3)*(Data_Input!$8:$8=$B326), 0))/100,"")</f>
        <v/>
      </c>
      <c r="K326" t="str" cm="1">
        <f t="array" ref="K326">IFERROR(_xlfn.LET(
    _xlpm.targetDate, B326,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27" spans="1:11" x14ac:dyDescent="0.3">
      <c r="A327" s="16" t="str">
        <f t="shared" ref="A327:A390" si="10">IF(B327&gt;0,A326+1,"")</f>
        <v/>
      </c>
      <c r="B327" s="19"/>
      <c r="C327" s="17" t="str">
        <f t="shared" si="9"/>
        <v/>
      </c>
      <c r="D327" s="42" t="str" cm="1">
        <f t="array" ref="D327">IFERROR(INDEX(Data_Input!$1:$100, 10, MATCH(1, (Data_Input!$7:$7=$F$3) * (Data_Input!$8:$8=$B327), 0)), "")</f>
        <v/>
      </c>
      <c r="E327" s="29" t="str" cm="1">
        <f t="array" ref="E327">IFERROR(INDEX(Data_Input!$1:$100, 9, MATCH(1, (Data_Input!$7:$7=$F$3) * (Data_Input!$8:$8=$B327), 0)),"")</f>
        <v/>
      </c>
      <c r="F327" s="20" t="str" cm="1">
        <f t="array" ref="F327">IFERROR(INDEX(Data_Input!$A$1:$ZZ$502, MATCH("플랜번호", INDEX(Data_Input!$A$1:$ZZ$502, 0, MATCH(1, (Data_Input!$7:$7="IRP")*(Data_Input!$8:$8=$B327), 0)), 0) + 1, MATCH(1, (Data_Input!$7:$7=$F$3)*(Data_Input!$8:$8=$B327), 0)),"")</f>
        <v/>
      </c>
      <c r="G327" s="20" t="str" cm="1">
        <f t="array" ref="G327">IFERROR(INDEX(Data_Input!$A$1:$ZZ$502, MATCH("플랜명", INDEX(Data_Input!$A$1:$ZZ$502, 0, MATCH(1, (Data_Input!$7:$7="IRP")*(Data_Input!$8:$8=$B327), 0)), 0) + 1, MATCH(1, (Data_Input!$7:$7=$F$3)*(Data_Input!$8:$8=$B327), 0)),"")</f>
        <v/>
      </c>
      <c r="H327" s="20" t="str" cm="1">
        <f t="array" ref="H327">IFERROR(INDEX(Data_Input!$A$1:$ZZ$502, MATCH("평가금액", INDEX(Data_Input!$A$1:$ZZ$502, 0, MATCH(1, (Data_Input!$7:$7="IRP")*(Data_Input!$8:$8=$B327), 0)), 0) + 1, MATCH(1, (Data_Input!$7:$7=$F$3)*(Data_Input!$8:$8=$B327), 0)),"")</f>
        <v/>
      </c>
      <c r="I327" s="20" t="str" cm="1">
        <f t="array" ref="I327">IFERROR(INDEX(Data_Input!$A$1:$ZZ$502, MATCH("평가손익", INDEX(Data_Input!$A$1:$ZZ$502, 0, MATCH(1, (Data_Input!$7:$7="IRP")*(Data_Input!$8:$8=$B327), 0)), 0) + 1, MATCH(1, (Data_Input!$7:$7=$F$3)*(Data_Input!$8:$8=$B327), 0)),"")</f>
        <v/>
      </c>
      <c r="J327" s="14" t="str" cm="1">
        <f t="array" ref="J327">IFERROR(INDEX(Data_Input!$A$1:$ZZ$502, MATCH("누적수익률", INDEX(Data_Input!$A$1:$ZZ$502, 0, MATCH(1, (Data_Input!$7:$7="IRP")*(Data_Input!$8:$8=$B327), 0)), 0) + 1, MATCH(1, (Data_Input!$7:$7=$F$3)*(Data_Input!$8:$8=$B327), 0))/100,"")</f>
        <v/>
      </c>
      <c r="K327" t="str" cm="1">
        <f t="array" ref="K327">IFERROR(_xlfn.LET(
    _xlpm.targetDate, B327,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28" spans="1:11" x14ac:dyDescent="0.3">
      <c r="A328" s="16" t="str">
        <f t="shared" si="10"/>
        <v/>
      </c>
      <c r="B328" s="19"/>
      <c r="C328" s="17" t="str">
        <f t="shared" ref="C328:C391" si="11">IF(B328&gt;0,C327,"")</f>
        <v/>
      </c>
      <c r="D328" s="42" t="str" cm="1">
        <f t="array" ref="D328">IFERROR(INDEX(Data_Input!$1:$100, 10, MATCH(1, (Data_Input!$7:$7=$F$3) * (Data_Input!$8:$8=$B328), 0)), "")</f>
        <v/>
      </c>
      <c r="E328" s="29" t="str" cm="1">
        <f t="array" ref="E328">IFERROR(INDEX(Data_Input!$1:$100, 9, MATCH(1, (Data_Input!$7:$7=$F$3) * (Data_Input!$8:$8=$B328), 0)),"")</f>
        <v/>
      </c>
      <c r="F328" s="20" t="str" cm="1">
        <f t="array" ref="F328">IFERROR(INDEX(Data_Input!$A$1:$ZZ$502, MATCH("플랜번호", INDEX(Data_Input!$A$1:$ZZ$502, 0, MATCH(1, (Data_Input!$7:$7="IRP")*(Data_Input!$8:$8=$B328), 0)), 0) + 1, MATCH(1, (Data_Input!$7:$7=$F$3)*(Data_Input!$8:$8=$B328), 0)),"")</f>
        <v/>
      </c>
      <c r="G328" s="20" t="str" cm="1">
        <f t="array" ref="G328">IFERROR(INDEX(Data_Input!$A$1:$ZZ$502, MATCH("플랜명", INDEX(Data_Input!$A$1:$ZZ$502, 0, MATCH(1, (Data_Input!$7:$7="IRP")*(Data_Input!$8:$8=$B328), 0)), 0) + 1, MATCH(1, (Data_Input!$7:$7=$F$3)*(Data_Input!$8:$8=$B328), 0)),"")</f>
        <v/>
      </c>
      <c r="H328" s="20" t="str" cm="1">
        <f t="array" ref="H328">IFERROR(INDEX(Data_Input!$A$1:$ZZ$502, MATCH("평가금액", INDEX(Data_Input!$A$1:$ZZ$502, 0, MATCH(1, (Data_Input!$7:$7="IRP")*(Data_Input!$8:$8=$B328), 0)), 0) + 1, MATCH(1, (Data_Input!$7:$7=$F$3)*(Data_Input!$8:$8=$B328), 0)),"")</f>
        <v/>
      </c>
      <c r="I328" s="20" t="str" cm="1">
        <f t="array" ref="I328">IFERROR(INDEX(Data_Input!$A$1:$ZZ$502, MATCH("평가손익", INDEX(Data_Input!$A$1:$ZZ$502, 0, MATCH(1, (Data_Input!$7:$7="IRP")*(Data_Input!$8:$8=$B328), 0)), 0) + 1, MATCH(1, (Data_Input!$7:$7=$F$3)*(Data_Input!$8:$8=$B328), 0)),"")</f>
        <v/>
      </c>
      <c r="J328" s="14" t="str" cm="1">
        <f t="array" ref="J328">IFERROR(INDEX(Data_Input!$A$1:$ZZ$502, MATCH("누적수익률", INDEX(Data_Input!$A$1:$ZZ$502, 0, MATCH(1, (Data_Input!$7:$7="IRP")*(Data_Input!$8:$8=$B328), 0)), 0) + 1, MATCH(1, (Data_Input!$7:$7=$F$3)*(Data_Input!$8:$8=$B328), 0))/100,"")</f>
        <v/>
      </c>
      <c r="K328" t="str" cm="1">
        <f t="array" ref="K328">IFERROR(_xlfn.LET(
    _xlpm.targetDate, B328,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29" spans="1:11" x14ac:dyDescent="0.3">
      <c r="A329" s="16" t="str">
        <f t="shared" si="10"/>
        <v/>
      </c>
      <c r="B329" s="19"/>
      <c r="C329" s="17" t="str">
        <f t="shared" si="11"/>
        <v/>
      </c>
      <c r="D329" s="42" t="str" cm="1">
        <f t="array" ref="D329">IFERROR(INDEX(Data_Input!$1:$100, 10, MATCH(1, (Data_Input!$7:$7=$F$3) * (Data_Input!$8:$8=$B329), 0)), "")</f>
        <v/>
      </c>
      <c r="E329" s="29" t="str" cm="1">
        <f t="array" ref="E329">IFERROR(INDEX(Data_Input!$1:$100, 9, MATCH(1, (Data_Input!$7:$7=$F$3) * (Data_Input!$8:$8=$B329), 0)),"")</f>
        <v/>
      </c>
      <c r="F329" s="20" t="str" cm="1">
        <f t="array" ref="F329">IFERROR(INDEX(Data_Input!$A$1:$ZZ$502, MATCH("플랜번호", INDEX(Data_Input!$A$1:$ZZ$502, 0, MATCH(1, (Data_Input!$7:$7="IRP")*(Data_Input!$8:$8=$B329), 0)), 0) + 1, MATCH(1, (Data_Input!$7:$7=$F$3)*(Data_Input!$8:$8=$B329), 0)),"")</f>
        <v/>
      </c>
      <c r="G329" s="20" t="str" cm="1">
        <f t="array" ref="G329">IFERROR(INDEX(Data_Input!$A$1:$ZZ$502, MATCH("플랜명", INDEX(Data_Input!$A$1:$ZZ$502, 0, MATCH(1, (Data_Input!$7:$7="IRP")*(Data_Input!$8:$8=$B329), 0)), 0) + 1, MATCH(1, (Data_Input!$7:$7=$F$3)*(Data_Input!$8:$8=$B329), 0)),"")</f>
        <v/>
      </c>
      <c r="H329" s="20" t="str" cm="1">
        <f t="array" ref="H329">IFERROR(INDEX(Data_Input!$A$1:$ZZ$502, MATCH("평가금액", INDEX(Data_Input!$A$1:$ZZ$502, 0, MATCH(1, (Data_Input!$7:$7="IRP")*(Data_Input!$8:$8=$B329), 0)), 0) + 1, MATCH(1, (Data_Input!$7:$7=$F$3)*(Data_Input!$8:$8=$B329), 0)),"")</f>
        <v/>
      </c>
      <c r="I329" s="20" t="str" cm="1">
        <f t="array" ref="I329">IFERROR(INDEX(Data_Input!$A$1:$ZZ$502, MATCH("평가손익", INDEX(Data_Input!$A$1:$ZZ$502, 0, MATCH(1, (Data_Input!$7:$7="IRP")*(Data_Input!$8:$8=$B329), 0)), 0) + 1, MATCH(1, (Data_Input!$7:$7=$F$3)*(Data_Input!$8:$8=$B329), 0)),"")</f>
        <v/>
      </c>
      <c r="J329" s="14" t="str" cm="1">
        <f t="array" ref="J329">IFERROR(INDEX(Data_Input!$A$1:$ZZ$502, MATCH("누적수익률", INDEX(Data_Input!$A$1:$ZZ$502, 0, MATCH(1, (Data_Input!$7:$7="IRP")*(Data_Input!$8:$8=$B329), 0)), 0) + 1, MATCH(1, (Data_Input!$7:$7=$F$3)*(Data_Input!$8:$8=$B329), 0))/100,"")</f>
        <v/>
      </c>
      <c r="K329" t="str" cm="1">
        <f t="array" ref="K329">IFERROR(_xlfn.LET(
    _xlpm.targetDate, B329,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30" spans="1:11" x14ac:dyDescent="0.3">
      <c r="A330" s="16" t="str">
        <f t="shared" si="10"/>
        <v/>
      </c>
      <c r="B330" s="19"/>
      <c r="C330" s="17" t="str">
        <f t="shared" si="11"/>
        <v/>
      </c>
      <c r="D330" s="42" t="str" cm="1">
        <f t="array" ref="D330">IFERROR(INDEX(Data_Input!$1:$100, 10, MATCH(1, (Data_Input!$7:$7=$F$3) * (Data_Input!$8:$8=$B330), 0)), "")</f>
        <v/>
      </c>
      <c r="E330" s="29" t="str" cm="1">
        <f t="array" ref="E330">IFERROR(INDEX(Data_Input!$1:$100, 9, MATCH(1, (Data_Input!$7:$7=$F$3) * (Data_Input!$8:$8=$B330), 0)),"")</f>
        <v/>
      </c>
      <c r="F330" s="20" t="str" cm="1">
        <f t="array" ref="F330">IFERROR(INDEX(Data_Input!$A$1:$ZZ$502, MATCH("플랜번호", INDEX(Data_Input!$A$1:$ZZ$502, 0, MATCH(1, (Data_Input!$7:$7="IRP")*(Data_Input!$8:$8=$B330), 0)), 0) + 1, MATCH(1, (Data_Input!$7:$7=$F$3)*(Data_Input!$8:$8=$B330), 0)),"")</f>
        <v/>
      </c>
      <c r="G330" s="20" t="str" cm="1">
        <f t="array" ref="G330">IFERROR(INDEX(Data_Input!$A$1:$ZZ$502, MATCH("플랜명", INDEX(Data_Input!$A$1:$ZZ$502, 0, MATCH(1, (Data_Input!$7:$7="IRP")*(Data_Input!$8:$8=$B330), 0)), 0) + 1, MATCH(1, (Data_Input!$7:$7=$F$3)*(Data_Input!$8:$8=$B330), 0)),"")</f>
        <v/>
      </c>
      <c r="H330" s="20" t="str" cm="1">
        <f t="array" ref="H330">IFERROR(INDEX(Data_Input!$A$1:$ZZ$502, MATCH("평가금액", INDEX(Data_Input!$A$1:$ZZ$502, 0, MATCH(1, (Data_Input!$7:$7="IRP")*(Data_Input!$8:$8=$B330), 0)), 0) + 1, MATCH(1, (Data_Input!$7:$7=$F$3)*(Data_Input!$8:$8=$B330), 0)),"")</f>
        <v/>
      </c>
      <c r="I330" s="20" t="str" cm="1">
        <f t="array" ref="I330">IFERROR(INDEX(Data_Input!$A$1:$ZZ$502, MATCH("평가손익", INDEX(Data_Input!$A$1:$ZZ$502, 0, MATCH(1, (Data_Input!$7:$7="IRP")*(Data_Input!$8:$8=$B330), 0)), 0) + 1, MATCH(1, (Data_Input!$7:$7=$F$3)*(Data_Input!$8:$8=$B330), 0)),"")</f>
        <v/>
      </c>
      <c r="J330" s="14" t="str" cm="1">
        <f t="array" ref="J330">IFERROR(INDEX(Data_Input!$A$1:$ZZ$502, MATCH("누적수익률", INDEX(Data_Input!$A$1:$ZZ$502, 0, MATCH(1, (Data_Input!$7:$7="IRP")*(Data_Input!$8:$8=$B330), 0)), 0) + 1, MATCH(1, (Data_Input!$7:$7=$F$3)*(Data_Input!$8:$8=$B330), 0))/100,"")</f>
        <v/>
      </c>
      <c r="K330" t="str" cm="1">
        <f t="array" ref="K330">IFERROR(_xlfn.LET(
    _xlpm.targetDate, B330,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31" spans="1:11" x14ac:dyDescent="0.3">
      <c r="A331" s="16" t="str">
        <f t="shared" si="10"/>
        <v/>
      </c>
      <c r="B331" s="19"/>
      <c r="C331" s="17" t="str">
        <f t="shared" si="11"/>
        <v/>
      </c>
      <c r="D331" s="42" t="str" cm="1">
        <f t="array" ref="D331">IFERROR(INDEX(Data_Input!$1:$100, 10, MATCH(1, (Data_Input!$7:$7=$F$3) * (Data_Input!$8:$8=$B331), 0)), "")</f>
        <v/>
      </c>
      <c r="E331" s="29" t="str" cm="1">
        <f t="array" ref="E331">IFERROR(INDEX(Data_Input!$1:$100, 9, MATCH(1, (Data_Input!$7:$7=$F$3) * (Data_Input!$8:$8=$B331), 0)),"")</f>
        <v/>
      </c>
      <c r="F331" s="20" t="str" cm="1">
        <f t="array" ref="F331">IFERROR(INDEX(Data_Input!$A$1:$ZZ$502, MATCH("플랜번호", INDEX(Data_Input!$A$1:$ZZ$502, 0, MATCH(1, (Data_Input!$7:$7="IRP")*(Data_Input!$8:$8=$B331), 0)), 0) + 1, MATCH(1, (Data_Input!$7:$7=$F$3)*(Data_Input!$8:$8=$B331), 0)),"")</f>
        <v/>
      </c>
      <c r="G331" s="20" t="str" cm="1">
        <f t="array" ref="G331">IFERROR(INDEX(Data_Input!$A$1:$ZZ$502, MATCH("플랜명", INDEX(Data_Input!$A$1:$ZZ$502, 0, MATCH(1, (Data_Input!$7:$7="IRP")*(Data_Input!$8:$8=$B331), 0)), 0) + 1, MATCH(1, (Data_Input!$7:$7=$F$3)*(Data_Input!$8:$8=$B331), 0)),"")</f>
        <v/>
      </c>
      <c r="H331" s="20" t="str" cm="1">
        <f t="array" ref="H331">IFERROR(INDEX(Data_Input!$A$1:$ZZ$502, MATCH("평가금액", INDEX(Data_Input!$A$1:$ZZ$502, 0, MATCH(1, (Data_Input!$7:$7="IRP")*(Data_Input!$8:$8=$B331), 0)), 0) + 1, MATCH(1, (Data_Input!$7:$7=$F$3)*(Data_Input!$8:$8=$B331), 0)),"")</f>
        <v/>
      </c>
      <c r="I331" s="20" t="str" cm="1">
        <f t="array" ref="I331">IFERROR(INDEX(Data_Input!$A$1:$ZZ$502, MATCH("평가손익", INDEX(Data_Input!$A$1:$ZZ$502, 0, MATCH(1, (Data_Input!$7:$7="IRP")*(Data_Input!$8:$8=$B331), 0)), 0) + 1, MATCH(1, (Data_Input!$7:$7=$F$3)*(Data_Input!$8:$8=$B331), 0)),"")</f>
        <v/>
      </c>
      <c r="J331" s="14" t="str" cm="1">
        <f t="array" ref="J331">IFERROR(INDEX(Data_Input!$A$1:$ZZ$502, MATCH("누적수익률", INDEX(Data_Input!$A$1:$ZZ$502, 0, MATCH(1, (Data_Input!$7:$7="IRP")*(Data_Input!$8:$8=$B331), 0)), 0) + 1, MATCH(1, (Data_Input!$7:$7=$F$3)*(Data_Input!$8:$8=$B331), 0))/100,"")</f>
        <v/>
      </c>
      <c r="K331" t="str" cm="1">
        <f t="array" ref="K331">IFERROR(_xlfn.LET(
    _xlpm.targetDate, B331,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32" spans="1:11" x14ac:dyDescent="0.3">
      <c r="A332" s="16" t="str">
        <f t="shared" si="10"/>
        <v/>
      </c>
      <c r="B332" s="19"/>
      <c r="C332" s="17" t="str">
        <f t="shared" si="11"/>
        <v/>
      </c>
      <c r="D332" s="42" t="str" cm="1">
        <f t="array" ref="D332">IFERROR(INDEX(Data_Input!$1:$100, 10, MATCH(1, (Data_Input!$7:$7=$F$3) * (Data_Input!$8:$8=$B332), 0)), "")</f>
        <v/>
      </c>
      <c r="E332" s="29" t="str" cm="1">
        <f t="array" ref="E332">IFERROR(INDEX(Data_Input!$1:$100, 9, MATCH(1, (Data_Input!$7:$7=$F$3) * (Data_Input!$8:$8=$B332), 0)),"")</f>
        <v/>
      </c>
      <c r="F332" s="20" t="str" cm="1">
        <f t="array" ref="F332">IFERROR(INDEX(Data_Input!$A$1:$ZZ$502, MATCH("플랜번호", INDEX(Data_Input!$A$1:$ZZ$502, 0, MATCH(1, (Data_Input!$7:$7="IRP")*(Data_Input!$8:$8=$B332), 0)), 0) + 1, MATCH(1, (Data_Input!$7:$7=$F$3)*(Data_Input!$8:$8=$B332), 0)),"")</f>
        <v/>
      </c>
      <c r="G332" s="20" t="str" cm="1">
        <f t="array" ref="G332">IFERROR(INDEX(Data_Input!$A$1:$ZZ$502, MATCH("플랜명", INDEX(Data_Input!$A$1:$ZZ$502, 0, MATCH(1, (Data_Input!$7:$7="IRP")*(Data_Input!$8:$8=$B332), 0)), 0) + 1, MATCH(1, (Data_Input!$7:$7=$F$3)*(Data_Input!$8:$8=$B332), 0)),"")</f>
        <v/>
      </c>
      <c r="H332" s="20" t="str" cm="1">
        <f t="array" ref="H332">IFERROR(INDEX(Data_Input!$A$1:$ZZ$502, MATCH("평가금액", INDEX(Data_Input!$A$1:$ZZ$502, 0, MATCH(1, (Data_Input!$7:$7="IRP")*(Data_Input!$8:$8=$B332), 0)), 0) + 1, MATCH(1, (Data_Input!$7:$7=$F$3)*(Data_Input!$8:$8=$B332), 0)),"")</f>
        <v/>
      </c>
      <c r="I332" s="20" t="str" cm="1">
        <f t="array" ref="I332">IFERROR(INDEX(Data_Input!$A$1:$ZZ$502, MATCH("평가손익", INDEX(Data_Input!$A$1:$ZZ$502, 0, MATCH(1, (Data_Input!$7:$7="IRP")*(Data_Input!$8:$8=$B332), 0)), 0) + 1, MATCH(1, (Data_Input!$7:$7=$F$3)*(Data_Input!$8:$8=$B332), 0)),"")</f>
        <v/>
      </c>
      <c r="J332" s="14" t="str" cm="1">
        <f t="array" ref="J332">IFERROR(INDEX(Data_Input!$A$1:$ZZ$502, MATCH("누적수익률", INDEX(Data_Input!$A$1:$ZZ$502, 0, MATCH(1, (Data_Input!$7:$7="IRP")*(Data_Input!$8:$8=$B332), 0)), 0) + 1, MATCH(1, (Data_Input!$7:$7=$F$3)*(Data_Input!$8:$8=$B332), 0))/100,"")</f>
        <v/>
      </c>
      <c r="K332" t="str" cm="1">
        <f t="array" ref="K332">IFERROR(_xlfn.LET(
    _xlpm.targetDate, B332,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33" spans="1:11" x14ac:dyDescent="0.3">
      <c r="A333" s="16" t="str">
        <f t="shared" si="10"/>
        <v/>
      </c>
      <c r="B333" s="19"/>
      <c r="C333" s="17" t="str">
        <f t="shared" si="11"/>
        <v/>
      </c>
      <c r="D333" s="42" t="str" cm="1">
        <f t="array" ref="D333">IFERROR(INDEX(Data_Input!$1:$100, 10, MATCH(1, (Data_Input!$7:$7=$F$3) * (Data_Input!$8:$8=$B333), 0)), "")</f>
        <v/>
      </c>
      <c r="E333" s="29" t="str" cm="1">
        <f t="array" ref="E333">IFERROR(INDEX(Data_Input!$1:$100, 9, MATCH(1, (Data_Input!$7:$7=$F$3) * (Data_Input!$8:$8=$B333), 0)),"")</f>
        <v/>
      </c>
      <c r="F333" s="20" t="str" cm="1">
        <f t="array" ref="F333">IFERROR(INDEX(Data_Input!$A$1:$ZZ$502, MATCH("플랜번호", INDEX(Data_Input!$A$1:$ZZ$502, 0, MATCH(1, (Data_Input!$7:$7="IRP")*(Data_Input!$8:$8=$B333), 0)), 0) + 1, MATCH(1, (Data_Input!$7:$7=$F$3)*(Data_Input!$8:$8=$B333), 0)),"")</f>
        <v/>
      </c>
      <c r="G333" s="20" t="str" cm="1">
        <f t="array" ref="G333">IFERROR(INDEX(Data_Input!$A$1:$ZZ$502, MATCH("플랜명", INDEX(Data_Input!$A$1:$ZZ$502, 0, MATCH(1, (Data_Input!$7:$7="IRP")*(Data_Input!$8:$8=$B333), 0)), 0) + 1, MATCH(1, (Data_Input!$7:$7=$F$3)*(Data_Input!$8:$8=$B333), 0)),"")</f>
        <v/>
      </c>
      <c r="H333" s="20" t="str" cm="1">
        <f t="array" ref="H333">IFERROR(INDEX(Data_Input!$A$1:$ZZ$502, MATCH("평가금액", INDEX(Data_Input!$A$1:$ZZ$502, 0, MATCH(1, (Data_Input!$7:$7="IRP")*(Data_Input!$8:$8=$B333), 0)), 0) + 1, MATCH(1, (Data_Input!$7:$7=$F$3)*(Data_Input!$8:$8=$B333), 0)),"")</f>
        <v/>
      </c>
      <c r="I333" s="20" t="str" cm="1">
        <f t="array" ref="I333">IFERROR(INDEX(Data_Input!$A$1:$ZZ$502, MATCH("평가손익", INDEX(Data_Input!$A$1:$ZZ$502, 0, MATCH(1, (Data_Input!$7:$7="IRP")*(Data_Input!$8:$8=$B333), 0)), 0) + 1, MATCH(1, (Data_Input!$7:$7=$F$3)*(Data_Input!$8:$8=$B333), 0)),"")</f>
        <v/>
      </c>
      <c r="J333" s="14" t="str" cm="1">
        <f t="array" ref="J333">IFERROR(INDEX(Data_Input!$A$1:$ZZ$502, MATCH("누적수익률", INDEX(Data_Input!$A$1:$ZZ$502, 0, MATCH(1, (Data_Input!$7:$7="IRP")*(Data_Input!$8:$8=$B333), 0)), 0) + 1, MATCH(1, (Data_Input!$7:$7=$F$3)*(Data_Input!$8:$8=$B333), 0))/100,"")</f>
        <v/>
      </c>
      <c r="K333" t="str" cm="1">
        <f t="array" ref="K333">IFERROR(_xlfn.LET(
    _xlpm.targetDate, B333,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34" spans="1:11" x14ac:dyDescent="0.3">
      <c r="A334" s="16" t="str">
        <f t="shared" si="10"/>
        <v/>
      </c>
      <c r="B334" s="19"/>
      <c r="C334" s="17" t="str">
        <f t="shared" si="11"/>
        <v/>
      </c>
      <c r="D334" s="42" t="str" cm="1">
        <f t="array" ref="D334">IFERROR(INDEX(Data_Input!$1:$100, 10, MATCH(1, (Data_Input!$7:$7=$F$3) * (Data_Input!$8:$8=$B334), 0)), "")</f>
        <v/>
      </c>
      <c r="E334" s="29" t="str" cm="1">
        <f t="array" ref="E334">IFERROR(INDEX(Data_Input!$1:$100, 9, MATCH(1, (Data_Input!$7:$7=$F$3) * (Data_Input!$8:$8=$B334), 0)),"")</f>
        <v/>
      </c>
      <c r="F334" s="20" t="str" cm="1">
        <f t="array" ref="F334">IFERROR(INDEX(Data_Input!$A$1:$ZZ$502, MATCH("플랜번호", INDEX(Data_Input!$A$1:$ZZ$502, 0, MATCH(1, (Data_Input!$7:$7="IRP")*(Data_Input!$8:$8=$B334), 0)), 0) + 1, MATCH(1, (Data_Input!$7:$7=$F$3)*(Data_Input!$8:$8=$B334), 0)),"")</f>
        <v/>
      </c>
      <c r="G334" s="20" t="str" cm="1">
        <f t="array" ref="G334">IFERROR(INDEX(Data_Input!$A$1:$ZZ$502, MATCH("플랜명", INDEX(Data_Input!$A$1:$ZZ$502, 0, MATCH(1, (Data_Input!$7:$7="IRP")*(Data_Input!$8:$8=$B334), 0)), 0) + 1, MATCH(1, (Data_Input!$7:$7=$F$3)*(Data_Input!$8:$8=$B334), 0)),"")</f>
        <v/>
      </c>
      <c r="H334" s="20" t="str" cm="1">
        <f t="array" ref="H334">IFERROR(INDEX(Data_Input!$A$1:$ZZ$502, MATCH("평가금액", INDEX(Data_Input!$A$1:$ZZ$502, 0, MATCH(1, (Data_Input!$7:$7="IRP")*(Data_Input!$8:$8=$B334), 0)), 0) + 1, MATCH(1, (Data_Input!$7:$7=$F$3)*(Data_Input!$8:$8=$B334), 0)),"")</f>
        <v/>
      </c>
      <c r="I334" s="20" t="str" cm="1">
        <f t="array" ref="I334">IFERROR(INDEX(Data_Input!$A$1:$ZZ$502, MATCH("평가손익", INDEX(Data_Input!$A$1:$ZZ$502, 0, MATCH(1, (Data_Input!$7:$7="IRP")*(Data_Input!$8:$8=$B334), 0)), 0) + 1, MATCH(1, (Data_Input!$7:$7=$F$3)*(Data_Input!$8:$8=$B334), 0)),"")</f>
        <v/>
      </c>
      <c r="J334" s="14" t="str" cm="1">
        <f t="array" ref="J334">IFERROR(INDEX(Data_Input!$A$1:$ZZ$502, MATCH("누적수익률", INDEX(Data_Input!$A$1:$ZZ$502, 0, MATCH(1, (Data_Input!$7:$7="IRP")*(Data_Input!$8:$8=$B334), 0)), 0) + 1, MATCH(1, (Data_Input!$7:$7=$F$3)*(Data_Input!$8:$8=$B334), 0))/100,"")</f>
        <v/>
      </c>
      <c r="K334" t="str" cm="1">
        <f t="array" ref="K334">IFERROR(_xlfn.LET(
    _xlpm.targetDate, B334,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35" spans="1:11" x14ac:dyDescent="0.3">
      <c r="A335" s="16" t="str">
        <f t="shared" si="10"/>
        <v/>
      </c>
      <c r="B335" s="19"/>
      <c r="C335" s="17" t="str">
        <f t="shared" si="11"/>
        <v/>
      </c>
      <c r="D335" s="42" t="str" cm="1">
        <f t="array" ref="D335">IFERROR(INDEX(Data_Input!$1:$100, 10, MATCH(1, (Data_Input!$7:$7=$F$3) * (Data_Input!$8:$8=$B335), 0)), "")</f>
        <v/>
      </c>
      <c r="E335" s="29" t="str" cm="1">
        <f t="array" ref="E335">IFERROR(INDEX(Data_Input!$1:$100, 9, MATCH(1, (Data_Input!$7:$7=$F$3) * (Data_Input!$8:$8=$B335), 0)),"")</f>
        <v/>
      </c>
      <c r="F335" s="20" t="str" cm="1">
        <f t="array" ref="F335">IFERROR(INDEX(Data_Input!$A$1:$ZZ$502, MATCH("플랜번호", INDEX(Data_Input!$A$1:$ZZ$502, 0, MATCH(1, (Data_Input!$7:$7="IRP")*(Data_Input!$8:$8=$B335), 0)), 0) + 1, MATCH(1, (Data_Input!$7:$7=$F$3)*(Data_Input!$8:$8=$B335), 0)),"")</f>
        <v/>
      </c>
      <c r="G335" s="20" t="str" cm="1">
        <f t="array" ref="G335">IFERROR(INDEX(Data_Input!$A$1:$ZZ$502, MATCH("플랜명", INDEX(Data_Input!$A$1:$ZZ$502, 0, MATCH(1, (Data_Input!$7:$7="IRP")*(Data_Input!$8:$8=$B335), 0)), 0) + 1, MATCH(1, (Data_Input!$7:$7=$F$3)*(Data_Input!$8:$8=$B335), 0)),"")</f>
        <v/>
      </c>
      <c r="H335" s="20" t="str" cm="1">
        <f t="array" ref="H335">IFERROR(INDEX(Data_Input!$A$1:$ZZ$502, MATCH("평가금액", INDEX(Data_Input!$A$1:$ZZ$502, 0, MATCH(1, (Data_Input!$7:$7="IRP")*(Data_Input!$8:$8=$B335), 0)), 0) + 1, MATCH(1, (Data_Input!$7:$7=$F$3)*(Data_Input!$8:$8=$B335), 0)),"")</f>
        <v/>
      </c>
      <c r="I335" s="20" t="str" cm="1">
        <f t="array" ref="I335">IFERROR(INDEX(Data_Input!$A$1:$ZZ$502, MATCH("평가손익", INDEX(Data_Input!$A$1:$ZZ$502, 0, MATCH(1, (Data_Input!$7:$7="IRP")*(Data_Input!$8:$8=$B335), 0)), 0) + 1, MATCH(1, (Data_Input!$7:$7=$F$3)*(Data_Input!$8:$8=$B335), 0)),"")</f>
        <v/>
      </c>
      <c r="J335" s="14" t="str" cm="1">
        <f t="array" ref="J335">IFERROR(INDEX(Data_Input!$A$1:$ZZ$502, MATCH("누적수익률", INDEX(Data_Input!$A$1:$ZZ$502, 0, MATCH(1, (Data_Input!$7:$7="IRP")*(Data_Input!$8:$8=$B335), 0)), 0) + 1, MATCH(1, (Data_Input!$7:$7=$F$3)*(Data_Input!$8:$8=$B335), 0))/100,"")</f>
        <v/>
      </c>
      <c r="K335" t="str" cm="1">
        <f t="array" ref="K335">IFERROR(_xlfn.LET(
    _xlpm.targetDate, B335,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36" spans="1:11" x14ac:dyDescent="0.3">
      <c r="A336" s="16" t="str">
        <f t="shared" si="10"/>
        <v/>
      </c>
      <c r="B336" s="19"/>
      <c r="C336" s="17" t="str">
        <f t="shared" si="11"/>
        <v/>
      </c>
      <c r="D336" s="42" t="str" cm="1">
        <f t="array" ref="D336">IFERROR(INDEX(Data_Input!$1:$100, 10, MATCH(1, (Data_Input!$7:$7=$F$3) * (Data_Input!$8:$8=$B336), 0)), "")</f>
        <v/>
      </c>
      <c r="E336" s="29" t="str" cm="1">
        <f t="array" ref="E336">IFERROR(INDEX(Data_Input!$1:$100, 9, MATCH(1, (Data_Input!$7:$7=$F$3) * (Data_Input!$8:$8=$B336), 0)),"")</f>
        <v/>
      </c>
      <c r="F336" s="20" t="str" cm="1">
        <f t="array" ref="F336">IFERROR(INDEX(Data_Input!$A$1:$ZZ$502, MATCH("플랜번호", INDEX(Data_Input!$A$1:$ZZ$502, 0, MATCH(1, (Data_Input!$7:$7="IRP")*(Data_Input!$8:$8=$B336), 0)), 0) + 1, MATCH(1, (Data_Input!$7:$7=$F$3)*(Data_Input!$8:$8=$B336), 0)),"")</f>
        <v/>
      </c>
      <c r="G336" s="20" t="str" cm="1">
        <f t="array" ref="G336">IFERROR(INDEX(Data_Input!$A$1:$ZZ$502, MATCH("플랜명", INDEX(Data_Input!$A$1:$ZZ$502, 0, MATCH(1, (Data_Input!$7:$7="IRP")*(Data_Input!$8:$8=$B336), 0)), 0) + 1, MATCH(1, (Data_Input!$7:$7=$F$3)*(Data_Input!$8:$8=$B336), 0)),"")</f>
        <v/>
      </c>
      <c r="H336" s="20" t="str" cm="1">
        <f t="array" ref="H336">IFERROR(INDEX(Data_Input!$A$1:$ZZ$502, MATCH("평가금액", INDEX(Data_Input!$A$1:$ZZ$502, 0, MATCH(1, (Data_Input!$7:$7="IRP")*(Data_Input!$8:$8=$B336), 0)), 0) + 1, MATCH(1, (Data_Input!$7:$7=$F$3)*(Data_Input!$8:$8=$B336), 0)),"")</f>
        <v/>
      </c>
      <c r="I336" s="20" t="str" cm="1">
        <f t="array" ref="I336">IFERROR(INDEX(Data_Input!$A$1:$ZZ$502, MATCH("평가손익", INDEX(Data_Input!$A$1:$ZZ$502, 0, MATCH(1, (Data_Input!$7:$7="IRP")*(Data_Input!$8:$8=$B336), 0)), 0) + 1, MATCH(1, (Data_Input!$7:$7=$F$3)*(Data_Input!$8:$8=$B336), 0)),"")</f>
        <v/>
      </c>
      <c r="J336" s="14" t="str" cm="1">
        <f t="array" ref="J336">IFERROR(INDEX(Data_Input!$A$1:$ZZ$502, MATCH("누적수익률", INDEX(Data_Input!$A$1:$ZZ$502, 0, MATCH(1, (Data_Input!$7:$7="IRP")*(Data_Input!$8:$8=$B336), 0)), 0) + 1, MATCH(1, (Data_Input!$7:$7=$F$3)*(Data_Input!$8:$8=$B336), 0))/100,"")</f>
        <v/>
      </c>
      <c r="K336" t="str" cm="1">
        <f t="array" ref="K336">IFERROR(_xlfn.LET(
    _xlpm.targetDate, B336,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37" spans="1:11" x14ac:dyDescent="0.3">
      <c r="A337" s="16" t="str">
        <f t="shared" si="10"/>
        <v/>
      </c>
      <c r="B337" s="19"/>
      <c r="C337" s="17" t="str">
        <f t="shared" si="11"/>
        <v/>
      </c>
      <c r="D337" s="42" t="str" cm="1">
        <f t="array" ref="D337">IFERROR(INDEX(Data_Input!$1:$100, 10, MATCH(1, (Data_Input!$7:$7=$F$3) * (Data_Input!$8:$8=$B337), 0)), "")</f>
        <v/>
      </c>
      <c r="E337" s="29" t="str" cm="1">
        <f t="array" ref="E337">IFERROR(INDEX(Data_Input!$1:$100, 9, MATCH(1, (Data_Input!$7:$7=$F$3) * (Data_Input!$8:$8=$B337), 0)),"")</f>
        <v/>
      </c>
      <c r="F337" s="20" t="str" cm="1">
        <f t="array" ref="F337">IFERROR(INDEX(Data_Input!$A$1:$ZZ$502, MATCH("플랜번호", INDEX(Data_Input!$A$1:$ZZ$502, 0, MATCH(1, (Data_Input!$7:$7="IRP")*(Data_Input!$8:$8=$B337), 0)), 0) + 1, MATCH(1, (Data_Input!$7:$7=$F$3)*(Data_Input!$8:$8=$B337), 0)),"")</f>
        <v/>
      </c>
      <c r="G337" s="20" t="str" cm="1">
        <f t="array" ref="G337">IFERROR(INDEX(Data_Input!$A$1:$ZZ$502, MATCH("플랜명", INDEX(Data_Input!$A$1:$ZZ$502, 0, MATCH(1, (Data_Input!$7:$7="IRP")*(Data_Input!$8:$8=$B337), 0)), 0) + 1, MATCH(1, (Data_Input!$7:$7=$F$3)*(Data_Input!$8:$8=$B337), 0)),"")</f>
        <v/>
      </c>
      <c r="H337" s="20" t="str" cm="1">
        <f t="array" ref="H337">IFERROR(INDEX(Data_Input!$A$1:$ZZ$502, MATCH("평가금액", INDEX(Data_Input!$A$1:$ZZ$502, 0, MATCH(1, (Data_Input!$7:$7="IRP")*(Data_Input!$8:$8=$B337), 0)), 0) + 1, MATCH(1, (Data_Input!$7:$7=$F$3)*(Data_Input!$8:$8=$B337), 0)),"")</f>
        <v/>
      </c>
      <c r="I337" s="20" t="str" cm="1">
        <f t="array" ref="I337">IFERROR(INDEX(Data_Input!$A$1:$ZZ$502, MATCH("평가손익", INDEX(Data_Input!$A$1:$ZZ$502, 0, MATCH(1, (Data_Input!$7:$7="IRP")*(Data_Input!$8:$8=$B337), 0)), 0) + 1, MATCH(1, (Data_Input!$7:$7=$F$3)*(Data_Input!$8:$8=$B337), 0)),"")</f>
        <v/>
      </c>
      <c r="J337" s="14" t="str" cm="1">
        <f t="array" ref="J337">IFERROR(INDEX(Data_Input!$A$1:$ZZ$502, MATCH("누적수익률", INDEX(Data_Input!$A$1:$ZZ$502, 0, MATCH(1, (Data_Input!$7:$7="IRP")*(Data_Input!$8:$8=$B337), 0)), 0) + 1, MATCH(1, (Data_Input!$7:$7=$F$3)*(Data_Input!$8:$8=$B337), 0))/100,"")</f>
        <v/>
      </c>
      <c r="K337" t="str" cm="1">
        <f t="array" ref="K337">IFERROR(_xlfn.LET(
    _xlpm.targetDate, B337,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38" spans="1:11" x14ac:dyDescent="0.3">
      <c r="A338" s="16" t="str">
        <f t="shared" si="10"/>
        <v/>
      </c>
      <c r="B338" s="19"/>
      <c r="C338" s="17" t="str">
        <f t="shared" si="11"/>
        <v/>
      </c>
      <c r="D338" s="42" t="str" cm="1">
        <f t="array" ref="D338">IFERROR(INDEX(Data_Input!$1:$100, 10, MATCH(1, (Data_Input!$7:$7=$F$3) * (Data_Input!$8:$8=$B338), 0)), "")</f>
        <v/>
      </c>
      <c r="E338" s="29" t="str" cm="1">
        <f t="array" ref="E338">IFERROR(INDEX(Data_Input!$1:$100, 9, MATCH(1, (Data_Input!$7:$7=$F$3) * (Data_Input!$8:$8=$B338), 0)),"")</f>
        <v/>
      </c>
      <c r="F338" s="20" t="str" cm="1">
        <f t="array" ref="F338">IFERROR(INDEX(Data_Input!$A$1:$ZZ$502, MATCH("플랜번호", INDEX(Data_Input!$A$1:$ZZ$502, 0, MATCH(1, (Data_Input!$7:$7="IRP")*(Data_Input!$8:$8=$B338), 0)), 0) + 1, MATCH(1, (Data_Input!$7:$7=$F$3)*(Data_Input!$8:$8=$B338), 0)),"")</f>
        <v/>
      </c>
      <c r="G338" s="20" t="str" cm="1">
        <f t="array" ref="G338">IFERROR(INDEX(Data_Input!$A$1:$ZZ$502, MATCH("플랜명", INDEX(Data_Input!$A$1:$ZZ$502, 0, MATCH(1, (Data_Input!$7:$7="IRP")*(Data_Input!$8:$8=$B338), 0)), 0) + 1, MATCH(1, (Data_Input!$7:$7=$F$3)*(Data_Input!$8:$8=$B338), 0)),"")</f>
        <v/>
      </c>
      <c r="H338" s="20" t="str" cm="1">
        <f t="array" ref="H338">IFERROR(INDEX(Data_Input!$A$1:$ZZ$502, MATCH("평가금액", INDEX(Data_Input!$A$1:$ZZ$502, 0, MATCH(1, (Data_Input!$7:$7="IRP")*(Data_Input!$8:$8=$B338), 0)), 0) + 1, MATCH(1, (Data_Input!$7:$7=$F$3)*(Data_Input!$8:$8=$B338), 0)),"")</f>
        <v/>
      </c>
      <c r="I338" s="20" t="str" cm="1">
        <f t="array" ref="I338">IFERROR(INDEX(Data_Input!$A$1:$ZZ$502, MATCH("평가손익", INDEX(Data_Input!$A$1:$ZZ$502, 0, MATCH(1, (Data_Input!$7:$7="IRP")*(Data_Input!$8:$8=$B338), 0)), 0) + 1, MATCH(1, (Data_Input!$7:$7=$F$3)*(Data_Input!$8:$8=$B338), 0)),"")</f>
        <v/>
      </c>
      <c r="J338" s="14" t="str" cm="1">
        <f t="array" ref="J338">IFERROR(INDEX(Data_Input!$A$1:$ZZ$502, MATCH("누적수익률", INDEX(Data_Input!$A$1:$ZZ$502, 0, MATCH(1, (Data_Input!$7:$7="IRP")*(Data_Input!$8:$8=$B338), 0)), 0) + 1, MATCH(1, (Data_Input!$7:$7=$F$3)*(Data_Input!$8:$8=$B338), 0))/100,"")</f>
        <v/>
      </c>
      <c r="K338" t="str" cm="1">
        <f t="array" ref="K338">IFERROR(_xlfn.LET(
    _xlpm.targetDate, B338,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39" spans="1:11" x14ac:dyDescent="0.3">
      <c r="A339" s="16" t="str">
        <f t="shared" si="10"/>
        <v/>
      </c>
      <c r="B339" s="19"/>
      <c r="C339" s="17" t="str">
        <f t="shared" si="11"/>
        <v/>
      </c>
      <c r="D339" s="42" t="str" cm="1">
        <f t="array" ref="D339">IFERROR(INDEX(Data_Input!$1:$100, 10, MATCH(1, (Data_Input!$7:$7=$F$3) * (Data_Input!$8:$8=$B339), 0)), "")</f>
        <v/>
      </c>
      <c r="E339" s="29" t="str" cm="1">
        <f t="array" ref="E339">IFERROR(INDEX(Data_Input!$1:$100, 9, MATCH(1, (Data_Input!$7:$7=$F$3) * (Data_Input!$8:$8=$B339), 0)),"")</f>
        <v/>
      </c>
      <c r="F339" s="20" t="str" cm="1">
        <f t="array" ref="F339">IFERROR(INDEX(Data_Input!$A$1:$ZZ$502, MATCH("플랜번호", INDEX(Data_Input!$A$1:$ZZ$502, 0, MATCH(1, (Data_Input!$7:$7="IRP")*(Data_Input!$8:$8=$B339), 0)), 0) + 1, MATCH(1, (Data_Input!$7:$7=$F$3)*(Data_Input!$8:$8=$B339), 0)),"")</f>
        <v/>
      </c>
      <c r="G339" s="20" t="str" cm="1">
        <f t="array" ref="G339">IFERROR(INDEX(Data_Input!$A$1:$ZZ$502, MATCH("플랜명", INDEX(Data_Input!$A$1:$ZZ$502, 0, MATCH(1, (Data_Input!$7:$7="IRP")*(Data_Input!$8:$8=$B339), 0)), 0) + 1, MATCH(1, (Data_Input!$7:$7=$F$3)*(Data_Input!$8:$8=$B339), 0)),"")</f>
        <v/>
      </c>
      <c r="H339" s="20" t="str" cm="1">
        <f t="array" ref="H339">IFERROR(INDEX(Data_Input!$A$1:$ZZ$502, MATCH("평가금액", INDEX(Data_Input!$A$1:$ZZ$502, 0, MATCH(1, (Data_Input!$7:$7="IRP")*(Data_Input!$8:$8=$B339), 0)), 0) + 1, MATCH(1, (Data_Input!$7:$7=$F$3)*(Data_Input!$8:$8=$B339), 0)),"")</f>
        <v/>
      </c>
      <c r="I339" s="20" t="str" cm="1">
        <f t="array" ref="I339">IFERROR(INDEX(Data_Input!$A$1:$ZZ$502, MATCH("평가손익", INDEX(Data_Input!$A$1:$ZZ$502, 0, MATCH(1, (Data_Input!$7:$7="IRP")*(Data_Input!$8:$8=$B339), 0)), 0) + 1, MATCH(1, (Data_Input!$7:$7=$F$3)*(Data_Input!$8:$8=$B339), 0)),"")</f>
        <v/>
      </c>
      <c r="J339" s="14" t="str" cm="1">
        <f t="array" ref="J339">IFERROR(INDEX(Data_Input!$A$1:$ZZ$502, MATCH("누적수익률", INDEX(Data_Input!$A$1:$ZZ$502, 0, MATCH(1, (Data_Input!$7:$7="IRP")*(Data_Input!$8:$8=$B339), 0)), 0) + 1, MATCH(1, (Data_Input!$7:$7=$F$3)*(Data_Input!$8:$8=$B339), 0))/100,"")</f>
        <v/>
      </c>
      <c r="K339" t="str" cm="1">
        <f t="array" ref="K339">IFERROR(_xlfn.LET(
    _xlpm.targetDate, B339,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40" spans="1:11" x14ac:dyDescent="0.3">
      <c r="A340" s="16" t="str">
        <f t="shared" si="10"/>
        <v/>
      </c>
      <c r="B340" s="19"/>
      <c r="C340" s="17" t="str">
        <f t="shared" si="11"/>
        <v/>
      </c>
      <c r="D340" s="42" t="str" cm="1">
        <f t="array" ref="D340">IFERROR(INDEX(Data_Input!$1:$100, 10, MATCH(1, (Data_Input!$7:$7=$F$3) * (Data_Input!$8:$8=$B340), 0)), "")</f>
        <v/>
      </c>
      <c r="E340" s="29" t="str" cm="1">
        <f t="array" ref="E340">IFERROR(INDEX(Data_Input!$1:$100, 9, MATCH(1, (Data_Input!$7:$7=$F$3) * (Data_Input!$8:$8=$B340), 0)),"")</f>
        <v/>
      </c>
      <c r="F340" s="20" t="str" cm="1">
        <f t="array" ref="F340">IFERROR(INDEX(Data_Input!$A$1:$ZZ$502, MATCH("플랜번호", INDEX(Data_Input!$A$1:$ZZ$502, 0, MATCH(1, (Data_Input!$7:$7="IRP")*(Data_Input!$8:$8=$B340), 0)), 0) + 1, MATCH(1, (Data_Input!$7:$7=$F$3)*(Data_Input!$8:$8=$B340), 0)),"")</f>
        <v/>
      </c>
      <c r="G340" s="20" t="str" cm="1">
        <f t="array" ref="G340">IFERROR(INDEX(Data_Input!$A$1:$ZZ$502, MATCH("플랜명", INDEX(Data_Input!$A$1:$ZZ$502, 0, MATCH(1, (Data_Input!$7:$7="IRP")*(Data_Input!$8:$8=$B340), 0)), 0) + 1, MATCH(1, (Data_Input!$7:$7=$F$3)*(Data_Input!$8:$8=$B340), 0)),"")</f>
        <v/>
      </c>
      <c r="H340" s="20" t="str" cm="1">
        <f t="array" ref="H340">IFERROR(INDEX(Data_Input!$A$1:$ZZ$502, MATCH("평가금액", INDEX(Data_Input!$A$1:$ZZ$502, 0, MATCH(1, (Data_Input!$7:$7="IRP")*(Data_Input!$8:$8=$B340), 0)), 0) + 1, MATCH(1, (Data_Input!$7:$7=$F$3)*(Data_Input!$8:$8=$B340), 0)),"")</f>
        <v/>
      </c>
      <c r="I340" s="20" t="str" cm="1">
        <f t="array" ref="I340">IFERROR(INDEX(Data_Input!$A$1:$ZZ$502, MATCH("평가손익", INDEX(Data_Input!$A$1:$ZZ$502, 0, MATCH(1, (Data_Input!$7:$7="IRP")*(Data_Input!$8:$8=$B340), 0)), 0) + 1, MATCH(1, (Data_Input!$7:$7=$F$3)*(Data_Input!$8:$8=$B340), 0)),"")</f>
        <v/>
      </c>
      <c r="J340" s="14" t="str" cm="1">
        <f t="array" ref="J340">IFERROR(INDEX(Data_Input!$A$1:$ZZ$502, MATCH("누적수익률", INDEX(Data_Input!$A$1:$ZZ$502, 0, MATCH(1, (Data_Input!$7:$7="IRP")*(Data_Input!$8:$8=$B340), 0)), 0) + 1, MATCH(1, (Data_Input!$7:$7=$F$3)*(Data_Input!$8:$8=$B340), 0))/100,"")</f>
        <v/>
      </c>
      <c r="K340" t="str" cm="1">
        <f t="array" ref="K340">IFERROR(_xlfn.LET(
    _xlpm.targetDate, B340,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41" spans="1:11" x14ac:dyDescent="0.3">
      <c r="A341" s="16" t="str">
        <f t="shared" si="10"/>
        <v/>
      </c>
      <c r="B341" s="19"/>
      <c r="C341" s="17" t="str">
        <f t="shared" si="11"/>
        <v/>
      </c>
      <c r="D341" s="42" t="str" cm="1">
        <f t="array" ref="D341">IFERROR(INDEX(Data_Input!$1:$100, 10, MATCH(1, (Data_Input!$7:$7=$F$3) * (Data_Input!$8:$8=$B341), 0)), "")</f>
        <v/>
      </c>
      <c r="E341" s="29" t="str" cm="1">
        <f t="array" ref="E341">IFERROR(INDEX(Data_Input!$1:$100, 9, MATCH(1, (Data_Input!$7:$7=$F$3) * (Data_Input!$8:$8=$B341), 0)),"")</f>
        <v/>
      </c>
      <c r="F341" s="20" t="str" cm="1">
        <f t="array" ref="F341">IFERROR(INDEX(Data_Input!$A$1:$ZZ$502, MATCH("플랜번호", INDEX(Data_Input!$A$1:$ZZ$502, 0, MATCH(1, (Data_Input!$7:$7="IRP")*(Data_Input!$8:$8=$B341), 0)), 0) + 1, MATCH(1, (Data_Input!$7:$7=$F$3)*(Data_Input!$8:$8=$B341), 0)),"")</f>
        <v/>
      </c>
      <c r="G341" s="20" t="str" cm="1">
        <f t="array" ref="G341">IFERROR(INDEX(Data_Input!$A$1:$ZZ$502, MATCH("플랜명", INDEX(Data_Input!$A$1:$ZZ$502, 0, MATCH(1, (Data_Input!$7:$7="IRP")*(Data_Input!$8:$8=$B341), 0)), 0) + 1, MATCH(1, (Data_Input!$7:$7=$F$3)*(Data_Input!$8:$8=$B341), 0)),"")</f>
        <v/>
      </c>
      <c r="H341" s="20" t="str" cm="1">
        <f t="array" ref="H341">IFERROR(INDEX(Data_Input!$A$1:$ZZ$502, MATCH("평가금액", INDEX(Data_Input!$A$1:$ZZ$502, 0, MATCH(1, (Data_Input!$7:$7="IRP")*(Data_Input!$8:$8=$B341), 0)), 0) + 1, MATCH(1, (Data_Input!$7:$7=$F$3)*(Data_Input!$8:$8=$B341), 0)),"")</f>
        <v/>
      </c>
      <c r="I341" s="20" t="str" cm="1">
        <f t="array" ref="I341">IFERROR(INDEX(Data_Input!$A$1:$ZZ$502, MATCH("평가손익", INDEX(Data_Input!$A$1:$ZZ$502, 0, MATCH(1, (Data_Input!$7:$7="IRP")*(Data_Input!$8:$8=$B341), 0)), 0) + 1, MATCH(1, (Data_Input!$7:$7=$F$3)*(Data_Input!$8:$8=$B341), 0)),"")</f>
        <v/>
      </c>
      <c r="J341" s="14" t="str" cm="1">
        <f t="array" ref="J341">IFERROR(INDEX(Data_Input!$A$1:$ZZ$502, MATCH("누적수익률", INDEX(Data_Input!$A$1:$ZZ$502, 0, MATCH(1, (Data_Input!$7:$7="IRP")*(Data_Input!$8:$8=$B341), 0)), 0) + 1, MATCH(1, (Data_Input!$7:$7=$F$3)*(Data_Input!$8:$8=$B341), 0))/100,"")</f>
        <v/>
      </c>
      <c r="K341" t="str" cm="1">
        <f t="array" ref="K341">IFERROR(_xlfn.LET(
    _xlpm.targetDate, B341,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42" spans="1:11" x14ac:dyDescent="0.3">
      <c r="A342" s="16" t="str">
        <f t="shared" si="10"/>
        <v/>
      </c>
      <c r="B342" s="19"/>
      <c r="C342" s="17" t="str">
        <f t="shared" si="11"/>
        <v/>
      </c>
      <c r="D342" s="42" t="str" cm="1">
        <f t="array" ref="D342">IFERROR(INDEX(Data_Input!$1:$100, 10, MATCH(1, (Data_Input!$7:$7=$F$3) * (Data_Input!$8:$8=$B342), 0)), "")</f>
        <v/>
      </c>
      <c r="E342" s="29" t="str" cm="1">
        <f t="array" ref="E342">IFERROR(INDEX(Data_Input!$1:$100, 9, MATCH(1, (Data_Input!$7:$7=$F$3) * (Data_Input!$8:$8=$B342), 0)),"")</f>
        <v/>
      </c>
      <c r="F342" s="20" t="str" cm="1">
        <f t="array" ref="F342">IFERROR(INDEX(Data_Input!$A$1:$ZZ$502, MATCH("플랜번호", INDEX(Data_Input!$A$1:$ZZ$502, 0, MATCH(1, (Data_Input!$7:$7="IRP")*(Data_Input!$8:$8=$B342), 0)), 0) + 1, MATCH(1, (Data_Input!$7:$7=$F$3)*(Data_Input!$8:$8=$B342), 0)),"")</f>
        <v/>
      </c>
      <c r="G342" s="20" t="str" cm="1">
        <f t="array" ref="G342">IFERROR(INDEX(Data_Input!$A$1:$ZZ$502, MATCH("플랜명", INDEX(Data_Input!$A$1:$ZZ$502, 0, MATCH(1, (Data_Input!$7:$7="IRP")*(Data_Input!$8:$8=$B342), 0)), 0) + 1, MATCH(1, (Data_Input!$7:$7=$F$3)*(Data_Input!$8:$8=$B342), 0)),"")</f>
        <v/>
      </c>
      <c r="H342" s="20" t="str" cm="1">
        <f t="array" ref="H342">IFERROR(INDEX(Data_Input!$A$1:$ZZ$502, MATCH("평가금액", INDEX(Data_Input!$A$1:$ZZ$502, 0, MATCH(1, (Data_Input!$7:$7="IRP")*(Data_Input!$8:$8=$B342), 0)), 0) + 1, MATCH(1, (Data_Input!$7:$7=$F$3)*(Data_Input!$8:$8=$B342), 0)),"")</f>
        <v/>
      </c>
      <c r="I342" s="20" t="str" cm="1">
        <f t="array" ref="I342">IFERROR(INDEX(Data_Input!$A$1:$ZZ$502, MATCH("평가손익", INDEX(Data_Input!$A$1:$ZZ$502, 0, MATCH(1, (Data_Input!$7:$7="IRP")*(Data_Input!$8:$8=$B342), 0)), 0) + 1, MATCH(1, (Data_Input!$7:$7=$F$3)*(Data_Input!$8:$8=$B342), 0)),"")</f>
        <v/>
      </c>
      <c r="J342" s="14" t="str" cm="1">
        <f t="array" ref="J342">IFERROR(INDEX(Data_Input!$A$1:$ZZ$502, MATCH("누적수익률", INDEX(Data_Input!$A$1:$ZZ$502, 0, MATCH(1, (Data_Input!$7:$7="IRP")*(Data_Input!$8:$8=$B342), 0)), 0) + 1, MATCH(1, (Data_Input!$7:$7=$F$3)*(Data_Input!$8:$8=$B342), 0))/100,"")</f>
        <v/>
      </c>
      <c r="K342" t="str" cm="1">
        <f t="array" ref="K342">IFERROR(_xlfn.LET(
    _xlpm.targetDate, B342,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43" spans="1:11" x14ac:dyDescent="0.3">
      <c r="A343" s="16" t="str">
        <f t="shared" si="10"/>
        <v/>
      </c>
      <c r="B343" s="19"/>
      <c r="C343" s="17" t="str">
        <f t="shared" si="11"/>
        <v/>
      </c>
      <c r="D343" s="42" t="str" cm="1">
        <f t="array" ref="D343">IFERROR(INDEX(Data_Input!$1:$100, 10, MATCH(1, (Data_Input!$7:$7=$F$3) * (Data_Input!$8:$8=$B343), 0)), "")</f>
        <v/>
      </c>
      <c r="E343" s="29" t="str" cm="1">
        <f t="array" ref="E343">IFERROR(INDEX(Data_Input!$1:$100, 9, MATCH(1, (Data_Input!$7:$7=$F$3) * (Data_Input!$8:$8=$B343), 0)),"")</f>
        <v/>
      </c>
      <c r="F343" s="20" t="str" cm="1">
        <f t="array" ref="F343">IFERROR(INDEX(Data_Input!$A$1:$ZZ$502, MATCH("플랜번호", INDEX(Data_Input!$A$1:$ZZ$502, 0, MATCH(1, (Data_Input!$7:$7="IRP")*(Data_Input!$8:$8=$B343), 0)), 0) + 1, MATCH(1, (Data_Input!$7:$7=$F$3)*(Data_Input!$8:$8=$B343), 0)),"")</f>
        <v/>
      </c>
      <c r="G343" s="20" t="str" cm="1">
        <f t="array" ref="G343">IFERROR(INDEX(Data_Input!$A$1:$ZZ$502, MATCH("플랜명", INDEX(Data_Input!$A$1:$ZZ$502, 0, MATCH(1, (Data_Input!$7:$7="IRP")*(Data_Input!$8:$8=$B343), 0)), 0) + 1, MATCH(1, (Data_Input!$7:$7=$F$3)*(Data_Input!$8:$8=$B343), 0)),"")</f>
        <v/>
      </c>
      <c r="H343" s="20" t="str" cm="1">
        <f t="array" ref="H343">IFERROR(INDEX(Data_Input!$A$1:$ZZ$502, MATCH("평가금액", INDEX(Data_Input!$A$1:$ZZ$502, 0, MATCH(1, (Data_Input!$7:$7="IRP")*(Data_Input!$8:$8=$B343), 0)), 0) + 1, MATCH(1, (Data_Input!$7:$7=$F$3)*(Data_Input!$8:$8=$B343), 0)),"")</f>
        <v/>
      </c>
      <c r="I343" s="20" t="str" cm="1">
        <f t="array" ref="I343">IFERROR(INDEX(Data_Input!$A$1:$ZZ$502, MATCH("평가손익", INDEX(Data_Input!$A$1:$ZZ$502, 0, MATCH(1, (Data_Input!$7:$7="IRP")*(Data_Input!$8:$8=$B343), 0)), 0) + 1, MATCH(1, (Data_Input!$7:$7=$F$3)*(Data_Input!$8:$8=$B343), 0)),"")</f>
        <v/>
      </c>
      <c r="J343" s="14" t="str" cm="1">
        <f t="array" ref="J343">IFERROR(INDEX(Data_Input!$A$1:$ZZ$502, MATCH("누적수익률", INDEX(Data_Input!$A$1:$ZZ$502, 0, MATCH(1, (Data_Input!$7:$7="IRP")*(Data_Input!$8:$8=$B343), 0)), 0) + 1, MATCH(1, (Data_Input!$7:$7=$F$3)*(Data_Input!$8:$8=$B343), 0))/100,"")</f>
        <v/>
      </c>
      <c r="K343" t="str" cm="1">
        <f t="array" ref="K343">IFERROR(_xlfn.LET(
    _xlpm.targetDate, B343,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44" spans="1:11" x14ac:dyDescent="0.3">
      <c r="A344" s="16" t="str">
        <f t="shared" si="10"/>
        <v/>
      </c>
      <c r="B344" s="19"/>
      <c r="C344" s="17" t="str">
        <f t="shared" si="11"/>
        <v/>
      </c>
      <c r="D344" s="42" t="str" cm="1">
        <f t="array" ref="D344">IFERROR(INDEX(Data_Input!$1:$100, 10, MATCH(1, (Data_Input!$7:$7=$F$3) * (Data_Input!$8:$8=$B344), 0)), "")</f>
        <v/>
      </c>
      <c r="E344" s="29" t="str" cm="1">
        <f t="array" ref="E344">IFERROR(INDEX(Data_Input!$1:$100, 9, MATCH(1, (Data_Input!$7:$7=$F$3) * (Data_Input!$8:$8=$B344), 0)),"")</f>
        <v/>
      </c>
      <c r="F344" s="20" t="str" cm="1">
        <f t="array" ref="F344">IFERROR(INDEX(Data_Input!$A$1:$ZZ$502, MATCH("플랜번호", INDEX(Data_Input!$A$1:$ZZ$502, 0, MATCH(1, (Data_Input!$7:$7="IRP")*(Data_Input!$8:$8=$B344), 0)), 0) + 1, MATCH(1, (Data_Input!$7:$7=$F$3)*(Data_Input!$8:$8=$B344), 0)),"")</f>
        <v/>
      </c>
      <c r="G344" s="20" t="str" cm="1">
        <f t="array" ref="G344">IFERROR(INDEX(Data_Input!$A$1:$ZZ$502, MATCH("플랜명", INDEX(Data_Input!$A$1:$ZZ$502, 0, MATCH(1, (Data_Input!$7:$7="IRP")*(Data_Input!$8:$8=$B344), 0)), 0) + 1, MATCH(1, (Data_Input!$7:$7=$F$3)*(Data_Input!$8:$8=$B344), 0)),"")</f>
        <v/>
      </c>
      <c r="H344" s="20" t="str" cm="1">
        <f t="array" ref="H344">IFERROR(INDEX(Data_Input!$A$1:$ZZ$502, MATCH("평가금액", INDEX(Data_Input!$A$1:$ZZ$502, 0, MATCH(1, (Data_Input!$7:$7="IRP")*(Data_Input!$8:$8=$B344), 0)), 0) + 1, MATCH(1, (Data_Input!$7:$7=$F$3)*(Data_Input!$8:$8=$B344), 0)),"")</f>
        <v/>
      </c>
      <c r="I344" s="20" t="str" cm="1">
        <f t="array" ref="I344">IFERROR(INDEX(Data_Input!$A$1:$ZZ$502, MATCH("평가손익", INDEX(Data_Input!$A$1:$ZZ$502, 0, MATCH(1, (Data_Input!$7:$7="IRP")*(Data_Input!$8:$8=$B344), 0)), 0) + 1, MATCH(1, (Data_Input!$7:$7=$F$3)*(Data_Input!$8:$8=$B344), 0)),"")</f>
        <v/>
      </c>
      <c r="J344" s="14" t="str" cm="1">
        <f t="array" ref="J344">IFERROR(INDEX(Data_Input!$A$1:$ZZ$502, MATCH("누적수익률", INDEX(Data_Input!$A$1:$ZZ$502, 0, MATCH(1, (Data_Input!$7:$7="IRP")*(Data_Input!$8:$8=$B344), 0)), 0) + 1, MATCH(1, (Data_Input!$7:$7=$F$3)*(Data_Input!$8:$8=$B344), 0))/100,"")</f>
        <v/>
      </c>
      <c r="K344" t="str" cm="1">
        <f t="array" ref="K344">IFERROR(_xlfn.LET(
    _xlpm.targetDate, B344,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45" spans="1:11" x14ac:dyDescent="0.3">
      <c r="A345" s="16" t="str">
        <f t="shared" si="10"/>
        <v/>
      </c>
      <c r="B345" s="19"/>
      <c r="C345" s="17" t="str">
        <f t="shared" si="11"/>
        <v/>
      </c>
      <c r="D345" s="42" t="str" cm="1">
        <f t="array" ref="D345">IFERROR(INDEX(Data_Input!$1:$100, 10, MATCH(1, (Data_Input!$7:$7=$F$3) * (Data_Input!$8:$8=$B345), 0)), "")</f>
        <v/>
      </c>
      <c r="E345" s="29" t="str" cm="1">
        <f t="array" ref="E345">IFERROR(INDEX(Data_Input!$1:$100, 9, MATCH(1, (Data_Input!$7:$7=$F$3) * (Data_Input!$8:$8=$B345), 0)),"")</f>
        <v/>
      </c>
      <c r="F345" s="20" t="str" cm="1">
        <f t="array" ref="F345">IFERROR(INDEX(Data_Input!$A$1:$ZZ$502, MATCH("플랜번호", INDEX(Data_Input!$A$1:$ZZ$502, 0, MATCH(1, (Data_Input!$7:$7="IRP")*(Data_Input!$8:$8=$B345), 0)), 0) + 1, MATCH(1, (Data_Input!$7:$7=$F$3)*(Data_Input!$8:$8=$B345), 0)),"")</f>
        <v/>
      </c>
      <c r="G345" s="20" t="str" cm="1">
        <f t="array" ref="G345">IFERROR(INDEX(Data_Input!$A$1:$ZZ$502, MATCH("플랜명", INDEX(Data_Input!$A$1:$ZZ$502, 0, MATCH(1, (Data_Input!$7:$7="IRP")*(Data_Input!$8:$8=$B345), 0)), 0) + 1, MATCH(1, (Data_Input!$7:$7=$F$3)*(Data_Input!$8:$8=$B345), 0)),"")</f>
        <v/>
      </c>
      <c r="H345" s="20" t="str" cm="1">
        <f t="array" ref="H345">IFERROR(INDEX(Data_Input!$A$1:$ZZ$502, MATCH("평가금액", INDEX(Data_Input!$A$1:$ZZ$502, 0, MATCH(1, (Data_Input!$7:$7="IRP")*(Data_Input!$8:$8=$B345), 0)), 0) + 1, MATCH(1, (Data_Input!$7:$7=$F$3)*(Data_Input!$8:$8=$B345), 0)),"")</f>
        <v/>
      </c>
      <c r="I345" s="20" t="str" cm="1">
        <f t="array" ref="I345">IFERROR(INDEX(Data_Input!$A$1:$ZZ$502, MATCH("평가손익", INDEX(Data_Input!$A$1:$ZZ$502, 0, MATCH(1, (Data_Input!$7:$7="IRP")*(Data_Input!$8:$8=$B345), 0)), 0) + 1, MATCH(1, (Data_Input!$7:$7=$F$3)*(Data_Input!$8:$8=$B345), 0)),"")</f>
        <v/>
      </c>
      <c r="J345" s="14" t="str" cm="1">
        <f t="array" ref="J345">IFERROR(INDEX(Data_Input!$A$1:$ZZ$502, MATCH("누적수익률", INDEX(Data_Input!$A$1:$ZZ$502, 0, MATCH(1, (Data_Input!$7:$7="IRP")*(Data_Input!$8:$8=$B345), 0)), 0) + 1, MATCH(1, (Data_Input!$7:$7=$F$3)*(Data_Input!$8:$8=$B345), 0))/100,"")</f>
        <v/>
      </c>
      <c r="K345" t="str" cm="1">
        <f t="array" ref="K345">IFERROR(_xlfn.LET(
    _xlpm.targetDate, B345,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46" spans="1:11" x14ac:dyDescent="0.3">
      <c r="A346" s="16" t="str">
        <f t="shared" si="10"/>
        <v/>
      </c>
      <c r="B346" s="19"/>
      <c r="C346" s="17" t="str">
        <f t="shared" si="11"/>
        <v/>
      </c>
      <c r="D346" s="42" t="str" cm="1">
        <f t="array" ref="D346">IFERROR(INDEX(Data_Input!$1:$100, 10, MATCH(1, (Data_Input!$7:$7=$F$3) * (Data_Input!$8:$8=$B346), 0)), "")</f>
        <v/>
      </c>
      <c r="E346" s="29" t="str" cm="1">
        <f t="array" ref="E346">IFERROR(INDEX(Data_Input!$1:$100, 9, MATCH(1, (Data_Input!$7:$7=$F$3) * (Data_Input!$8:$8=$B346), 0)),"")</f>
        <v/>
      </c>
      <c r="F346" s="20" t="str" cm="1">
        <f t="array" ref="F346">IFERROR(INDEX(Data_Input!$A$1:$ZZ$502, MATCH("플랜번호", INDEX(Data_Input!$A$1:$ZZ$502, 0, MATCH(1, (Data_Input!$7:$7="IRP")*(Data_Input!$8:$8=$B346), 0)), 0) + 1, MATCH(1, (Data_Input!$7:$7=$F$3)*(Data_Input!$8:$8=$B346), 0)),"")</f>
        <v/>
      </c>
      <c r="G346" s="20" t="str" cm="1">
        <f t="array" ref="G346">IFERROR(INDEX(Data_Input!$A$1:$ZZ$502, MATCH("플랜명", INDEX(Data_Input!$A$1:$ZZ$502, 0, MATCH(1, (Data_Input!$7:$7="IRP")*(Data_Input!$8:$8=$B346), 0)), 0) + 1, MATCH(1, (Data_Input!$7:$7=$F$3)*(Data_Input!$8:$8=$B346), 0)),"")</f>
        <v/>
      </c>
      <c r="H346" s="20" t="str" cm="1">
        <f t="array" ref="H346">IFERROR(INDEX(Data_Input!$A$1:$ZZ$502, MATCH("평가금액", INDEX(Data_Input!$A$1:$ZZ$502, 0, MATCH(1, (Data_Input!$7:$7="IRP")*(Data_Input!$8:$8=$B346), 0)), 0) + 1, MATCH(1, (Data_Input!$7:$7=$F$3)*(Data_Input!$8:$8=$B346), 0)),"")</f>
        <v/>
      </c>
      <c r="I346" s="20" t="str" cm="1">
        <f t="array" ref="I346">IFERROR(INDEX(Data_Input!$A$1:$ZZ$502, MATCH("평가손익", INDEX(Data_Input!$A$1:$ZZ$502, 0, MATCH(1, (Data_Input!$7:$7="IRP")*(Data_Input!$8:$8=$B346), 0)), 0) + 1, MATCH(1, (Data_Input!$7:$7=$F$3)*(Data_Input!$8:$8=$B346), 0)),"")</f>
        <v/>
      </c>
      <c r="J346" s="14" t="str" cm="1">
        <f t="array" ref="J346">IFERROR(INDEX(Data_Input!$A$1:$ZZ$502, MATCH("누적수익률", INDEX(Data_Input!$A$1:$ZZ$502, 0, MATCH(1, (Data_Input!$7:$7="IRP")*(Data_Input!$8:$8=$B346), 0)), 0) + 1, MATCH(1, (Data_Input!$7:$7=$F$3)*(Data_Input!$8:$8=$B346), 0))/100,"")</f>
        <v/>
      </c>
      <c r="K346" t="str" cm="1">
        <f t="array" ref="K346">IFERROR(_xlfn.LET(
    _xlpm.targetDate, B346,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47" spans="1:11" x14ac:dyDescent="0.3">
      <c r="A347" s="16" t="str">
        <f t="shared" si="10"/>
        <v/>
      </c>
      <c r="B347" s="19"/>
      <c r="C347" s="17" t="str">
        <f t="shared" si="11"/>
        <v/>
      </c>
      <c r="D347" s="42" t="str" cm="1">
        <f t="array" ref="D347">IFERROR(INDEX(Data_Input!$1:$100, 10, MATCH(1, (Data_Input!$7:$7=$F$3) * (Data_Input!$8:$8=$B347), 0)), "")</f>
        <v/>
      </c>
      <c r="E347" s="29" t="str" cm="1">
        <f t="array" ref="E347">IFERROR(INDEX(Data_Input!$1:$100, 9, MATCH(1, (Data_Input!$7:$7=$F$3) * (Data_Input!$8:$8=$B347), 0)),"")</f>
        <v/>
      </c>
      <c r="F347" s="20" t="str" cm="1">
        <f t="array" ref="F347">IFERROR(INDEX(Data_Input!$A$1:$ZZ$502, MATCH("플랜번호", INDEX(Data_Input!$A$1:$ZZ$502, 0, MATCH(1, (Data_Input!$7:$7="IRP")*(Data_Input!$8:$8=$B347), 0)), 0) + 1, MATCH(1, (Data_Input!$7:$7=$F$3)*(Data_Input!$8:$8=$B347), 0)),"")</f>
        <v/>
      </c>
      <c r="G347" s="20" t="str" cm="1">
        <f t="array" ref="G347">IFERROR(INDEX(Data_Input!$A$1:$ZZ$502, MATCH("플랜명", INDEX(Data_Input!$A$1:$ZZ$502, 0, MATCH(1, (Data_Input!$7:$7="IRP")*(Data_Input!$8:$8=$B347), 0)), 0) + 1, MATCH(1, (Data_Input!$7:$7=$F$3)*(Data_Input!$8:$8=$B347), 0)),"")</f>
        <v/>
      </c>
      <c r="H347" s="20" t="str" cm="1">
        <f t="array" ref="H347">IFERROR(INDEX(Data_Input!$A$1:$ZZ$502, MATCH("평가금액", INDEX(Data_Input!$A$1:$ZZ$502, 0, MATCH(1, (Data_Input!$7:$7="IRP")*(Data_Input!$8:$8=$B347), 0)), 0) + 1, MATCH(1, (Data_Input!$7:$7=$F$3)*(Data_Input!$8:$8=$B347), 0)),"")</f>
        <v/>
      </c>
      <c r="I347" s="20" t="str" cm="1">
        <f t="array" ref="I347">IFERROR(INDEX(Data_Input!$A$1:$ZZ$502, MATCH("평가손익", INDEX(Data_Input!$A$1:$ZZ$502, 0, MATCH(1, (Data_Input!$7:$7="IRP")*(Data_Input!$8:$8=$B347), 0)), 0) + 1, MATCH(1, (Data_Input!$7:$7=$F$3)*(Data_Input!$8:$8=$B347), 0)),"")</f>
        <v/>
      </c>
      <c r="J347" s="14" t="str" cm="1">
        <f t="array" ref="J347">IFERROR(INDEX(Data_Input!$A$1:$ZZ$502, MATCH("누적수익률", INDEX(Data_Input!$A$1:$ZZ$502, 0, MATCH(1, (Data_Input!$7:$7="IRP")*(Data_Input!$8:$8=$B347), 0)), 0) + 1, MATCH(1, (Data_Input!$7:$7=$F$3)*(Data_Input!$8:$8=$B347), 0))/100,"")</f>
        <v/>
      </c>
      <c r="K347" t="str" cm="1">
        <f t="array" ref="K347">IFERROR(_xlfn.LET(
    _xlpm.targetDate, B347,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48" spans="1:11" x14ac:dyDescent="0.3">
      <c r="A348" s="16" t="str">
        <f t="shared" si="10"/>
        <v/>
      </c>
      <c r="B348" s="19"/>
      <c r="C348" s="17" t="str">
        <f t="shared" si="11"/>
        <v/>
      </c>
      <c r="D348" s="42" t="str" cm="1">
        <f t="array" ref="D348">IFERROR(INDEX(Data_Input!$1:$100, 10, MATCH(1, (Data_Input!$7:$7=$F$3) * (Data_Input!$8:$8=$B348), 0)), "")</f>
        <v/>
      </c>
      <c r="E348" s="29" t="str" cm="1">
        <f t="array" ref="E348">IFERROR(INDEX(Data_Input!$1:$100, 9, MATCH(1, (Data_Input!$7:$7=$F$3) * (Data_Input!$8:$8=$B348), 0)),"")</f>
        <v/>
      </c>
      <c r="F348" s="20" t="str" cm="1">
        <f t="array" ref="F348">IFERROR(INDEX(Data_Input!$A$1:$ZZ$502, MATCH("플랜번호", INDEX(Data_Input!$A$1:$ZZ$502, 0, MATCH(1, (Data_Input!$7:$7="IRP")*(Data_Input!$8:$8=$B348), 0)), 0) + 1, MATCH(1, (Data_Input!$7:$7=$F$3)*(Data_Input!$8:$8=$B348), 0)),"")</f>
        <v/>
      </c>
      <c r="G348" s="20" t="str" cm="1">
        <f t="array" ref="G348">IFERROR(INDEX(Data_Input!$A$1:$ZZ$502, MATCH("플랜명", INDEX(Data_Input!$A$1:$ZZ$502, 0, MATCH(1, (Data_Input!$7:$7="IRP")*(Data_Input!$8:$8=$B348), 0)), 0) + 1, MATCH(1, (Data_Input!$7:$7=$F$3)*(Data_Input!$8:$8=$B348), 0)),"")</f>
        <v/>
      </c>
      <c r="H348" s="20" t="str" cm="1">
        <f t="array" ref="H348">IFERROR(INDEX(Data_Input!$A$1:$ZZ$502, MATCH("평가금액", INDEX(Data_Input!$A$1:$ZZ$502, 0, MATCH(1, (Data_Input!$7:$7="IRP")*(Data_Input!$8:$8=$B348), 0)), 0) + 1, MATCH(1, (Data_Input!$7:$7=$F$3)*(Data_Input!$8:$8=$B348), 0)),"")</f>
        <v/>
      </c>
      <c r="I348" s="20" t="str" cm="1">
        <f t="array" ref="I348">IFERROR(INDEX(Data_Input!$A$1:$ZZ$502, MATCH("평가손익", INDEX(Data_Input!$A$1:$ZZ$502, 0, MATCH(1, (Data_Input!$7:$7="IRP")*(Data_Input!$8:$8=$B348), 0)), 0) + 1, MATCH(1, (Data_Input!$7:$7=$F$3)*(Data_Input!$8:$8=$B348), 0)),"")</f>
        <v/>
      </c>
      <c r="J348" s="14" t="str" cm="1">
        <f t="array" ref="J348">IFERROR(INDEX(Data_Input!$A$1:$ZZ$502, MATCH("누적수익률", INDEX(Data_Input!$A$1:$ZZ$502, 0, MATCH(1, (Data_Input!$7:$7="IRP")*(Data_Input!$8:$8=$B348), 0)), 0) + 1, MATCH(1, (Data_Input!$7:$7=$F$3)*(Data_Input!$8:$8=$B348), 0))/100,"")</f>
        <v/>
      </c>
      <c r="K348" t="str" cm="1">
        <f t="array" ref="K348">IFERROR(_xlfn.LET(
    _xlpm.targetDate, B348,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49" spans="1:11" x14ac:dyDescent="0.3">
      <c r="A349" s="16" t="str">
        <f t="shared" si="10"/>
        <v/>
      </c>
      <c r="B349" s="19"/>
      <c r="C349" s="17" t="str">
        <f t="shared" si="11"/>
        <v/>
      </c>
      <c r="D349" s="42" t="str" cm="1">
        <f t="array" ref="D349">IFERROR(INDEX(Data_Input!$1:$100, 10, MATCH(1, (Data_Input!$7:$7=$F$3) * (Data_Input!$8:$8=$B349), 0)), "")</f>
        <v/>
      </c>
      <c r="E349" s="29" t="str" cm="1">
        <f t="array" ref="E349">IFERROR(INDEX(Data_Input!$1:$100, 9, MATCH(1, (Data_Input!$7:$7=$F$3) * (Data_Input!$8:$8=$B349), 0)),"")</f>
        <v/>
      </c>
      <c r="F349" s="20" t="str" cm="1">
        <f t="array" ref="F349">IFERROR(INDEX(Data_Input!$A$1:$ZZ$502, MATCH("플랜번호", INDEX(Data_Input!$A$1:$ZZ$502, 0, MATCH(1, (Data_Input!$7:$7="IRP")*(Data_Input!$8:$8=$B349), 0)), 0) + 1, MATCH(1, (Data_Input!$7:$7=$F$3)*(Data_Input!$8:$8=$B349), 0)),"")</f>
        <v/>
      </c>
      <c r="G349" s="20" t="str" cm="1">
        <f t="array" ref="G349">IFERROR(INDEX(Data_Input!$A$1:$ZZ$502, MATCH("플랜명", INDEX(Data_Input!$A$1:$ZZ$502, 0, MATCH(1, (Data_Input!$7:$7="IRP")*(Data_Input!$8:$8=$B349), 0)), 0) + 1, MATCH(1, (Data_Input!$7:$7=$F$3)*(Data_Input!$8:$8=$B349), 0)),"")</f>
        <v/>
      </c>
      <c r="H349" s="20" t="str" cm="1">
        <f t="array" ref="H349">IFERROR(INDEX(Data_Input!$A$1:$ZZ$502, MATCH("평가금액", INDEX(Data_Input!$A$1:$ZZ$502, 0, MATCH(1, (Data_Input!$7:$7="IRP")*(Data_Input!$8:$8=$B349), 0)), 0) + 1, MATCH(1, (Data_Input!$7:$7=$F$3)*(Data_Input!$8:$8=$B349), 0)),"")</f>
        <v/>
      </c>
      <c r="I349" s="20" t="str" cm="1">
        <f t="array" ref="I349">IFERROR(INDEX(Data_Input!$A$1:$ZZ$502, MATCH("평가손익", INDEX(Data_Input!$A$1:$ZZ$502, 0, MATCH(1, (Data_Input!$7:$7="IRP")*(Data_Input!$8:$8=$B349), 0)), 0) + 1, MATCH(1, (Data_Input!$7:$7=$F$3)*(Data_Input!$8:$8=$B349), 0)),"")</f>
        <v/>
      </c>
      <c r="J349" s="14" t="str" cm="1">
        <f t="array" ref="J349">IFERROR(INDEX(Data_Input!$A$1:$ZZ$502, MATCH("누적수익률", INDEX(Data_Input!$A$1:$ZZ$502, 0, MATCH(1, (Data_Input!$7:$7="IRP")*(Data_Input!$8:$8=$B349), 0)), 0) + 1, MATCH(1, (Data_Input!$7:$7=$F$3)*(Data_Input!$8:$8=$B349), 0))/100,"")</f>
        <v/>
      </c>
      <c r="K349" t="str" cm="1">
        <f t="array" ref="K349">IFERROR(_xlfn.LET(
    _xlpm.targetDate, B349,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50" spans="1:11" x14ac:dyDescent="0.3">
      <c r="A350" s="16" t="str">
        <f t="shared" si="10"/>
        <v/>
      </c>
      <c r="B350" s="19"/>
      <c r="C350" s="17" t="str">
        <f t="shared" si="11"/>
        <v/>
      </c>
      <c r="D350" s="42" t="str" cm="1">
        <f t="array" ref="D350">IFERROR(INDEX(Data_Input!$1:$100, 10, MATCH(1, (Data_Input!$7:$7=$F$3) * (Data_Input!$8:$8=$B350), 0)), "")</f>
        <v/>
      </c>
      <c r="E350" s="29" t="str" cm="1">
        <f t="array" ref="E350">IFERROR(INDEX(Data_Input!$1:$100, 9, MATCH(1, (Data_Input!$7:$7=$F$3) * (Data_Input!$8:$8=$B350), 0)),"")</f>
        <v/>
      </c>
      <c r="F350" s="20" t="str" cm="1">
        <f t="array" ref="F350">IFERROR(INDEX(Data_Input!$A$1:$ZZ$502, MATCH("플랜번호", INDEX(Data_Input!$A$1:$ZZ$502, 0, MATCH(1, (Data_Input!$7:$7="IRP")*(Data_Input!$8:$8=$B350), 0)), 0) + 1, MATCH(1, (Data_Input!$7:$7=$F$3)*(Data_Input!$8:$8=$B350), 0)),"")</f>
        <v/>
      </c>
      <c r="G350" s="20" t="str" cm="1">
        <f t="array" ref="G350">IFERROR(INDEX(Data_Input!$A$1:$ZZ$502, MATCH("플랜명", INDEX(Data_Input!$A$1:$ZZ$502, 0, MATCH(1, (Data_Input!$7:$7="IRP")*(Data_Input!$8:$8=$B350), 0)), 0) + 1, MATCH(1, (Data_Input!$7:$7=$F$3)*(Data_Input!$8:$8=$B350), 0)),"")</f>
        <v/>
      </c>
      <c r="H350" s="20" t="str" cm="1">
        <f t="array" ref="H350">IFERROR(INDEX(Data_Input!$A$1:$ZZ$502, MATCH("평가금액", INDEX(Data_Input!$A$1:$ZZ$502, 0, MATCH(1, (Data_Input!$7:$7="IRP")*(Data_Input!$8:$8=$B350), 0)), 0) + 1, MATCH(1, (Data_Input!$7:$7=$F$3)*(Data_Input!$8:$8=$B350), 0)),"")</f>
        <v/>
      </c>
      <c r="I350" s="20" t="str" cm="1">
        <f t="array" ref="I350">IFERROR(INDEX(Data_Input!$A$1:$ZZ$502, MATCH("평가손익", INDEX(Data_Input!$A$1:$ZZ$502, 0, MATCH(1, (Data_Input!$7:$7="IRP")*(Data_Input!$8:$8=$B350), 0)), 0) + 1, MATCH(1, (Data_Input!$7:$7=$F$3)*(Data_Input!$8:$8=$B350), 0)),"")</f>
        <v/>
      </c>
      <c r="J350" s="14" t="str" cm="1">
        <f t="array" ref="J350">IFERROR(INDEX(Data_Input!$A$1:$ZZ$502, MATCH("누적수익률", INDEX(Data_Input!$A$1:$ZZ$502, 0, MATCH(1, (Data_Input!$7:$7="IRP")*(Data_Input!$8:$8=$B350), 0)), 0) + 1, MATCH(1, (Data_Input!$7:$7=$F$3)*(Data_Input!$8:$8=$B350), 0))/100,"")</f>
        <v/>
      </c>
      <c r="K350" t="str" cm="1">
        <f t="array" ref="K350">IFERROR(_xlfn.LET(
    _xlpm.targetDate, B350,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51" spans="1:11" x14ac:dyDescent="0.3">
      <c r="A351" s="16" t="str">
        <f t="shared" si="10"/>
        <v/>
      </c>
      <c r="B351" s="19"/>
      <c r="C351" s="17" t="str">
        <f t="shared" si="11"/>
        <v/>
      </c>
      <c r="D351" s="42" t="str" cm="1">
        <f t="array" ref="D351">IFERROR(INDEX(Data_Input!$1:$100, 10, MATCH(1, (Data_Input!$7:$7=$F$3) * (Data_Input!$8:$8=$B351), 0)), "")</f>
        <v/>
      </c>
      <c r="E351" s="29" t="str" cm="1">
        <f t="array" ref="E351">IFERROR(INDEX(Data_Input!$1:$100, 9, MATCH(1, (Data_Input!$7:$7=$F$3) * (Data_Input!$8:$8=$B351), 0)),"")</f>
        <v/>
      </c>
      <c r="F351" s="20" t="str" cm="1">
        <f t="array" ref="F351">IFERROR(INDEX(Data_Input!$A$1:$ZZ$502, MATCH("플랜번호", INDEX(Data_Input!$A$1:$ZZ$502, 0, MATCH(1, (Data_Input!$7:$7="IRP")*(Data_Input!$8:$8=$B351), 0)), 0) + 1, MATCH(1, (Data_Input!$7:$7=$F$3)*(Data_Input!$8:$8=$B351), 0)),"")</f>
        <v/>
      </c>
      <c r="G351" s="20" t="str" cm="1">
        <f t="array" ref="G351">IFERROR(INDEX(Data_Input!$A$1:$ZZ$502, MATCH("플랜명", INDEX(Data_Input!$A$1:$ZZ$502, 0, MATCH(1, (Data_Input!$7:$7="IRP")*(Data_Input!$8:$8=$B351), 0)), 0) + 1, MATCH(1, (Data_Input!$7:$7=$F$3)*(Data_Input!$8:$8=$B351), 0)),"")</f>
        <v/>
      </c>
      <c r="H351" s="20" t="str" cm="1">
        <f t="array" ref="H351">IFERROR(INDEX(Data_Input!$A$1:$ZZ$502, MATCH("평가금액", INDEX(Data_Input!$A$1:$ZZ$502, 0, MATCH(1, (Data_Input!$7:$7="IRP")*(Data_Input!$8:$8=$B351), 0)), 0) + 1, MATCH(1, (Data_Input!$7:$7=$F$3)*(Data_Input!$8:$8=$B351), 0)),"")</f>
        <v/>
      </c>
      <c r="I351" s="20" t="str" cm="1">
        <f t="array" ref="I351">IFERROR(INDEX(Data_Input!$A$1:$ZZ$502, MATCH("평가손익", INDEX(Data_Input!$A$1:$ZZ$502, 0, MATCH(1, (Data_Input!$7:$7="IRP")*(Data_Input!$8:$8=$B351), 0)), 0) + 1, MATCH(1, (Data_Input!$7:$7=$F$3)*(Data_Input!$8:$8=$B351), 0)),"")</f>
        <v/>
      </c>
      <c r="J351" s="14" t="str" cm="1">
        <f t="array" ref="J351">IFERROR(INDEX(Data_Input!$A$1:$ZZ$502, MATCH("누적수익률", INDEX(Data_Input!$A$1:$ZZ$502, 0, MATCH(1, (Data_Input!$7:$7="IRP")*(Data_Input!$8:$8=$B351), 0)), 0) + 1, MATCH(1, (Data_Input!$7:$7=$F$3)*(Data_Input!$8:$8=$B351), 0))/100,"")</f>
        <v/>
      </c>
      <c r="K351" t="str" cm="1">
        <f t="array" ref="K351">IFERROR(_xlfn.LET(
    _xlpm.targetDate, B351,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52" spans="1:11" x14ac:dyDescent="0.3">
      <c r="A352" s="16" t="str">
        <f t="shared" si="10"/>
        <v/>
      </c>
      <c r="B352" s="19"/>
      <c r="C352" s="17" t="str">
        <f t="shared" si="11"/>
        <v/>
      </c>
      <c r="D352" s="42" t="str" cm="1">
        <f t="array" ref="D352">IFERROR(INDEX(Data_Input!$1:$100, 10, MATCH(1, (Data_Input!$7:$7=$F$3) * (Data_Input!$8:$8=$B352), 0)), "")</f>
        <v/>
      </c>
      <c r="E352" s="29" t="str" cm="1">
        <f t="array" ref="E352">IFERROR(INDEX(Data_Input!$1:$100, 9, MATCH(1, (Data_Input!$7:$7=$F$3) * (Data_Input!$8:$8=$B352), 0)),"")</f>
        <v/>
      </c>
      <c r="F352" s="20" t="str" cm="1">
        <f t="array" ref="F352">IFERROR(INDEX(Data_Input!$A$1:$ZZ$502, MATCH("플랜번호", INDEX(Data_Input!$A$1:$ZZ$502, 0, MATCH(1, (Data_Input!$7:$7="IRP")*(Data_Input!$8:$8=$B352), 0)), 0) + 1, MATCH(1, (Data_Input!$7:$7=$F$3)*(Data_Input!$8:$8=$B352), 0)),"")</f>
        <v/>
      </c>
      <c r="G352" s="20" t="str" cm="1">
        <f t="array" ref="G352">IFERROR(INDEX(Data_Input!$A$1:$ZZ$502, MATCH("플랜명", INDEX(Data_Input!$A$1:$ZZ$502, 0, MATCH(1, (Data_Input!$7:$7="IRP")*(Data_Input!$8:$8=$B352), 0)), 0) + 1, MATCH(1, (Data_Input!$7:$7=$F$3)*(Data_Input!$8:$8=$B352), 0)),"")</f>
        <v/>
      </c>
      <c r="H352" s="20" t="str" cm="1">
        <f t="array" ref="H352">IFERROR(INDEX(Data_Input!$A$1:$ZZ$502, MATCH("평가금액", INDEX(Data_Input!$A$1:$ZZ$502, 0, MATCH(1, (Data_Input!$7:$7="IRP")*(Data_Input!$8:$8=$B352), 0)), 0) + 1, MATCH(1, (Data_Input!$7:$7=$F$3)*(Data_Input!$8:$8=$B352), 0)),"")</f>
        <v/>
      </c>
      <c r="I352" s="20" t="str" cm="1">
        <f t="array" ref="I352">IFERROR(INDEX(Data_Input!$A$1:$ZZ$502, MATCH("평가손익", INDEX(Data_Input!$A$1:$ZZ$502, 0, MATCH(1, (Data_Input!$7:$7="IRP")*(Data_Input!$8:$8=$B352), 0)), 0) + 1, MATCH(1, (Data_Input!$7:$7=$F$3)*(Data_Input!$8:$8=$B352), 0)),"")</f>
        <v/>
      </c>
      <c r="J352" s="14" t="str" cm="1">
        <f t="array" ref="J352">IFERROR(INDEX(Data_Input!$A$1:$ZZ$502, MATCH("누적수익률", INDEX(Data_Input!$A$1:$ZZ$502, 0, MATCH(1, (Data_Input!$7:$7="IRP")*(Data_Input!$8:$8=$B352), 0)), 0) + 1, MATCH(1, (Data_Input!$7:$7=$F$3)*(Data_Input!$8:$8=$B352), 0))/100,"")</f>
        <v/>
      </c>
      <c r="K352" t="str" cm="1">
        <f t="array" ref="K352">IFERROR(_xlfn.LET(
    _xlpm.targetDate, B352,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53" spans="1:11" x14ac:dyDescent="0.3">
      <c r="A353" s="16" t="str">
        <f t="shared" si="10"/>
        <v/>
      </c>
      <c r="B353" s="19"/>
      <c r="C353" s="17" t="str">
        <f t="shared" si="11"/>
        <v/>
      </c>
      <c r="D353" s="42" t="str" cm="1">
        <f t="array" ref="D353">IFERROR(INDEX(Data_Input!$1:$100, 10, MATCH(1, (Data_Input!$7:$7=$F$3) * (Data_Input!$8:$8=$B353), 0)), "")</f>
        <v/>
      </c>
      <c r="E353" s="29" t="str" cm="1">
        <f t="array" ref="E353">IFERROR(INDEX(Data_Input!$1:$100, 9, MATCH(1, (Data_Input!$7:$7=$F$3) * (Data_Input!$8:$8=$B353), 0)),"")</f>
        <v/>
      </c>
      <c r="F353" s="20" t="str" cm="1">
        <f t="array" ref="F353">IFERROR(INDEX(Data_Input!$A$1:$ZZ$502, MATCH("플랜번호", INDEX(Data_Input!$A$1:$ZZ$502, 0, MATCH(1, (Data_Input!$7:$7="IRP")*(Data_Input!$8:$8=$B353), 0)), 0) + 1, MATCH(1, (Data_Input!$7:$7=$F$3)*(Data_Input!$8:$8=$B353), 0)),"")</f>
        <v/>
      </c>
      <c r="G353" s="20" t="str" cm="1">
        <f t="array" ref="G353">IFERROR(INDEX(Data_Input!$A$1:$ZZ$502, MATCH("플랜명", INDEX(Data_Input!$A$1:$ZZ$502, 0, MATCH(1, (Data_Input!$7:$7="IRP")*(Data_Input!$8:$8=$B353), 0)), 0) + 1, MATCH(1, (Data_Input!$7:$7=$F$3)*(Data_Input!$8:$8=$B353), 0)),"")</f>
        <v/>
      </c>
      <c r="H353" s="20" t="str" cm="1">
        <f t="array" ref="H353">IFERROR(INDEX(Data_Input!$A$1:$ZZ$502, MATCH("평가금액", INDEX(Data_Input!$A$1:$ZZ$502, 0, MATCH(1, (Data_Input!$7:$7="IRP")*(Data_Input!$8:$8=$B353), 0)), 0) + 1, MATCH(1, (Data_Input!$7:$7=$F$3)*(Data_Input!$8:$8=$B353), 0)),"")</f>
        <v/>
      </c>
      <c r="I353" s="20" t="str" cm="1">
        <f t="array" ref="I353">IFERROR(INDEX(Data_Input!$A$1:$ZZ$502, MATCH("평가손익", INDEX(Data_Input!$A$1:$ZZ$502, 0, MATCH(1, (Data_Input!$7:$7="IRP")*(Data_Input!$8:$8=$B353), 0)), 0) + 1, MATCH(1, (Data_Input!$7:$7=$F$3)*(Data_Input!$8:$8=$B353), 0)),"")</f>
        <v/>
      </c>
      <c r="J353" s="14" t="str" cm="1">
        <f t="array" ref="J353">IFERROR(INDEX(Data_Input!$A$1:$ZZ$502, MATCH("누적수익률", INDEX(Data_Input!$A$1:$ZZ$502, 0, MATCH(1, (Data_Input!$7:$7="IRP")*(Data_Input!$8:$8=$B353), 0)), 0) + 1, MATCH(1, (Data_Input!$7:$7=$F$3)*(Data_Input!$8:$8=$B353), 0))/100,"")</f>
        <v/>
      </c>
      <c r="K353" t="str" cm="1">
        <f t="array" ref="K353">IFERROR(_xlfn.LET(
    _xlpm.targetDate, B353,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54" spans="1:11" x14ac:dyDescent="0.3">
      <c r="A354" s="16" t="str">
        <f t="shared" si="10"/>
        <v/>
      </c>
      <c r="B354" s="19"/>
      <c r="C354" s="17" t="str">
        <f t="shared" si="11"/>
        <v/>
      </c>
      <c r="D354" s="42" t="str" cm="1">
        <f t="array" ref="D354">IFERROR(INDEX(Data_Input!$1:$100, 10, MATCH(1, (Data_Input!$7:$7=$F$3) * (Data_Input!$8:$8=$B354), 0)), "")</f>
        <v/>
      </c>
      <c r="E354" s="29" t="str" cm="1">
        <f t="array" ref="E354">IFERROR(INDEX(Data_Input!$1:$100, 9, MATCH(1, (Data_Input!$7:$7=$F$3) * (Data_Input!$8:$8=$B354), 0)),"")</f>
        <v/>
      </c>
      <c r="F354" s="20" t="str" cm="1">
        <f t="array" ref="F354">IFERROR(INDEX(Data_Input!$A$1:$ZZ$502, MATCH("플랜번호", INDEX(Data_Input!$A$1:$ZZ$502, 0, MATCH(1, (Data_Input!$7:$7="IRP")*(Data_Input!$8:$8=$B354), 0)), 0) + 1, MATCH(1, (Data_Input!$7:$7=$F$3)*(Data_Input!$8:$8=$B354), 0)),"")</f>
        <v/>
      </c>
      <c r="G354" s="20" t="str" cm="1">
        <f t="array" ref="G354">IFERROR(INDEX(Data_Input!$A$1:$ZZ$502, MATCH("플랜명", INDEX(Data_Input!$A$1:$ZZ$502, 0, MATCH(1, (Data_Input!$7:$7="IRP")*(Data_Input!$8:$8=$B354), 0)), 0) + 1, MATCH(1, (Data_Input!$7:$7=$F$3)*(Data_Input!$8:$8=$B354), 0)),"")</f>
        <v/>
      </c>
      <c r="H354" s="20" t="str" cm="1">
        <f t="array" ref="H354">IFERROR(INDEX(Data_Input!$A$1:$ZZ$502, MATCH("평가금액", INDEX(Data_Input!$A$1:$ZZ$502, 0, MATCH(1, (Data_Input!$7:$7="IRP")*(Data_Input!$8:$8=$B354), 0)), 0) + 1, MATCH(1, (Data_Input!$7:$7=$F$3)*(Data_Input!$8:$8=$B354), 0)),"")</f>
        <v/>
      </c>
      <c r="I354" s="20" t="str" cm="1">
        <f t="array" ref="I354">IFERROR(INDEX(Data_Input!$A$1:$ZZ$502, MATCH("평가손익", INDEX(Data_Input!$A$1:$ZZ$502, 0, MATCH(1, (Data_Input!$7:$7="IRP")*(Data_Input!$8:$8=$B354), 0)), 0) + 1, MATCH(1, (Data_Input!$7:$7=$F$3)*(Data_Input!$8:$8=$B354), 0)),"")</f>
        <v/>
      </c>
      <c r="J354" s="14" t="str" cm="1">
        <f t="array" ref="J354">IFERROR(INDEX(Data_Input!$A$1:$ZZ$502, MATCH("누적수익률", INDEX(Data_Input!$A$1:$ZZ$502, 0, MATCH(1, (Data_Input!$7:$7="IRP")*(Data_Input!$8:$8=$B354), 0)), 0) + 1, MATCH(1, (Data_Input!$7:$7=$F$3)*(Data_Input!$8:$8=$B354), 0))/100,"")</f>
        <v/>
      </c>
      <c r="K354" t="str" cm="1">
        <f t="array" ref="K354">IFERROR(_xlfn.LET(
    _xlpm.targetDate, B354,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55" spans="1:11" x14ac:dyDescent="0.3">
      <c r="A355" s="16" t="str">
        <f t="shared" si="10"/>
        <v/>
      </c>
      <c r="B355" s="19"/>
      <c r="C355" s="17" t="str">
        <f t="shared" si="11"/>
        <v/>
      </c>
      <c r="D355" s="42" t="str" cm="1">
        <f t="array" ref="D355">IFERROR(INDEX(Data_Input!$1:$100, 10, MATCH(1, (Data_Input!$7:$7=$F$3) * (Data_Input!$8:$8=$B355), 0)), "")</f>
        <v/>
      </c>
      <c r="E355" s="29" t="str" cm="1">
        <f t="array" ref="E355">IFERROR(INDEX(Data_Input!$1:$100, 9, MATCH(1, (Data_Input!$7:$7=$F$3) * (Data_Input!$8:$8=$B355), 0)),"")</f>
        <v/>
      </c>
      <c r="F355" s="20" t="str" cm="1">
        <f t="array" ref="F355">IFERROR(INDEX(Data_Input!$A$1:$ZZ$502, MATCH("플랜번호", INDEX(Data_Input!$A$1:$ZZ$502, 0, MATCH(1, (Data_Input!$7:$7="IRP")*(Data_Input!$8:$8=$B355), 0)), 0) + 1, MATCH(1, (Data_Input!$7:$7=$F$3)*(Data_Input!$8:$8=$B355), 0)),"")</f>
        <v/>
      </c>
      <c r="G355" s="20" t="str" cm="1">
        <f t="array" ref="G355">IFERROR(INDEX(Data_Input!$A$1:$ZZ$502, MATCH("플랜명", INDEX(Data_Input!$A$1:$ZZ$502, 0, MATCH(1, (Data_Input!$7:$7="IRP")*(Data_Input!$8:$8=$B355), 0)), 0) + 1, MATCH(1, (Data_Input!$7:$7=$F$3)*(Data_Input!$8:$8=$B355), 0)),"")</f>
        <v/>
      </c>
      <c r="H355" s="20" t="str" cm="1">
        <f t="array" ref="H355">IFERROR(INDEX(Data_Input!$A$1:$ZZ$502, MATCH("평가금액", INDEX(Data_Input!$A$1:$ZZ$502, 0, MATCH(1, (Data_Input!$7:$7="IRP")*(Data_Input!$8:$8=$B355), 0)), 0) + 1, MATCH(1, (Data_Input!$7:$7=$F$3)*(Data_Input!$8:$8=$B355), 0)),"")</f>
        <v/>
      </c>
      <c r="I355" s="20" t="str" cm="1">
        <f t="array" ref="I355">IFERROR(INDEX(Data_Input!$A$1:$ZZ$502, MATCH("평가손익", INDEX(Data_Input!$A$1:$ZZ$502, 0, MATCH(1, (Data_Input!$7:$7="IRP")*(Data_Input!$8:$8=$B355), 0)), 0) + 1, MATCH(1, (Data_Input!$7:$7=$F$3)*(Data_Input!$8:$8=$B355), 0)),"")</f>
        <v/>
      </c>
      <c r="J355" s="14" t="str" cm="1">
        <f t="array" ref="J355">IFERROR(INDEX(Data_Input!$A$1:$ZZ$502, MATCH("누적수익률", INDEX(Data_Input!$A$1:$ZZ$502, 0, MATCH(1, (Data_Input!$7:$7="IRP")*(Data_Input!$8:$8=$B355), 0)), 0) + 1, MATCH(1, (Data_Input!$7:$7=$F$3)*(Data_Input!$8:$8=$B355), 0))/100,"")</f>
        <v/>
      </c>
      <c r="K355" t="str" cm="1">
        <f t="array" ref="K355">IFERROR(_xlfn.LET(
    _xlpm.targetDate, B355,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56" spans="1:11" x14ac:dyDescent="0.3">
      <c r="A356" s="16" t="str">
        <f t="shared" si="10"/>
        <v/>
      </c>
      <c r="B356" s="19"/>
      <c r="C356" s="17" t="str">
        <f t="shared" si="11"/>
        <v/>
      </c>
      <c r="D356" s="42" t="str" cm="1">
        <f t="array" ref="D356">IFERROR(INDEX(Data_Input!$1:$100, 10, MATCH(1, (Data_Input!$7:$7=$F$3) * (Data_Input!$8:$8=$B356), 0)), "")</f>
        <v/>
      </c>
      <c r="E356" s="29" t="str" cm="1">
        <f t="array" ref="E356">IFERROR(INDEX(Data_Input!$1:$100, 9, MATCH(1, (Data_Input!$7:$7=$F$3) * (Data_Input!$8:$8=$B356), 0)),"")</f>
        <v/>
      </c>
      <c r="F356" s="20" t="str" cm="1">
        <f t="array" ref="F356">IFERROR(INDEX(Data_Input!$A$1:$ZZ$502, MATCH("플랜번호", INDEX(Data_Input!$A$1:$ZZ$502, 0, MATCH(1, (Data_Input!$7:$7="IRP")*(Data_Input!$8:$8=$B356), 0)), 0) + 1, MATCH(1, (Data_Input!$7:$7=$F$3)*(Data_Input!$8:$8=$B356), 0)),"")</f>
        <v/>
      </c>
      <c r="G356" s="20" t="str" cm="1">
        <f t="array" ref="G356">IFERROR(INDEX(Data_Input!$A$1:$ZZ$502, MATCH("플랜명", INDEX(Data_Input!$A$1:$ZZ$502, 0, MATCH(1, (Data_Input!$7:$7="IRP")*(Data_Input!$8:$8=$B356), 0)), 0) + 1, MATCH(1, (Data_Input!$7:$7=$F$3)*(Data_Input!$8:$8=$B356), 0)),"")</f>
        <v/>
      </c>
      <c r="H356" s="20" t="str" cm="1">
        <f t="array" ref="H356">IFERROR(INDEX(Data_Input!$A$1:$ZZ$502, MATCH("평가금액", INDEX(Data_Input!$A$1:$ZZ$502, 0, MATCH(1, (Data_Input!$7:$7="IRP")*(Data_Input!$8:$8=$B356), 0)), 0) + 1, MATCH(1, (Data_Input!$7:$7=$F$3)*(Data_Input!$8:$8=$B356), 0)),"")</f>
        <v/>
      </c>
      <c r="I356" s="20" t="str" cm="1">
        <f t="array" ref="I356">IFERROR(INDEX(Data_Input!$A$1:$ZZ$502, MATCH("평가손익", INDEX(Data_Input!$A$1:$ZZ$502, 0, MATCH(1, (Data_Input!$7:$7="IRP")*(Data_Input!$8:$8=$B356), 0)), 0) + 1, MATCH(1, (Data_Input!$7:$7=$F$3)*(Data_Input!$8:$8=$B356), 0)),"")</f>
        <v/>
      </c>
      <c r="J356" s="14" t="str" cm="1">
        <f t="array" ref="J356">IFERROR(INDEX(Data_Input!$A$1:$ZZ$502, MATCH("누적수익률", INDEX(Data_Input!$A$1:$ZZ$502, 0, MATCH(1, (Data_Input!$7:$7="IRP")*(Data_Input!$8:$8=$B356), 0)), 0) + 1, MATCH(1, (Data_Input!$7:$7=$F$3)*(Data_Input!$8:$8=$B356), 0))/100,"")</f>
        <v/>
      </c>
      <c r="K356" t="str" cm="1">
        <f t="array" ref="K356">IFERROR(_xlfn.LET(
    _xlpm.targetDate, B356,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57" spans="1:11" x14ac:dyDescent="0.3">
      <c r="A357" s="16" t="str">
        <f t="shared" si="10"/>
        <v/>
      </c>
      <c r="B357" s="19"/>
      <c r="C357" s="17" t="str">
        <f t="shared" si="11"/>
        <v/>
      </c>
      <c r="D357" s="42" t="str" cm="1">
        <f t="array" ref="D357">IFERROR(INDEX(Data_Input!$1:$100, 10, MATCH(1, (Data_Input!$7:$7=$F$3) * (Data_Input!$8:$8=$B357), 0)), "")</f>
        <v/>
      </c>
      <c r="E357" s="29" t="str" cm="1">
        <f t="array" ref="E357">IFERROR(INDEX(Data_Input!$1:$100, 9, MATCH(1, (Data_Input!$7:$7=$F$3) * (Data_Input!$8:$8=$B357), 0)),"")</f>
        <v/>
      </c>
      <c r="F357" s="20" t="str" cm="1">
        <f t="array" ref="F357">IFERROR(INDEX(Data_Input!$A$1:$ZZ$502, MATCH("플랜번호", INDEX(Data_Input!$A$1:$ZZ$502, 0, MATCH(1, (Data_Input!$7:$7="IRP")*(Data_Input!$8:$8=$B357), 0)), 0) + 1, MATCH(1, (Data_Input!$7:$7=$F$3)*(Data_Input!$8:$8=$B357), 0)),"")</f>
        <v/>
      </c>
      <c r="G357" s="20" t="str" cm="1">
        <f t="array" ref="G357">IFERROR(INDEX(Data_Input!$A$1:$ZZ$502, MATCH("플랜명", INDEX(Data_Input!$A$1:$ZZ$502, 0, MATCH(1, (Data_Input!$7:$7="IRP")*(Data_Input!$8:$8=$B357), 0)), 0) + 1, MATCH(1, (Data_Input!$7:$7=$F$3)*(Data_Input!$8:$8=$B357), 0)),"")</f>
        <v/>
      </c>
      <c r="H357" s="20" t="str" cm="1">
        <f t="array" ref="H357">IFERROR(INDEX(Data_Input!$A$1:$ZZ$502, MATCH("평가금액", INDEX(Data_Input!$A$1:$ZZ$502, 0, MATCH(1, (Data_Input!$7:$7="IRP")*(Data_Input!$8:$8=$B357), 0)), 0) + 1, MATCH(1, (Data_Input!$7:$7=$F$3)*(Data_Input!$8:$8=$B357), 0)),"")</f>
        <v/>
      </c>
      <c r="I357" s="20" t="str" cm="1">
        <f t="array" ref="I357">IFERROR(INDEX(Data_Input!$A$1:$ZZ$502, MATCH("평가손익", INDEX(Data_Input!$A$1:$ZZ$502, 0, MATCH(1, (Data_Input!$7:$7="IRP")*(Data_Input!$8:$8=$B357), 0)), 0) + 1, MATCH(1, (Data_Input!$7:$7=$F$3)*(Data_Input!$8:$8=$B357), 0)),"")</f>
        <v/>
      </c>
      <c r="J357" s="14" t="str" cm="1">
        <f t="array" ref="J357">IFERROR(INDEX(Data_Input!$A$1:$ZZ$502, MATCH("누적수익률", INDEX(Data_Input!$A$1:$ZZ$502, 0, MATCH(1, (Data_Input!$7:$7="IRP")*(Data_Input!$8:$8=$B357), 0)), 0) + 1, MATCH(1, (Data_Input!$7:$7=$F$3)*(Data_Input!$8:$8=$B357), 0))/100,"")</f>
        <v/>
      </c>
      <c r="K357" t="str" cm="1">
        <f t="array" ref="K357">IFERROR(_xlfn.LET(
    _xlpm.targetDate, B357,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58" spans="1:11" x14ac:dyDescent="0.3">
      <c r="A358" s="16" t="str">
        <f t="shared" si="10"/>
        <v/>
      </c>
      <c r="B358" s="19"/>
      <c r="C358" s="17" t="str">
        <f t="shared" si="11"/>
        <v/>
      </c>
      <c r="D358" s="42" t="str" cm="1">
        <f t="array" ref="D358">IFERROR(INDEX(Data_Input!$1:$100, 10, MATCH(1, (Data_Input!$7:$7=$F$3) * (Data_Input!$8:$8=$B358), 0)), "")</f>
        <v/>
      </c>
      <c r="E358" s="29" t="str" cm="1">
        <f t="array" ref="E358">IFERROR(INDEX(Data_Input!$1:$100, 9, MATCH(1, (Data_Input!$7:$7=$F$3) * (Data_Input!$8:$8=$B358), 0)),"")</f>
        <v/>
      </c>
      <c r="F358" s="20" t="str" cm="1">
        <f t="array" ref="F358">IFERROR(INDEX(Data_Input!$A$1:$ZZ$502, MATCH("플랜번호", INDEX(Data_Input!$A$1:$ZZ$502, 0, MATCH(1, (Data_Input!$7:$7="IRP")*(Data_Input!$8:$8=$B358), 0)), 0) + 1, MATCH(1, (Data_Input!$7:$7=$F$3)*(Data_Input!$8:$8=$B358), 0)),"")</f>
        <v/>
      </c>
      <c r="G358" s="20" t="str" cm="1">
        <f t="array" ref="G358">IFERROR(INDEX(Data_Input!$A$1:$ZZ$502, MATCH("플랜명", INDEX(Data_Input!$A$1:$ZZ$502, 0, MATCH(1, (Data_Input!$7:$7="IRP")*(Data_Input!$8:$8=$B358), 0)), 0) + 1, MATCH(1, (Data_Input!$7:$7=$F$3)*(Data_Input!$8:$8=$B358), 0)),"")</f>
        <v/>
      </c>
      <c r="H358" s="20" t="str" cm="1">
        <f t="array" ref="H358">IFERROR(INDEX(Data_Input!$A$1:$ZZ$502, MATCH("평가금액", INDEX(Data_Input!$A$1:$ZZ$502, 0, MATCH(1, (Data_Input!$7:$7="IRP")*(Data_Input!$8:$8=$B358), 0)), 0) + 1, MATCH(1, (Data_Input!$7:$7=$F$3)*(Data_Input!$8:$8=$B358), 0)),"")</f>
        <v/>
      </c>
      <c r="I358" s="20" t="str" cm="1">
        <f t="array" ref="I358">IFERROR(INDEX(Data_Input!$A$1:$ZZ$502, MATCH("평가손익", INDEX(Data_Input!$A$1:$ZZ$502, 0, MATCH(1, (Data_Input!$7:$7="IRP")*(Data_Input!$8:$8=$B358), 0)), 0) + 1, MATCH(1, (Data_Input!$7:$7=$F$3)*(Data_Input!$8:$8=$B358), 0)),"")</f>
        <v/>
      </c>
      <c r="J358" s="14" t="str" cm="1">
        <f t="array" ref="J358">IFERROR(INDEX(Data_Input!$A$1:$ZZ$502, MATCH("누적수익률", INDEX(Data_Input!$A$1:$ZZ$502, 0, MATCH(1, (Data_Input!$7:$7="IRP")*(Data_Input!$8:$8=$B358), 0)), 0) + 1, MATCH(1, (Data_Input!$7:$7=$F$3)*(Data_Input!$8:$8=$B358), 0))/100,"")</f>
        <v/>
      </c>
      <c r="K358" t="str" cm="1">
        <f t="array" ref="K358">IFERROR(_xlfn.LET(
    _xlpm.targetDate, B358,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59" spans="1:11" x14ac:dyDescent="0.3">
      <c r="A359" s="16" t="str">
        <f t="shared" si="10"/>
        <v/>
      </c>
      <c r="B359" s="19"/>
      <c r="C359" s="17" t="str">
        <f t="shared" si="11"/>
        <v/>
      </c>
      <c r="D359" s="42" t="str" cm="1">
        <f t="array" ref="D359">IFERROR(INDEX(Data_Input!$1:$100, 10, MATCH(1, (Data_Input!$7:$7=$F$3) * (Data_Input!$8:$8=$B359), 0)), "")</f>
        <v/>
      </c>
      <c r="E359" s="29" t="str" cm="1">
        <f t="array" ref="E359">IFERROR(INDEX(Data_Input!$1:$100, 9, MATCH(1, (Data_Input!$7:$7=$F$3) * (Data_Input!$8:$8=$B359), 0)),"")</f>
        <v/>
      </c>
      <c r="F359" s="20" t="str" cm="1">
        <f t="array" ref="F359">IFERROR(INDEX(Data_Input!$A$1:$ZZ$502, MATCH("플랜번호", INDEX(Data_Input!$A$1:$ZZ$502, 0, MATCH(1, (Data_Input!$7:$7="IRP")*(Data_Input!$8:$8=$B359), 0)), 0) + 1, MATCH(1, (Data_Input!$7:$7=$F$3)*(Data_Input!$8:$8=$B359), 0)),"")</f>
        <v/>
      </c>
      <c r="G359" s="20" t="str" cm="1">
        <f t="array" ref="G359">IFERROR(INDEX(Data_Input!$A$1:$ZZ$502, MATCH("플랜명", INDEX(Data_Input!$A$1:$ZZ$502, 0, MATCH(1, (Data_Input!$7:$7="IRP")*(Data_Input!$8:$8=$B359), 0)), 0) + 1, MATCH(1, (Data_Input!$7:$7=$F$3)*(Data_Input!$8:$8=$B359), 0)),"")</f>
        <v/>
      </c>
      <c r="H359" s="20" t="str" cm="1">
        <f t="array" ref="H359">IFERROR(INDEX(Data_Input!$A$1:$ZZ$502, MATCH("평가금액", INDEX(Data_Input!$A$1:$ZZ$502, 0, MATCH(1, (Data_Input!$7:$7="IRP")*(Data_Input!$8:$8=$B359), 0)), 0) + 1, MATCH(1, (Data_Input!$7:$7=$F$3)*(Data_Input!$8:$8=$B359), 0)),"")</f>
        <v/>
      </c>
      <c r="I359" s="20" t="str" cm="1">
        <f t="array" ref="I359">IFERROR(INDEX(Data_Input!$A$1:$ZZ$502, MATCH("평가손익", INDEX(Data_Input!$A$1:$ZZ$502, 0, MATCH(1, (Data_Input!$7:$7="IRP")*(Data_Input!$8:$8=$B359), 0)), 0) + 1, MATCH(1, (Data_Input!$7:$7=$F$3)*(Data_Input!$8:$8=$B359), 0)),"")</f>
        <v/>
      </c>
      <c r="J359" s="14" t="str" cm="1">
        <f t="array" ref="J359">IFERROR(INDEX(Data_Input!$A$1:$ZZ$502, MATCH("누적수익률", INDEX(Data_Input!$A$1:$ZZ$502, 0, MATCH(1, (Data_Input!$7:$7="IRP")*(Data_Input!$8:$8=$B359), 0)), 0) + 1, MATCH(1, (Data_Input!$7:$7=$F$3)*(Data_Input!$8:$8=$B359), 0))/100,"")</f>
        <v/>
      </c>
      <c r="K359" t="str" cm="1">
        <f t="array" ref="K359">IFERROR(_xlfn.LET(
    _xlpm.targetDate, B359,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60" spans="1:11" x14ac:dyDescent="0.3">
      <c r="A360" s="16" t="str">
        <f t="shared" si="10"/>
        <v/>
      </c>
      <c r="B360" s="19"/>
      <c r="C360" s="17" t="str">
        <f t="shared" si="11"/>
        <v/>
      </c>
      <c r="D360" s="42" t="str" cm="1">
        <f t="array" ref="D360">IFERROR(INDEX(Data_Input!$1:$100, 10, MATCH(1, (Data_Input!$7:$7=$F$3) * (Data_Input!$8:$8=$B360), 0)), "")</f>
        <v/>
      </c>
      <c r="E360" s="29" t="str" cm="1">
        <f t="array" ref="E360">IFERROR(INDEX(Data_Input!$1:$100, 9, MATCH(1, (Data_Input!$7:$7=$F$3) * (Data_Input!$8:$8=$B360), 0)),"")</f>
        <v/>
      </c>
      <c r="F360" s="20" t="str" cm="1">
        <f t="array" ref="F360">IFERROR(INDEX(Data_Input!$A$1:$ZZ$502, MATCH("플랜번호", INDEX(Data_Input!$A$1:$ZZ$502, 0, MATCH(1, (Data_Input!$7:$7="IRP")*(Data_Input!$8:$8=$B360), 0)), 0) + 1, MATCH(1, (Data_Input!$7:$7=$F$3)*(Data_Input!$8:$8=$B360), 0)),"")</f>
        <v/>
      </c>
      <c r="G360" s="20" t="str" cm="1">
        <f t="array" ref="G360">IFERROR(INDEX(Data_Input!$A$1:$ZZ$502, MATCH("플랜명", INDEX(Data_Input!$A$1:$ZZ$502, 0, MATCH(1, (Data_Input!$7:$7="IRP")*(Data_Input!$8:$8=$B360), 0)), 0) + 1, MATCH(1, (Data_Input!$7:$7=$F$3)*(Data_Input!$8:$8=$B360), 0)),"")</f>
        <v/>
      </c>
      <c r="H360" s="20" t="str" cm="1">
        <f t="array" ref="H360">IFERROR(INDEX(Data_Input!$A$1:$ZZ$502, MATCH("평가금액", INDEX(Data_Input!$A$1:$ZZ$502, 0, MATCH(1, (Data_Input!$7:$7="IRP")*(Data_Input!$8:$8=$B360), 0)), 0) + 1, MATCH(1, (Data_Input!$7:$7=$F$3)*(Data_Input!$8:$8=$B360), 0)),"")</f>
        <v/>
      </c>
      <c r="I360" s="20" t="str" cm="1">
        <f t="array" ref="I360">IFERROR(INDEX(Data_Input!$A$1:$ZZ$502, MATCH("평가손익", INDEX(Data_Input!$A$1:$ZZ$502, 0, MATCH(1, (Data_Input!$7:$7="IRP")*(Data_Input!$8:$8=$B360), 0)), 0) + 1, MATCH(1, (Data_Input!$7:$7=$F$3)*(Data_Input!$8:$8=$B360), 0)),"")</f>
        <v/>
      </c>
      <c r="J360" s="14" t="str" cm="1">
        <f t="array" ref="J360">IFERROR(INDEX(Data_Input!$A$1:$ZZ$502, MATCH("누적수익률", INDEX(Data_Input!$A$1:$ZZ$502, 0, MATCH(1, (Data_Input!$7:$7="IRP")*(Data_Input!$8:$8=$B360), 0)), 0) + 1, MATCH(1, (Data_Input!$7:$7=$F$3)*(Data_Input!$8:$8=$B360), 0))/100,"")</f>
        <v/>
      </c>
      <c r="K360" t="str" cm="1">
        <f t="array" ref="K360">IFERROR(_xlfn.LET(
    _xlpm.targetDate, B360,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61" spans="1:11" x14ac:dyDescent="0.3">
      <c r="A361" s="16" t="str">
        <f t="shared" si="10"/>
        <v/>
      </c>
      <c r="B361" s="19"/>
      <c r="C361" s="17" t="str">
        <f t="shared" si="11"/>
        <v/>
      </c>
      <c r="D361" s="42" t="str" cm="1">
        <f t="array" ref="D361">IFERROR(INDEX(Data_Input!$1:$100, 10, MATCH(1, (Data_Input!$7:$7=$F$3) * (Data_Input!$8:$8=$B361), 0)), "")</f>
        <v/>
      </c>
      <c r="E361" s="29" t="str" cm="1">
        <f t="array" ref="E361">IFERROR(INDEX(Data_Input!$1:$100, 9, MATCH(1, (Data_Input!$7:$7=$F$3) * (Data_Input!$8:$8=$B361), 0)),"")</f>
        <v/>
      </c>
      <c r="F361" s="20" t="str" cm="1">
        <f t="array" ref="F361">IFERROR(INDEX(Data_Input!$A$1:$ZZ$502, MATCH("플랜번호", INDEX(Data_Input!$A$1:$ZZ$502, 0, MATCH(1, (Data_Input!$7:$7="IRP")*(Data_Input!$8:$8=$B361), 0)), 0) + 1, MATCH(1, (Data_Input!$7:$7=$F$3)*(Data_Input!$8:$8=$B361), 0)),"")</f>
        <v/>
      </c>
      <c r="G361" s="20" t="str" cm="1">
        <f t="array" ref="G361">IFERROR(INDEX(Data_Input!$A$1:$ZZ$502, MATCH("플랜명", INDEX(Data_Input!$A$1:$ZZ$502, 0, MATCH(1, (Data_Input!$7:$7="IRP")*(Data_Input!$8:$8=$B361), 0)), 0) + 1, MATCH(1, (Data_Input!$7:$7=$F$3)*(Data_Input!$8:$8=$B361), 0)),"")</f>
        <v/>
      </c>
      <c r="H361" s="20" t="str" cm="1">
        <f t="array" ref="H361">IFERROR(INDEX(Data_Input!$A$1:$ZZ$502, MATCH("평가금액", INDEX(Data_Input!$A$1:$ZZ$502, 0, MATCH(1, (Data_Input!$7:$7="IRP")*(Data_Input!$8:$8=$B361), 0)), 0) + 1, MATCH(1, (Data_Input!$7:$7=$F$3)*(Data_Input!$8:$8=$B361), 0)),"")</f>
        <v/>
      </c>
      <c r="I361" s="20" t="str" cm="1">
        <f t="array" ref="I361">IFERROR(INDEX(Data_Input!$A$1:$ZZ$502, MATCH("평가손익", INDEX(Data_Input!$A$1:$ZZ$502, 0, MATCH(1, (Data_Input!$7:$7="IRP")*(Data_Input!$8:$8=$B361), 0)), 0) + 1, MATCH(1, (Data_Input!$7:$7=$F$3)*(Data_Input!$8:$8=$B361), 0)),"")</f>
        <v/>
      </c>
      <c r="J361" s="14" t="str" cm="1">
        <f t="array" ref="J361">IFERROR(INDEX(Data_Input!$A$1:$ZZ$502, MATCH("누적수익률", INDEX(Data_Input!$A$1:$ZZ$502, 0, MATCH(1, (Data_Input!$7:$7="IRP")*(Data_Input!$8:$8=$B361), 0)), 0) + 1, MATCH(1, (Data_Input!$7:$7=$F$3)*(Data_Input!$8:$8=$B361), 0))/100,"")</f>
        <v/>
      </c>
      <c r="K361" t="str" cm="1">
        <f t="array" ref="K361">IFERROR(_xlfn.LET(
    _xlpm.targetDate, B361,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62" spans="1:11" x14ac:dyDescent="0.3">
      <c r="A362" s="16" t="str">
        <f t="shared" si="10"/>
        <v/>
      </c>
      <c r="B362" s="19"/>
      <c r="C362" s="17" t="str">
        <f t="shared" si="11"/>
        <v/>
      </c>
      <c r="D362" s="42" t="str" cm="1">
        <f t="array" ref="D362">IFERROR(INDEX(Data_Input!$1:$100, 10, MATCH(1, (Data_Input!$7:$7=$F$3) * (Data_Input!$8:$8=$B362), 0)), "")</f>
        <v/>
      </c>
      <c r="E362" s="29" t="str" cm="1">
        <f t="array" ref="E362">IFERROR(INDEX(Data_Input!$1:$100, 9, MATCH(1, (Data_Input!$7:$7=$F$3) * (Data_Input!$8:$8=$B362), 0)),"")</f>
        <v/>
      </c>
      <c r="F362" s="20" t="str" cm="1">
        <f t="array" ref="F362">IFERROR(INDEX(Data_Input!$A$1:$ZZ$502, MATCH("플랜번호", INDEX(Data_Input!$A$1:$ZZ$502, 0, MATCH(1, (Data_Input!$7:$7="IRP")*(Data_Input!$8:$8=$B362), 0)), 0) + 1, MATCH(1, (Data_Input!$7:$7=$F$3)*(Data_Input!$8:$8=$B362), 0)),"")</f>
        <v/>
      </c>
      <c r="G362" s="20" t="str" cm="1">
        <f t="array" ref="G362">IFERROR(INDEX(Data_Input!$A$1:$ZZ$502, MATCH("플랜명", INDEX(Data_Input!$A$1:$ZZ$502, 0, MATCH(1, (Data_Input!$7:$7="IRP")*(Data_Input!$8:$8=$B362), 0)), 0) + 1, MATCH(1, (Data_Input!$7:$7=$F$3)*(Data_Input!$8:$8=$B362), 0)),"")</f>
        <v/>
      </c>
      <c r="H362" s="20" t="str" cm="1">
        <f t="array" ref="H362">IFERROR(INDEX(Data_Input!$A$1:$ZZ$502, MATCH("평가금액", INDEX(Data_Input!$A$1:$ZZ$502, 0, MATCH(1, (Data_Input!$7:$7="IRP")*(Data_Input!$8:$8=$B362), 0)), 0) + 1, MATCH(1, (Data_Input!$7:$7=$F$3)*(Data_Input!$8:$8=$B362), 0)),"")</f>
        <v/>
      </c>
      <c r="I362" s="20" t="str" cm="1">
        <f t="array" ref="I362">IFERROR(INDEX(Data_Input!$A$1:$ZZ$502, MATCH("평가손익", INDEX(Data_Input!$A$1:$ZZ$502, 0, MATCH(1, (Data_Input!$7:$7="IRP")*(Data_Input!$8:$8=$B362), 0)), 0) + 1, MATCH(1, (Data_Input!$7:$7=$F$3)*(Data_Input!$8:$8=$B362), 0)),"")</f>
        <v/>
      </c>
      <c r="J362" s="14" t="str" cm="1">
        <f t="array" ref="J362">IFERROR(INDEX(Data_Input!$A$1:$ZZ$502, MATCH("누적수익률", INDEX(Data_Input!$A$1:$ZZ$502, 0, MATCH(1, (Data_Input!$7:$7="IRP")*(Data_Input!$8:$8=$B362), 0)), 0) + 1, MATCH(1, (Data_Input!$7:$7=$F$3)*(Data_Input!$8:$8=$B362), 0))/100,"")</f>
        <v/>
      </c>
      <c r="K362" t="str" cm="1">
        <f t="array" ref="K362">IFERROR(_xlfn.LET(
    _xlpm.targetDate, B362,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63" spans="1:11" x14ac:dyDescent="0.3">
      <c r="A363" s="16" t="str">
        <f t="shared" si="10"/>
        <v/>
      </c>
      <c r="B363" s="19"/>
      <c r="C363" s="17" t="str">
        <f t="shared" si="11"/>
        <v/>
      </c>
      <c r="D363" s="42" t="str" cm="1">
        <f t="array" ref="D363">IFERROR(INDEX(Data_Input!$1:$100, 10, MATCH(1, (Data_Input!$7:$7=$F$3) * (Data_Input!$8:$8=$B363), 0)), "")</f>
        <v/>
      </c>
      <c r="E363" s="29" t="str" cm="1">
        <f t="array" ref="E363">IFERROR(INDEX(Data_Input!$1:$100, 9, MATCH(1, (Data_Input!$7:$7=$F$3) * (Data_Input!$8:$8=$B363), 0)),"")</f>
        <v/>
      </c>
      <c r="F363" s="20" t="str" cm="1">
        <f t="array" ref="F363">IFERROR(INDEX(Data_Input!$A$1:$ZZ$502, MATCH("플랜번호", INDEX(Data_Input!$A$1:$ZZ$502, 0, MATCH(1, (Data_Input!$7:$7="IRP")*(Data_Input!$8:$8=$B363), 0)), 0) + 1, MATCH(1, (Data_Input!$7:$7=$F$3)*(Data_Input!$8:$8=$B363), 0)),"")</f>
        <v/>
      </c>
      <c r="G363" s="20" t="str" cm="1">
        <f t="array" ref="G363">IFERROR(INDEX(Data_Input!$A$1:$ZZ$502, MATCH("플랜명", INDEX(Data_Input!$A$1:$ZZ$502, 0, MATCH(1, (Data_Input!$7:$7="IRP")*(Data_Input!$8:$8=$B363), 0)), 0) + 1, MATCH(1, (Data_Input!$7:$7=$F$3)*(Data_Input!$8:$8=$B363), 0)),"")</f>
        <v/>
      </c>
      <c r="H363" s="20" t="str" cm="1">
        <f t="array" ref="H363">IFERROR(INDEX(Data_Input!$A$1:$ZZ$502, MATCH("평가금액", INDEX(Data_Input!$A$1:$ZZ$502, 0, MATCH(1, (Data_Input!$7:$7="IRP")*(Data_Input!$8:$8=$B363), 0)), 0) + 1, MATCH(1, (Data_Input!$7:$7=$F$3)*(Data_Input!$8:$8=$B363), 0)),"")</f>
        <v/>
      </c>
      <c r="I363" s="20" t="str" cm="1">
        <f t="array" ref="I363">IFERROR(INDEX(Data_Input!$A$1:$ZZ$502, MATCH("평가손익", INDEX(Data_Input!$A$1:$ZZ$502, 0, MATCH(1, (Data_Input!$7:$7="IRP")*(Data_Input!$8:$8=$B363), 0)), 0) + 1, MATCH(1, (Data_Input!$7:$7=$F$3)*(Data_Input!$8:$8=$B363), 0)),"")</f>
        <v/>
      </c>
      <c r="J363" s="14" t="str" cm="1">
        <f t="array" ref="J363">IFERROR(INDEX(Data_Input!$A$1:$ZZ$502, MATCH("누적수익률", INDEX(Data_Input!$A$1:$ZZ$502, 0, MATCH(1, (Data_Input!$7:$7="IRP")*(Data_Input!$8:$8=$B363), 0)), 0) + 1, MATCH(1, (Data_Input!$7:$7=$F$3)*(Data_Input!$8:$8=$B363), 0))/100,"")</f>
        <v/>
      </c>
      <c r="K363" t="str" cm="1">
        <f t="array" ref="K363">IFERROR(_xlfn.LET(
    _xlpm.targetDate, B363,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64" spans="1:11" x14ac:dyDescent="0.3">
      <c r="A364" s="16" t="str">
        <f t="shared" si="10"/>
        <v/>
      </c>
      <c r="B364" s="19"/>
      <c r="C364" s="17" t="str">
        <f t="shared" si="11"/>
        <v/>
      </c>
      <c r="D364" s="42" t="str" cm="1">
        <f t="array" ref="D364">IFERROR(INDEX(Data_Input!$1:$100, 10, MATCH(1, (Data_Input!$7:$7=$F$3) * (Data_Input!$8:$8=$B364), 0)), "")</f>
        <v/>
      </c>
      <c r="E364" s="29" t="str" cm="1">
        <f t="array" ref="E364">IFERROR(INDEX(Data_Input!$1:$100, 9, MATCH(1, (Data_Input!$7:$7=$F$3) * (Data_Input!$8:$8=$B364), 0)),"")</f>
        <v/>
      </c>
      <c r="F364" s="20" t="str" cm="1">
        <f t="array" ref="F364">IFERROR(INDEX(Data_Input!$A$1:$ZZ$502, MATCH("플랜번호", INDEX(Data_Input!$A$1:$ZZ$502, 0, MATCH(1, (Data_Input!$7:$7="IRP")*(Data_Input!$8:$8=$B364), 0)), 0) + 1, MATCH(1, (Data_Input!$7:$7=$F$3)*(Data_Input!$8:$8=$B364), 0)),"")</f>
        <v/>
      </c>
      <c r="G364" s="20" t="str" cm="1">
        <f t="array" ref="G364">IFERROR(INDEX(Data_Input!$A$1:$ZZ$502, MATCH("플랜명", INDEX(Data_Input!$A$1:$ZZ$502, 0, MATCH(1, (Data_Input!$7:$7="IRP")*(Data_Input!$8:$8=$B364), 0)), 0) + 1, MATCH(1, (Data_Input!$7:$7=$F$3)*(Data_Input!$8:$8=$B364), 0)),"")</f>
        <v/>
      </c>
      <c r="H364" s="20" t="str" cm="1">
        <f t="array" ref="H364">IFERROR(INDEX(Data_Input!$A$1:$ZZ$502, MATCH("평가금액", INDEX(Data_Input!$A$1:$ZZ$502, 0, MATCH(1, (Data_Input!$7:$7="IRP")*(Data_Input!$8:$8=$B364), 0)), 0) + 1, MATCH(1, (Data_Input!$7:$7=$F$3)*(Data_Input!$8:$8=$B364), 0)),"")</f>
        <v/>
      </c>
      <c r="I364" s="20" t="str" cm="1">
        <f t="array" ref="I364">IFERROR(INDEX(Data_Input!$A$1:$ZZ$502, MATCH("평가손익", INDEX(Data_Input!$A$1:$ZZ$502, 0, MATCH(1, (Data_Input!$7:$7="IRP")*(Data_Input!$8:$8=$B364), 0)), 0) + 1, MATCH(1, (Data_Input!$7:$7=$F$3)*(Data_Input!$8:$8=$B364), 0)),"")</f>
        <v/>
      </c>
      <c r="J364" s="14" t="str" cm="1">
        <f t="array" ref="J364">IFERROR(INDEX(Data_Input!$A$1:$ZZ$502, MATCH("누적수익률", INDEX(Data_Input!$A$1:$ZZ$502, 0, MATCH(1, (Data_Input!$7:$7="IRP")*(Data_Input!$8:$8=$B364), 0)), 0) + 1, MATCH(1, (Data_Input!$7:$7=$F$3)*(Data_Input!$8:$8=$B364), 0))/100,"")</f>
        <v/>
      </c>
      <c r="K364" t="str" cm="1">
        <f t="array" ref="K364">IFERROR(_xlfn.LET(
    _xlpm.targetDate, B364,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65" spans="1:11" x14ac:dyDescent="0.3">
      <c r="A365" s="16" t="str">
        <f t="shared" si="10"/>
        <v/>
      </c>
      <c r="B365" s="19"/>
      <c r="C365" s="17" t="str">
        <f t="shared" si="11"/>
        <v/>
      </c>
      <c r="D365" s="42" t="str" cm="1">
        <f t="array" ref="D365">IFERROR(INDEX(Data_Input!$1:$100, 10, MATCH(1, (Data_Input!$7:$7=$F$3) * (Data_Input!$8:$8=$B365), 0)), "")</f>
        <v/>
      </c>
      <c r="E365" s="29" t="str" cm="1">
        <f t="array" ref="E365">IFERROR(INDEX(Data_Input!$1:$100, 9, MATCH(1, (Data_Input!$7:$7=$F$3) * (Data_Input!$8:$8=$B365), 0)),"")</f>
        <v/>
      </c>
      <c r="F365" s="20" t="str" cm="1">
        <f t="array" ref="F365">IFERROR(INDEX(Data_Input!$A$1:$ZZ$502, MATCH("플랜번호", INDEX(Data_Input!$A$1:$ZZ$502, 0, MATCH(1, (Data_Input!$7:$7="IRP")*(Data_Input!$8:$8=$B365), 0)), 0) + 1, MATCH(1, (Data_Input!$7:$7=$F$3)*(Data_Input!$8:$8=$B365), 0)),"")</f>
        <v/>
      </c>
      <c r="G365" s="20" t="str" cm="1">
        <f t="array" ref="G365">IFERROR(INDEX(Data_Input!$A$1:$ZZ$502, MATCH("플랜명", INDEX(Data_Input!$A$1:$ZZ$502, 0, MATCH(1, (Data_Input!$7:$7="IRP")*(Data_Input!$8:$8=$B365), 0)), 0) + 1, MATCH(1, (Data_Input!$7:$7=$F$3)*(Data_Input!$8:$8=$B365), 0)),"")</f>
        <v/>
      </c>
      <c r="H365" s="20" t="str" cm="1">
        <f t="array" ref="H365">IFERROR(INDEX(Data_Input!$A$1:$ZZ$502, MATCH("평가금액", INDEX(Data_Input!$A$1:$ZZ$502, 0, MATCH(1, (Data_Input!$7:$7="IRP")*(Data_Input!$8:$8=$B365), 0)), 0) + 1, MATCH(1, (Data_Input!$7:$7=$F$3)*(Data_Input!$8:$8=$B365), 0)),"")</f>
        <v/>
      </c>
      <c r="I365" s="20" t="str" cm="1">
        <f t="array" ref="I365">IFERROR(INDEX(Data_Input!$A$1:$ZZ$502, MATCH("평가손익", INDEX(Data_Input!$A$1:$ZZ$502, 0, MATCH(1, (Data_Input!$7:$7="IRP")*(Data_Input!$8:$8=$B365), 0)), 0) + 1, MATCH(1, (Data_Input!$7:$7=$F$3)*(Data_Input!$8:$8=$B365), 0)),"")</f>
        <v/>
      </c>
      <c r="J365" s="14" t="str" cm="1">
        <f t="array" ref="J365">IFERROR(INDEX(Data_Input!$A$1:$ZZ$502, MATCH("누적수익률", INDEX(Data_Input!$A$1:$ZZ$502, 0, MATCH(1, (Data_Input!$7:$7="IRP")*(Data_Input!$8:$8=$B365), 0)), 0) + 1, MATCH(1, (Data_Input!$7:$7=$F$3)*(Data_Input!$8:$8=$B365), 0))/100,"")</f>
        <v/>
      </c>
      <c r="K365" t="str" cm="1">
        <f t="array" ref="K365">IFERROR(_xlfn.LET(
    _xlpm.targetDate, B365,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66" spans="1:11" x14ac:dyDescent="0.3">
      <c r="A366" s="16" t="str">
        <f t="shared" si="10"/>
        <v/>
      </c>
      <c r="B366" s="19"/>
      <c r="C366" s="17" t="str">
        <f t="shared" si="11"/>
        <v/>
      </c>
      <c r="D366" s="42" t="str" cm="1">
        <f t="array" ref="D366">IFERROR(INDEX(Data_Input!$1:$100, 10, MATCH(1, (Data_Input!$7:$7=$F$3) * (Data_Input!$8:$8=$B366), 0)), "")</f>
        <v/>
      </c>
      <c r="E366" s="29" t="str" cm="1">
        <f t="array" ref="E366">IFERROR(INDEX(Data_Input!$1:$100, 9, MATCH(1, (Data_Input!$7:$7=$F$3) * (Data_Input!$8:$8=$B366), 0)),"")</f>
        <v/>
      </c>
      <c r="F366" s="20" t="str" cm="1">
        <f t="array" ref="F366">IFERROR(INDEX(Data_Input!$A$1:$ZZ$502, MATCH("플랜번호", INDEX(Data_Input!$A$1:$ZZ$502, 0, MATCH(1, (Data_Input!$7:$7="IRP")*(Data_Input!$8:$8=$B366), 0)), 0) + 1, MATCH(1, (Data_Input!$7:$7=$F$3)*(Data_Input!$8:$8=$B366), 0)),"")</f>
        <v/>
      </c>
      <c r="G366" s="20" t="str" cm="1">
        <f t="array" ref="G366">IFERROR(INDEX(Data_Input!$A$1:$ZZ$502, MATCH("플랜명", INDEX(Data_Input!$A$1:$ZZ$502, 0, MATCH(1, (Data_Input!$7:$7="IRP")*(Data_Input!$8:$8=$B366), 0)), 0) + 1, MATCH(1, (Data_Input!$7:$7=$F$3)*(Data_Input!$8:$8=$B366), 0)),"")</f>
        <v/>
      </c>
      <c r="H366" s="20" t="str" cm="1">
        <f t="array" ref="H366">IFERROR(INDEX(Data_Input!$A$1:$ZZ$502, MATCH("평가금액", INDEX(Data_Input!$A$1:$ZZ$502, 0, MATCH(1, (Data_Input!$7:$7="IRP")*(Data_Input!$8:$8=$B366), 0)), 0) + 1, MATCH(1, (Data_Input!$7:$7=$F$3)*(Data_Input!$8:$8=$B366), 0)),"")</f>
        <v/>
      </c>
      <c r="I366" s="20" t="str" cm="1">
        <f t="array" ref="I366">IFERROR(INDEX(Data_Input!$A$1:$ZZ$502, MATCH("평가손익", INDEX(Data_Input!$A$1:$ZZ$502, 0, MATCH(1, (Data_Input!$7:$7="IRP")*(Data_Input!$8:$8=$B366), 0)), 0) + 1, MATCH(1, (Data_Input!$7:$7=$F$3)*(Data_Input!$8:$8=$B366), 0)),"")</f>
        <v/>
      </c>
      <c r="J366" s="14" t="str" cm="1">
        <f t="array" ref="J366">IFERROR(INDEX(Data_Input!$A$1:$ZZ$502, MATCH("누적수익률", INDEX(Data_Input!$A$1:$ZZ$502, 0, MATCH(1, (Data_Input!$7:$7="IRP")*(Data_Input!$8:$8=$B366), 0)), 0) + 1, MATCH(1, (Data_Input!$7:$7=$F$3)*(Data_Input!$8:$8=$B366), 0))/100,"")</f>
        <v/>
      </c>
      <c r="K366" t="str" cm="1">
        <f t="array" ref="K366">IFERROR(_xlfn.LET(
    _xlpm.targetDate, B366,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67" spans="1:11" x14ac:dyDescent="0.3">
      <c r="A367" s="16" t="str">
        <f t="shared" si="10"/>
        <v/>
      </c>
      <c r="B367" s="19"/>
      <c r="C367" s="17" t="str">
        <f t="shared" si="11"/>
        <v/>
      </c>
      <c r="D367" s="42" t="str" cm="1">
        <f t="array" ref="D367">IFERROR(INDEX(Data_Input!$1:$100, 10, MATCH(1, (Data_Input!$7:$7=$F$3) * (Data_Input!$8:$8=$B367), 0)), "")</f>
        <v/>
      </c>
      <c r="E367" s="29" t="str" cm="1">
        <f t="array" ref="E367">IFERROR(INDEX(Data_Input!$1:$100, 9, MATCH(1, (Data_Input!$7:$7=$F$3) * (Data_Input!$8:$8=$B367), 0)),"")</f>
        <v/>
      </c>
      <c r="F367" s="20" t="str" cm="1">
        <f t="array" ref="F367">IFERROR(INDEX(Data_Input!$A$1:$ZZ$502, MATCH("플랜번호", INDEX(Data_Input!$A$1:$ZZ$502, 0, MATCH(1, (Data_Input!$7:$7="IRP")*(Data_Input!$8:$8=$B367), 0)), 0) + 1, MATCH(1, (Data_Input!$7:$7=$F$3)*(Data_Input!$8:$8=$B367), 0)),"")</f>
        <v/>
      </c>
      <c r="G367" s="20" t="str" cm="1">
        <f t="array" ref="G367">IFERROR(INDEX(Data_Input!$A$1:$ZZ$502, MATCH("플랜명", INDEX(Data_Input!$A$1:$ZZ$502, 0, MATCH(1, (Data_Input!$7:$7="IRP")*(Data_Input!$8:$8=$B367), 0)), 0) + 1, MATCH(1, (Data_Input!$7:$7=$F$3)*(Data_Input!$8:$8=$B367), 0)),"")</f>
        <v/>
      </c>
      <c r="H367" s="20" t="str" cm="1">
        <f t="array" ref="H367">IFERROR(INDEX(Data_Input!$A$1:$ZZ$502, MATCH("평가금액", INDEX(Data_Input!$A$1:$ZZ$502, 0, MATCH(1, (Data_Input!$7:$7="IRP")*(Data_Input!$8:$8=$B367), 0)), 0) + 1, MATCH(1, (Data_Input!$7:$7=$F$3)*(Data_Input!$8:$8=$B367), 0)),"")</f>
        <v/>
      </c>
      <c r="I367" s="20" t="str" cm="1">
        <f t="array" ref="I367">IFERROR(INDEX(Data_Input!$A$1:$ZZ$502, MATCH("평가손익", INDEX(Data_Input!$A$1:$ZZ$502, 0, MATCH(1, (Data_Input!$7:$7="IRP")*(Data_Input!$8:$8=$B367), 0)), 0) + 1, MATCH(1, (Data_Input!$7:$7=$F$3)*(Data_Input!$8:$8=$B367), 0)),"")</f>
        <v/>
      </c>
      <c r="J367" s="14" t="str" cm="1">
        <f t="array" ref="J367">IFERROR(INDEX(Data_Input!$A$1:$ZZ$502, MATCH("누적수익률", INDEX(Data_Input!$A$1:$ZZ$502, 0, MATCH(1, (Data_Input!$7:$7="IRP")*(Data_Input!$8:$8=$B367), 0)), 0) + 1, MATCH(1, (Data_Input!$7:$7=$F$3)*(Data_Input!$8:$8=$B367), 0))/100,"")</f>
        <v/>
      </c>
      <c r="K367" t="str" cm="1">
        <f t="array" ref="K367">IFERROR(_xlfn.LET(
    _xlpm.targetDate, B367,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68" spans="1:11" x14ac:dyDescent="0.3">
      <c r="A368" s="16" t="str">
        <f t="shared" si="10"/>
        <v/>
      </c>
      <c r="B368" s="19"/>
      <c r="C368" s="17" t="str">
        <f t="shared" si="11"/>
        <v/>
      </c>
      <c r="D368" s="42" t="str" cm="1">
        <f t="array" ref="D368">IFERROR(INDEX(Data_Input!$1:$100, 10, MATCH(1, (Data_Input!$7:$7=$F$3) * (Data_Input!$8:$8=$B368), 0)), "")</f>
        <v/>
      </c>
      <c r="E368" s="29" t="str" cm="1">
        <f t="array" ref="E368">IFERROR(INDEX(Data_Input!$1:$100, 9, MATCH(1, (Data_Input!$7:$7=$F$3) * (Data_Input!$8:$8=$B368), 0)),"")</f>
        <v/>
      </c>
      <c r="F368" s="20" t="str" cm="1">
        <f t="array" ref="F368">IFERROR(INDEX(Data_Input!$A$1:$ZZ$502, MATCH("플랜번호", INDEX(Data_Input!$A$1:$ZZ$502, 0, MATCH(1, (Data_Input!$7:$7="IRP")*(Data_Input!$8:$8=$B368), 0)), 0) + 1, MATCH(1, (Data_Input!$7:$7=$F$3)*(Data_Input!$8:$8=$B368), 0)),"")</f>
        <v/>
      </c>
      <c r="G368" s="20" t="str" cm="1">
        <f t="array" ref="G368">IFERROR(INDEX(Data_Input!$A$1:$ZZ$502, MATCH("플랜명", INDEX(Data_Input!$A$1:$ZZ$502, 0, MATCH(1, (Data_Input!$7:$7="IRP")*(Data_Input!$8:$8=$B368), 0)), 0) + 1, MATCH(1, (Data_Input!$7:$7=$F$3)*(Data_Input!$8:$8=$B368), 0)),"")</f>
        <v/>
      </c>
      <c r="H368" s="20" t="str" cm="1">
        <f t="array" ref="H368">IFERROR(INDEX(Data_Input!$A$1:$ZZ$502, MATCH("평가금액", INDEX(Data_Input!$A$1:$ZZ$502, 0, MATCH(1, (Data_Input!$7:$7="IRP")*(Data_Input!$8:$8=$B368), 0)), 0) + 1, MATCH(1, (Data_Input!$7:$7=$F$3)*(Data_Input!$8:$8=$B368), 0)),"")</f>
        <v/>
      </c>
      <c r="I368" s="20" t="str" cm="1">
        <f t="array" ref="I368">IFERROR(INDEX(Data_Input!$A$1:$ZZ$502, MATCH("평가손익", INDEX(Data_Input!$A$1:$ZZ$502, 0, MATCH(1, (Data_Input!$7:$7="IRP")*(Data_Input!$8:$8=$B368), 0)), 0) + 1, MATCH(1, (Data_Input!$7:$7=$F$3)*(Data_Input!$8:$8=$B368), 0)),"")</f>
        <v/>
      </c>
      <c r="J368" s="14" t="str" cm="1">
        <f t="array" ref="J368">IFERROR(INDEX(Data_Input!$A$1:$ZZ$502, MATCH("누적수익률", INDEX(Data_Input!$A$1:$ZZ$502, 0, MATCH(1, (Data_Input!$7:$7="IRP")*(Data_Input!$8:$8=$B368), 0)), 0) + 1, MATCH(1, (Data_Input!$7:$7=$F$3)*(Data_Input!$8:$8=$B368), 0))/100,"")</f>
        <v/>
      </c>
      <c r="K368" t="str" cm="1">
        <f t="array" ref="K368">IFERROR(_xlfn.LET(
    _xlpm.targetDate, B368,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69" spans="1:11" x14ac:dyDescent="0.3">
      <c r="A369" s="16" t="str">
        <f t="shared" si="10"/>
        <v/>
      </c>
      <c r="B369" s="19"/>
      <c r="C369" s="17" t="str">
        <f t="shared" si="11"/>
        <v/>
      </c>
      <c r="D369" s="42" t="str" cm="1">
        <f t="array" ref="D369">IFERROR(INDEX(Data_Input!$1:$100, 10, MATCH(1, (Data_Input!$7:$7=$F$3) * (Data_Input!$8:$8=$B369), 0)), "")</f>
        <v/>
      </c>
      <c r="E369" s="29" t="str" cm="1">
        <f t="array" ref="E369">IFERROR(INDEX(Data_Input!$1:$100, 9, MATCH(1, (Data_Input!$7:$7=$F$3) * (Data_Input!$8:$8=$B369), 0)),"")</f>
        <v/>
      </c>
      <c r="F369" s="20" t="str" cm="1">
        <f t="array" ref="F369">IFERROR(INDEX(Data_Input!$A$1:$ZZ$502, MATCH("플랜번호", INDEX(Data_Input!$A$1:$ZZ$502, 0, MATCH(1, (Data_Input!$7:$7="IRP")*(Data_Input!$8:$8=$B369), 0)), 0) + 1, MATCH(1, (Data_Input!$7:$7=$F$3)*(Data_Input!$8:$8=$B369), 0)),"")</f>
        <v/>
      </c>
      <c r="G369" s="20" t="str" cm="1">
        <f t="array" ref="G369">IFERROR(INDEX(Data_Input!$A$1:$ZZ$502, MATCH("플랜명", INDEX(Data_Input!$A$1:$ZZ$502, 0, MATCH(1, (Data_Input!$7:$7="IRP")*(Data_Input!$8:$8=$B369), 0)), 0) + 1, MATCH(1, (Data_Input!$7:$7=$F$3)*(Data_Input!$8:$8=$B369), 0)),"")</f>
        <v/>
      </c>
      <c r="H369" s="20" t="str" cm="1">
        <f t="array" ref="H369">IFERROR(INDEX(Data_Input!$A$1:$ZZ$502, MATCH("평가금액", INDEX(Data_Input!$A$1:$ZZ$502, 0, MATCH(1, (Data_Input!$7:$7="IRP")*(Data_Input!$8:$8=$B369), 0)), 0) + 1, MATCH(1, (Data_Input!$7:$7=$F$3)*(Data_Input!$8:$8=$B369), 0)),"")</f>
        <v/>
      </c>
      <c r="I369" s="20" t="str" cm="1">
        <f t="array" ref="I369">IFERROR(INDEX(Data_Input!$A$1:$ZZ$502, MATCH("평가손익", INDEX(Data_Input!$A$1:$ZZ$502, 0, MATCH(1, (Data_Input!$7:$7="IRP")*(Data_Input!$8:$8=$B369), 0)), 0) + 1, MATCH(1, (Data_Input!$7:$7=$F$3)*(Data_Input!$8:$8=$B369), 0)),"")</f>
        <v/>
      </c>
      <c r="J369" s="14" t="str" cm="1">
        <f t="array" ref="J369">IFERROR(INDEX(Data_Input!$A$1:$ZZ$502, MATCH("누적수익률", INDEX(Data_Input!$A$1:$ZZ$502, 0, MATCH(1, (Data_Input!$7:$7="IRP")*(Data_Input!$8:$8=$B369), 0)), 0) + 1, MATCH(1, (Data_Input!$7:$7=$F$3)*(Data_Input!$8:$8=$B369), 0))/100,"")</f>
        <v/>
      </c>
      <c r="K369" t="str" cm="1">
        <f t="array" ref="K369">IFERROR(_xlfn.LET(
    _xlpm.targetDate, B369,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70" spans="1:11" x14ac:dyDescent="0.3">
      <c r="A370" s="16" t="str">
        <f t="shared" si="10"/>
        <v/>
      </c>
      <c r="B370" s="19"/>
      <c r="C370" s="17" t="str">
        <f t="shared" si="11"/>
        <v/>
      </c>
      <c r="D370" s="42" t="str" cm="1">
        <f t="array" ref="D370">IFERROR(INDEX(Data_Input!$1:$100, 10, MATCH(1, (Data_Input!$7:$7=$F$3) * (Data_Input!$8:$8=$B370), 0)), "")</f>
        <v/>
      </c>
      <c r="E370" s="29" t="str" cm="1">
        <f t="array" ref="E370">IFERROR(INDEX(Data_Input!$1:$100, 9, MATCH(1, (Data_Input!$7:$7=$F$3) * (Data_Input!$8:$8=$B370), 0)),"")</f>
        <v/>
      </c>
      <c r="F370" s="20" t="str" cm="1">
        <f t="array" ref="F370">IFERROR(INDEX(Data_Input!$A$1:$ZZ$502, MATCH("플랜번호", INDEX(Data_Input!$A$1:$ZZ$502, 0, MATCH(1, (Data_Input!$7:$7="IRP")*(Data_Input!$8:$8=$B370), 0)), 0) + 1, MATCH(1, (Data_Input!$7:$7=$F$3)*(Data_Input!$8:$8=$B370), 0)),"")</f>
        <v/>
      </c>
      <c r="G370" s="20" t="str" cm="1">
        <f t="array" ref="G370">IFERROR(INDEX(Data_Input!$A$1:$ZZ$502, MATCH("플랜명", INDEX(Data_Input!$A$1:$ZZ$502, 0, MATCH(1, (Data_Input!$7:$7="IRP")*(Data_Input!$8:$8=$B370), 0)), 0) + 1, MATCH(1, (Data_Input!$7:$7=$F$3)*(Data_Input!$8:$8=$B370), 0)),"")</f>
        <v/>
      </c>
      <c r="H370" s="20" t="str" cm="1">
        <f t="array" ref="H370">IFERROR(INDEX(Data_Input!$A$1:$ZZ$502, MATCH("평가금액", INDEX(Data_Input!$A$1:$ZZ$502, 0, MATCH(1, (Data_Input!$7:$7="IRP")*(Data_Input!$8:$8=$B370), 0)), 0) + 1, MATCH(1, (Data_Input!$7:$7=$F$3)*(Data_Input!$8:$8=$B370), 0)),"")</f>
        <v/>
      </c>
      <c r="I370" s="20" t="str" cm="1">
        <f t="array" ref="I370">IFERROR(INDEX(Data_Input!$A$1:$ZZ$502, MATCH("평가손익", INDEX(Data_Input!$A$1:$ZZ$502, 0, MATCH(1, (Data_Input!$7:$7="IRP")*(Data_Input!$8:$8=$B370), 0)), 0) + 1, MATCH(1, (Data_Input!$7:$7=$F$3)*(Data_Input!$8:$8=$B370), 0)),"")</f>
        <v/>
      </c>
      <c r="J370" s="14" t="str" cm="1">
        <f t="array" ref="J370">IFERROR(INDEX(Data_Input!$A$1:$ZZ$502, MATCH("누적수익률", INDEX(Data_Input!$A$1:$ZZ$502, 0, MATCH(1, (Data_Input!$7:$7="IRP")*(Data_Input!$8:$8=$B370), 0)), 0) + 1, MATCH(1, (Data_Input!$7:$7=$F$3)*(Data_Input!$8:$8=$B370), 0))/100,"")</f>
        <v/>
      </c>
      <c r="K370" t="str" cm="1">
        <f t="array" ref="K370">IFERROR(_xlfn.LET(
    _xlpm.targetDate, B370,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71" spans="1:11" x14ac:dyDescent="0.3">
      <c r="A371" s="16" t="str">
        <f t="shared" si="10"/>
        <v/>
      </c>
      <c r="B371" s="19"/>
      <c r="C371" s="17" t="str">
        <f t="shared" si="11"/>
        <v/>
      </c>
      <c r="D371" s="42" t="str" cm="1">
        <f t="array" ref="D371">IFERROR(INDEX(Data_Input!$1:$100, 10, MATCH(1, (Data_Input!$7:$7=$F$3) * (Data_Input!$8:$8=$B371), 0)), "")</f>
        <v/>
      </c>
      <c r="E371" s="29" t="str" cm="1">
        <f t="array" ref="E371">IFERROR(INDEX(Data_Input!$1:$100, 9, MATCH(1, (Data_Input!$7:$7=$F$3) * (Data_Input!$8:$8=$B371), 0)),"")</f>
        <v/>
      </c>
      <c r="F371" s="20" t="str" cm="1">
        <f t="array" ref="F371">IFERROR(INDEX(Data_Input!$A$1:$ZZ$502, MATCH("플랜번호", INDEX(Data_Input!$A$1:$ZZ$502, 0, MATCH(1, (Data_Input!$7:$7="IRP")*(Data_Input!$8:$8=$B371), 0)), 0) + 1, MATCH(1, (Data_Input!$7:$7=$F$3)*(Data_Input!$8:$8=$B371), 0)),"")</f>
        <v/>
      </c>
      <c r="G371" s="20" t="str" cm="1">
        <f t="array" ref="G371">IFERROR(INDEX(Data_Input!$A$1:$ZZ$502, MATCH("플랜명", INDEX(Data_Input!$A$1:$ZZ$502, 0, MATCH(1, (Data_Input!$7:$7="IRP")*(Data_Input!$8:$8=$B371), 0)), 0) + 1, MATCH(1, (Data_Input!$7:$7=$F$3)*(Data_Input!$8:$8=$B371), 0)),"")</f>
        <v/>
      </c>
      <c r="H371" s="20" t="str" cm="1">
        <f t="array" ref="H371">IFERROR(INDEX(Data_Input!$A$1:$ZZ$502, MATCH("평가금액", INDEX(Data_Input!$A$1:$ZZ$502, 0, MATCH(1, (Data_Input!$7:$7="IRP")*(Data_Input!$8:$8=$B371), 0)), 0) + 1, MATCH(1, (Data_Input!$7:$7=$F$3)*(Data_Input!$8:$8=$B371), 0)),"")</f>
        <v/>
      </c>
      <c r="I371" s="20" t="str" cm="1">
        <f t="array" ref="I371">IFERROR(INDEX(Data_Input!$A$1:$ZZ$502, MATCH("평가손익", INDEX(Data_Input!$A$1:$ZZ$502, 0, MATCH(1, (Data_Input!$7:$7="IRP")*(Data_Input!$8:$8=$B371), 0)), 0) + 1, MATCH(1, (Data_Input!$7:$7=$F$3)*(Data_Input!$8:$8=$B371), 0)),"")</f>
        <v/>
      </c>
      <c r="J371" s="14" t="str" cm="1">
        <f t="array" ref="J371">IFERROR(INDEX(Data_Input!$A$1:$ZZ$502, MATCH("누적수익률", INDEX(Data_Input!$A$1:$ZZ$502, 0, MATCH(1, (Data_Input!$7:$7="IRP")*(Data_Input!$8:$8=$B371), 0)), 0) + 1, MATCH(1, (Data_Input!$7:$7=$F$3)*(Data_Input!$8:$8=$B371), 0))/100,"")</f>
        <v/>
      </c>
      <c r="K371" t="str" cm="1">
        <f t="array" ref="K371">IFERROR(_xlfn.LET(
    _xlpm.targetDate, B371,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72" spans="1:11" x14ac:dyDescent="0.3">
      <c r="A372" s="16" t="str">
        <f t="shared" si="10"/>
        <v/>
      </c>
      <c r="B372" s="19"/>
      <c r="C372" s="17" t="str">
        <f t="shared" si="11"/>
        <v/>
      </c>
      <c r="D372" s="42" t="str" cm="1">
        <f t="array" ref="D372">IFERROR(INDEX(Data_Input!$1:$100, 10, MATCH(1, (Data_Input!$7:$7=$F$3) * (Data_Input!$8:$8=$B372), 0)), "")</f>
        <v/>
      </c>
      <c r="E372" s="29" t="str" cm="1">
        <f t="array" ref="E372">IFERROR(INDEX(Data_Input!$1:$100, 9, MATCH(1, (Data_Input!$7:$7=$F$3) * (Data_Input!$8:$8=$B372), 0)),"")</f>
        <v/>
      </c>
      <c r="F372" s="20" t="str" cm="1">
        <f t="array" ref="F372">IFERROR(INDEX(Data_Input!$A$1:$ZZ$502, MATCH("플랜번호", INDEX(Data_Input!$A$1:$ZZ$502, 0, MATCH(1, (Data_Input!$7:$7="IRP")*(Data_Input!$8:$8=$B372), 0)), 0) + 1, MATCH(1, (Data_Input!$7:$7=$F$3)*(Data_Input!$8:$8=$B372), 0)),"")</f>
        <v/>
      </c>
      <c r="G372" s="20" t="str" cm="1">
        <f t="array" ref="G372">IFERROR(INDEX(Data_Input!$A$1:$ZZ$502, MATCH("플랜명", INDEX(Data_Input!$A$1:$ZZ$502, 0, MATCH(1, (Data_Input!$7:$7="IRP")*(Data_Input!$8:$8=$B372), 0)), 0) + 1, MATCH(1, (Data_Input!$7:$7=$F$3)*(Data_Input!$8:$8=$B372), 0)),"")</f>
        <v/>
      </c>
      <c r="H372" s="20" t="str" cm="1">
        <f t="array" ref="H372">IFERROR(INDEX(Data_Input!$A$1:$ZZ$502, MATCH("평가금액", INDEX(Data_Input!$A$1:$ZZ$502, 0, MATCH(1, (Data_Input!$7:$7="IRP")*(Data_Input!$8:$8=$B372), 0)), 0) + 1, MATCH(1, (Data_Input!$7:$7=$F$3)*(Data_Input!$8:$8=$B372), 0)),"")</f>
        <v/>
      </c>
      <c r="I372" s="20" t="str" cm="1">
        <f t="array" ref="I372">IFERROR(INDEX(Data_Input!$A$1:$ZZ$502, MATCH("평가손익", INDEX(Data_Input!$A$1:$ZZ$502, 0, MATCH(1, (Data_Input!$7:$7="IRP")*(Data_Input!$8:$8=$B372), 0)), 0) + 1, MATCH(1, (Data_Input!$7:$7=$F$3)*(Data_Input!$8:$8=$B372), 0)),"")</f>
        <v/>
      </c>
      <c r="J372" s="14" t="str" cm="1">
        <f t="array" ref="J372">IFERROR(INDEX(Data_Input!$A$1:$ZZ$502, MATCH("누적수익률", INDEX(Data_Input!$A$1:$ZZ$502, 0, MATCH(1, (Data_Input!$7:$7="IRP")*(Data_Input!$8:$8=$B372), 0)), 0) + 1, MATCH(1, (Data_Input!$7:$7=$F$3)*(Data_Input!$8:$8=$B372), 0))/100,"")</f>
        <v/>
      </c>
      <c r="K372" t="str" cm="1">
        <f t="array" ref="K372">IFERROR(_xlfn.LET(
    _xlpm.targetDate, B372,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73" spans="1:11" x14ac:dyDescent="0.3">
      <c r="A373" s="16" t="str">
        <f t="shared" si="10"/>
        <v/>
      </c>
      <c r="B373" s="19"/>
      <c r="C373" s="17" t="str">
        <f t="shared" si="11"/>
        <v/>
      </c>
      <c r="D373" s="42" t="str" cm="1">
        <f t="array" ref="D373">IFERROR(INDEX(Data_Input!$1:$100, 10, MATCH(1, (Data_Input!$7:$7=$F$3) * (Data_Input!$8:$8=$B373), 0)), "")</f>
        <v/>
      </c>
      <c r="E373" s="29" t="str" cm="1">
        <f t="array" ref="E373">IFERROR(INDEX(Data_Input!$1:$100, 9, MATCH(1, (Data_Input!$7:$7=$F$3) * (Data_Input!$8:$8=$B373), 0)),"")</f>
        <v/>
      </c>
      <c r="F373" s="20" t="str" cm="1">
        <f t="array" ref="F373">IFERROR(INDEX(Data_Input!$A$1:$ZZ$502, MATCH("플랜번호", INDEX(Data_Input!$A$1:$ZZ$502, 0, MATCH(1, (Data_Input!$7:$7="IRP")*(Data_Input!$8:$8=$B373), 0)), 0) + 1, MATCH(1, (Data_Input!$7:$7=$F$3)*(Data_Input!$8:$8=$B373), 0)),"")</f>
        <v/>
      </c>
      <c r="G373" s="20" t="str" cm="1">
        <f t="array" ref="G373">IFERROR(INDEX(Data_Input!$A$1:$ZZ$502, MATCH("플랜명", INDEX(Data_Input!$A$1:$ZZ$502, 0, MATCH(1, (Data_Input!$7:$7="IRP")*(Data_Input!$8:$8=$B373), 0)), 0) + 1, MATCH(1, (Data_Input!$7:$7=$F$3)*(Data_Input!$8:$8=$B373), 0)),"")</f>
        <v/>
      </c>
      <c r="H373" s="20" t="str" cm="1">
        <f t="array" ref="H373">IFERROR(INDEX(Data_Input!$A$1:$ZZ$502, MATCH("평가금액", INDEX(Data_Input!$A$1:$ZZ$502, 0, MATCH(1, (Data_Input!$7:$7="IRP")*(Data_Input!$8:$8=$B373), 0)), 0) + 1, MATCH(1, (Data_Input!$7:$7=$F$3)*(Data_Input!$8:$8=$B373), 0)),"")</f>
        <v/>
      </c>
      <c r="I373" s="20" t="str" cm="1">
        <f t="array" ref="I373">IFERROR(INDEX(Data_Input!$A$1:$ZZ$502, MATCH("평가손익", INDEX(Data_Input!$A$1:$ZZ$502, 0, MATCH(1, (Data_Input!$7:$7="IRP")*(Data_Input!$8:$8=$B373), 0)), 0) + 1, MATCH(1, (Data_Input!$7:$7=$F$3)*(Data_Input!$8:$8=$B373), 0)),"")</f>
        <v/>
      </c>
      <c r="J373" s="14" t="str" cm="1">
        <f t="array" ref="J373">IFERROR(INDEX(Data_Input!$A$1:$ZZ$502, MATCH("누적수익률", INDEX(Data_Input!$A$1:$ZZ$502, 0, MATCH(1, (Data_Input!$7:$7="IRP")*(Data_Input!$8:$8=$B373), 0)), 0) + 1, MATCH(1, (Data_Input!$7:$7=$F$3)*(Data_Input!$8:$8=$B373), 0))/100,"")</f>
        <v/>
      </c>
      <c r="K373" t="str" cm="1">
        <f t="array" ref="K373">IFERROR(_xlfn.LET(
    _xlpm.targetDate, B373,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74" spans="1:11" x14ac:dyDescent="0.3">
      <c r="A374" s="16" t="str">
        <f t="shared" si="10"/>
        <v/>
      </c>
      <c r="B374" s="19"/>
      <c r="C374" s="17" t="str">
        <f t="shared" si="11"/>
        <v/>
      </c>
      <c r="D374" s="42" t="str" cm="1">
        <f t="array" ref="D374">IFERROR(INDEX(Data_Input!$1:$100, 10, MATCH(1, (Data_Input!$7:$7=$F$3) * (Data_Input!$8:$8=$B374), 0)), "")</f>
        <v/>
      </c>
      <c r="E374" s="29" t="str" cm="1">
        <f t="array" ref="E374">IFERROR(INDEX(Data_Input!$1:$100, 9, MATCH(1, (Data_Input!$7:$7=$F$3) * (Data_Input!$8:$8=$B374), 0)),"")</f>
        <v/>
      </c>
      <c r="F374" s="20" t="str" cm="1">
        <f t="array" ref="F374">IFERROR(INDEX(Data_Input!$A$1:$ZZ$502, MATCH("플랜번호", INDEX(Data_Input!$A$1:$ZZ$502, 0, MATCH(1, (Data_Input!$7:$7="IRP")*(Data_Input!$8:$8=$B374), 0)), 0) + 1, MATCH(1, (Data_Input!$7:$7=$F$3)*(Data_Input!$8:$8=$B374), 0)),"")</f>
        <v/>
      </c>
      <c r="G374" s="20" t="str" cm="1">
        <f t="array" ref="G374">IFERROR(INDEX(Data_Input!$A$1:$ZZ$502, MATCH("플랜명", INDEX(Data_Input!$A$1:$ZZ$502, 0, MATCH(1, (Data_Input!$7:$7="IRP")*(Data_Input!$8:$8=$B374), 0)), 0) + 1, MATCH(1, (Data_Input!$7:$7=$F$3)*(Data_Input!$8:$8=$B374), 0)),"")</f>
        <v/>
      </c>
      <c r="H374" s="20" t="str" cm="1">
        <f t="array" ref="H374">IFERROR(INDEX(Data_Input!$A$1:$ZZ$502, MATCH("평가금액", INDEX(Data_Input!$A$1:$ZZ$502, 0, MATCH(1, (Data_Input!$7:$7="IRP")*(Data_Input!$8:$8=$B374), 0)), 0) + 1, MATCH(1, (Data_Input!$7:$7=$F$3)*(Data_Input!$8:$8=$B374), 0)),"")</f>
        <v/>
      </c>
      <c r="I374" s="20" t="str" cm="1">
        <f t="array" ref="I374">IFERROR(INDEX(Data_Input!$A$1:$ZZ$502, MATCH("평가손익", INDEX(Data_Input!$A$1:$ZZ$502, 0, MATCH(1, (Data_Input!$7:$7="IRP")*(Data_Input!$8:$8=$B374), 0)), 0) + 1, MATCH(1, (Data_Input!$7:$7=$F$3)*(Data_Input!$8:$8=$B374), 0)),"")</f>
        <v/>
      </c>
      <c r="J374" s="14" t="str" cm="1">
        <f t="array" ref="J374">IFERROR(INDEX(Data_Input!$A$1:$ZZ$502, MATCH("누적수익률", INDEX(Data_Input!$A$1:$ZZ$502, 0, MATCH(1, (Data_Input!$7:$7="IRP")*(Data_Input!$8:$8=$B374), 0)), 0) + 1, MATCH(1, (Data_Input!$7:$7=$F$3)*(Data_Input!$8:$8=$B374), 0))/100,"")</f>
        <v/>
      </c>
      <c r="K374" t="str" cm="1">
        <f t="array" ref="K374">IFERROR(_xlfn.LET(
    _xlpm.targetDate, B374,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75" spans="1:11" x14ac:dyDescent="0.3">
      <c r="A375" s="16" t="str">
        <f t="shared" si="10"/>
        <v/>
      </c>
      <c r="B375" s="19"/>
      <c r="C375" s="17" t="str">
        <f t="shared" si="11"/>
        <v/>
      </c>
      <c r="D375" s="42" t="str" cm="1">
        <f t="array" ref="D375">IFERROR(INDEX(Data_Input!$1:$100, 10, MATCH(1, (Data_Input!$7:$7=$F$3) * (Data_Input!$8:$8=$B375), 0)), "")</f>
        <v/>
      </c>
      <c r="E375" s="29" t="str" cm="1">
        <f t="array" ref="E375">IFERROR(INDEX(Data_Input!$1:$100, 9, MATCH(1, (Data_Input!$7:$7=$F$3) * (Data_Input!$8:$8=$B375), 0)),"")</f>
        <v/>
      </c>
      <c r="F375" s="20" t="str" cm="1">
        <f t="array" ref="F375">IFERROR(INDEX(Data_Input!$A$1:$ZZ$502, MATCH("플랜번호", INDEX(Data_Input!$A$1:$ZZ$502, 0, MATCH(1, (Data_Input!$7:$7="IRP")*(Data_Input!$8:$8=$B375), 0)), 0) + 1, MATCH(1, (Data_Input!$7:$7=$F$3)*(Data_Input!$8:$8=$B375), 0)),"")</f>
        <v/>
      </c>
      <c r="G375" s="20" t="str" cm="1">
        <f t="array" ref="G375">IFERROR(INDEX(Data_Input!$A$1:$ZZ$502, MATCH("플랜명", INDEX(Data_Input!$A$1:$ZZ$502, 0, MATCH(1, (Data_Input!$7:$7="IRP")*(Data_Input!$8:$8=$B375), 0)), 0) + 1, MATCH(1, (Data_Input!$7:$7=$F$3)*(Data_Input!$8:$8=$B375), 0)),"")</f>
        <v/>
      </c>
      <c r="H375" s="20" t="str" cm="1">
        <f t="array" ref="H375">IFERROR(INDEX(Data_Input!$A$1:$ZZ$502, MATCH("평가금액", INDEX(Data_Input!$A$1:$ZZ$502, 0, MATCH(1, (Data_Input!$7:$7="IRP")*(Data_Input!$8:$8=$B375), 0)), 0) + 1, MATCH(1, (Data_Input!$7:$7=$F$3)*(Data_Input!$8:$8=$B375), 0)),"")</f>
        <v/>
      </c>
      <c r="I375" s="20" t="str" cm="1">
        <f t="array" ref="I375">IFERROR(INDEX(Data_Input!$A$1:$ZZ$502, MATCH("평가손익", INDEX(Data_Input!$A$1:$ZZ$502, 0, MATCH(1, (Data_Input!$7:$7="IRP")*(Data_Input!$8:$8=$B375), 0)), 0) + 1, MATCH(1, (Data_Input!$7:$7=$F$3)*(Data_Input!$8:$8=$B375), 0)),"")</f>
        <v/>
      </c>
      <c r="J375" s="14" t="str" cm="1">
        <f t="array" ref="J375">IFERROR(INDEX(Data_Input!$A$1:$ZZ$502, MATCH("누적수익률", INDEX(Data_Input!$A$1:$ZZ$502, 0, MATCH(1, (Data_Input!$7:$7="IRP")*(Data_Input!$8:$8=$B375), 0)), 0) + 1, MATCH(1, (Data_Input!$7:$7=$F$3)*(Data_Input!$8:$8=$B375), 0))/100,"")</f>
        <v/>
      </c>
      <c r="K375" t="str" cm="1">
        <f t="array" ref="K375">IFERROR(_xlfn.LET(
    _xlpm.targetDate, B375,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76" spans="1:11" x14ac:dyDescent="0.3">
      <c r="A376" s="16" t="str">
        <f t="shared" si="10"/>
        <v/>
      </c>
      <c r="B376" s="19"/>
      <c r="C376" s="17" t="str">
        <f t="shared" si="11"/>
        <v/>
      </c>
      <c r="D376" s="42" t="str" cm="1">
        <f t="array" ref="D376">IFERROR(INDEX(Data_Input!$1:$100, 10, MATCH(1, (Data_Input!$7:$7=$F$3) * (Data_Input!$8:$8=$B376), 0)), "")</f>
        <v/>
      </c>
      <c r="E376" s="29" t="str" cm="1">
        <f t="array" ref="E376">IFERROR(INDEX(Data_Input!$1:$100, 9, MATCH(1, (Data_Input!$7:$7=$F$3) * (Data_Input!$8:$8=$B376), 0)),"")</f>
        <v/>
      </c>
      <c r="F376" s="20" t="str" cm="1">
        <f t="array" ref="F376">IFERROR(INDEX(Data_Input!$A$1:$ZZ$502, MATCH("플랜번호", INDEX(Data_Input!$A$1:$ZZ$502, 0, MATCH(1, (Data_Input!$7:$7="IRP")*(Data_Input!$8:$8=$B376), 0)), 0) + 1, MATCH(1, (Data_Input!$7:$7=$F$3)*(Data_Input!$8:$8=$B376), 0)),"")</f>
        <v/>
      </c>
      <c r="G376" s="20" t="str" cm="1">
        <f t="array" ref="G376">IFERROR(INDEX(Data_Input!$A$1:$ZZ$502, MATCH("플랜명", INDEX(Data_Input!$A$1:$ZZ$502, 0, MATCH(1, (Data_Input!$7:$7="IRP")*(Data_Input!$8:$8=$B376), 0)), 0) + 1, MATCH(1, (Data_Input!$7:$7=$F$3)*(Data_Input!$8:$8=$B376), 0)),"")</f>
        <v/>
      </c>
      <c r="H376" s="20" t="str" cm="1">
        <f t="array" ref="H376">IFERROR(INDEX(Data_Input!$A$1:$ZZ$502, MATCH("평가금액", INDEX(Data_Input!$A$1:$ZZ$502, 0, MATCH(1, (Data_Input!$7:$7="IRP")*(Data_Input!$8:$8=$B376), 0)), 0) + 1, MATCH(1, (Data_Input!$7:$7=$F$3)*(Data_Input!$8:$8=$B376), 0)),"")</f>
        <v/>
      </c>
      <c r="I376" s="20" t="str" cm="1">
        <f t="array" ref="I376">IFERROR(INDEX(Data_Input!$A$1:$ZZ$502, MATCH("평가손익", INDEX(Data_Input!$A$1:$ZZ$502, 0, MATCH(1, (Data_Input!$7:$7="IRP")*(Data_Input!$8:$8=$B376), 0)), 0) + 1, MATCH(1, (Data_Input!$7:$7=$F$3)*(Data_Input!$8:$8=$B376), 0)),"")</f>
        <v/>
      </c>
      <c r="J376" s="14" t="str" cm="1">
        <f t="array" ref="J376">IFERROR(INDEX(Data_Input!$A$1:$ZZ$502, MATCH("누적수익률", INDEX(Data_Input!$A$1:$ZZ$502, 0, MATCH(1, (Data_Input!$7:$7="IRP")*(Data_Input!$8:$8=$B376), 0)), 0) + 1, MATCH(1, (Data_Input!$7:$7=$F$3)*(Data_Input!$8:$8=$B376), 0))/100,"")</f>
        <v/>
      </c>
      <c r="K376" t="str" cm="1">
        <f t="array" ref="K376">IFERROR(_xlfn.LET(
    _xlpm.targetDate, B376,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77" spans="1:11" x14ac:dyDescent="0.3">
      <c r="A377" s="16" t="str">
        <f t="shared" si="10"/>
        <v/>
      </c>
      <c r="B377" s="19"/>
      <c r="C377" s="17" t="str">
        <f t="shared" si="11"/>
        <v/>
      </c>
      <c r="D377" s="42" t="str" cm="1">
        <f t="array" ref="D377">IFERROR(INDEX(Data_Input!$1:$100, 10, MATCH(1, (Data_Input!$7:$7=$F$3) * (Data_Input!$8:$8=$B377), 0)), "")</f>
        <v/>
      </c>
      <c r="E377" s="29" t="str" cm="1">
        <f t="array" ref="E377">IFERROR(INDEX(Data_Input!$1:$100, 9, MATCH(1, (Data_Input!$7:$7=$F$3) * (Data_Input!$8:$8=$B377), 0)),"")</f>
        <v/>
      </c>
      <c r="F377" s="20" t="str" cm="1">
        <f t="array" ref="F377">IFERROR(INDEX(Data_Input!$A$1:$ZZ$502, MATCH("플랜번호", INDEX(Data_Input!$A$1:$ZZ$502, 0, MATCH(1, (Data_Input!$7:$7="IRP")*(Data_Input!$8:$8=$B377), 0)), 0) + 1, MATCH(1, (Data_Input!$7:$7=$F$3)*(Data_Input!$8:$8=$B377), 0)),"")</f>
        <v/>
      </c>
      <c r="G377" s="20" t="str" cm="1">
        <f t="array" ref="G377">IFERROR(INDEX(Data_Input!$A$1:$ZZ$502, MATCH("플랜명", INDEX(Data_Input!$A$1:$ZZ$502, 0, MATCH(1, (Data_Input!$7:$7="IRP")*(Data_Input!$8:$8=$B377), 0)), 0) + 1, MATCH(1, (Data_Input!$7:$7=$F$3)*(Data_Input!$8:$8=$B377), 0)),"")</f>
        <v/>
      </c>
      <c r="H377" s="20" t="str" cm="1">
        <f t="array" ref="H377">IFERROR(INDEX(Data_Input!$A$1:$ZZ$502, MATCH("평가금액", INDEX(Data_Input!$A$1:$ZZ$502, 0, MATCH(1, (Data_Input!$7:$7="IRP")*(Data_Input!$8:$8=$B377), 0)), 0) + 1, MATCH(1, (Data_Input!$7:$7=$F$3)*(Data_Input!$8:$8=$B377), 0)),"")</f>
        <v/>
      </c>
      <c r="I377" s="20" t="str" cm="1">
        <f t="array" ref="I377">IFERROR(INDEX(Data_Input!$A$1:$ZZ$502, MATCH("평가손익", INDEX(Data_Input!$A$1:$ZZ$502, 0, MATCH(1, (Data_Input!$7:$7="IRP")*(Data_Input!$8:$8=$B377), 0)), 0) + 1, MATCH(1, (Data_Input!$7:$7=$F$3)*(Data_Input!$8:$8=$B377), 0)),"")</f>
        <v/>
      </c>
      <c r="J377" s="14" t="str" cm="1">
        <f t="array" ref="J377">IFERROR(INDEX(Data_Input!$A$1:$ZZ$502, MATCH("누적수익률", INDEX(Data_Input!$A$1:$ZZ$502, 0, MATCH(1, (Data_Input!$7:$7="IRP")*(Data_Input!$8:$8=$B377), 0)), 0) + 1, MATCH(1, (Data_Input!$7:$7=$F$3)*(Data_Input!$8:$8=$B377), 0))/100,"")</f>
        <v/>
      </c>
      <c r="K377" t="str" cm="1">
        <f t="array" ref="K377">IFERROR(_xlfn.LET(
    _xlpm.targetDate, B377,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78" spans="1:11" x14ac:dyDescent="0.3">
      <c r="A378" s="16" t="str">
        <f t="shared" si="10"/>
        <v/>
      </c>
      <c r="B378" s="19"/>
      <c r="C378" s="17" t="str">
        <f t="shared" si="11"/>
        <v/>
      </c>
      <c r="D378" s="42" t="str" cm="1">
        <f t="array" ref="D378">IFERROR(INDEX(Data_Input!$1:$100, 10, MATCH(1, (Data_Input!$7:$7=$F$3) * (Data_Input!$8:$8=$B378), 0)), "")</f>
        <v/>
      </c>
      <c r="E378" s="29" t="str" cm="1">
        <f t="array" ref="E378">IFERROR(INDEX(Data_Input!$1:$100, 9, MATCH(1, (Data_Input!$7:$7=$F$3) * (Data_Input!$8:$8=$B378), 0)),"")</f>
        <v/>
      </c>
      <c r="F378" s="20" t="str" cm="1">
        <f t="array" ref="F378">IFERROR(INDEX(Data_Input!$A$1:$ZZ$502, MATCH("플랜번호", INDEX(Data_Input!$A$1:$ZZ$502, 0, MATCH(1, (Data_Input!$7:$7="IRP")*(Data_Input!$8:$8=$B378), 0)), 0) + 1, MATCH(1, (Data_Input!$7:$7=$F$3)*(Data_Input!$8:$8=$B378), 0)),"")</f>
        <v/>
      </c>
      <c r="G378" s="20" t="str" cm="1">
        <f t="array" ref="G378">IFERROR(INDEX(Data_Input!$A$1:$ZZ$502, MATCH("플랜명", INDEX(Data_Input!$A$1:$ZZ$502, 0, MATCH(1, (Data_Input!$7:$7="IRP")*(Data_Input!$8:$8=$B378), 0)), 0) + 1, MATCH(1, (Data_Input!$7:$7=$F$3)*(Data_Input!$8:$8=$B378), 0)),"")</f>
        <v/>
      </c>
      <c r="H378" s="20" t="str" cm="1">
        <f t="array" ref="H378">IFERROR(INDEX(Data_Input!$A$1:$ZZ$502, MATCH("평가금액", INDEX(Data_Input!$A$1:$ZZ$502, 0, MATCH(1, (Data_Input!$7:$7="IRP")*(Data_Input!$8:$8=$B378), 0)), 0) + 1, MATCH(1, (Data_Input!$7:$7=$F$3)*(Data_Input!$8:$8=$B378), 0)),"")</f>
        <v/>
      </c>
      <c r="I378" s="20" t="str" cm="1">
        <f t="array" ref="I378">IFERROR(INDEX(Data_Input!$A$1:$ZZ$502, MATCH("평가손익", INDEX(Data_Input!$A$1:$ZZ$502, 0, MATCH(1, (Data_Input!$7:$7="IRP")*(Data_Input!$8:$8=$B378), 0)), 0) + 1, MATCH(1, (Data_Input!$7:$7=$F$3)*(Data_Input!$8:$8=$B378), 0)),"")</f>
        <v/>
      </c>
      <c r="J378" s="14" t="str" cm="1">
        <f t="array" ref="J378">IFERROR(INDEX(Data_Input!$A$1:$ZZ$502, MATCH("누적수익률", INDEX(Data_Input!$A$1:$ZZ$502, 0, MATCH(1, (Data_Input!$7:$7="IRP")*(Data_Input!$8:$8=$B378), 0)), 0) + 1, MATCH(1, (Data_Input!$7:$7=$F$3)*(Data_Input!$8:$8=$B378), 0))/100,"")</f>
        <v/>
      </c>
      <c r="K378" t="str" cm="1">
        <f t="array" ref="K378">IFERROR(_xlfn.LET(
    _xlpm.targetDate, B378,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79" spans="1:11" x14ac:dyDescent="0.3">
      <c r="A379" s="16" t="str">
        <f t="shared" si="10"/>
        <v/>
      </c>
      <c r="B379" s="19"/>
      <c r="C379" s="17" t="str">
        <f t="shared" si="11"/>
        <v/>
      </c>
      <c r="D379" s="42" t="str" cm="1">
        <f t="array" ref="D379">IFERROR(INDEX(Data_Input!$1:$100, 10, MATCH(1, (Data_Input!$7:$7=$F$3) * (Data_Input!$8:$8=$B379), 0)), "")</f>
        <v/>
      </c>
      <c r="E379" s="29" t="str" cm="1">
        <f t="array" ref="E379">IFERROR(INDEX(Data_Input!$1:$100, 9, MATCH(1, (Data_Input!$7:$7=$F$3) * (Data_Input!$8:$8=$B379), 0)),"")</f>
        <v/>
      </c>
      <c r="F379" s="20" t="str" cm="1">
        <f t="array" ref="F379">IFERROR(INDEX(Data_Input!$A$1:$ZZ$502, MATCH("플랜번호", INDEX(Data_Input!$A$1:$ZZ$502, 0, MATCH(1, (Data_Input!$7:$7="IRP")*(Data_Input!$8:$8=$B379), 0)), 0) + 1, MATCH(1, (Data_Input!$7:$7=$F$3)*(Data_Input!$8:$8=$B379), 0)),"")</f>
        <v/>
      </c>
      <c r="G379" s="20" t="str" cm="1">
        <f t="array" ref="G379">IFERROR(INDEX(Data_Input!$A$1:$ZZ$502, MATCH("플랜명", INDEX(Data_Input!$A$1:$ZZ$502, 0, MATCH(1, (Data_Input!$7:$7="IRP")*(Data_Input!$8:$8=$B379), 0)), 0) + 1, MATCH(1, (Data_Input!$7:$7=$F$3)*(Data_Input!$8:$8=$B379), 0)),"")</f>
        <v/>
      </c>
      <c r="H379" s="20" t="str" cm="1">
        <f t="array" ref="H379">IFERROR(INDEX(Data_Input!$A$1:$ZZ$502, MATCH("평가금액", INDEX(Data_Input!$A$1:$ZZ$502, 0, MATCH(1, (Data_Input!$7:$7="IRP")*(Data_Input!$8:$8=$B379), 0)), 0) + 1, MATCH(1, (Data_Input!$7:$7=$F$3)*(Data_Input!$8:$8=$B379), 0)),"")</f>
        <v/>
      </c>
      <c r="I379" s="20" t="str" cm="1">
        <f t="array" ref="I379">IFERROR(INDEX(Data_Input!$A$1:$ZZ$502, MATCH("평가손익", INDEX(Data_Input!$A$1:$ZZ$502, 0, MATCH(1, (Data_Input!$7:$7="IRP")*(Data_Input!$8:$8=$B379), 0)), 0) + 1, MATCH(1, (Data_Input!$7:$7=$F$3)*(Data_Input!$8:$8=$B379), 0)),"")</f>
        <v/>
      </c>
      <c r="J379" s="14" t="str" cm="1">
        <f t="array" ref="J379">IFERROR(INDEX(Data_Input!$A$1:$ZZ$502, MATCH("누적수익률", INDEX(Data_Input!$A$1:$ZZ$502, 0, MATCH(1, (Data_Input!$7:$7="IRP")*(Data_Input!$8:$8=$B379), 0)), 0) + 1, MATCH(1, (Data_Input!$7:$7=$F$3)*(Data_Input!$8:$8=$B379), 0))/100,"")</f>
        <v/>
      </c>
      <c r="K379" t="str" cm="1">
        <f t="array" ref="K379">IFERROR(_xlfn.LET(
    _xlpm.targetDate, B379,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80" spans="1:11" x14ac:dyDescent="0.3">
      <c r="A380" s="16" t="str">
        <f t="shared" si="10"/>
        <v/>
      </c>
      <c r="B380" s="19"/>
      <c r="C380" s="17" t="str">
        <f t="shared" si="11"/>
        <v/>
      </c>
      <c r="D380" s="42" t="str" cm="1">
        <f t="array" ref="D380">IFERROR(INDEX(Data_Input!$1:$100, 10, MATCH(1, (Data_Input!$7:$7=$F$3) * (Data_Input!$8:$8=$B380), 0)), "")</f>
        <v/>
      </c>
      <c r="E380" s="29" t="str" cm="1">
        <f t="array" ref="E380">IFERROR(INDEX(Data_Input!$1:$100, 9, MATCH(1, (Data_Input!$7:$7=$F$3) * (Data_Input!$8:$8=$B380), 0)),"")</f>
        <v/>
      </c>
      <c r="F380" s="20" t="str" cm="1">
        <f t="array" ref="F380">IFERROR(INDEX(Data_Input!$A$1:$ZZ$502, MATCH("플랜번호", INDEX(Data_Input!$A$1:$ZZ$502, 0, MATCH(1, (Data_Input!$7:$7="IRP")*(Data_Input!$8:$8=$B380), 0)), 0) + 1, MATCH(1, (Data_Input!$7:$7=$F$3)*(Data_Input!$8:$8=$B380), 0)),"")</f>
        <v/>
      </c>
      <c r="G380" s="20" t="str" cm="1">
        <f t="array" ref="G380">IFERROR(INDEX(Data_Input!$A$1:$ZZ$502, MATCH("플랜명", INDEX(Data_Input!$A$1:$ZZ$502, 0, MATCH(1, (Data_Input!$7:$7="IRP")*(Data_Input!$8:$8=$B380), 0)), 0) + 1, MATCH(1, (Data_Input!$7:$7=$F$3)*(Data_Input!$8:$8=$B380), 0)),"")</f>
        <v/>
      </c>
      <c r="H380" s="20" t="str" cm="1">
        <f t="array" ref="H380">IFERROR(INDEX(Data_Input!$A$1:$ZZ$502, MATCH("평가금액", INDEX(Data_Input!$A$1:$ZZ$502, 0, MATCH(1, (Data_Input!$7:$7="IRP")*(Data_Input!$8:$8=$B380), 0)), 0) + 1, MATCH(1, (Data_Input!$7:$7=$F$3)*(Data_Input!$8:$8=$B380), 0)),"")</f>
        <v/>
      </c>
      <c r="I380" s="20" t="str" cm="1">
        <f t="array" ref="I380">IFERROR(INDEX(Data_Input!$A$1:$ZZ$502, MATCH("평가손익", INDEX(Data_Input!$A$1:$ZZ$502, 0, MATCH(1, (Data_Input!$7:$7="IRP")*(Data_Input!$8:$8=$B380), 0)), 0) + 1, MATCH(1, (Data_Input!$7:$7=$F$3)*(Data_Input!$8:$8=$B380), 0)),"")</f>
        <v/>
      </c>
      <c r="J380" s="14" t="str" cm="1">
        <f t="array" ref="J380">IFERROR(INDEX(Data_Input!$A$1:$ZZ$502, MATCH("누적수익률", INDEX(Data_Input!$A$1:$ZZ$502, 0, MATCH(1, (Data_Input!$7:$7="IRP")*(Data_Input!$8:$8=$B380), 0)), 0) + 1, MATCH(1, (Data_Input!$7:$7=$F$3)*(Data_Input!$8:$8=$B380), 0))/100,"")</f>
        <v/>
      </c>
      <c r="K380" t="str" cm="1">
        <f t="array" ref="K380">IFERROR(_xlfn.LET(
    _xlpm.targetDate, B380,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81" spans="1:11" x14ac:dyDescent="0.3">
      <c r="A381" s="16" t="str">
        <f t="shared" si="10"/>
        <v/>
      </c>
      <c r="B381" s="19"/>
      <c r="C381" s="17" t="str">
        <f t="shared" si="11"/>
        <v/>
      </c>
      <c r="D381" s="42" t="str" cm="1">
        <f t="array" ref="D381">IFERROR(INDEX(Data_Input!$1:$100, 10, MATCH(1, (Data_Input!$7:$7=$F$3) * (Data_Input!$8:$8=$B381), 0)), "")</f>
        <v/>
      </c>
      <c r="E381" s="29" t="str" cm="1">
        <f t="array" ref="E381">IFERROR(INDEX(Data_Input!$1:$100, 9, MATCH(1, (Data_Input!$7:$7=$F$3) * (Data_Input!$8:$8=$B381), 0)),"")</f>
        <v/>
      </c>
      <c r="F381" s="20" t="str" cm="1">
        <f t="array" ref="F381">IFERROR(INDEX(Data_Input!$A$1:$ZZ$502, MATCH("플랜번호", INDEX(Data_Input!$A$1:$ZZ$502, 0, MATCH(1, (Data_Input!$7:$7="IRP")*(Data_Input!$8:$8=$B381), 0)), 0) + 1, MATCH(1, (Data_Input!$7:$7=$F$3)*(Data_Input!$8:$8=$B381), 0)),"")</f>
        <v/>
      </c>
      <c r="G381" s="20" t="str" cm="1">
        <f t="array" ref="G381">IFERROR(INDEX(Data_Input!$A$1:$ZZ$502, MATCH("플랜명", INDEX(Data_Input!$A$1:$ZZ$502, 0, MATCH(1, (Data_Input!$7:$7="IRP")*(Data_Input!$8:$8=$B381), 0)), 0) + 1, MATCH(1, (Data_Input!$7:$7=$F$3)*(Data_Input!$8:$8=$B381), 0)),"")</f>
        <v/>
      </c>
      <c r="H381" s="20" t="str" cm="1">
        <f t="array" ref="H381">IFERROR(INDEX(Data_Input!$A$1:$ZZ$502, MATCH("평가금액", INDEX(Data_Input!$A$1:$ZZ$502, 0, MATCH(1, (Data_Input!$7:$7="IRP")*(Data_Input!$8:$8=$B381), 0)), 0) + 1, MATCH(1, (Data_Input!$7:$7=$F$3)*(Data_Input!$8:$8=$B381), 0)),"")</f>
        <v/>
      </c>
      <c r="I381" s="20" t="str" cm="1">
        <f t="array" ref="I381">IFERROR(INDEX(Data_Input!$A$1:$ZZ$502, MATCH("평가손익", INDEX(Data_Input!$A$1:$ZZ$502, 0, MATCH(1, (Data_Input!$7:$7="IRP")*(Data_Input!$8:$8=$B381), 0)), 0) + 1, MATCH(1, (Data_Input!$7:$7=$F$3)*(Data_Input!$8:$8=$B381), 0)),"")</f>
        <v/>
      </c>
      <c r="J381" s="14" t="str" cm="1">
        <f t="array" ref="J381">IFERROR(INDEX(Data_Input!$A$1:$ZZ$502, MATCH("누적수익률", INDEX(Data_Input!$A$1:$ZZ$502, 0, MATCH(1, (Data_Input!$7:$7="IRP")*(Data_Input!$8:$8=$B381), 0)), 0) + 1, MATCH(1, (Data_Input!$7:$7=$F$3)*(Data_Input!$8:$8=$B381), 0))/100,"")</f>
        <v/>
      </c>
      <c r="K381" t="str" cm="1">
        <f t="array" ref="K381">IFERROR(_xlfn.LET(
    _xlpm.targetDate, B381,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82" spans="1:11" x14ac:dyDescent="0.3">
      <c r="A382" s="16" t="str">
        <f t="shared" si="10"/>
        <v/>
      </c>
      <c r="B382" s="19"/>
      <c r="C382" s="17" t="str">
        <f t="shared" si="11"/>
        <v/>
      </c>
      <c r="D382" s="42" t="str" cm="1">
        <f t="array" ref="D382">IFERROR(INDEX(Data_Input!$1:$100, 10, MATCH(1, (Data_Input!$7:$7=$F$3) * (Data_Input!$8:$8=$B382), 0)), "")</f>
        <v/>
      </c>
      <c r="E382" s="29" t="str" cm="1">
        <f t="array" ref="E382">IFERROR(INDEX(Data_Input!$1:$100, 9, MATCH(1, (Data_Input!$7:$7=$F$3) * (Data_Input!$8:$8=$B382), 0)),"")</f>
        <v/>
      </c>
      <c r="F382" s="20" t="str" cm="1">
        <f t="array" ref="F382">IFERROR(INDEX(Data_Input!$A$1:$ZZ$502, MATCH("플랜번호", INDEX(Data_Input!$A$1:$ZZ$502, 0, MATCH(1, (Data_Input!$7:$7="IRP")*(Data_Input!$8:$8=$B382), 0)), 0) + 1, MATCH(1, (Data_Input!$7:$7=$F$3)*(Data_Input!$8:$8=$B382), 0)),"")</f>
        <v/>
      </c>
      <c r="G382" s="20" t="str" cm="1">
        <f t="array" ref="G382">IFERROR(INDEX(Data_Input!$A$1:$ZZ$502, MATCH("플랜명", INDEX(Data_Input!$A$1:$ZZ$502, 0, MATCH(1, (Data_Input!$7:$7="IRP")*(Data_Input!$8:$8=$B382), 0)), 0) + 1, MATCH(1, (Data_Input!$7:$7=$F$3)*(Data_Input!$8:$8=$B382), 0)),"")</f>
        <v/>
      </c>
      <c r="H382" s="20" t="str" cm="1">
        <f t="array" ref="H382">IFERROR(INDEX(Data_Input!$A$1:$ZZ$502, MATCH("평가금액", INDEX(Data_Input!$A$1:$ZZ$502, 0, MATCH(1, (Data_Input!$7:$7="IRP")*(Data_Input!$8:$8=$B382), 0)), 0) + 1, MATCH(1, (Data_Input!$7:$7=$F$3)*(Data_Input!$8:$8=$B382), 0)),"")</f>
        <v/>
      </c>
      <c r="I382" s="20" t="str" cm="1">
        <f t="array" ref="I382">IFERROR(INDEX(Data_Input!$A$1:$ZZ$502, MATCH("평가손익", INDEX(Data_Input!$A$1:$ZZ$502, 0, MATCH(1, (Data_Input!$7:$7="IRP")*(Data_Input!$8:$8=$B382), 0)), 0) + 1, MATCH(1, (Data_Input!$7:$7=$F$3)*(Data_Input!$8:$8=$B382), 0)),"")</f>
        <v/>
      </c>
      <c r="J382" s="14" t="str" cm="1">
        <f t="array" ref="J382">IFERROR(INDEX(Data_Input!$A$1:$ZZ$502, MATCH("누적수익률", INDEX(Data_Input!$A$1:$ZZ$502, 0, MATCH(1, (Data_Input!$7:$7="IRP")*(Data_Input!$8:$8=$B382), 0)), 0) + 1, MATCH(1, (Data_Input!$7:$7=$F$3)*(Data_Input!$8:$8=$B382), 0))/100,"")</f>
        <v/>
      </c>
      <c r="K382" t="str" cm="1">
        <f t="array" ref="K382">IFERROR(_xlfn.LET(
    _xlpm.targetDate, B382,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83" spans="1:11" x14ac:dyDescent="0.3">
      <c r="A383" s="16" t="str">
        <f t="shared" si="10"/>
        <v/>
      </c>
      <c r="B383" s="19"/>
      <c r="C383" s="17" t="str">
        <f t="shared" si="11"/>
        <v/>
      </c>
      <c r="D383" s="42" t="str" cm="1">
        <f t="array" ref="D383">IFERROR(INDEX(Data_Input!$1:$100, 10, MATCH(1, (Data_Input!$7:$7=$F$3) * (Data_Input!$8:$8=$B383), 0)), "")</f>
        <v/>
      </c>
      <c r="E383" s="29" t="str" cm="1">
        <f t="array" ref="E383">IFERROR(INDEX(Data_Input!$1:$100, 9, MATCH(1, (Data_Input!$7:$7=$F$3) * (Data_Input!$8:$8=$B383), 0)),"")</f>
        <v/>
      </c>
      <c r="F383" s="20" t="str" cm="1">
        <f t="array" ref="F383">IFERROR(INDEX(Data_Input!$A$1:$ZZ$502, MATCH("플랜번호", INDEX(Data_Input!$A$1:$ZZ$502, 0, MATCH(1, (Data_Input!$7:$7="IRP")*(Data_Input!$8:$8=$B383), 0)), 0) + 1, MATCH(1, (Data_Input!$7:$7=$F$3)*(Data_Input!$8:$8=$B383), 0)),"")</f>
        <v/>
      </c>
      <c r="G383" s="20" t="str" cm="1">
        <f t="array" ref="G383">IFERROR(INDEX(Data_Input!$A$1:$ZZ$502, MATCH("플랜명", INDEX(Data_Input!$A$1:$ZZ$502, 0, MATCH(1, (Data_Input!$7:$7="IRP")*(Data_Input!$8:$8=$B383), 0)), 0) + 1, MATCH(1, (Data_Input!$7:$7=$F$3)*(Data_Input!$8:$8=$B383), 0)),"")</f>
        <v/>
      </c>
      <c r="H383" s="20" t="str" cm="1">
        <f t="array" ref="H383">IFERROR(INDEX(Data_Input!$A$1:$ZZ$502, MATCH("평가금액", INDEX(Data_Input!$A$1:$ZZ$502, 0, MATCH(1, (Data_Input!$7:$7="IRP")*(Data_Input!$8:$8=$B383), 0)), 0) + 1, MATCH(1, (Data_Input!$7:$7=$F$3)*(Data_Input!$8:$8=$B383), 0)),"")</f>
        <v/>
      </c>
      <c r="I383" s="20" t="str" cm="1">
        <f t="array" ref="I383">IFERROR(INDEX(Data_Input!$A$1:$ZZ$502, MATCH("평가손익", INDEX(Data_Input!$A$1:$ZZ$502, 0, MATCH(1, (Data_Input!$7:$7="IRP")*(Data_Input!$8:$8=$B383), 0)), 0) + 1, MATCH(1, (Data_Input!$7:$7=$F$3)*(Data_Input!$8:$8=$B383), 0)),"")</f>
        <v/>
      </c>
      <c r="J383" s="14" t="str" cm="1">
        <f t="array" ref="J383">IFERROR(INDEX(Data_Input!$A$1:$ZZ$502, MATCH("누적수익률", INDEX(Data_Input!$A$1:$ZZ$502, 0, MATCH(1, (Data_Input!$7:$7="IRP")*(Data_Input!$8:$8=$B383), 0)), 0) + 1, MATCH(1, (Data_Input!$7:$7=$F$3)*(Data_Input!$8:$8=$B383), 0))/100,"")</f>
        <v/>
      </c>
      <c r="K383" t="str" cm="1">
        <f t="array" ref="K383">IFERROR(_xlfn.LET(
    _xlpm.targetDate, B383,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84" spans="1:11" x14ac:dyDescent="0.3">
      <c r="A384" s="16" t="str">
        <f t="shared" si="10"/>
        <v/>
      </c>
      <c r="B384" s="19"/>
      <c r="C384" s="17" t="str">
        <f t="shared" si="11"/>
        <v/>
      </c>
      <c r="D384" s="42" t="str" cm="1">
        <f t="array" ref="D384">IFERROR(INDEX(Data_Input!$1:$100, 10, MATCH(1, (Data_Input!$7:$7=$F$3) * (Data_Input!$8:$8=$B384), 0)), "")</f>
        <v/>
      </c>
      <c r="E384" s="29" t="str" cm="1">
        <f t="array" ref="E384">IFERROR(INDEX(Data_Input!$1:$100, 9, MATCH(1, (Data_Input!$7:$7=$F$3) * (Data_Input!$8:$8=$B384), 0)),"")</f>
        <v/>
      </c>
      <c r="F384" s="20" t="str" cm="1">
        <f t="array" ref="F384">IFERROR(INDEX(Data_Input!$A$1:$ZZ$502, MATCH("플랜번호", INDEX(Data_Input!$A$1:$ZZ$502, 0, MATCH(1, (Data_Input!$7:$7="IRP")*(Data_Input!$8:$8=$B384), 0)), 0) + 1, MATCH(1, (Data_Input!$7:$7=$F$3)*(Data_Input!$8:$8=$B384), 0)),"")</f>
        <v/>
      </c>
      <c r="G384" s="20" t="str" cm="1">
        <f t="array" ref="G384">IFERROR(INDEX(Data_Input!$A$1:$ZZ$502, MATCH("플랜명", INDEX(Data_Input!$A$1:$ZZ$502, 0, MATCH(1, (Data_Input!$7:$7="IRP")*(Data_Input!$8:$8=$B384), 0)), 0) + 1, MATCH(1, (Data_Input!$7:$7=$F$3)*(Data_Input!$8:$8=$B384), 0)),"")</f>
        <v/>
      </c>
      <c r="H384" s="20" t="str" cm="1">
        <f t="array" ref="H384">IFERROR(INDEX(Data_Input!$A$1:$ZZ$502, MATCH("평가금액", INDEX(Data_Input!$A$1:$ZZ$502, 0, MATCH(1, (Data_Input!$7:$7="IRP")*(Data_Input!$8:$8=$B384), 0)), 0) + 1, MATCH(1, (Data_Input!$7:$7=$F$3)*(Data_Input!$8:$8=$B384), 0)),"")</f>
        <v/>
      </c>
      <c r="I384" s="20" t="str" cm="1">
        <f t="array" ref="I384">IFERROR(INDEX(Data_Input!$A$1:$ZZ$502, MATCH("평가손익", INDEX(Data_Input!$A$1:$ZZ$502, 0, MATCH(1, (Data_Input!$7:$7="IRP")*(Data_Input!$8:$8=$B384), 0)), 0) + 1, MATCH(1, (Data_Input!$7:$7=$F$3)*(Data_Input!$8:$8=$B384), 0)),"")</f>
        <v/>
      </c>
      <c r="J384" s="14" t="str" cm="1">
        <f t="array" ref="J384">IFERROR(INDEX(Data_Input!$A$1:$ZZ$502, MATCH("누적수익률", INDEX(Data_Input!$A$1:$ZZ$502, 0, MATCH(1, (Data_Input!$7:$7="IRP")*(Data_Input!$8:$8=$B384), 0)), 0) + 1, MATCH(1, (Data_Input!$7:$7=$F$3)*(Data_Input!$8:$8=$B384), 0))/100,"")</f>
        <v/>
      </c>
      <c r="K384" t="str" cm="1">
        <f t="array" ref="K384">IFERROR(_xlfn.LET(
    _xlpm.targetDate, B384,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85" spans="1:11" x14ac:dyDescent="0.3">
      <c r="A385" s="16" t="str">
        <f t="shared" si="10"/>
        <v/>
      </c>
      <c r="B385" s="19"/>
      <c r="C385" s="17" t="str">
        <f t="shared" si="11"/>
        <v/>
      </c>
      <c r="D385" s="42" t="str" cm="1">
        <f t="array" ref="D385">IFERROR(INDEX(Data_Input!$1:$100, 10, MATCH(1, (Data_Input!$7:$7=$F$3) * (Data_Input!$8:$8=$B385), 0)), "")</f>
        <v/>
      </c>
      <c r="E385" s="29" t="str" cm="1">
        <f t="array" ref="E385">IFERROR(INDEX(Data_Input!$1:$100, 9, MATCH(1, (Data_Input!$7:$7=$F$3) * (Data_Input!$8:$8=$B385), 0)),"")</f>
        <v/>
      </c>
      <c r="F385" s="20" t="str" cm="1">
        <f t="array" ref="F385">IFERROR(INDEX(Data_Input!$A$1:$ZZ$502, MATCH("플랜번호", INDEX(Data_Input!$A$1:$ZZ$502, 0, MATCH(1, (Data_Input!$7:$7="IRP")*(Data_Input!$8:$8=$B385), 0)), 0) + 1, MATCH(1, (Data_Input!$7:$7=$F$3)*(Data_Input!$8:$8=$B385), 0)),"")</f>
        <v/>
      </c>
      <c r="G385" s="20" t="str" cm="1">
        <f t="array" ref="G385">IFERROR(INDEX(Data_Input!$A$1:$ZZ$502, MATCH("플랜명", INDEX(Data_Input!$A$1:$ZZ$502, 0, MATCH(1, (Data_Input!$7:$7="IRP")*(Data_Input!$8:$8=$B385), 0)), 0) + 1, MATCH(1, (Data_Input!$7:$7=$F$3)*(Data_Input!$8:$8=$B385), 0)),"")</f>
        <v/>
      </c>
      <c r="H385" s="20" t="str" cm="1">
        <f t="array" ref="H385">IFERROR(INDEX(Data_Input!$A$1:$ZZ$502, MATCH("평가금액", INDEX(Data_Input!$A$1:$ZZ$502, 0, MATCH(1, (Data_Input!$7:$7="IRP")*(Data_Input!$8:$8=$B385), 0)), 0) + 1, MATCH(1, (Data_Input!$7:$7=$F$3)*(Data_Input!$8:$8=$B385), 0)),"")</f>
        <v/>
      </c>
      <c r="I385" s="20" t="str" cm="1">
        <f t="array" ref="I385">IFERROR(INDEX(Data_Input!$A$1:$ZZ$502, MATCH("평가손익", INDEX(Data_Input!$A$1:$ZZ$502, 0, MATCH(1, (Data_Input!$7:$7="IRP")*(Data_Input!$8:$8=$B385), 0)), 0) + 1, MATCH(1, (Data_Input!$7:$7=$F$3)*(Data_Input!$8:$8=$B385), 0)),"")</f>
        <v/>
      </c>
      <c r="J385" s="14" t="str" cm="1">
        <f t="array" ref="J385">IFERROR(INDEX(Data_Input!$A$1:$ZZ$502, MATCH("누적수익률", INDEX(Data_Input!$A$1:$ZZ$502, 0, MATCH(1, (Data_Input!$7:$7="IRP")*(Data_Input!$8:$8=$B385), 0)), 0) + 1, MATCH(1, (Data_Input!$7:$7=$F$3)*(Data_Input!$8:$8=$B385), 0))/100,"")</f>
        <v/>
      </c>
      <c r="K385" t="str" cm="1">
        <f t="array" ref="K385">IFERROR(_xlfn.LET(
    _xlpm.targetDate, B385,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86" spans="1:11" x14ac:dyDescent="0.3">
      <c r="A386" s="16" t="str">
        <f t="shared" si="10"/>
        <v/>
      </c>
      <c r="B386" s="19"/>
      <c r="C386" s="17" t="str">
        <f t="shared" si="11"/>
        <v/>
      </c>
      <c r="D386" s="42" t="str" cm="1">
        <f t="array" ref="D386">IFERROR(INDEX(Data_Input!$1:$100, 10, MATCH(1, (Data_Input!$7:$7=$F$3) * (Data_Input!$8:$8=$B386), 0)), "")</f>
        <v/>
      </c>
      <c r="E386" s="29" t="str" cm="1">
        <f t="array" ref="E386">IFERROR(INDEX(Data_Input!$1:$100, 9, MATCH(1, (Data_Input!$7:$7=$F$3) * (Data_Input!$8:$8=$B386), 0)),"")</f>
        <v/>
      </c>
      <c r="F386" s="20" t="str" cm="1">
        <f t="array" ref="F386">IFERROR(INDEX(Data_Input!$A$1:$ZZ$502, MATCH("플랜번호", INDEX(Data_Input!$A$1:$ZZ$502, 0, MATCH(1, (Data_Input!$7:$7="IRP")*(Data_Input!$8:$8=$B386), 0)), 0) + 1, MATCH(1, (Data_Input!$7:$7=$F$3)*(Data_Input!$8:$8=$B386), 0)),"")</f>
        <v/>
      </c>
      <c r="G386" s="20" t="str" cm="1">
        <f t="array" ref="G386">IFERROR(INDEX(Data_Input!$A$1:$ZZ$502, MATCH("플랜명", INDEX(Data_Input!$A$1:$ZZ$502, 0, MATCH(1, (Data_Input!$7:$7="IRP")*(Data_Input!$8:$8=$B386), 0)), 0) + 1, MATCH(1, (Data_Input!$7:$7=$F$3)*(Data_Input!$8:$8=$B386), 0)),"")</f>
        <v/>
      </c>
      <c r="H386" s="20" t="str" cm="1">
        <f t="array" ref="H386">IFERROR(INDEX(Data_Input!$A$1:$ZZ$502, MATCH("평가금액", INDEX(Data_Input!$A$1:$ZZ$502, 0, MATCH(1, (Data_Input!$7:$7="IRP")*(Data_Input!$8:$8=$B386), 0)), 0) + 1, MATCH(1, (Data_Input!$7:$7=$F$3)*(Data_Input!$8:$8=$B386), 0)),"")</f>
        <v/>
      </c>
      <c r="I386" s="20" t="str" cm="1">
        <f t="array" ref="I386">IFERROR(INDEX(Data_Input!$A$1:$ZZ$502, MATCH("평가손익", INDEX(Data_Input!$A$1:$ZZ$502, 0, MATCH(1, (Data_Input!$7:$7="IRP")*(Data_Input!$8:$8=$B386), 0)), 0) + 1, MATCH(1, (Data_Input!$7:$7=$F$3)*(Data_Input!$8:$8=$B386), 0)),"")</f>
        <v/>
      </c>
      <c r="J386" s="14" t="str" cm="1">
        <f t="array" ref="J386">IFERROR(INDEX(Data_Input!$A$1:$ZZ$502, MATCH("누적수익률", INDEX(Data_Input!$A$1:$ZZ$502, 0, MATCH(1, (Data_Input!$7:$7="IRP")*(Data_Input!$8:$8=$B386), 0)), 0) + 1, MATCH(1, (Data_Input!$7:$7=$F$3)*(Data_Input!$8:$8=$B386), 0))/100,"")</f>
        <v/>
      </c>
      <c r="K386" t="str" cm="1">
        <f t="array" ref="K386">IFERROR(_xlfn.LET(
    _xlpm.targetDate, B386,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87" spans="1:11" x14ac:dyDescent="0.3">
      <c r="A387" s="16" t="str">
        <f t="shared" si="10"/>
        <v/>
      </c>
      <c r="B387" s="19"/>
      <c r="C387" s="17" t="str">
        <f t="shared" si="11"/>
        <v/>
      </c>
      <c r="D387" s="42" t="str" cm="1">
        <f t="array" ref="D387">IFERROR(INDEX(Data_Input!$1:$100, 10, MATCH(1, (Data_Input!$7:$7=$F$3) * (Data_Input!$8:$8=$B387), 0)), "")</f>
        <v/>
      </c>
      <c r="E387" s="29" t="str" cm="1">
        <f t="array" ref="E387">IFERROR(INDEX(Data_Input!$1:$100, 9, MATCH(1, (Data_Input!$7:$7=$F$3) * (Data_Input!$8:$8=$B387), 0)),"")</f>
        <v/>
      </c>
      <c r="F387" s="20" t="str" cm="1">
        <f t="array" ref="F387">IFERROR(INDEX(Data_Input!$A$1:$ZZ$502, MATCH("플랜번호", INDEX(Data_Input!$A$1:$ZZ$502, 0, MATCH(1, (Data_Input!$7:$7="IRP")*(Data_Input!$8:$8=$B387), 0)), 0) + 1, MATCH(1, (Data_Input!$7:$7=$F$3)*(Data_Input!$8:$8=$B387), 0)),"")</f>
        <v/>
      </c>
      <c r="G387" s="20" t="str" cm="1">
        <f t="array" ref="G387">IFERROR(INDEX(Data_Input!$A$1:$ZZ$502, MATCH("플랜명", INDEX(Data_Input!$A$1:$ZZ$502, 0, MATCH(1, (Data_Input!$7:$7="IRP")*(Data_Input!$8:$8=$B387), 0)), 0) + 1, MATCH(1, (Data_Input!$7:$7=$F$3)*(Data_Input!$8:$8=$B387), 0)),"")</f>
        <v/>
      </c>
      <c r="H387" s="20" t="str" cm="1">
        <f t="array" ref="H387">IFERROR(INDEX(Data_Input!$A$1:$ZZ$502, MATCH("평가금액", INDEX(Data_Input!$A$1:$ZZ$502, 0, MATCH(1, (Data_Input!$7:$7="IRP")*(Data_Input!$8:$8=$B387), 0)), 0) + 1, MATCH(1, (Data_Input!$7:$7=$F$3)*(Data_Input!$8:$8=$B387), 0)),"")</f>
        <v/>
      </c>
      <c r="I387" s="20" t="str" cm="1">
        <f t="array" ref="I387">IFERROR(INDEX(Data_Input!$A$1:$ZZ$502, MATCH("평가손익", INDEX(Data_Input!$A$1:$ZZ$502, 0, MATCH(1, (Data_Input!$7:$7="IRP")*(Data_Input!$8:$8=$B387), 0)), 0) + 1, MATCH(1, (Data_Input!$7:$7=$F$3)*(Data_Input!$8:$8=$B387), 0)),"")</f>
        <v/>
      </c>
      <c r="J387" s="14" t="str" cm="1">
        <f t="array" ref="J387">IFERROR(INDEX(Data_Input!$A$1:$ZZ$502, MATCH("누적수익률", INDEX(Data_Input!$A$1:$ZZ$502, 0, MATCH(1, (Data_Input!$7:$7="IRP")*(Data_Input!$8:$8=$B387), 0)), 0) + 1, MATCH(1, (Data_Input!$7:$7=$F$3)*(Data_Input!$8:$8=$B387), 0))/100,"")</f>
        <v/>
      </c>
      <c r="K387" t="str" cm="1">
        <f t="array" ref="K387">IFERROR(_xlfn.LET(
    _xlpm.targetDate, B387,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88" spans="1:11" x14ac:dyDescent="0.3">
      <c r="A388" s="16" t="str">
        <f t="shared" si="10"/>
        <v/>
      </c>
      <c r="B388" s="19"/>
      <c r="C388" s="17" t="str">
        <f t="shared" si="11"/>
        <v/>
      </c>
      <c r="D388" s="42" t="str" cm="1">
        <f t="array" ref="D388">IFERROR(INDEX(Data_Input!$1:$100, 10, MATCH(1, (Data_Input!$7:$7=$F$3) * (Data_Input!$8:$8=$B388), 0)), "")</f>
        <v/>
      </c>
      <c r="E388" s="29" t="str" cm="1">
        <f t="array" ref="E388">IFERROR(INDEX(Data_Input!$1:$100, 9, MATCH(1, (Data_Input!$7:$7=$F$3) * (Data_Input!$8:$8=$B388), 0)),"")</f>
        <v/>
      </c>
      <c r="F388" s="20" t="str" cm="1">
        <f t="array" ref="F388">IFERROR(INDEX(Data_Input!$A$1:$ZZ$502, MATCH("플랜번호", INDEX(Data_Input!$A$1:$ZZ$502, 0, MATCH(1, (Data_Input!$7:$7="IRP")*(Data_Input!$8:$8=$B388), 0)), 0) + 1, MATCH(1, (Data_Input!$7:$7=$F$3)*(Data_Input!$8:$8=$B388), 0)),"")</f>
        <v/>
      </c>
      <c r="G388" s="20" t="str" cm="1">
        <f t="array" ref="G388">IFERROR(INDEX(Data_Input!$A$1:$ZZ$502, MATCH("플랜명", INDEX(Data_Input!$A$1:$ZZ$502, 0, MATCH(1, (Data_Input!$7:$7="IRP")*(Data_Input!$8:$8=$B388), 0)), 0) + 1, MATCH(1, (Data_Input!$7:$7=$F$3)*(Data_Input!$8:$8=$B388), 0)),"")</f>
        <v/>
      </c>
      <c r="H388" s="20" t="str" cm="1">
        <f t="array" ref="H388">IFERROR(INDEX(Data_Input!$A$1:$ZZ$502, MATCH("평가금액", INDEX(Data_Input!$A$1:$ZZ$502, 0, MATCH(1, (Data_Input!$7:$7="IRP")*(Data_Input!$8:$8=$B388), 0)), 0) + 1, MATCH(1, (Data_Input!$7:$7=$F$3)*(Data_Input!$8:$8=$B388), 0)),"")</f>
        <v/>
      </c>
      <c r="I388" s="20" t="str" cm="1">
        <f t="array" ref="I388">IFERROR(INDEX(Data_Input!$A$1:$ZZ$502, MATCH("평가손익", INDEX(Data_Input!$A$1:$ZZ$502, 0, MATCH(1, (Data_Input!$7:$7="IRP")*(Data_Input!$8:$8=$B388), 0)), 0) + 1, MATCH(1, (Data_Input!$7:$7=$F$3)*(Data_Input!$8:$8=$B388), 0)),"")</f>
        <v/>
      </c>
      <c r="J388" s="14" t="str" cm="1">
        <f t="array" ref="J388">IFERROR(INDEX(Data_Input!$A$1:$ZZ$502, MATCH("누적수익률", INDEX(Data_Input!$A$1:$ZZ$502, 0, MATCH(1, (Data_Input!$7:$7="IRP")*(Data_Input!$8:$8=$B388), 0)), 0) + 1, MATCH(1, (Data_Input!$7:$7=$F$3)*(Data_Input!$8:$8=$B388), 0))/100,"")</f>
        <v/>
      </c>
      <c r="K388" t="str" cm="1">
        <f t="array" ref="K388">IFERROR(_xlfn.LET(
    _xlpm.targetDate, B388,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89" spans="1:11" x14ac:dyDescent="0.3">
      <c r="A389" s="16" t="str">
        <f t="shared" si="10"/>
        <v/>
      </c>
      <c r="B389" s="19"/>
      <c r="C389" s="17" t="str">
        <f t="shared" si="11"/>
        <v/>
      </c>
      <c r="D389" s="42" t="str" cm="1">
        <f t="array" ref="D389">IFERROR(INDEX(Data_Input!$1:$100, 10, MATCH(1, (Data_Input!$7:$7=$F$3) * (Data_Input!$8:$8=$B389), 0)), "")</f>
        <v/>
      </c>
      <c r="E389" s="29" t="str" cm="1">
        <f t="array" ref="E389">IFERROR(INDEX(Data_Input!$1:$100, 9, MATCH(1, (Data_Input!$7:$7=$F$3) * (Data_Input!$8:$8=$B389), 0)),"")</f>
        <v/>
      </c>
      <c r="F389" s="20" t="str" cm="1">
        <f t="array" ref="F389">IFERROR(INDEX(Data_Input!$A$1:$ZZ$502, MATCH("플랜번호", INDEX(Data_Input!$A$1:$ZZ$502, 0, MATCH(1, (Data_Input!$7:$7="IRP")*(Data_Input!$8:$8=$B389), 0)), 0) + 1, MATCH(1, (Data_Input!$7:$7=$F$3)*(Data_Input!$8:$8=$B389), 0)),"")</f>
        <v/>
      </c>
      <c r="G389" s="20" t="str" cm="1">
        <f t="array" ref="G389">IFERROR(INDEX(Data_Input!$A$1:$ZZ$502, MATCH("플랜명", INDEX(Data_Input!$A$1:$ZZ$502, 0, MATCH(1, (Data_Input!$7:$7="IRP")*(Data_Input!$8:$8=$B389), 0)), 0) + 1, MATCH(1, (Data_Input!$7:$7=$F$3)*(Data_Input!$8:$8=$B389), 0)),"")</f>
        <v/>
      </c>
      <c r="H389" s="20" t="str" cm="1">
        <f t="array" ref="H389">IFERROR(INDEX(Data_Input!$A$1:$ZZ$502, MATCH("평가금액", INDEX(Data_Input!$A$1:$ZZ$502, 0, MATCH(1, (Data_Input!$7:$7="IRP")*(Data_Input!$8:$8=$B389), 0)), 0) + 1, MATCH(1, (Data_Input!$7:$7=$F$3)*(Data_Input!$8:$8=$B389), 0)),"")</f>
        <v/>
      </c>
      <c r="I389" s="20" t="str" cm="1">
        <f t="array" ref="I389">IFERROR(INDEX(Data_Input!$A$1:$ZZ$502, MATCH("평가손익", INDEX(Data_Input!$A$1:$ZZ$502, 0, MATCH(1, (Data_Input!$7:$7="IRP")*(Data_Input!$8:$8=$B389), 0)), 0) + 1, MATCH(1, (Data_Input!$7:$7=$F$3)*(Data_Input!$8:$8=$B389), 0)),"")</f>
        <v/>
      </c>
      <c r="J389" s="14" t="str" cm="1">
        <f t="array" ref="J389">IFERROR(INDEX(Data_Input!$A$1:$ZZ$502, MATCH("누적수익률", INDEX(Data_Input!$A$1:$ZZ$502, 0, MATCH(1, (Data_Input!$7:$7="IRP")*(Data_Input!$8:$8=$B389), 0)), 0) + 1, MATCH(1, (Data_Input!$7:$7=$F$3)*(Data_Input!$8:$8=$B389), 0))/100,"")</f>
        <v/>
      </c>
      <c r="K389" t="str" cm="1">
        <f t="array" ref="K389">IFERROR(_xlfn.LET(
    _xlpm.targetDate, B389,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90" spans="1:11" x14ac:dyDescent="0.3">
      <c r="A390" s="16" t="str">
        <f t="shared" si="10"/>
        <v/>
      </c>
      <c r="B390" s="19"/>
      <c r="C390" s="17" t="str">
        <f t="shared" si="11"/>
        <v/>
      </c>
      <c r="D390" s="42" t="str" cm="1">
        <f t="array" ref="D390">IFERROR(INDEX(Data_Input!$1:$100, 10, MATCH(1, (Data_Input!$7:$7=$F$3) * (Data_Input!$8:$8=$B390), 0)), "")</f>
        <v/>
      </c>
      <c r="E390" s="29" t="str" cm="1">
        <f t="array" ref="E390">IFERROR(INDEX(Data_Input!$1:$100, 9, MATCH(1, (Data_Input!$7:$7=$F$3) * (Data_Input!$8:$8=$B390), 0)),"")</f>
        <v/>
      </c>
      <c r="F390" s="20" t="str" cm="1">
        <f t="array" ref="F390">IFERROR(INDEX(Data_Input!$A$1:$ZZ$502, MATCH("플랜번호", INDEX(Data_Input!$A$1:$ZZ$502, 0, MATCH(1, (Data_Input!$7:$7="IRP")*(Data_Input!$8:$8=$B390), 0)), 0) + 1, MATCH(1, (Data_Input!$7:$7=$F$3)*(Data_Input!$8:$8=$B390), 0)),"")</f>
        <v/>
      </c>
      <c r="G390" s="20" t="str" cm="1">
        <f t="array" ref="G390">IFERROR(INDEX(Data_Input!$A$1:$ZZ$502, MATCH("플랜명", INDEX(Data_Input!$A$1:$ZZ$502, 0, MATCH(1, (Data_Input!$7:$7="IRP")*(Data_Input!$8:$8=$B390), 0)), 0) + 1, MATCH(1, (Data_Input!$7:$7=$F$3)*(Data_Input!$8:$8=$B390), 0)),"")</f>
        <v/>
      </c>
      <c r="H390" s="20" t="str" cm="1">
        <f t="array" ref="H390">IFERROR(INDEX(Data_Input!$A$1:$ZZ$502, MATCH("평가금액", INDEX(Data_Input!$A$1:$ZZ$502, 0, MATCH(1, (Data_Input!$7:$7="IRP")*(Data_Input!$8:$8=$B390), 0)), 0) + 1, MATCH(1, (Data_Input!$7:$7=$F$3)*(Data_Input!$8:$8=$B390), 0)),"")</f>
        <v/>
      </c>
      <c r="I390" s="20" t="str" cm="1">
        <f t="array" ref="I390">IFERROR(INDEX(Data_Input!$A$1:$ZZ$502, MATCH("평가손익", INDEX(Data_Input!$A$1:$ZZ$502, 0, MATCH(1, (Data_Input!$7:$7="IRP")*(Data_Input!$8:$8=$B390), 0)), 0) + 1, MATCH(1, (Data_Input!$7:$7=$F$3)*(Data_Input!$8:$8=$B390), 0)),"")</f>
        <v/>
      </c>
      <c r="J390" s="14" t="str" cm="1">
        <f t="array" ref="J390">IFERROR(INDEX(Data_Input!$A$1:$ZZ$502, MATCH("누적수익률", INDEX(Data_Input!$A$1:$ZZ$502, 0, MATCH(1, (Data_Input!$7:$7="IRP")*(Data_Input!$8:$8=$B390), 0)), 0) + 1, MATCH(1, (Data_Input!$7:$7=$F$3)*(Data_Input!$8:$8=$B390), 0))/100,"")</f>
        <v/>
      </c>
      <c r="K390" t="str" cm="1">
        <f t="array" ref="K390">IFERROR(_xlfn.LET(
    _xlpm.targetDate, B390,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91" spans="1:11" x14ac:dyDescent="0.3">
      <c r="A391" s="16" t="str">
        <f t="shared" ref="A391:A399" si="12">IF(B391&gt;0,A390+1,"")</f>
        <v/>
      </c>
      <c r="B391" s="19"/>
      <c r="C391" s="17" t="str">
        <f t="shared" si="11"/>
        <v/>
      </c>
      <c r="D391" s="42" t="str" cm="1">
        <f t="array" ref="D391">IFERROR(INDEX(Data_Input!$1:$100, 10, MATCH(1, (Data_Input!$7:$7=$F$3) * (Data_Input!$8:$8=$B391), 0)), "")</f>
        <v/>
      </c>
      <c r="E391" s="29" t="str" cm="1">
        <f t="array" ref="E391">IFERROR(INDEX(Data_Input!$1:$100, 9, MATCH(1, (Data_Input!$7:$7=$F$3) * (Data_Input!$8:$8=$B391), 0)),"")</f>
        <v/>
      </c>
      <c r="F391" s="20" t="str" cm="1">
        <f t="array" ref="F391">IFERROR(INDEX(Data_Input!$A$1:$ZZ$502, MATCH("플랜번호", INDEX(Data_Input!$A$1:$ZZ$502, 0, MATCH(1, (Data_Input!$7:$7="IRP")*(Data_Input!$8:$8=$B391), 0)), 0) + 1, MATCH(1, (Data_Input!$7:$7=$F$3)*(Data_Input!$8:$8=$B391), 0)),"")</f>
        <v/>
      </c>
      <c r="G391" s="20" t="str" cm="1">
        <f t="array" ref="G391">IFERROR(INDEX(Data_Input!$A$1:$ZZ$502, MATCH("플랜명", INDEX(Data_Input!$A$1:$ZZ$502, 0, MATCH(1, (Data_Input!$7:$7="IRP")*(Data_Input!$8:$8=$B391), 0)), 0) + 1, MATCH(1, (Data_Input!$7:$7=$F$3)*(Data_Input!$8:$8=$B391), 0)),"")</f>
        <v/>
      </c>
      <c r="H391" s="20" t="str" cm="1">
        <f t="array" ref="H391">IFERROR(INDEX(Data_Input!$A$1:$ZZ$502, MATCH("평가금액", INDEX(Data_Input!$A$1:$ZZ$502, 0, MATCH(1, (Data_Input!$7:$7="IRP")*(Data_Input!$8:$8=$B391), 0)), 0) + 1, MATCH(1, (Data_Input!$7:$7=$F$3)*(Data_Input!$8:$8=$B391), 0)),"")</f>
        <v/>
      </c>
      <c r="I391" s="20" t="str" cm="1">
        <f t="array" ref="I391">IFERROR(INDEX(Data_Input!$A$1:$ZZ$502, MATCH("평가손익", INDEX(Data_Input!$A$1:$ZZ$502, 0, MATCH(1, (Data_Input!$7:$7="IRP")*(Data_Input!$8:$8=$B391), 0)), 0) + 1, MATCH(1, (Data_Input!$7:$7=$F$3)*(Data_Input!$8:$8=$B391), 0)),"")</f>
        <v/>
      </c>
      <c r="J391" s="14" t="str" cm="1">
        <f t="array" ref="J391">IFERROR(INDEX(Data_Input!$A$1:$ZZ$502, MATCH("누적수익률", INDEX(Data_Input!$A$1:$ZZ$502, 0, MATCH(1, (Data_Input!$7:$7="IRP")*(Data_Input!$8:$8=$B391), 0)), 0) + 1, MATCH(1, (Data_Input!$7:$7=$F$3)*(Data_Input!$8:$8=$B391), 0))/100,"")</f>
        <v/>
      </c>
      <c r="K391" t="str" cm="1">
        <f t="array" ref="K391">IFERROR(_xlfn.LET(
    _xlpm.targetDate, B391,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92" spans="1:11" x14ac:dyDescent="0.3">
      <c r="A392" s="16" t="str">
        <f t="shared" si="12"/>
        <v/>
      </c>
      <c r="B392" s="19"/>
      <c r="C392" s="17" t="str">
        <f t="shared" ref="C392:C399" si="13">IF(B392&gt;0,C391,"")</f>
        <v/>
      </c>
      <c r="D392" s="42" t="str" cm="1">
        <f t="array" ref="D392">IFERROR(INDEX(Data_Input!$1:$100, 10, MATCH(1, (Data_Input!$7:$7=$F$3) * (Data_Input!$8:$8=$B392), 0)), "")</f>
        <v/>
      </c>
      <c r="E392" s="29" t="str" cm="1">
        <f t="array" ref="E392">IFERROR(INDEX(Data_Input!$1:$100, 9, MATCH(1, (Data_Input!$7:$7=$F$3) * (Data_Input!$8:$8=$B392), 0)),"")</f>
        <v/>
      </c>
      <c r="F392" s="20" t="str" cm="1">
        <f t="array" ref="F392">IFERROR(INDEX(Data_Input!$A$1:$ZZ$502, MATCH("플랜번호", INDEX(Data_Input!$A$1:$ZZ$502, 0, MATCH(1, (Data_Input!$7:$7="IRP")*(Data_Input!$8:$8=$B392), 0)), 0) + 1, MATCH(1, (Data_Input!$7:$7=$F$3)*(Data_Input!$8:$8=$B392), 0)),"")</f>
        <v/>
      </c>
      <c r="G392" s="20" t="str" cm="1">
        <f t="array" ref="G392">IFERROR(INDEX(Data_Input!$A$1:$ZZ$502, MATCH("플랜명", INDEX(Data_Input!$A$1:$ZZ$502, 0, MATCH(1, (Data_Input!$7:$7="IRP")*(Data_Input!$8:$8=$B392), 0)), 0) + 1, MATCH(1, (Data_Input!$7:$7=$F$3)*(Data_Input!$8:$8=$B392), 0)),"")</f>
        <v/>
      </c>
      <c r="H392" s="20" t="str" cm="1">
        <f t="array" ref="H392">IFERROR(INDEX(Data_Input!$A$1:$ZZ$502, MATCH("평가금액", INDEX(Data_Input!$A$1:$ZZ$502, 0, MATCH(1, (Data_Input!$7:$7="IRP")*(Data_Input!$8:$8=$B392), 0)), 0) + 1, MATCH(1, (Data_Input!$7:$7=$F$3)*(Data_Input!$8:$8=$B392), 0)),"")</f>
        <v/>
      </c>
      <c r="I392" s="20" t="str" cm="1">
        <f t="array" ref="I392">IFERROR(INDEX(Data_Input!$A$1:$ZZ$502, MATCH("평가손익", INDEX(Data_Input!$A$1:$ZZ$502, 0, MATCH(1, (Data_Input!$7:$7="IRP")*(Data_Input!$8:$8=$B392), 0)), 0) + 1, MATCH(1, (Data_Input!$7:$7=$F$3)*(Data_Input!$8:$8=$B392), 0)),"")</f>
        <v/>
      </c>
      <c r="J392" s="14" t="str" cm="1">
        <f t="array" ref="J392">IFERROR(INDEX(Data_Input!$A$1:$ZZ$502, MATCH("누적수익률", INDEX(Data_Input!$A$1:$ZZ$502, 0, MATCH(1, (Data_Input!$7:$7="IRP")*(Data_Input!$8:$8=$B392), 0)), 0) + 1, MATCH(1, (Data_Input!$7:$7=$F$3)*(Data_Input!$8:$8=$B392), 0))/100,"")</f>
        <v/>
      </c>
      <c r="K392" t="str" cm="1">
        <f t="array" ref="K392">IFERROR(_xlfn.LET(
    _xlpm.targetDate, B392,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93" spans="1:11" x14ac:dyDescent="0.3">
      <c r="A393" s="16" t="str">
        <f t="shared" si="12"/>
        <v/>
      </c>
      <c r="B393" s="19"/>
      <c r="C393" s="17" t="str">
        <f t="shared" si="13"/>
        <v/>
      </c>
      <c r="D393" s="42" t="str" cm="1">
        <f t="array" ref="D393">IFERROR(INDEX(Data_Input!$1:$100, 10, MATCH(1, (Data_Input!$7:$7=$F$3) * (Data_Input!$8:$8=$B393), 0)), "")</f>
        <v/>
      </c>
      <c r="E393" s="29" t="str" cm="1">
        <f t="array" ref="E393">IFERROR(INDEX(Data_Input!$1:$100, 9, MATCH(1, (Data_Input!$7:$7=$F$3) * (Data_Input!$8:$8=$B393), 0)),"")</f>
        <v/>
      </c>
      <c r="F393" s="20" t="str" cm="1">
        <f t="array" ref="F393">IFERROR(INDEX(Data_Input!$A$1:$ZZ$502, MATCH("플랜번호", INDEX(Data_Input!$A$1:$ZZ$502, 0, MATCH(1, (Data_Input!$7:$7="IRP")*(Data_Input!$8:$8=$B393), 0)), 0) + 1, MATCH(1, (Data_Input!$7:$7=$F$3)*(Data_Input!$8:$8=$B393), 0)),"")</f>
        <v/>
      </c>
      <c r="G393" s="20" t="str" cm="1">
        <f t="array" ref="G393">IFERROR(INDEX(Data_Input!$A$1:$ZZ$502, MATCH("플랜명", INDEX(Data_Input!$A$1:$ZZ$502, 0, MATCH(1, (Data_Input!$7:$7="IRP")*(Data_Input!$8:$8=$B393), 0)), 0) + 1, MATCH(1, (Data_Input!$7:$7=$F$3)*(Data_Input!$8:$8=$B393), 0)),"")</f>
        <v/>
      </c>
      <c r="H393" s="20" t="str" cm="1">
        <f t="array" ref="H393">IFERROR(INDEX(Data_Input!$A$1:$ZZ$502, MATCH("평가금액", INDEX(Data_Input!$A$1:$ZZ$502, 0, MATCH(1, (Data_Input!$7:$7="IRP")*(Data_Input!$8:$8=$B393), 0)), 0) + 1, MATCH(1, (Data_Input!$7:$7=$F$3)*(Data_Input!$8:$8=$B393), 0)),"")</f>
        <v/>
      </c>
      <c r="I393" s="20" t="str" cm="1">
        <f t="array" ref="I393">IFERROR(INDEX(Data_Input!$A$1:$ZZ$502, MATCH("평가손익", INDEX(Data_Input!$A$1:$ZZ$502, 0, MATCH(1, (Data_Input!$7:$7="IRP")*(Data_Input!$8:$8=$B393), 0)), 0) + 1, MATCH(1, (Data_Input!$7:$7=$F$3)*(Data_Input!$8:$8=$B393), 0)),"")</f>
        <v/>
      </c>
      <c r="J393" s="14" t="str" cm="1">
        <f t="array" ref="J393">IFERROR(INDEX(Data_Input!$A$1:$ZZ$502, MATCH("누적수익률", INDEX(Data_Input!$A$1:$ZZ$502, 0, MATCH(1, (Data_Input!$7:$7="IRP")*(Data_Input!$8:$8=$B393), 0)), 0) + 1, MATCH(1, (Data_Input!$7:$7=$F$3)*(Data_Input!$8:$8=$B393), 0))/100,"")</f>
        <v/>
      </c>
      <c r="K393" t="str" cm="1">
        <f t="array" ref="K393">IFERROR(_xlfn.LET(
    _xlpm.targetDate, B393,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94" spans="1:11" x14ac:dyDescent="0.3">
      <c r="A394" s="16" t="str">
        <f t="shared" si="12"/>
        <v/>
      </c>
      <c r="B394" s="19"/>
      <c r="C394" s="17" t="str">
        <f t="shared" si="13"/>
        <v/>
      </c>
      <c r="D394" s="42" t="str" cm="1">
        <f t="array" ref="D394">IFERROR(INDEX(Data_Input!$1:$100, 10, MATCH(1, (Data_Input!$7:$7=$F$3) * (Data_Input!$8:$8=$B394), 0)), "")</f>
        <v/>
      </c>
      <c r="E394" s="29" t="str" cm="1">
        <f t="array" ref="E394">IFERROR(INDEX(Data_Input!$1:$100, 9, MATCH(1, (Data_Input!$7:$7=$F$3) * (Data_Input!$8:$8=$B394), 0)),"")</f>
        <v/>
      </c>
      <c r="F394" s="20" t="str" cm="1">
        <f t="array" ref="F394">IFERROR(INDEX(Data_Input!$A$1:$ZZ$502, MATCH("플랜번호", INDEX(Data_Input!$A$1:$ZZ$502, 0, MATCH(1, (Data_Input!$7:$7="IRP")*(Data_Input!$8:$8=$B394), 0)), 0) + 1, MATCH(1, (Data_Input!$7:$7=$F$3)*(Data_Input!$8:$8=$B394), 0)),"")</f>
        <v/>
      </c>
      <c r="G394" s="20" t="str" cm="1">
        <f t="array" ref="G394">IFERROR(INDEX(Data_Input!$A$1:$ZZ$502, MATCH("플랜명", INDEX(Data_Input!$A$1:$ZZ$502, 0, MATCH(1, (Data_Input!$7:$7="IRP")*(Data_Input!$8:$8=$B394), 0)), 0) + 1, MATCH(1, (Data_Input!$7:$7=$F$3)*(Data_Input!$8:$8=$B394), 0)),"")</f>
        <v/>
      </c>
      <c r="H394" s="20" t="str" cm="1">
        <f t="array" ref="H394">IFERROR(INDEX(Data_Input!$A$1:$ZZ$502, MATCH("평가금액", INDEX(Data_Input!$A$1:$ZZ$502, 0, MATCH(1, (Data_Input!$7:$7="IRP")*(Data_Input!$8:$8=$B394), 0)), 0) + 1, MATCH(1, (Data_Input!$7:$7=$F$3)*(Data_Input!$8:$8=$B394), 0)),"")</f>
        <v/>
      </c>
      <c r="I394" s="20" t="str" cm="1">
        <f t="array" ref="I394">IFERROR(INDEX(Data_Input!$A$1:$ZZ$502, MATCH("평가손익", INDEX(Data_Input!$A$1:$ZZ$502, 0, MATCH(1, (Data_Input!$7:$7="IRP")*(Data_Input!$8:$8=$B394), 0)), 0) + 1, MATCH(1, (Data_Input!$7:$7=$F$3)*(Data_Input!$8:$8=$B394), 0)),"")</f>
        <v/>
      </c>
      <c r="J394" s="14" t="str" cm="1">
        <f t="array" ref="J394">IFERROR(INDEX(Data_Input!$A$1:$ZZ$502, MATCH("누적수익률", INDEX(Data_Input!$A$1:$ZZ$502, 0, MATCH(1, (Data_Input!$7:$7="IRP")*(Data_Input!$8:$8=$B394), 0)), 0) + 1, MATCH(1, (Data_Input!$7:$7=$F$3)*(Data_Input!$8:$8=$B394), 0))/100,"")</f>
        <v/>
      </c>
      <c r="K394" t="str" cm="1">
        <f t="array" ref="K394">IFERROR(_xlfn.LET(
    _xlpm.targetDate, B394,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95" spans="1:11" x14ac:dyDescent="0.3">
      <c r="A395" s="16" t="str">
        <f t="shared" si="12"/>
        <v/>
      </c>
      <c r="B395" s="19"/>
      <c r="C395" s="17" t="str">
        <f t="shared" si="13"/>
        <v/>
      </c>
      <c r="D395" s="42" t="str" cm="1">
        <f t="array" ref="D395">IFERROR(INDEX(Data_Input!$1:$100, 10, MATCH(1, (Data_Input!$7:$7=$F$3) * (Data_Input!$8:$8=$B395), 0)), "")</f>
        <v/>
      </c>
      <c r="E395" s="29" t="str" cm="1">
        <f t="array" ref="E395">IFERROR(INDEX(Data_Input!$1:$100, 9, MATCH(1, (Data_Input!$7:$7=$F$3) * (Data_Input!$8:$8=$B395), 0)),"")</f>
        <v/>
      </c>
      <c r="F395" s="20" t="str" cm="1">
        <f t="array" ref="F395">IFERROR(INDEX(Data_Input!$A$1:$ZZ$502, MATCH("플랜번호", INDEX(Data_Input!$A$1:$ZZ$502, 0, MATCH(1, (Data_Input!$7:$7="IRP")*(Data_Input!$8:$8=$B395), 0)), 0) + 1, MATCH(1, (Data_Input!$7:$7=$F$3)*(Data_Input!$8:$8=$B395), 0)),"")</f>
        <v/>
      </c>
      <c r="G395" s="20" t="str" cm="1">
        <f t="array" ref="G395">IFERROR(INDEX(Data_Input!$A$1:$ZZ$502, MATCH("플랜명", INDEX(Data_Input!$A$1:$ZZ$502, 0, MATCH(1, (Data_Input!$7:$7="IRP")*(Data_Input!$8:$8=$B395), 0)), 0) + 1, MATCH(1, (Data_Input!$7:$7=$F$3)*(Data_Input!$8:$8=$B395), 0)),"")</f>
        <v/>
      </c>
      <c r="H395" s="20" t="str" cm="1">
        <f t="array" ref="H395">IFERROR(INDEX(Data_Input!$A$1:$ZZ$502, MATCH("평가금액", INDEX(Data_Input!$A$1:$ZZ$502, 0, MATCH(1, (Data_Input!$7:$7="IRP")*(Data_Input!$8:$8=$B395), 0)), 0) + 1, MATCH(1, (Data_Input!$7:$7=$F$3)*(Data_Input!$8:$8=$B395), 0)),"")</f>
        <v/>
      </c>
      <c r="I395" s="20" t="str" cm="1">
        <f t="array" ref="I395">IFERROR(INDEX(Data_Input!$A$1:$ZZ$502, MATCH("평가손익", INDEX(Data_Input!$A$1:$ZZ$502, 0, MATCH(1, (Data_Input!$7:$7="IRP")*(Data_Input!$8:$8=$B395), 0)), 0) + 1, MATCH(1, (Data_Input!$7:$7=$F$3)*(Data_Input!$8:$8=$B395), 0)),"")</f>
        <v/>
      </c>
      <c r="J395" s="14" t="str" cm="1">
        <f t="array" ref="J395">IFERROR(INDEX(Data_Input!$A$1:$ZZ$502, MATCH("누적수익률", INDEX(Data_Input!$A$1:$ZZ$502, 0, MATCH(1, (Data_Input!$7:$7="IRP")*(Data_Input!$8:$8=$B395), 0)), 0) + 1, MATCH(1, (Data_Input!$7:$7=$F$3)*(Data_Input!$8:$8=$B395), 0))/100,"")</f>
        <v/>
      </c>
      <c r="K395" t="str" cm="1">
        <f t="array" ref="K395">IFERROR(_xlfn.LET(
    _xlpm.targetDate, B395,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96" spans="1:11" x14ac:dyDescent="0.3">
      <c r="A396" s="16" t="str">
        <f t="shared" si="12"/>
        <v/>
      </c>
      <c r="B396" s="19"/>
      <c r="C396" s="17" t="str">
        <f t="shared" si="13"/>
        <v/>
      </c>
      <c r="D396" s="42" t="str" cm="1">
        <f t="array" ref="D396">IFERROR(INDEX(Data_Input!$1:$100, 10, MATCH(1, (Data_Input!$7:$7=$F$3) * (Data_Input!$8:$8=$B396), 0)), "")</f>
        <v/>
      </c>
      <c r="E396" s="29" t="str" cm="1">
        <f t="array" ref="E396">IFERROR(INDEX(Data_Input!$1:$100, 9, MATCH(1, (Data_Input!$7:$7=$F$3) * (Data_Input!$8:$8=$B396), 0)),"")</f>
        <v/>
      </c>
      <c r="F396" s="20" t="str" cm="1">
        <f t="array" ref="F396">IFERROR(INDEX(Data_Input!$A$1:$ZZ$502, MATCH("플랜번호", INDEX(Data_Input!$A$1:$ZZ$502, 0, MATCH(1, (Data_Input!$7:$7="IRP")*(Data_Input!$8:$8=$B396), 0)), 0) + 1, MATCH(1, (Data_Input!$7:$7=$F$3)*(Data_Input!$8:$8=$B396), 0)),"")</f>
        <v/>
      </c>
      <c r="G396" s="20" t="str" cm="1">
        <f t="array" ref="G396">IFERROR(INDEX(Data_Input!$A$1:$ZZ$502, MATCH("플랜명", INDEX(Data_Input!$A$1:$ZZ$502, 0, MATCH(1, (Data_Input!$7:$7="IRP")*(Data_Input!$8:$8=$B396), 0)), 0) + 1, MATCH(1, (Data_Input!$7:$7=$F$3)*(Data_Input!$8:$8=$B396), 0)),"")</f>
        <v/>
      </c>
      <c r="H396" s="20" t="str" cm="1">
        <f t="array" ref="H396">IFERROR(INDEX(Data_Input!$A$1:$ZZ$502, MATCH("평가금액", INDEX(Data_Input!$A$1:$ZZ$502, 0, MATCH(1, (Data_Input!$7:$7="IRP")*(Data_Input!$8:$8=$B396), 0)), 0) + 1, MATCH(1, (Data_Input!$7:$7=$F$3)*(Data_Input!$8:$8=$B396), 0)),"")</f>
        <v/>
      </c>
      <c r="I396" s="20" t="str" cm="1">
        <f t="array" ref="I396">IFERROR(INDEX(Data_Input!$A$1:$ZZ$502, MATCH("평가손익", INDEX(Data_Input!$A$1:$ZZ$502, 0, MATCH(1, (Data_Input!$7:$7="IRP")*(Data_Input!$8:$8=$B396), 0)), 0) + 1, MATCH(1, (Data_Input!$7:$7=$F$3)*(Data_Input!$8:$8=$B396), 0)),"")</f>
        <v/>
      </c>
      <c r="J396" s="14" t="str" cm="1">
        <f t="array" ref="J396">IFERROR(INDEX(Data_Input!$A$1:$ZZ$502, MATCH("누적수익률", INDEX(Data_Input!$A$1:$ZZ$502, 0, MATCH(1, (Data_Input!$7:$7="IRP")*(Data_Input!$8:$8=$B396), 0)), 0) + 1, MATCH(1, (Data_Input!$7:$7=$F$3)*(Data_Input!$8:$8=$B396), 0))/100,"")</f>
        <v/>
      </c>
      <c r="K396" t="str" cm="1">
        <f t="array" ref="K396">IFERROR(_xlfn.LET(
    _xlpm.targetDate, B396,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97" spans="1:11" x14ac:dyDescent="0.3">
      <c r="A397" s="16" t="str">
        <f t="shared" si="12"/>
        <v/>
      </c>
      <c r="B397" s="19"/>
      <c r="C397" s="17" t="str">
        <f t="shared" si="13"/>
        <v/>
      </c>
      <c r="D397" s="42" t="str" cm="1">
        <f t="array" ref="D397">IFERROR(INDEX(Data_Input!$1:$100, 10, MATCH(1, (Data_Input!$7:$7=$F$3) * (Data_Input!$8:$8=$B397), 0)), "")</f>
        <v/>
      </c>
      <c r="E397" s="29" t="str" cm="1">
        <f t="array" ref="E397">IFERROR(INDEX(Data_Input!$1:$100, 9, MATCH(1, (Data_Input!$7:$7=$F$3) * (Data_Input!$8:$8=$B397), 0)),"")</f>
        <v/>
      </c>
      <c r="F397" s="20" t="str" cm="1">
        <f t="array" ref="F397">IFERROR(INDEX(Data_Input!$A$1:$ZZ$502, MATCH("플랜번호", INDEX(Data_Input!$A$1:$ZZ$502, 0, MATCH(1, (Data_Input!$7:$7="IRP")*(Data_Input!$8:$8=$B397), 0)), 0) + 1, MATCH(1, (Data_Input!$7:$7=$F$3)*(Data_Input!$8:$8=$B397), 0)),"")</f>
        <v/>
      </c>
      <c r="G397" s="20" t="str" cm="1">
        <f t="array" ref="G397">IFERROR(INDEX(Data_Input!$A$1:$ZZ$502, MATCH("플랜명", INDEX(Data_Input!$A$1:$ZZ$502, 0, MATCH(1, (Data_Input!$7:$7="IRP")*(Data_Input!$8:$8=$B397), 0)), 0) + 1, MATCH(1, (Data_Input!$7:$7=$F$3)*(Data_Input!$8:$8=$B397), 0)),"")</f>
        <v/>
      </c>
      <c r="H397" s="20" t="str" cm="1">
        <f t="array" ref="H397">IFERROR(INDEX(Data_Input!$A$1:$ZZ$502, MATCH("평가금액", INDEX(Data_Input!$A$1:$ZZ$502, 0, MATCH(1, (Data_Input!$7:$7="IRP")*(Data_Input!$8:$8=$B397), 0)), 0) + 1, MATCH(1, (Data_Input!$7:$7=$F$3)*(Data_Input!$8:$8=$B397), 0)),"")</f>
        <v/>
      </c>
      <c r="I397" s="20" t="str" cm="1">
        <f t="array" ref="I397">IFERROR(INDEX(Data_Input!$A$1:$ZZ$502, MATCH("평가손익", INDEX(Data_Input!$A$1:$ZZ$502, 0, MATCH(1, (Data_Input!$7:$7="IRP")*(Data_Input!$8:$8=$B397), 0)), 0) + 1, MATCH(1, (Data_Input!$7:$7=$F$3)*(Data_Input!$8:$8=$B397), 0)),"")</f>
        <v/>
      </c>
      <c r="J397" s="14" t="str" cm="1">
        <f t="array" ref="J397">IFERROR(INDEX(Data_Input!$A$1:$ZZ$502, MATCH("누적수익률", INDEX(Data_Input!$A$1:$ZZ$502, 0, MATCH(1, (Data_Input!$7:$7="IRP")*(Data_Input!$8:$8=$B397), 0)), 0) + 1, MATCH(1, (Data_Input!$7:$7=$F$3)*(Data_Input!$8:$8=$B397), 0))/100,"")</f>
        <v/>
      </c>
      <c r="K397" t="str" cm="1">
        <f t="array" ref="K397">IFERROR(_xlfn.LET(
    _xlpm.targetDate, B397,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98" spans="1:11" x14ac:dyDescent="0.3">
      <c r="A398" s="16" t="str">
        <f t="shared" si="12"/>
        <v/>
      </c>
      <c r="B398" s="19"/>
      <c r="C398" s="17" t="str">
        <f t="shared" si="13"/>
        <v/>
      </c>
      <c r="D398" s="42" t="str" cm="1">
        <f t="array" ref="D398">IFERROR(INDEX(Data_Input!$1:$100, 10, MATCH(1, (Data_Input!$7:$7=$F$3) * (Data_Input!$8:$8=$B398), 0)), "")</f>
        <v/>
      </c>
      <c r="E398" s="29" t="str" cm="1">
        <f t="array" ref="E398">IFERROR(INDEX(Data_Input!$1:$100, 9, MATCH(1, (Data_Input!$7:$7=$F$3) * (Data_Input!$8:$8=$B398), 0)),"")</f>
        <v/>
      </c>
      <c r="F398" s="20" t="str" cm="1">
        <f t="array" ref="F398">IFERROR(INDEX(Data_Input!$A$1:$ZZ$502, MATCH("플랜번호", INDEX(Data_Input!$A$1:$ZZ$502, 0, MATCH(1, (Data_Input!$7:$7="IRP")*(Data_Input!$8:$8=$B398), 0)), 0) + 1, MATCH(1, (Data_Input!$7:$7=$F$3)*(Data_Input!$8:$8=$B398), 0)),"")</f>
        <v/>
      </c>
      <c r="G398" s="20" t="str" cm="1">
        <f t="array" ref="G398">IFERROR(INDEX(Data_Input!$A$1:$ZZ$502, MATCH("플랜명", INDEX(Data_Input!$A$1:$ZZ$502, 0, MATCH(1, (Data_Input!$7:$7="IRP")*(Data_Input!$8:$8=$B398), 0)), 0) + 1, MATCH(1, (Data_Input!$7:$7=$F$3)*(Data_Input!$8:$8=$B398), 0)),"")</f>
        <v/>
      </c>
      <c r="H398" s="20" t="str" cm="1">
        <f t="array" ref="H398">IFERROR(INDEX(Data_Input!$A$1:$ZZ$502, MATCH("평가금액", INDEX(Data_Input!$A$1:$ZZ$502, 0, MATCH(1, (Data_Input!$7:$7="IRP")*(Data_Input!$8:$8=$B398), 0)), 0) + 1, MATCH(1, (Data_Input!$7:$7=$F$3)*(Data_Input!$8:$8=$B398), 0)),"")</f>
        <v/>
      </c>
      <c r="I398" s="20" t="str" cm="1">
        <f t="array" ref="I398">IFERROR(INDEX(Data_Input!$A$1:$ZZ$502, MATCH("평가손익", INDEX(Data_Input!$A$1:$ZZ$502, 0, MATCH(1, (Data_Input!$7:$7="IRP")*(Data_Input!$8:$8=$B398), 0)), 0) + 1, MATCH(1, (Data_Input!$7:$7=$F$3)*(Data_Input!$8:$8=$B398), 0)),"")</f>
        <v/>
      </c>
      <c r="J398" s="14" t="str" cm="1">
        <f t="array" ref="J398">IFERROR(INDEX(Data_Input!$A$1:$ZZ$502, MATCH("누적수익률", INDEX(Data_Input!$A$1:$ZZ$502, 0, MATCH(1, (Data_Input!$7:$7="IRP")*(Data_Input!$8:$8=$B398), 0)), 0) + 1, MATCH(1, (Data_Input!$7:$7=$F$3)*(Data_Input!$8:$8=$B398), 0))/100,"")</f>
        <v/>
      </c>
      <c r="K398" t="str" cm="1">
        <f t="array" ref="K398">IFERROR(_xlfn.LET(
    _xlpm.targetDate, B398,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  <row r="399" spans="1:11" x14ac:dyDescent="0.3">
      <c r="A399" s="16" t="str">
        <f t="shared" si="12"/>
        <v/>
      </c>
      <c r="B399" s="19"/>
      <c r="C399" s="17" t="str">
        <f t="shared" si="13"/>
        <v/>
      </c>
      <c r="D399" s="42" t="str" cm="1">
        <f t="array" ref="D399">IFERROR(INDEX(Data_Input!$1:$100, 10, MATCH(1, (Data_Input!$7:$7=$F$3) * (Data_Input!$8:$8=$B399), 0)), "")</f>
        <v/>
      </c>
      <c r="E399" s="29" t="str" cm="1">
        <f t="array" ref="E399">IFERROR(INDEX(Data_Input!$1:$100, 9, MATCH(1, (Data_Input!$7:$7=$F$3) * (Data_Input!$8:$8=$B399), 0)),"")</f>
        <v/>
      </c>
      <c r="F399" s="20" t="str" cm="1">
        <f t="array" ref="F399">IFERROR(INDEX(Data_Input!$A$1:$ZZ$502, MATCH("플랜번호", INDEX(Data_Input!$A$1:$ZZ$502, 0, MATCH(1, (Data_Input!$7:$7="IRP")*(Data_Input!$8:$8=$B399), 0)), 0) + 1, MATCH(1, (Data_Input!$7:$7=$F$3)*(Data_Input!$8:$8=$B399), 0)),"")</f>
        <v/>
      </c>
      <c r="G399" s="20" t="str" cm="1">
        <f t="array" ref="G399">IFERROR(INDEX(Data_Input!$A$1:$ZZ$502, MATCH("플랜명", INDEX(Data_Input!$A$1:$ZZ$502, 0, MATCH(1, (Data_Input!$7:$7="IRP")*(Data_Input!$8:$8=$B399), 0)), 0) + 1, MATCH(1, (Data_Input!$7:$7=$F$3)*(Data_Input!$8:$8=$B399), 0)),"")</f>
        <v/>
      </c>
      <c r="H399" s="20" t="str" cm="1">
        <f t="array" ref="H399">IFERROR(INDEX(Data_Input!$A$1:$ZZ$502, MATCH("평가금액", INDEX(Data_Input!$A$1:$ZZ$502, 0, MATCH(1, (Data_Input!$7:$7="IRP")*(Data_Input!$8:$8=$B399), 0)), 0) + 1, MATCH(1, (Data_Input!$7:$7=$F$3)*(Data_Input!$8:$8=$B399), 0)),"")</f>
        <v/>
      </c>
      <c r="I399" s="20" t="str" cm="1">
        <f t="array" ref="I399">IFERROR(INDEX(Data_Input!$A$1:$ZZ$502, MATCH("평가손익", INDEX(Data_Input!$A$1:$ZZ$502, 0, MATCH(1, (Data_Input!$7:$7="IRP")*(Data_Input!$8:$8=$B399), 0)), 0) + 1, MATCH(1, (Data_Input!$7:$7=$F$3)*(Data_Input!$8:$8=$B399), 0)),"")</f>
        <v/>
      </c>
      <c r="J399" s="14" t="str" cm="1">
        <f t="array" ref="J399">IFERROR(INDEX(Data_Input!$A$1:$ZZ$502, MATCH("누적수익률", INDEX(Data_Input!$A$1:$ZZ$502, 0, MATCH(1, (Data_Input!$7:$7="IRP")*(Data_Input!$8:$8=$B399), 0)), 0) + 1, MATCH(1, (Data_Input!$7:$7=$F$3)*(Data_Input!$8:$8=$B399), 0))/100,"")</f>
        <v/>
      </c>
      <c r="K399" t="str" cm="1">
        <f t="array" ref="K399">IFERROR(_xlfn.LET(
    _xlpm.targetDate, B399,
    _xlpm.colIdx, MATCH(1, (Data_Input!$7:$7=$F$3) * (Data_Input!$8:$8=_xlpm.targetDate), 0),
    _xlpm.allData, INDEX(Data_Input!$1:$1002, 33, _xlpm.colIdx):INDEX(Data_Input!$1:$1002, 1000, _xlpm.colIdx),
    _xlpm.validData, _xlfn._xlws.FILTER(_xlpm.allData, _xlpm.allData &lt;&gt; ""),
    _xlpm.finalData, _xlfn.MAP(_xlfn.SEQUENCE(ROWS(_xlpm.validData)), _xlfn.LAMBDA(_xlpm.r,
        _xlfn.LET(
            _xlpm.curr, INDEX(_xlpm.validData, _xlpm.r),
            _xlpm.next, IF(_xlpm.r=ROWS(_xlpm.validData), "END", INDEX(_xlpm.validData, _xlpm.r+1)),
            IF(AND(ISNUMBER(_xlpm.curr), ISTEXT(_xlpm.next)), _xlpm.curr/100, _xlpm.curr)
        )
    )),
    _xlfn.TOROW(_xlpm.finalData)
),"")</f>
        <v/>
      </c>
    </row>
  </sheetData>
  <autoFilter ref="B5:B399" xr:uid="{8C1928C5-0ABA-4172-B727-7AF21F553557}">
    <sortState xmlns:xlrd2="http://schemas.microsoft.com/office/spreadsheetml/2017/richdata2" ref="B6:B399">
      <sortCondition ref="B5:B399"/>
    </sortState>
  </autoFilter>
  <phoneticPr fontId="3" type="noConversion"/>
  <dataValidations disablePrompts="1" count="1">
    <dataValidation type="list" allowBlank="1" showInputMessage="1" showErrorMessage="1" sqref="F3" xr:uid="{DE5C3039-2102-48EE-8FF2-DA2F8B297273}">
      <formula1>상품종류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57F39-4185-4E1A-83F1-A191322583CB}">
  <sheetPr>
    <tabColor theme="9" tint="0.79998168889431442"/>
  </sheetPr>
  <dimension ref="B3:AL104"/>
  <sheetViews>
    <sheetView topLeftCell="N1" zoomScale="70" zoomScaleNormal="70" workbookViewId="0">
      <selection activeCell="W69" sqref="W69:Z69"/>
    </sheetView>
  </sheetViews>
  <sheetFormatPr defaultRowHeight="16.5" x14ac:dyDescent="0.3"/>
  <cols>
    <col min="2" max="2" width="14.125" style="43" customWidth="1"/>
    <col min="3" max="3" width="12.25" style="43" customWidth="1"/>
    <col min="4" max="4" width="19.625" style="43" customWidth="1"/>
    <col min="6" max="6" width="14.625" style="4" bestFit="1" customWidth="1"/>
    <col min="7" max="7" width="16" style="4" customWidth="1"/>
    <col min="8" max="8" width="59" style="4" bestFit="1" customWidth="1"/>
    <col min="9" max="9" width="18" style="4" bestFit="1" customWidth="1"/>
    <col min="10" max="10" width="15.25" style="4" bestFit="1" customWidth="1"/>
    <col min="11" max="12" width="13.125" style="4" bestFit="1" customWidth="1"/>
    <col min="13" max="14" width="13" style="4" bestFit="1" customWidth="1"/>
    <col min="15" max="15" width="16.125" style="4" bestFit="1" customWidth="1"/>
    <col min="16" max="17" width="16.125" style="4" customWidth="1"/>
    <col min="18" max="19" width="11.25" style="61" customWidth="1"/>
    <col min="20" max="21" width="13.375" style="61" customWidth="1"/>
    <col min="23" max="23" width="54.5" style="4" customWidth="1"/>
    <col min="24" max="24" width="16.25" style="4" customWidth="1"/>
    <col min="25" max="25" width="11.875" style="4" customWidth="1"/>
    <col min="26" max="26" width="9" style="4"/>
    <col min="28" max="28" width="9" style="4"/>
    <col min="29" max="29" width="15.125" style="11" customWidth="1"/>
    <col min="30" max="30" width="11.25" style="14" bestFit="1" customWidth="1"/>
    <col min="31" max="31" width="11.25" bestFit="1" customWidth="1"/>
    <col min="32" max="32" width="12.75" bestFit="1" customWidth="1"/>
    <col min="33" max="33" width="7.5" bestFit="1" customWidth="1"/>
    <col min="34" max="34" width="11.25" bestFit="1" customWidth="1"/>
    <col min="37" max="37" width="11" bestFit="1" customWidth="1"/>
    <col min="38" max="38" width="11.25" bestFit="1" customWidth="1"/>
  </cols>
  <sheetData>
    <row r="3" spans="2:38" x14ac:dyDescent="0.3">
      <c r="B3" t="str">
        <f>Data_Input!I2</f>
        <v>연금저축</v>
      </c>
      <c r="C3" t="s">
        <v>80</v>
      </c>
      <c r="D3" s="11">
        <f>MAX(B10:B300)</f>
        <v>0</v>
      </c>
    </row>
    <row r="4" spans="2:38" x14ac:dyDescent="0.3">
      <c r="B4" t="str">
        <f>Data_Input!I3</f>
        <v>IRP</v>
      </c>
      <c r="C4" t="s">
        <v>80</v>
      </c>
      <c r="D4" s="11">
        <f>MAX(C10:C300)</f>
        <v>46064</v>
      </c>
    </row>
    <row r="5" spans="2:38" x14ac:dyDescent="0.3">
      <c r="B5" t="str">
        <f>Data_Input!I4</f>
        <v>연금저축_거치</v>
      </c>
      <c r="C5" t="s">
        <v>41</v>
      </c>
      <c r="D5" s="11">
        <f>MAX(D10:D300)</f>
        <v>0</v>
      </c>
    </row>
    <row r="9" spans="2:38" s="23" customFormat="1" ht="20.25" x14ac:dyDescent="0.3">
      <c r="B9" s="44" t="str">
        <f>CONCATENATE(Data_Input!I2," 날짜")</f>
        <v>연금저축 날짜</v>
      </c>
      <c r="C9" s="44" t="str">
        <f>CONCATENATE(Data_Input!I3," 날짜")</f>
        <v>IRP 날짜</v>
      </c>
      <c r="D9" s="44" t="str">
        <f>CONCATENATE(Data_Input!I4," 날짜")</f>
        <v>연금저축_거치 날짜</v>
      </c>
      <c r="F9" s="62" t="str">
        <f>B3</f>
        <v>연금저축</v>
      </c>
      <c r="G9" s="60"/>
      <c r="H9" s="60"/>
      <c r="I9" s="79"/>
      <c r="J9" s="79"/>
      <c r="K9" s="79"/>
      <c r="L9" s="79"/>
      <c r="M9" s="79"/>
      <c r="N9" s="79"/>
      <c r="O9" s="79"/>
      <c r="P9" s="79"/>
      <c r="Q9" s="79"/>
      <c r="R9" s="88"/>
      <c r="S9" s="88"/>
      <c r="T9" s="88"/>
      <c r="U9" s="88"/>
      <c r="W9" s="74" t="s">
        <v>94</v>
      </c>
      <c r="X9" s="74"/>
      <c r="Y9" s="79"/>
      <c r="Z9" s="79"/>
      <c r="AB9" s="93" t="s">
        <v>112</v>
      </c>
      <c r="AC9" s="89"/>
      <c r="AD9" s="91"/>
      <c r="AF9" s="93" t="s">
        <v>124</v>
      </c>
      <c r="AG9" s="89"/>
      <c r="AH9" s="89"/>
      <c r="AJ9" s="93" t="s">
        <v>125</v>
      </c>
      <c r="AK9" s="89"/>
      <c r="AL9" s="89"/>
    </row>
    <row r="10" spans="2:38" x14ac:dyDescent="0.3">
      <c r="B10" s="43" t="str" cm="1">
        <f t="array" ref="B10">IFERROR(_xlfn._xlws.SORT(_xlfn.TOCOL(_xlfn.UNIQUE(_xlfn._xlws.FILTER(Data_Input!$B$8:$ZZ$8,Data_Input!$B$7:$ZZ$7=$B$3))),1,1),"")</f>
        <v/>
      </c>
      <c r="C10" s="43" cm="1">
        <f t="array" ref="C10:C12">IFERROR(_xlfn._xlws.SORT(_xlfn.TOCOL(_xlfn.UNIQUE(_xlfn._xlws.FILTER(Data_Input!$B$8:$ZZ$8,Data_Input!$B$7:$ZZ$7=$B$4))),1,1),"")</f>
        <v>45992</v>
      </c>
      <c r="D10" s="43" t="str" cm="1">
        <f t="array" ref="D10">IFERROR(_xlfn._xlws.SORT(_xlfn.TOCOL(_xlfn.UNIQUE(_xlfn._xlws.FILTER(Data_Input!$B$8:$ZZ$8,Data_Input!$B$7:$ZZ$7=$B$5))),1,1),"")</f>
        <v/>
      </c>
      <c r="F10" s="15" t="s">
        <v>1</v>
      </c>
      <c r="G10" s="68" t="s">
        <v>70</v>
      </c>
      <c r="H10" s="68" t="s">
        <v>71</v>
      </c>
      <c r="I10" s="68" t="s">
        <v>24</v>
      </c>
      <c r="J10" s="68" t="s">
        <v>25</v>
      </c>
      <c r="K10" s="68" t="s">
        <v>9</v>
      </c>
      <c r="L10" s="68" t="s">
        <v>3</v>
      </c>
      <c r="M10" s="68" t="s">
        <v>4</v>
      </c>
      <c r="N10" s="69" t="s">
        <v>26</v>
      </c>
    </row>
    <row r="11" spans="2:38" x14ac:dyDescent="0.3">
      <c r="C11" s="43">
        <v>46023</v>
      </c>
      <c r="F11" s="16" t="str">
        <f>IFERROR(INDEX(DB_연금저축_History!C:C,MATCH($D$3,DB_연금저축_History!$B:$B,0)),"")</f>
        <v/>
      </c>
      <c r="G11" s="66" t="str">
        <f>IFERROR(INDEX(DB_연금저축_History!D:D,MATCH($D$3,DB_연금저축_History!$B:$B,0)),"")</f>
        <v/>
      </c>
      <c r="H11" s="66" t="str">
        <f>IFERROR(INDEX(DB_연금저축_History!E:E,MATCH($D$3,DB_연금저축_History!$B:$B,0)),"")</f>
        <v/>
      </c>
      <c r="I11" s="66" t="str">
        <f>IFERROR(INDEX(DB_연금저축_History!F:F,MATCH($D$3,DB_연금저축_History!$B:$B,0)),"")</f>
        <v/>
      </c>
      <c r="J11" s="66" t="str">
        <f>IFERROR(INDEX(DB_연금저축_History!G:G,MATCH($D$3,DB_연금저축_History!$B:$B,0)),"")</f>
        <v/>
      </c>
      <c r="K11" s="66" t="str">
        <f>IFERROR(INDEX(DB_연금저축_History!H:H,MATCH($D$3,DB_연금저축_History!$B:$B,0)),"")</f>
        <v/>
      </c>
      <c r="L11" s="66" t="str">
        <f>IFERROR(INDEX(DB_연금저축_History!I:I,MATCH($D$3,DB_연금저축_History!$B:$B,0)),"")</f>
        <v/>
      </c>
      <c r="M11" s="66" t="str">
        <f>IFERROR(INDEX(DB_연금저축_History!J:J,MATCH($D$3,DB_연금저축_History!$B:$B,0)),"")</f>
        <v/>
      </c>
      <c r="N11" s="65" t="str">
        <f>IFERROR((L11+I11-G11)/G11,"")</f>
        <v/>
      </c>
    </row>
    <row r="12" spans="2:38" x14ac:dyDescent="0.3">
      <c r="C12" s="43">
        <v>46064</v>
      </c>
    </row>
    <row r="13" spans="2:38" x14ac:dyDescent="0.3">
      <c r="F13" s="57" t="s">
        <v>87</v>
      </c>
      <c r="G13" s="63" t="s">
        <v>46</v>
      </c>
      <c r="H13" s="57" t="s">
        <v>47</v>
      </c>
      <c r="I13" s="57" t="s">
        <v>48</v>
      </c>
      <c r="J13" s="58" t="s">
        <v>49</v>
      </c>
      <c r="K13" s="58" t="s">
        <v>50</v>
      </c>
      <c r="L13" s="58" t="s">
        <v>51</v>
      </c>
      <c r="M13" s="58" t="s">
        <v>44</v>
      </c>
      <c r="N13" s="58" t="s">
        <v>45</v>
      </c>
      <c r="O13" s="59" t="s">
        <v>52</v>
      </c>
      <c r="P13" s="59" t="s">
        <v>57</v>
      </c>
      <c r="S13" s="59" t="s">
        <v>108</v>
      </c>
      <c r="T13" s="59" t="s">
        <v>88</v>
      </c>
      <c r="U13" s="72" t="s">
        <v>99</v>
      </c>
      <c r="W13" s="63" t="s">
        <v>89</v>
      </c>
      <c r="X13" s="63" t="s">
        <v>139</v>
      </c>
      <c r="Y13" s="57" t="s">
        <v>88</v>
      </c>
      <c r="Z13" s="57" t="s">
        <v>99</v>
      </c>
      <c r="AB13" s="57" t="s">
        <v>86</v>
      </c>
      <c r="AC13" s="64" t="s">
        <v>110</v>
      </c>
      <c r="AD13" s="59" t="s">
        <v>111</v>
      </c>
      <c r="AF13" s="57" t="s">
        <v>86</v>
      </c>
      <c r="AG13" s="95" t="s">
        <v>126</v>
      </c>
      <c r="AH13" t="s">
        <v>127</v>
      </c>
      <c r="AJ13" s="57" t="s">
        <v>86</v>
      </c>
      <c r="AK13" s="95" t="s">
        <v>126</v>
      </c>
      <c r="AL13" t="s">
        <v>127</v>
      </c>
    </row>
    <row r="14" spans="2:38" x14ac:dyDescent="0.3">
      <c r="F14" s="16">
        <f>IF(G14&lt;&gt;0,1,"")</f>
        <v>1</v>
      </c>
      <c r="G14" s="16" t="str" cm="1">
        <f t="array" ref="G14:P38">IFERROR(
    _xlfn.TAKE(
        _xlfn.WRAPROWS(
            _xlfn.TOROW(
                _xlfn.LET(
                    _xlpm.data, _xlfn._xlws.FILTER(DB_연금저축_History!L6:ZZ300, DB_연금저축_History!B6:B300 = D3),
                    IF(_xlpm.data = "", "", _xlpm.data)
                ),
                0
            ),
            10
        ),
        25
    ),
    ""
)</f>
        <v/>
      </c>
      <c r="H14" s="16" t="str">
        <v/>
      </c>
      <c r="I14" s="16" t="str">
        <v/>
      </c>
      <c r="J14" s="66" t="str">
        <v/>
      </c>
      <c r="K14" s="66" t="str">
        <v/>
      </c>
      <c r="L14" s="66" t="str">
        <v/>
      </c>
      <c r="M14" s="66" t="str">
        <v/>
      </c>
      <c r="N14" s="66" t="str">
        <v/>
      </c>
      <c r="O14" s="65" t="str">
        <v/>
      </c>
      <c r="P14" s="67" t="str">
        <v/>
      </c>
      <c r="S14" s="80">
        <f t="shared" ref="S14:S38" si="0">IFERROR(IF(M14&gt;0, M14/$M$39, 0),0)</f>
        <v>0</v>
      </c>
      <c r="T14" s="71" t="str">
        <f>IFERROR(IF(INDEX($Y$14:$Y$200, MATCH(H14,$W$14:$W$200,0))&lt;&gt;"",INDEX($Y$14:$Y$200, MATCH(H14,$W$14:$W$200,0)),""),"")</f>
        <v/>
      </c>
      <c r="U14" s="71" t="str">
        <f>IFERROR(IF(INDEX($Z$14:$Z$200, MATCH(H14,$W$14:$W$200,0))&lt;&gt;"",INDEX($Z$14:$Z$200, MATCH(H14,$W$14:$W$200,0)),""),"")</f>
        <v/>
      </c>
      <c r="W14" s="16" t="s">
        <v>14</v>
      </c>
      <c r="X14" s="16"/>
      <c r="Y14" s="16" t="s">
        <v>90</v>
      </c>
      <c r="Z14" s="16" t="s">
        <v>100</v>
      </c>
      <c r="AB14" s="16">
        <f>IF(AC14&gt;0,1,"")</f>
        <v>1</v>
      </c>
      <c r="AC14" s="90" t="str" cm="1">
        <f t="array" ref="AC14">IFERROR(
    _xlfn.TAKE(
        _xlfn._xlws.FILTER(
            _xlfn.HSTACK(DB_연금저축_History!B6:B200, DB_연금저축_History!K6:K200),
            (DB_연금저축_History!B6:B200 &lt;&gt; "") * (DB_연금저축_History!K6:K200 &lt;&gt; "")
        ),
        -12
    ),
    ""
)</f>
        <v/>
      </c>
      <c r="AD14" s="92"/>
      <c r="AF14" s="16" t="str">
        <f>IF(AG14&gt;0,1,"")</f>
        <v/>
      </c>
      <c r="AG14" s="228"/>
      <c r="AH14" s="5">
        <v>0</v>
      </c>
      <c r="AJ14" s="16" t="str">
        <f>IF(AK14&gt;0,1,"")</f>
        <v/>
      </c>
      <c r="AK14" s="228"/>
      <c r="AL14" s="5">
        <v>0</v>
      </c>
    </row>
    <row r="15" spans="2:38" x14ac:dyDescent="0.3">
      <c r="F15" s="16" t="str">
        <f>IF(G15&lt;&gt;"",F14+1,"")</f>
        <v/>
      </c>
      <c r="G15" s="16" t="str">
        <v/>
      </c>
      <c r="H15" s="16" t="str">
        <v/>
      </c>
      <c r="I15" s="16" t="str">
        <v/>
      </c>
      <c r="J15" s="66" t="str">
        <v/>
      </c>
      <c r="K15" s="66" t="str">
        <v/>
      </c>
      <c r="L15" s="66" t="str">
        <v/>
      </c>
      <c r="M15" s="66" t="str">
        <v/>
      </c>
      <c r="N15" s="66" t="str">
        <v/>
      </c>
      <c r="O15" s="65" t="str">
        <v/>
      </c>
      <c r="P15" s="67" t="str">
        <v/>
      </c>
      <c r="S15" s="80">
        <f t="shared" si="0"/>
        <v>0</v>
      </c>
      <c r="T15" s="71" t="str">
        <f t="shared" ref="T15:T38" si="1">IFERROR(IF(INDEX($Y$14:$Y$200, MATCH(H15,$W$14:$W$200,0))&lt;&gt;"",INDEX($Y$14:$Y$200, MATCH(H15,$W$14:$W$200,0)),""),"")</f>
        <v/>
      </c>
      <c r="U15" s="71" t="str">
        <f t="shared" ref="U15:U38" si="2">IFERROR(IF(INDEX($Z$14:$Z$200, MATCH(H15,$W$14:$W$200,0))&lt;&gt;"",INDEX($Z$14:$Z$200, MATCH(H15,$W$14:$W$200,0)),""),"")</f>
        <v/>
      </c>
      <c r="W15" s="16" t="s">
        <v>38</v>
      </c>
      <c r="X15" s="16"/>
      <c r="Y15" s="16" t="s">
        <v>91</v>
      </c>
      <c r="Z15" s="16" t="s">
        <v>100</v>
      </c>
      <c r="AB15" s="16" t="str">
        <f>IF(AC15&gt;0,AB14+1,"")</f>
        <v/>
      </c>
      <c r="AC15" s="90"/>
      <c r="AD15" s="92"/>
      <c r="AF15" s="16" t="str">
        <f>IF(AG15&gt;0,AF14+1,"")</f>
        <v/>
      </c>
      <c r="AJ15" s="16" t="str">
        <f>IF(AK15&gt;0,AJ14+1,"")</f>
        <v/>
      </c>
    </row>
    <row r="16" spans="2:38" x14ac:dyDescent="0.3">
      <c r="F16" s="16" t="str">
        <f t="shared" ref="F16:F25" si="3">IF(G16&lt;&gt;"",F15+1,"")</f>
        <v/>
      </c>
      <c r="G16" s="16" t="str">
        <v/>
      </c>
      <c r="H16" s="16" t="str">
        <v/>
      </c>
      <c r="I16" s="16" t="str">
        <v/>
      </c>
      <c r="J16" s="66" t="str">
        <v/>
      </c>
      <c r="K16" s="66" t="str">
        <v/>
      </c>
      <c r="L16" s="66" t="str">
        <v/>
      </c>
      <c r="M16" s="66" t="str">
        <v/>
      </c>
      <c r="N16" s="66" t="str">
        <v/>
      </c>
      <c r="O16" s="65" t="str">
        <v/>
      </c>
      <c r="P16" s="67" t="str">
        <v/>
      </c>
      <c r="S16" s="80">
        <f t="shared" si="0"/>
        <v>0</v>
      </c>
      <c r="T16" s="71" t="str">
        <f t="shared" si="1"/>
        <v/>
      </c>
      <c r="U16" s="71" t="str">
        <f t="shared" si="2"/>
        <v/>
      </c>
      <c r="W16" s="16" t="s">
        <v>20</v>
      </c>
      <c r="X16" s="16">
        <v>453850</v>
      </c>
      <c r="Y16" s="16" t="s">
        <v>91</v>
      </c>
      <c r="Z16" s="16" t="s">
        <v>100</v>
      </c>
      <c r="AB16" s="16" t="str">
        <f t="shared" ref="AB16:AB25" si="4">IF(AC16&gt;0,AB15+1,"")</f>
        <v/>
      </c>
      <c r="AC16" s="90"/>
      <c r="AD16" s="92"/>
      <c r="AF16" s="16" t="str">
        <f t="shared" ref="AF16:AF25" si="5">IF(AG16&gt;0,AF15+1,"")</f>
        <v/>
      </c>
      <c r="AJ16" s="16" t="str">
        <f t="shared" ref="AJ16:AJ25" si="6">IF(AK16&gt;0,AJ15+1,"")</f>
        <v/>
      </c>
    </row>
    <row r="17" spans="6:36" x14ac:dyDescent="0.3">
      <c r="F17" s="16" t="str">
        <f t="shared" si="3"/>
        <v/>
      </c>
      <c r="G17" s="16" t="str">
        <v/>
      </c>
      <c r="H17" s="16" t="str">
        <v/>
      </c>
      <c r="I17" s="16" t="str">
        <v/>
      </c>
      <c r="J17" s="66" t="str">
        <v/>
      </c>
      <c r="K17" s="66" t="str">
        <v/>
      </c>
      <c r="L17" s="66" t="str">
        <v/>
      </c>
      <c r="M17" s="66" t="str">
        <v/>
      </c>
      <c r="N17" s="66" t="str">
        <v/>
      </c>
      <c r="O17" s="65" t="str">
        <v/>
      </c>
      <c r="P17" s="67" t="str">
        <v/>
      </c>
      <c r="S17" s="80">
        <f t="shared" si="0"/>
        <v>0</v>
      </c>
      <c r="T17" s="71" t="str">
        <f t="shared" si="1"/>
        <v/>
      </c>
      <c r="U17" s="71" t="str">
        <f t="shared" si="2"/>
        <v/>
      </c>
      <c r="W17" s="16" t="s">
        <v>34</v>
      </c>
      <c r="X17" s="16">
        <v>245710</v>
      </c>
      <c r="Y17" s="16" t="s">
        <v>90</v>
      </c>
      <c r="Z17" s="16" t="s">
        <v>101</v>
      </c>
      <c r="AB17" s="16" t="str">
        <f t="shared" si="4"/>
        <v/>
      </c>
      <c r="AC17" s="90"/>
      <c r="AD17" s="92"/>
      <c r="AF17" s="16" t="str">
        <f t="shared" si="5"/>
        <v/>
      </c>
      <c r="AJ17" s="16" t="str">
        <f t="shared" si="6"/>
        <v/>
      </c>
    </row>
    <row r="18" spans="6:36" x14ac:dyDescent="0.3">
      <c r="F18" s="16" t="str">
        <f t="shared" si="3"/>
        <v/>
      </c>
      <c r="G18" s="16" t="str">
        <v/>
      </c>
      <c r="H18" s="16" t="str">
        <v/>
      </c>
      <c r="I18" s="16" t="str">
        <v/>
      </c>
      <c r="J18" s="66" t="str">
        <v/>
      </c>
      <c r="K18" s="66" t="str">
        <v/>
      </c>
      <c r="L18" s="66" t="str">
        <v/>
      </c>
      <c r="M18" s="66" t="str">
        <v/>
      </c>
      <c r="N18" s="66" t="str">
        <v/>
      </c>
      <c r="O18" s="65" t="str">
        <v/>
      </c>
      <c r="P18" s="67" t="str">
        <v/>
      </c>
      <c r="S18" s="80">
        <f t="shared" si="0"/>
        <v>0</v>
      </c>
      <c r="T18" s="71" t="str">
        <f t="shared" si="1"/>
        <v/>
      </c>
      <c r="U18" s="71" t="str">
        <f t="shared" si="2"/>
        <v/>
      </c>
      <c r="W18" s="16" t="s">
        <v>37</v>
      </c>
      <c r="X18" s="16">
        <v>473490</v>
      </c>
      <c r="Y18" s="16" t="s">
        <v>90</v>
      </c>
      <c r="Z18" s="16" t="s">
        <v>102</v>
      </c>
      <c r="AB18" s="16" t="str">
        <f t="shared" si="4"/>
        <v/>
      </c>
      <c r="AC18" s="90"/>
      <c r="AD18" s="92"/>
      <c r="AF18" s="16" t="str">
        <f t="shared" si="5"/>
        <v/>
      </c>
      <c r="AJ18" s="16" t="str">
        <f t="shared" si="6"/>
        <v/>
      </c>
    </row>
    <row r="19" spans="6:36" x14ac:dyDescent="0.3">
      <c r="F19" s="16" t="str">
        <f t="shared" si="3"/>
        <v/>
      </c>
      <c r="G19" s="16" t="str">
        <v/>
      </c>
      <c r="H19" s="16" t="str">
        <v/>
      </c>
      <c r="I19" s="16" t="str">
        <v/>
      </c>
      <c r="J19" s="66" t="str">
        <v/>
      </c>
      <c r="K19" s="66" t="str">
        <v/>
      </c>
      <c r="L19" s="66" t="str">
        <v/>
      </c>
      <c r="M19" s="66" t="str">
        <v/>
      </c>
      <c r="N19" s="66" t="str">
        <v/>
      </c>
      <c r="O19" s="65" t="str">
        <v/>
      </c>
      <c r="P19" s="67" t="str">
        <v/>
      </c>
      <c r="S19" s="80">
        <f t="shared" si="0"/>
        <v>0</v>
      </c>
      <c r="T19" s="71" t="str">
        <f t="shared" si="1"/>
        <v/>
      </c>
      <c r="U19" s="71" t="str">
        <f t="shared" si="2"/>
        <v/>
      </c>
      <c r="W19" s="16" t="s">
        <v>33</v>
      </c>
      <c r="X19" s="16"/>
      <c r="Y19" s="16" t="s">
        <v>90</v>
      </c>
      <c r="Z19" s="16" t="s">
        <v>103</v>
      </c>
      <c r="AB19" s="16" t="str">
        <f t="shared" si="4"/>
        <v/>
      </c>
      <c r="AC19" s="90"/>
      <c r="AD19" s="92"/>
      <c r="AF19" s="16" t="str">
        <f t="shared" si="5"/>
        <v/>
      </c>
      <c r="AJ19" s="16" t="str">
        <f t="shared" si="6"/>
        <v/>
      </c>
    </row>
    <row r="20" spans="6:36" x14ac:dyDescent="0.3">
      <c r="F20" s="16" t="str">
        <f t="shared" si="3"/>
        <v/>
      </c>
      <c r="G20" s="16" t="str">
        <v/>
      </c>
      <c r="H20" s="16" t="str">
        <v/>
      </c>
      <c r="I20" s="16" t="str">
        <v/>
      </c>
      <c r="J20" s="66" t="str">
        <v/>
      </c>
      <c r="K20" s="66" t="str">
        <v/>
      </c>
      <c r="L20" s="66" t="str">
        <v/>
      </c>
      <c r="M20" s="66" t="str">
        <v/>
      </c>
      <c r="N20" s="66" t="str">
        <v/>
      </c>
      <c r="O20" s="65" t="str">
        <v/>
      </c>
      <c r="P20" s="67" t="str">
        <v/>
      </c>
      <c r="S20" s="80">
        <f t="shared" si="0"/>
        <v>0</v>
      </c>
      <c r="T20" s="71" t="str">
        <f t="shared" si="1"/>
        <v/>
      </c>
      <c r="U20" s="71" t="str">
        <f t="shared" si="2"/>
        <v/>
      </c>
      <c r="W20" s="16" t="s">
        <v>119</v>
      </c>
      <c r="X20" s="16">
        <v>114260</v>
      </c>
      <c r="Y20" s="16" t="s">
        <v>120</v>
      </c>
      <c r="Z20" s="16" t="s">
        <v>122</v>
      </c>
      <c r="AB20" s="16" t="str">
        <f t="shared" si="4"/>
        <v/>
      </c>
      <c r="AC20" s="90"/>
      <c r="AD20" s="92"/>
      <c r="AF20" s="16" t="str">
        <f t="shared" si="5"/>
        <v/>
      </c>
      <c r="AJ20" s="16" t="str">
        <f t="shared" si="6"/>
        <v/>
      </c>
    </row>
    <row r="21" spans="6:36" x14ac:dyDescent="0.3">
      <c r="F21" s="16" t="str">
        <f t="shared" si="3"/>
        <v/>
      </c>
      <c r="G21" s="16" t="str">
        <v/>
      </c>
      <c r="H21" s="16" t="str">
        <v/>
      </c>
      <c r="I21" s="16" t="str">
        <v/>
      </c>
      <c r="J21" s="66" t="str">
        <v/>
      </c>
      <c r="K21" s="66" t="str">
        <v/>
      </c>
      <c r="L21" s="66" t="str">
        <v/>
      </c>
      <c r="M21" s="66" t="str">
        <v/>
      </c>
      <c r="N21" s="66" t="str">
        <v/>
      </c>
      <c r="O21" s="65" t="str">
        <v/>
      </c>
      <c r="P21" s="67" t="str">
        <v/>
      </c>
      <c r="S21" s="80">
        <f t="shared" si="0"/>
        <v>0</v>
      </c>
      <c r="T21" s="71" t="str">
        <f t="shared" si="1"/>
        <v/>
      </c>
      <c r="U21" s="71" t="str">
        <f t="shared" si="2"/>
        <v/>
      </c>
      <c r="W21" s="16" t="s">
        <v>19</v>
      </c>
      <c r="X21" s="16"/>
      <c r="Y21" s="16" t="s">
        <v>90</v>
      </c>
      <c r="Z21" s="16" t="s">
        <v>104</v>
      </c>
      <c r="AB21" s="16" t="str">
        <f t="shared" si="4"/>
        <v/>
      </c>
      <c r="AC21" s="90"/>
      <c r="AD21" s="92"/>
      <c r="AF21" s="16" t="str">
        <f t="shared" si="5"/>
        <v/>
      </c>
      <c r="AJ21" s="16" t="str">
        <f t="shared" si="6"/>
        <v/>
      </c>
    </row>
    <row r="22" spans="6:36" x14ac:dyDescent="0.3">
      <c r="F22" s="16" t="str">
        <f t="shared" si="3"/>
        <v/>
      </c>
      <c r="G22" s="16" t="str">
        <v/>
      </c>
      <c r="H22" s="16" t="str">
        <v/>
      </c>
      <c r="I22" s="16" t="str">
        <v/>
      </c>
      <c r="J22" s="66" t="str">
        <v/>
      </c>
      <c r="K22" s="66" t="str">
        <v/>
      </c>
      <c r="L22" s="66" t="str">
        <v/>
      </c>
      <c r="M22" s="66" t="str">
        <v/>
      </c>
      <c r="N22" s="66" t="str">
        <v/>
      </c>
      <c r="O22" s="65" t="str">
        <v/>
      </c>
      <c r="P22" s="67" t="str">
        <v/>
      </c>
      <c r="S22" s="80">
        <f t="shared" si="0"/>
        <v>0</v>
      </c>
      <c r="T22" s="71" t="str">
        <f t="shared" si="1"/>
        <v/>
      </c>
      <c r="U22" s="71" t="str">
        <f t="shared" si="2"/>
        <v/>
      </c>
      <c r="W22" s="16" t="s">
        <v>140</v>
      </c>
      <c r="X22" s="16"/>
      <c r="Y22" s="16" t="s">
        <v>90</v>
      </c>
      <c r="Z22" s="16" t="s">
        <v>100</v>
      </c>
      <c r="AB22" s="16" t="str">
        <f t="shared" si="4"/>
        <v/>
      </c>
      <c r="AC22" s="90"/>
      <c r="AD22" s="92"/>
      <c r="AF22" s="16" t="str">
        <f t="shared" si="5"/>
        <v/>
      </c>
      <c r="AJ22" s="16" t="str">
        <f t="shared" si="6"/>
        <v/>
      </c>
    </row>
    <row r="23" spans="6:36" x14ac:dyDescent="0.3">
      <c r="F23" s="16" t="str">
        <f t="shared" si="3"/>
        <v/>
      </c>
      <c r="G23" s="16" t="str">
        <v/>
      </c>
      <c r="H23" s="16" t="str">
        <v/>
      </c>
      <c r="I23" s="16" t="str">
        <v/>
      </c>
      <c r="J23" s="66" t="str">
        <v/>
      </c>
      <c r="K23" s="66" t="str">
        <v/>
      </c>
      <c r="L23" s="66" t="str">
        <v/>
      </c>
      <c r="M23" s="66" t="str">
        <v/>
      </c>
      <c r="N23" s="66" t="str">
        <v/>
      </c>
      <c r="O23" s="65" t="str">
        <v/>
      </c>
      <c r="P23" s="67" t="str">
        <v/>
      </c>
      <c r="S23" s="80">
        <f t="shared" si="0"/>
        <v>0</v>
      </c>
      <c r="T23" s="71" t="str">
        <f t="shared" si="1"/>
        <v/>
      </c>
      <c r="U23" s="71" t="str">
        <f t="shared" si="2"/>
        <v/>
      </c>
      <c r="W23" s="16" t="s">
        <v>55</v>
      </c>
      <c r="X23" s="16" t="s">
        <v>56</v>
      </c>
      <c r="Y23" s="16" t="s">
        <v>135</v>
      </c>
      <c r="Z23" s="16" t="s">
        <v>136</v>
      </c>
      <c r="AB23" s="16" t="str">
        <f t="shared" si="4"/>
        <v/>
      </c>
      <c r="AC23" s="90"/>
      <c r="AD23" s="92"/>
      <c r="AF23" s="16" t="str">
        <f t="shared" si="5"/>
        <v/>
      </c>
      <c r="AJ23" s="16" t="str">
        <f t="shared" si="6"/>
        <v/>
      </c>
    </row>
    <row r="24" spans="6:36" x14ac:dyDescent="0.3">
      <c r="F24" s="16" t="str">
        <f t="shared" si="3"/>
        <v/>
      </c>
      <c r="G24" s="16" t="str">
        <v/>
      </c>
      <c r="H24" s="16" t="str">
        <v/>
      </c>
      <c r="I24" s="16" t="str">
        <v/>
      </c>
      <c r="J24" s="66" t="str">
        <v/>
      </c>
      <c r="K24" s="66" t="str">
        <v/>
      </c>
      <c r="L24" s="66" t="str">
        <v/>
      </c>
      <c r="M24" s="66" t="str">
        <v/>
      </c>
      <c r="N24" s="66" t="str">
        <v/>
      </c>
      <c r="O24" s="65" t="str">
        <v/>
      </c>
      <c r="P24" s="67" t="str">
        <v/>
      </c>
      <c r="S24" s="80">
        <f t="shared" si="0"/>
        <v>0</v>
      </c>
      <c r="T24" s="71" t="str">
        <f t="shared" si="1"/>
        <v/>
      </c>
      <c r="U24" s="71" t="str">
        <f t="shared" si="2"/>
        <v/>
      </c>
      <c r="W24" s="16" t="s">
        <v>35</v>
      </c>
      <c r="X24" s="16"/>
      <c r="Y24" s="16" t="s">
        <v>90</v>
      </c>
      <c r="Z24" s="16" t="s">
        <v>100</v>
      </c>
      <c r="AB24" s="16" t="str">
        <f t="shared" si="4"/>
        <v/>
      </c>
      <c r="AC24" s="90"/>
      <c r="AD24" s="92"/>
      <c r="AF24" s="16" t="str">
        <f t="shared" si="5"/>
        <v/>
      </c>
      <c r="AJ24" s="16" t="str">
        <f t="shared" si="6"/>
        <v/>
      </c>
    </row>
    <row r="25" spans="6:36" x14ac:dyDescent="0.3">
      <c r="F25" s="16" t="str">
        <f t="shared" si="3"/>
        <v/>
      </c>
      <c r="G25" s="16" t="str">
        <v/>
      </c>
      <c r="H25" s="16" t="str">
        <v/>
      </c>
      <c r="I25" s="16" t="str">
        <v/>
      </c>
      <c r="J25" s="66" t="str">
        <v/>
      </c>
      <c r="K25" s="66" t="str">
        <v/>
      </c>
      <c r="L25" s="66" t="str">
        <v/>
      </c>
      <c r="M25" s="66" t="str">
        <v/>
      </c>
      <c r="N25" s="66" t="str">
        <v/>
      </c>
      <c r="O25" s="65" t="str">
        <v/>
      </c>
      <c r="P25" s="67" t="str">
        <v/>
      </c>
      <c r="S25" s="80">
        <f t="shared" si="0"/>
        <v>0</v>
      </c>
      <c r="T25" s="71" t="str">
        <f t="shared" si="1"/>
        <v/>
      </c>
      <c r="U25" s="71" t="str">
        <f t="shared" si="2"/>
        <v/>
      </c>
      <c r="W25" s="16" t="s">
        <v>31</v>
      </c>
      <c r="X25" s="16">
        <v>102110</v>
      </c>
      <c r="Y25" s="16" t="s">
        <v>92</v>
      </c>
      <c r="Z25" s="16" t="s">
        <v>104</v>
      </c>
      <c r="AB25" s="16" t="str">
        <f t="shared" si="4"/>
        <v/>
      </c>
      <c r="AC25" s="90"/>
      <c r="AD25" s="92"/>
      <c r="AF25" s="16" t="str">
        <f t="shared" si="5"/>
        <v/>
      </c>
      <c r="AJ25" s="16" t="str">
        <f t="shared" si="6"/>
        <v/>
      </c>
    </row>
    <row r="26" spans="6:36" x14ac:dyDescent="0.3">
      <c r="F26" s="16"/>
      <c r="G26" s="16" t="str">
        <v/>
      </c>
      <c r="H26" s="16" t="str">
        <v/>
      </c>
      <c r="I26" s="16" t="str">
        <v/>
      </c>
      <c r="J26" s="66" t="str">
        <v/>
      </c>
      <c r="K26" s="66" t="str">
        <v/>
      </c>
      <c r="L26" s="66" t="str">
        <v/>
      </c>
      <c r="M26" s="66" t="str">
        <v/>
      </c>
      <c r="N26" s="66" t="str">
        <v/>
      </c>
      <c r="O26" s="65" t="str">
        <v/>
      </c>
      <c r="P26" s="67" t="str">
        <v/>
      </c>
      <c r="S26" s="80">
        <f t="shared" si="0"/>
        <v>0</v>
      </c>
      <c r="T26" s="71" t="str">
        <f t="shared" si="1"/>
        <v/>
      </c>
      <c r="U26" s="71" t="str">
        <f t="shared" si="2"/>
        <v/>
      </c>
      <c r="W26" s="16" t="s">
        <v>134</v>
      </c>
      <c r="X26" s="16">
        <v>394670</v>
      </c>
      <c r="Y26" s="16" t="s">
        <v>121</v>
      </c>
      <c r="Z26" s="16" t="s">
        <v>123</v>
      </c>
      <c r="AB26"/>
      <c r="AC26"/>
      <c r="AD26"/>
    </row>
    <row r="27" spans="6:36" x14ac:dyDescent="0.3">
      <c r="F27" s="16"/>
      <c r="G27" s="16" t="str">
        <v/>
      </c>
      <c r="H27" s="16" t="str">
        <v/>
      </c>
      <c r="I27" s="16" t="str">
        <v/>
      </c>
      <c r="J27" s="66" t="str">
        <v/>
      </c>
      <c r="K27" s="66" t="str">
        <v/>
      </c>
      <c r="L27" s="66" t="str">
        <v/>
      </c>
      <c r="M27" s="66" t="str">
        <v/>
      </c>
      <c r="N27" s="66" t="str">
        <v/>
      </c>
      <c r="O27" s="65" t="str">
        <v/>
      </c>
      <c r="P27" s="67" t="str">
        <v/>
      </c>
      <c r="S27" s="80">
        <f t="shared" si="0"/>
        <v>0</v>
      </c>
      <c r="T27" s="71" t="str">
        <f t="shared" si="1"/>
        <v/>
      </c>
      <c r="U27" s="71" t="str">
        <f t="shared" si="2"/>
        <v/>
      </c>
      <c r="W27" s="16" t="s">
        <v>32</v>
      </c>
      <c r="X27" s="16">
        <v>133690</v>
      </c>
      <c r="Y27" s="16" t="s">
        <v>90</v>
      </c>
      <c r="Z27" s="16" t="s">
        <v>100</v>
      </c>
      <c r="AB27"/>
      <c r="AC27"/>
      <c r="AD27"/>
    </row>
    <row r="28" spans="6:36" x14ac:dyDescent="0.3">
      <c r="F28" s="16"/>
      <c r="G28" s="16" t="str">
        <v/>
      </c>
      <c r="H28" s="16" t="str">
        <v/>
      </c>
      <c r="I28" s="16" t="str">
        <v/>
      </c>
      <c r="J28" s="66" t="str">
        <v/>
      </c>
      <c r="K28" s="66" t="str">
        <v/>
      </c>
      <c r="L28" s="66" t="str">
        <v/>
      </c>
      <c r="M28" s="66" t="str">
        <v/>
      </c>
      <c r="N28" s="66" t="str">
        <v/>
      </c>
      <c r="O28" s="65" t="str">
        <v/>
      </c>
      <c r="P28" s="67" t="str">
        <v/>
      </c>
      <c r="S28" s="80">
        <f t="shared" si="0"/>
        <v>0</v>
      </c>
      <c r="T28" s="71" t="str">
        <f t="shared" si="1"/>
        <v/>
      </c>
      <c r="U28" s="71" t="str">
        <f t="shared" si="2"/>
        <v/>
      </c>
      <c r="W28" s="16" t="s">
        <v>36</v>
      </c>
      <c r="X28" s="16"/>
      <c r="Y28" s="16" t="s">
        <v>90</v>
      </c>
      <c r="Z28" s="16" t="s">
        <v>100</v>
      </c>
      <c r="AB28"/>
      <c r="AC28"/>
      <c r="AD28"/>
    </row>
    <row r="29" spans="6:36" x14ac:dyDescent="0.3">
      <c r="F29" s="16"/>
      <c r="G29" s="16" t="str">
        <v/>
      </c>
      <c r="H29" s="16" t="str">
        <v/>
      </c>
      <c r="I29" s="16" t="str">
        <v/>
      </c>
      <c r="J29" s="66" t="str">
        <v/>
      </c>
      <c r="K29" s="66" t="str">
        <v/>
      </c>
      <c r="L29" s="66" t="str">
        <v/>
      </c>
      <c r="M29" s="66" t="str">
        <v/>
      </c>
      <c r="N29" s="66" t="str">
        <v/>
      </c>
      <c r="O29" s="65" t="str">
        <v/>
      </c>
      <c r="P29" s="67" t="str">
        <v/>
      </c>
      <c r="S29" s="80">
        <f t="shared" si="0"/>
        <v>0</v>
      </c>
      <c r="T29" s="71" t="str">
        <f t="shared" si="1"/>
        <v/>
      </c>
      <c r="U29" s="71" t="str">
        <f t="shared" si="2"/>
        <v/>
      </c>
      <c r="W29" s="16" t="s">
        <v>18</v>
      </c>
      <c r="X29" s="16"/>
      <c r="Y29" s="16" t="s">
        <v>90</v>
      </c>
      <c r="Z29" s="16" t="s">
        <v>100</v>
      </c>
      <c r="AB29"/>
      <c r="AC29"/>
      <c r="AD29"/>
    </row>
    <row r="30" spans="6:36" x14ac:dyDescent="0.3">
      <c r="F30" s="16"/>
      <c r="G30" s="16" t="str">
        <v/>
      </c>
      <c r="H30" s="16" t="str">
        <v/>
      </c>
      <c r="I30" s="16" t="str">
        <v/>
      </c>
      <c r="J30" s="66" t="str">
        <v/>
      </c>
      <c r="K30" s="66" t="str">
        <v/>
      </c>
      <c r="L30" s="66" t="str">
        <v/>
      </c>
      <c r="M30" s="66" t="str">
        <v/>
      </c>
      <c r="N30" s="66" t="str">
        <v/>
      </c>
      <c r="O30" s="65" t="str">
        <v/>
      </c>
      <c r="P30" s="67" t="str">
        <v/>
      </c>
      <c r="S30" s="80">
        <f t="shared" si="0"/>
        <v>0</v>
      </c>
      <c r="T30" s="71" t="str">
        <f t="shared" si="1"/>
        <v/>
      </c>
      <c r="U30" s="71" t="str">
        <f t="shared" si="2"/>
        <v/>
      </c>
      <c r="W30" s="16" t="s">
        <v>13</v>
      </c>
      <c r="X30" s="16"/>
      <c r="Y30" s="16" t="s">
        <v>92</v>
      </c>
      <c r="Z30" s="16" t="s">
        <v>104</v>
      </c>
      <c r="AB30"/>
      <c r="AC30"/>
      <c r="AD30"/>
    </row>
    <row r="31" spans="6:36" x14ac:dyDescent="0.3">
      <c r="F31" s="16"/>
      <c r="G31" s="16" t="str">
        <v/>
      </c>
      <c r="H31" s="16" t="str">
        <v/>
      </c>
      <c r="I31" s="16" t="str">
        <v/>
      </c>
      <c r="J31" s="66" t="str">
        <v/>
      </c>
      <c r="K31" s="66" t="str">
        <v/>
      </c>
      <c r="L31" s="66" t="str">
        <v/>
      </c>
      <c r="M31" s="66" t="str">
        <v/>
      </c>
      <c r="N31" s="66" t="str">
        <v/>
      </c>
      <c r="O31" s="65" t="str">
        <v/>
      </c>
      <c r="P31" s="67" t="str">
        <v/>
      </c>
      <c r="S31" s="80">
        <f t="shared" si="0"/>
        <v>0</v>
      </c>
      <c r="T31" s="71" t="str">
        <f t="shared" si="1"/>
        <v/>
      </c>
      <c r="U31" s="71" t="str">
        <f t="shared" si="2"/>
        <v/>
      </c>
      <c r="W31" s="16" t="s">
        <v>12</v>
      </c>
      <c r="X31" s="16"/>
      <c r="Y31" s="16" t="s">
        <v>90</v>
      </c>
      <c r="Z31" s="16" t="s">
        <v>103</v>
      </c>
      <c r="AB31"/>
      <c r="AC31"/>
      <c r="AD31"/>
    </row>
    <row r="32" spans="6:36" x14ac:dyDescent="0.3">
      <c r="F32" s="16"/>
      <c r="G32" s="16" t="str">
        <v/>
      </c>
      <c r="H32" s="16" t="str">
        <v/>
      </c>
      <c r="I32" s="16" t="str">
        <v/>
      </c>
      <c r="J32" s="66" t="str">
        <v/>
      </c>
      <c r="K32" s="66" t="str">
        <v/>
      </c>
      <c r="L32" s="66" t="str">
        <v/>
      </c>
      <c r="M32" s="66" t="str">
        <v/>
      </c>
      <c r="N32" s="66" t="str">
        <v/>
      </c>
      <c r="O32" s="65" t="str">
        <v/>
      </c>
      <c r="P32" s="67" t="str">
        <v/>
      </c>
      <c r="S32" s="80">
        <f t="shared" si="0"/>
        <v>0</v>
      </c>
      <c r="T32" s="71" t="str">
        <f t="shared" si="1"/>
        <v/>
      </c>
      <c r="U32" s="71" t="str">
        <f t="shared" si="2"/>
        <v/>
      </c>
      <c r="W32" s="16" t="s">
        <v>53</v>
      </c>
      <c r="X32" s="16" t="s">
        <v>54</v>
      </c>
      <c r="Y32" s="16" t="s">
        <v>137</v>
      </c>
      <c r="Z32" s="16" t="s">
        <v>136</v>
      </c>
      <c r="AB32"/>
      <c r="AC32"/>
      <c r="AD32"/>
    </row>
    <row r="33" spans="6:38" x14ac:dyDescent="0.3">
      <c r="F33" s="16"/>
      <c r="G33" s="16" t="str">
        <v/>
      </c>
      <c r="H33" s="16" t="str">
        <v/>
      </c>
      <c r="I33" s="16" t="str">
        <v/>
      </c>
      <c r="J33" s="66" t="str">
        <v/>
      </c>
      <c r="K33" s="66" t="str">
        <v/>
      </c>
      <c r="L33" s="66" t="str">
        <v/>
      </c>
      <c r="M33" s="66" t="str">
        <v/>
      </c>
      <c r="N33" s="66" t="str">
        <v/>
      </c>
      <c r="O33" s="65" t="str">
        <v/>
      </c>
      <c r="P33" s="67" t="str">
        <v/>
      </c>
      <c r="S33" s="80">
        <f t="shared" si="0"/>
        <v>0</v>
      </c>
      <c r="T33" s="71" t="str">
        <f t="shared" si="1"/>
        <v/>
      </c>
      <c r="U33" s="71" t="str">
        <f t="shared" si="2"/>
        <v/>
      </c>
      <c r="W33" s="16" t="s">
        <v>16</v>
      </c>
      <c r="X33" s="16"/>
      <c r="Y33" s="16" t="s">
        <v>93</v>
      </c>
      <c r="Z33" s="16" t="s">
        <v>104</v>
      </c>
      <c r="AB33"/>
      <c r="AC33"/>
      <c r="AD33"/>
    </row>
    <row r="34" spans="6:38" x14ac:dyDescent="0.3">
      <c r="F34" s="16"/>
      <c r="G34" s="16" t="str">
        <v/>
      </c>
      <c r="H34" s="16" t="str">
        <v/>
      </c>
      <c r="I34" s="16" t="str">
        <v/>
      </c>
      <c r="J34" s="66" t="str">
        <v/>
      </c>
      <c r="K34" s="66" t="str">
        <v/>
      </c>
      <c r="L34" s="66" t="str">
        <v/>
      </c>
      <c r="M34" s="66" t="str">
        <v/>
      </c>
      <c r="N34" s="66" t="str">
        <v/>
      </c>
      <c r="O34" s="65" t="str">
        <v/>
      </c>
      <c r="P34" s="67" t="str">
        <v/>
      </c>
      <c r="S34" s="80">
        <f t="shared" si="0"/>
        <v>0</v>
      </c>
      <c r="T34" s="71" t="str">
        <f t="shared" si="1"/>
        <v/>
      </c>
      <c r="U34" s="71" t="str">
        <f t="shared" si="2"/>
        <v/>
      </c>
      <c r="W34" s="16" t="s">
        <v>21</v>
      </c>
      <c r="X34" s="16"/>
      <c r="Y34" s="16" t="s">
        <v>93</v>
      </c>
      <c r="Z34" s="16" t="s">
        <v>104</v>
      </c>
      <c r="AB34"/>
      <c r="AC34"/>
      <c r="AD34"/>
    </row>
    <row r="35" spans="6:38" x14ac:dyDescent="0.3">
      <c r="F35" s="16"/>
      <c r="G35" s="16" t="str">
        <v/>
      </c>
      <c r="H35" s="16" t="str">
        <v/>
      </c>
      <c r="I35" s="16" t="str">
        <v/>
      </c>
      <c r="J35" s="66" t="str">
        <v/>
      </c>
      <c r="K35" s="66" t="str">
        <v/>
      </c>
      <c r="L35" s="66" t="str">
        <v/>
      </c>
      <c r="M35" s="66" t="str">
        <v/>
      </c>
      <c r="N35" s="66" t="str">
        <v/>
      </c>
      <c r="O35" s="65" t="str">
        <v/>
      </c>
      <c r="P35" s="67" t="str">
        <v/>
      </c>
      <c r="S35" s="80">
        <f t="shared" si="0"/>
        <v>0</v>
      </c>
      <c r="T35" s="71" t="str">
        <f t="shared" si="1"/>
        <v/>
      </c>
      <c r="U35" s="71" t="str">
        <f t="shared" si="2"/>
        <v/>
      </c>
      <c r="W35" s="16" t="s">
        <v>17</v>
      </c>
      <c r="X35" s="16"/>
      <c r="Y35" s="16" t="s">
        <v>90</v>
      </c>
      <c r="Z35" s="16" t="s">
        <v>102</v>
      </c>
      <c r="AB35"/>
      <c r="AC35"/>
      <c r="AD35"/>
    </row>
    <row r="36" spans="6:38" x14ac:dyDescent="0.3">
      <c r="F36" s="16"/>
      <c r="G36" s="16" t="str">
        <v/>
      </c>
      <c r="H36" s="16" t="str">
        <v/>
      </c>
      <c r="I36" s="16" t="str">
        <v/>
      </c>
      <c r="J36" s="66" t="str">
        <v/>
      </c>
      <c r="K36" s="66" t="str">
        <v/>
      </c>
      <c r="L36" s="66" t="str">
        <v/>
      </c>
      <c r="M36" s="66" t="str">
        <v/>
      </c>
      <c r="N36" s="66" t="str">
        <v/>
      </c>
      <c r="O36" s="65" t="str">
        <v/>
      </c>
      <c r="P36" s="67" t="str">
        <v/>
      </c>
      <c r="S36" s="80">
        <f t="shared" si="0"/>
        <v>0</v>
      </c>
      <c r="T36" s="71" t="str">
        <f t="shared" si="1"/>
        <v/>
      </c>
      <c r="U36" s="71" t="str">
        <f t="shared" si="2"/>
        <v/>
      </c>
      <c r="W36" s="16" t="s">
        <v>15</v>
      </c>
      <c r="X36" s="16"/>
      <c r="Y36" s="16" t="s">
        <v>90</v>
      </c>
      <c r="Z36" s="16" t="s">
        <v>101</v>
      </c>
      <c r="AB36"/>
      <c r="AC36"/>
      <c r="AD36"/>
    </row>
    <row r="37" spans="6:38" x14ac:dyDescent="0.3">
      <c r="F37" s="16"/>
      <c r="G37" s="16" t="str">
        <v/>
      </c>
      <c r="H37" s="16" t="str">
        <v/>
      </c>
      <c r="I37" s="16" t="str">
        <v/>
      </c>
      <c r="J37" s="66" t="str">
        <v/>
      </c>
      <c r="K37" s="66" t="str">
        <v/>
      </c>
      <c r="L37" s="66" t="str">
        <v/>
      </c>
      <c r="M37" s="66" t="str">
        <v/>
      </c>
      <c r="N37" s="66" t="str">
        <v/>
      </c>
      <c r="O37" s="65" t="str">
        <v/>
      </c>
      <c r="P37" s="67" t="str">
        <v/>
      </c>
      <c r="S37" s="80">
        <f t="shared" si="0"/>
        <v>0</v>
      </c>
      <c r="T37" s="71" t="str">
        <f t="shared" si="1"/>
        <v/>
      </c>
      <c r="U37" s="71" t="str">
        <f t="shared" si="2"/>
        <v/>
      </c>
      <c r="W37" s="16" t="s">
        <v>172</v>
      </c>
      <c r="X37" s="16" t="s">
        <v>173</v>
      </c>
      <c r="Y37" s="16" t="s">
        <v>143</v>
      </c>
      <c r="Z37" s="16" t="s">
        <v>142</v>
      </c>
      <c r="AB37"/>
      <c r="AC37"/>
      <c r="AD37"/>
    </row>
    <row r="38" spans="6:38" x14ac:dyDescent="0.3">
      <c r="F38" s="16"/>
      <c r="G38" s="16" t="str">
        <v/>
      </c>
      <c r="H38" s="16" t="str">
        <v/>
      </c>
      <c r="I38" s="16" t="str">
        <v/>
      </c>
      <c r="J38" s="66" t="str">
        <v/>
      </c>
      <c r="K38" s="66" t="str">
        <v/>
      </c>
      <c r="L38" s="66" t="str">
        <v/>
      </c>
      <c r="M38" s="66" t="str">
        <v/>
      </c>
      <c r="N38" s="66" t="str">
        <v/>
      </c>
      <c r="O38" s="16" t="str">
        <v/>
      </c>
      <c r="P38" s="67" t="str">
        <v/>
      </c>
      <c r="S38" s="80">
        <f t="shared" si="0"/>
        <v>0</v>
      </c>
      <c r="T38" s="71" t="str">
        <f t="shared" si="1"/>
        <v/>
      </c>
      <c r="U38" s="71" t="str">
        <f t="shared" si="2"/>
        <v/>
      </c>
      <c r="W38" s="16" t="s">
        <v>174</v>
      </c>
      <c r="X38" s="16" t="s">
        <v>175</v>
      </c>
      <c r="Y38" s="16" t="s">
        <v>166</v>
      </c>
      <c r="Z38" s="16" t="s">
        <v>170</v>
      </c>
      <c r="AB38"/>
      <c r="AC38"/>
      <c r="AD38"/>
    </row>
    <row r="39" spans="6:38" ht="17.25" thickBot="1" x14ac:dyDescent="0.35">
      <c r="F39" s="81"/>
      <c r="G39" s="82"/>
      <c r="H39" s="82" t="s">
        <v>109</v>
      </c>
      <c r="I39" s="82"/>
      <c r="J39" s="82"/>
      <c r="K39" s="82"/>
      <c r="L39" s="82"/>
      <c r="M39" s="83">
        <f>SUM(M14:M38)</f>
        <v>0</v>
      </c>
      <c r="N39" s="83">
        <f>SUM(N14:N38)</f>
        <v>0</v>
      </c>
      <c r="O39" s="82"/>
      <c r="P39" s="84"/>
      <c r="S39" s="85">
        <f>SUM(S14:S38)</f>
        <v>0</v>
      </c>
      <c r="T39" s="84"/>
      <c r="U39" s="86"/>
      <c r="W39" s="16" t="s">
        <v>176</v>
      </c>
      <c r="X39" s="16"/>
      <c r="Y39" s="16" t="s">
        <v>166</v>
      </c>
      <c r="Z39" s="16" t="s">
        <v>177</v>
      </c>
      <c r="AB39"/>
      <c r="AC39"/>
      <c r="AD39"/>
    </row>
    <row r="40" spans="6:38" x14ac:dyDescent="0.3">
      <c r="W40" s="16" t="s">
        <v>178</v>
      </c>
      <c r="X40" s="16" t="s">
        <v>179</v>
      </c>
      <c r="Y40" s="16" t="s">
        <v>144</v>
      </c>
      <c r="Z40" s="16" t="s">
        <v>142</v>
      </c>
      <c r="AB40"/>
      <c r="AC40"/>
      <c r="AD40"/>
    </row>
    <row r="41" spans="6:38" x14ac:dyDescent="0.3">
      <c r="W41" s="16" t="s">
        <v>180</v>
      </c>
      <c r="X41" s="16" t="s">
        <v>181</v>
      </c>
      <c r="Y41" s="16" t="s">
        <v>143</v>
      </c>
      <c r="Z41" s="16" t="s">
        <v>142</v>
      </c>
      <c r="AB41"/>
      <c r="AC41"/>
      <c r="AD41"/>
    </row>
    <row r="42" spans="6:38" ht="20.25" x14ac:dyDescent="0.3">
      <c r="F42" s="62" t="str">
        <f>B4</f>
        <v>IRP</v>
      </c>
      <c r="G42" s="60"/>
      <c r="H42" s="60"/>
      <c r="W42" s="16" t="s">
        <v>182</v>
      </c>
      <c r="X42" s="16"/>
      <c r="Y42" s="16" t="s">
        <v>143</v>
      </c>
      <c r="Z42" s="16" t="s">
        <v>142</v>
      </c>
    </row>
    <row r="43" spans="6:38" x14ac:dyDescent="0.3">
      <c r="F43" s="70" t="str">
        <f>DB_IRP_History!C5</f>
        <v>계좌번호</v>
      </c>
      <c r="G43" s="70" t="s">
        <v>70</v>
      </c>
      <c r="H43" s="70" t="s">
        <v>73</v>
      </c>
      <c r="I43" s="21" t="s">
        <v>60</v>
      </c>
      <c r="J43" s="70" t="s">
        <v>58</v>
      </c>
      <c r="K43" s="70" t="s">
        <v>44</v>
      </c>
      <c r="L43" s="70" t="s">
        <v>45</v>
      </c>
      <c r="M43" s="71" t="s">
        <v>59</v>
      </c>
      <c r="W43" s="16" t="s">
        <v>183</v>
      </c>
      <c r="X43" s="16">
        <v>117460</v>
      </c>
      <c r="Y43" s="16" t="s">
        <v>90</v>
      </c>
      <c r="Z43" s="16" t="s">
        <v>188</v>
      </c>
    </row>
    <row r="44" spans="6:38" x14ac:dyDescent="0.3">
      <c r="F44" s="16" t="str">
        <f>IFERROR(INDEX(DB_IRP_History!C:C,MATCH($D$4,DB_IRP_History!$B:$B,0)),"")</f>
        <v>204-03-53***8</v>
      </c>
      <c r="G44" s="66">
        <f>IFERROR(INDEX(DB_IRP_History!D:D,MATCH($D$4,DB_IRP_History!$B:$B,0)),"")</f>
        <v>80000000</v>
      </c>
      <c r="H44" s="66">
        <f>IFERROR(INDEX(DB_IRP_History!E:E,MATCH($D$4,DB_IRP_History!$B:$B,0)),"")</f>
        <v>300000</v>
      </c>
      <c r="I44" s="66" t="str">
        <f>IFERROR(INDEX(DB_IRP_History!F:F,MATCH($D$4,DB_IRP_History!$B:$B,0)),"")</f>
        <v>S0124210712831</v>
      </c>
      <c r="J44" s="66" t="str">
        <f>IFERROR(INDEX(DB_IRP_History!G:G,MATCH($D$4,DB_IRP_History!$B:$B,0)),"")</f>
        <v>김명화_개인IRP</v>
      </c>
      <c r="K44" s="66">
        <f>IFERROR(INDEX(DB_IRP_History!H:H,MATCH($D$4,DB_IRP_History!$B:$B,0)),"")</f>
        <v>122628271</v>
      </c>
      <c r="L44" s="66">
        <f>IFERROR(INDEX(DB_IRP_History!I:I,MATCH($D$4,DB_IRP_History!$B:$B,0)),"")</f>
        <v>26500109</v>
      </c>
      <c r="M44" s="65">
        <f>IFERROR(INDEX(DB_IRP_History!J:J,MATCH($D$4,DB_IRP_History!$B:$B,0)),"")</f>
        <v>0.46779999999999999</v>
      </c>
      <c r="W44" s="16" t="s">
        <v>184</v>
      </c>
      <c r="X44" s="16">
        <v>192090</v>
      </c>
      <c r="Y44" s="16" t="s">
        <v>90</v>
      </c>
      <c r="Z44" s="16" t="s">
        <v>189</v>
      </c>
    </row>
    <row r="45" spans="6:38" x14ac:dyDescent="0.3">
      <c r="W45" s="16" t="s">
        <v>185</v>
      </c>
      <c r="X45" s="16"/>
      <c r="Y45" s="16" t="s">
        <v>90</v>
      </c>
      <c r="Z45" s="16" t="s">
        <v>190</v>
      </c>
    </row>
    <row r="46" spans="6:38" x14ac:dyDescent="0.3">
      <c r="F46" s="57" t="s">
        <v>87</v>
      </c>
      <c r="G46" s="57" t="s">
        <v>46</v>
      </c>
      <c r="H46" s="57" t="s">
        <v>47</v>
      </c>
      <c r="I46" s="58" t="s">
        <v>61</v>
      </c>
      <c r="J46" s="58" t="s">
        <v>62</v>
      </c>
      <c r="K46" s="58" t="s">
        <v>44</v>
      </c>
      <c r="L46" s="58" t="s">
        <v>43</v>
      </c>
      <c r="M46" s="58" t="s">
        <v>64</v>
      </c>
      <c r="N46" s="58" t="s">
        <v>66</v>
      </c>
      <c r="O46" s="58" t="s">
        <v>67</v>
      </c>
      <c r="P46" s="58" t="s">
        <v>162</v>
      </c>
      <c r="Q46" s="58" t="s">
        <v>163</v>
      </c>
      <c r="R46" s="59" t="s">
        <v>52</v>
      </c>
      <c r="S46" s="59" t="s">
        <v>108</v>
      </c>
      <c r="T46" s="59" t="s">
        <v>88</v>
      </c>
      <c r="U46" s="72" t="s">
        <v>99</v>
      </c>
      <c r="W46" s="16" t="s">
        <v>186</v>
      </c>
      <c r="X46" s="16"/>
      <c r="Y46" s="16" t="s">
        <v>191</v>
      </c>
      <c r="Z46" s="16" t="s">
        <v>189</v>
      </c>
      <c r="AB46" s="57" t="s">
        <v>86</v>
      </c>
      <c r="AC46" s="64" t="s">
        <v>110</v>
      </c>
      <c r="AD46" s="59" t="s">
        <v>111</v>
      </c>
      <c r="AF46" s="57" t="s">
        <v>86</v>
      </c>
      <c r="AH46" t="s">
        <v>127</v>
      </c>
      <c r="AJ46" s="57" t="s">
        <v>86</v>
      </c>
      <c r="AL46" t="s">
        <v>127</v>
      </c>
    </row>
    <row r="47" spans="6:38" x14ac:dyDescent="0.3">
      <c r="F47" s="16">
        <f>IF(G47&lt;&gt;0,1,"")</f>
        <v>1</v>
      </c>
      <c r="G47" s="16" t="str" cm="1">
        <f t="array" ref="G47:R56">IFERROR(
    _xlfn.WRAPROWS(
        _xlfn.TOROW(
            _xlfn._xlws.FILTER(
                DB_IRP_History!K6:AAD300,
                DB_IRP_History!B6:B300 = D4
            ),
            1
        ),
        12
    ),
    ""
)</f>
        <v>수익증권</v>
      </c>
      <c r="H47" s="16" t="str">
        <v>미래에셋인도중소형포커스증권자투자신탁1호(주식)C-P2e</v>
      </c>
      <c r="I47" s="66">
        <v>1743983</v>
      </c>
      <c r="J47" s="66">
        <v>3092.24</v>
      </c>
      <c r="K47" s="66">
        <v>5392814</v>
      </c>
      <c r="L47" s="66">
        <v>5570000</v>
      </c>
      <c r="M47" s="66">
        <v>5570000</v>
      </c>
      <c r="N47" s="66">
        <v>0</v>
      </c>
      <c r="O47" s="66">
        <v>0</v>
      </c>
      <c r="P47" s="66" t="str">
        <v>-</v>
      </c>
      <c r="Q47" s="66" t="str">
        <v>-</v>
      </c>
      <c r="R47" s="65">
        <v>-3.1809999999999998E-2</v>
      </c>
      <c r="S47" s="80">
        <f>IFERROR(IF(K47&gt;0, K47/$K$72, 0),0)</f>
        <v>4.3976922744022054E-2</v>
      </c>
      <c r="T47" s="71" t="str">
        <f>IFERROR(IF(INDEX($Y$14:$Y$200, MATCH(H47,$W$14:$W$200,0))&lt;&gt;"",INDEX($Y$14:$Y$200, MATCH(H47,$W$14:$W$200,0)),""),"")</f>
        <v>절대성장형</v>
      </c>
      <c r="U47" s="71" t="str">
        <f>IFERROR(IF(INDEX($Z$14:$Z$200, MATCH(H47,$W$14:$W$200,0))&lt;&gt;"",INDEX($Z$14:$Z$200, MATCH(H47,$W$14:$W$200,0)),""),"")</f>
        <v>인도</v>
      </c>
      <c r="W47" s="16" t="s">
        <v>187</v>
      </c>
      <c r="X47" s="16"/>
      <c r="Y47" s="16" t="s">
        <v>90</v>
      </c>
      <c r="Z47" s="16" t="s">
        <v>192</v>
      </c>
      <c r="AB47" s="16">
        <f>IF(AC47&gt;0,1,"")</f>
        <v>1</v>
      </c>
      <c r="AC47" s="90" cm="1">
        <f t="array" ref="AC47:AD49">IFERROR(
    _xlfn.TAKE(
        _xlfn._xlws.FILTER(
            _xlfn.HSTACK(DB_IRP_History!B6:B200, DB_IRP_History!J6:J200),
            (DB_IRP_History!B6:B200 &lt;&gt; "") * (DB_IRP_History!J6:J200 &lt;&gt; "")
        ),
        -12
    ),
    ""
)</f>
        <v>45992</v>
      </c>
      <c r="AD47" s="92">
        <v>0.37240000000000001</v>
      </c>
      <c r="AF47" s="16">
        <f>IF(AG47&gt;0,1,"")</f>
        <v>1</v>
      </c>
      <c r="AG47" s="228" t="s">
        <v>168</v>
      </c>
      <c r="AH47" s="5">
        <v>4.3976922744022054E-2</v>
      </c>
      <c r="AJ47" s="16">
        <f>IF(AK47&gt;0,1,"")</f>
        <v>1</v>
      </c>
      <c r="AK47" s="228" t="s">
        <v>143</v>
      </c>
      <c r="AL47" s="5">
        <v>0.22442268634775092</v>
      </c>
    </row>
    <row r="48" spans="6:38" x14ac:dyDescent="0.3">
      <c r="F48" s="16">
        <f>IF(G48&lt;&gt;"",F47+1,"")</f>
        <v>2</v>
      </c>
      <c r="G48" s="16" t="str">
        <v>수익증권</v>
      </c>
      <c r="H48" s="16" t="str">
        <v>마이다스책임투자증권투자신탁(주식)C-Pe2</v>
      </c>
      <c r="I48" s="66">
        <v>4017661</v>
      </c>
      <c r="J48" s="66">
        <v>3290.15</v>
      </c>
      <c r="K48" s="66">
        <v>13218710</v>
      </c>
      <c r="L48" s="66">
        <v>5647761</v>
      </c>
      <c r="M48" s="66">
        <v>13051372</v>
      </c>
      <c r="N48" s="66">
        <v>14041194</v>
      </c>
      <c r="O48" s="66">
        <v>0</v>
      </c>
      <c r="P48" s="66" t="str">
        <v>-</v>
      </c>
      <c r="Q48" s="66" t="str">
        <v>-</v>
      </c>
      <c r="R48" s="65">
        <v>1.3405199999999999</v>
      </c>
      <c r="S48" s="80">
        <f t="shared" ref="S48:S71" si="7">IFERROR(IF(K48&gt;0, K48/$K$72, 0),0)</f>
        <v>0.10779496352843465</v>
      </c>
      <c r="T48" s="71" t="str">
        <f t="shared" ref="T48:T61" si="8">IFERROR(IF(INDEX($Y$14:$Y$200, MATCH(H48,$W$14:$W$200,0))&lt;&gt;"",INDEX($Y$14:$Y$200, MATCH(H48,$W$14:$W$200,0)),""),"")</f>
        <v>성장형</v>
      </c>
      <c r="U48" s="71" t="str">
        <f t="shared" ref="U48:U61" si="9">IFERROR(IF(INDEX($Z$14:$Z$200, MATCH(H48,$W$14:$W$200,0))&lt;&gt;"",INDEX($Z$14:$Z$200, MATCH(H48,$W$14:$W$200,0)),""),"")</f>
        <v>국내</v>
      </c>
      <c r="W48" s="16" t="s">
        <v>193</v>
      </c>
      <c r="X48" s="16">
        <v>88260</v>
      </c>
      <c r="Y48" s="16" t="s">
        <v>144</v>
      </c>
      <c r="Z48" s="16" t="s">
        <v>142</v>
      </c>
      <c r="AB48" s="16">
        <f>IF(AC48&gt;0,AB47+1,"")</f>
        <v>2</v>
      </c>
      <c r="AC48" s="90">
        <v>46023</v>
      </c>
      <c r="AD48" s="92">
        <v>0.38919999999999999</v>
      </c>
      <c r="AF48" s="16">
        <f>IF(AG48&gt;0,AF47+1,"")</f>
        <v>2</v>
      </c>
      <c r="AG48" s="228" t="s">
        <v>169</v>
      </c>
      <c r="AH48" s="5">
        <v>8.9474261608075673E-2</v>
      </c>
      <c r="AJ48" s="16">
        <f>IF(AK48&gt;0,AJ47+1,"")</f>
        <v>2</v>
      </c>
      <c r="AK48" s="228" t="s">
        <v>166</v>
      </c>
      <c r="AL48" s="5">
        <v>0.57999386617788973</v>
      </c>
    </row>
    <row r="49" spans="6:38" x14ac:dyDescent="0.3">
      <c r="F49" s="16">
        <f t="shared" ref="F49:F61" si="10">IF(G49&lt;&gt;"",F48+1,"")</f>
        <v>3</v>
      </c>
      <c r="G49" s="16" t="str">
        <v>수익증권</v>
      </c>
      <c r="H49" s="16" t="str">
        <v>AB미국그로스증권투자신탁(주식-재간접형)Ce-P2</v>
      </c>
      <c r="I49" s="66">
        <v>6310605</v>
      </c>
      <c r="J49" s="66">
        <v>2844.5</v>
      </c>
      <c r="K49" s="66">
        <v>17950518</v>
      </c>
      <c r="L49" s="66">
        <v>15337523</v>
      </c>
      <c r="M49" s="66">
        <v>36715755</v>
      </c>
      <c r="N49" s="66">
        <v>24659463</v>
      </c>
      <c r="O49" s="66">
        <v>0</v>
      </c>
      <c r="P49" s="66" t="str">
        <v>-</v>
      </c>
      <c r="Q49" s="66" t="str">
        <v>-</v>
      </c>
      <c r="R49" s="65">
        <v>0.17036999999999999</v>
      </c>
      <c r="S49" s="80">
        <f t="shared" si="7"/>
        <v>0.14638156318782314</v>
      </c>
      <c r="T49" s="71" t="str">
        <f t="shared" si="8"/>
        <v>절대성장형</v>
      </c>
      <c r="U49" s="71" t="str">
        <f t="shared" si="9"/>
        <v>미국</v>
      </c>
      <c r="W49" s="16" t="s">
        <v>194</v>
      </c>
      <c r="X49" s="16">
        <v>334890</v>
      </c>
      <c r="Y49" s="16" t="s">
        <v>144</v>
      </c>
      <c r="Z49" s="16" t="s">
        <v>142</v>
      </c>
      <c r="AB49" s="16">
        <f t="shared" ref="AB49:AB58" si="11">IF(AC49&gt;0,AB48+1,"")</f>
        <v>3</v>
      </c>
      <c r="AC49" s="90">
        <v>46064</v>
      </c>
      <c r="AD49" s="92">
        <v>0.46779999999999999</v>
      </c>
      <c r="AF49" s="16">
        <f t="shared" ref="AF49:AF58" si="12">IF(AG49&gt;0,AF48+1,"")</f>
        <v>3</v>
      </c>
      <c r="AG49" s="228" t="s">
        <v>170</v>
      </c>
      <c r="AH49" s="5">
        <v>0.28471450926679054</v>
      </c>
      <c r="AJ49" s="16">
        <f t="shared" ref="AJ49:AJ58" si="13">IF(AK49&gt;0,AJ48+1,"")</f>
        <v>3</v>
      </c>
      <c r="AK49" s="228" t="s">
        <v>167</v>
      </c>
      <c r="AL49" s="5">
        <v>8.7788483945924672E-2</v>
      </c>
    </row>
    <row r="50" spans="6:38" x14ac:dyDescent="0.3">
      <c r="F50" s="16">
        <f t="shared" si="10"/>
        <v>4</v>
      </c>
      <c r="G50" s="16" t="str">
        <v>수익증권</v>
      </c>
      <c r="H50" s="16" t="str">
        <v>한국투자연금베트남증권자투자신탁(주식혼합)C-Re</v>
      </c>
      <c r="I50" s="66">
        <v>10546825</v>
      </c>
      <c r="J50" s="66">
        <v>1040.32</v>
      </c>
      <c r="K50" s="66">
        <v>10972074</v>
      </c>
      <c r="L50" s="66">
        <v>10250000</v>
      </c>
      <c r="M50" s="66">
        <v>10250000</v>
      </c>
      <c r="N50" s="66">
        <v>0</v>
      </c>
      <c r="O50" s="66">
        <v>0</v>
      </c>
      <c r="P50" s="66" t="str">
        <v>-</v>
      </c>
      <c r="Q50" s="66" t="str">
        <v>-</v>
      </c>
      <c r="R50" s="65">
        <v>7.0449999999999999E-2</v>
      </c>
      <c r="S50" s="80">
        <f t="shared" si="7"/>
        <v>8.9474261608075673E-2</v>
      </c>
      <c r="T50" s="71" t="str">
        <f t="shared" si="8"/>
        <v>절대성장형</v>
      </c>
      <c r="U50" s="71" t="str">
        <f t="shared" si="9"/>
        <v>베트남</v>
      </c>
      <c r="W50" s="16" t="s">
        <v>195</v>
      </c>
      <c r="X50" s="16"/>
      <c r="Y50" s="16" t="s">
        <v>166</v>
      </c>
      <c r="Z50" s="16" t="s">
        <v>142</v>
      </c>
      <c r="AB50" s="16" t="str">
        <f t="shared" si="11"/>
        <v/>
      </c>
      <c r="AC50" s="90"/>
      <c r="AD50" s="92"/>
      <c r="AF50" s="16">
        <f t="shared" si="12"/>
        <v>4</v>
      </c>
      <c r="AG50" s="228" t="s">
        <v>171</v>
      </c>
      <c r="AH50" s="5">
        <v>0.19322342072326862</v>
      </c>
      <c r="AJ50" s="16">
        <f t="shared" si="13"/>
        <v>4</v>
      </c>
      <c r="AK50" s="228" t="s">
        <v>144</v>
      </c>
      <c r="AL50" s="5">
        <v>0.10779496352843465</v>
      </c>
    </row>
    <row r="51" spans="6:38" x14ac:dyDescent="0.3">
      <c r="F51" s="16">
        <f t="shared" si="10"/>
        <v>5</v>
      </c>
      <c r="G51" s="16" t="str">
        <v>수익증권</v>
      </c>
      <c r="H51" s="16" t="str">
        <v>우리하이플러스채권증권자투자신탁1호(채권)C-Pe</v>
      </c>
      <c r="I51" s="66">
        <v>25866799</v>
      </c>
      <c r="J51" s="66">
        <v>1044.0899999999999</v>
      </c>
      <c r="K51" s="66">
        <v>27007269</v>
      </c>
      <c r="L51" s="66">
        <v>25060000</v>
      </c>
      <c r="M51" s="66">
        <v>25585000</v>
      </c>
      <c r="N51" s="66">
        <v>525814</v>
      </c>
      <c r="O51" s="66">
        <v>0</v>
      </c>
      <c r="P51" s="66" t="str">
        <v>-</v>
      </c>
      <c r="Q51" s="66" t="str">
        <v>-</v>
      </c>
      <c r="R51" s="65">
        <v>7.7699999999999991E-2</v>
      </c>
      <c r="S51" s="80">
        <f t="shared" si="7"/>
        <v>0.22023688974624783</v>
      </c>
      <c r="T51" s="71" t="str">
        <f t="shared" si="8"/>
        <v>절대안정형</v>
      </c>
      <c r="U51" s="71" t="str">
        <f t="shared" si="9"/>
        <v>국내</v>
      </c>
      <c r="W51" s="16" t="s">
        <v>196</v>
      </c>
      <c r="X51" s="16"/>
      <c r="Y51" s="16" t="s">
        <v>166</v>
      </c>
      <c r="Z51" s="16" t="s">
        <v>169</v>
      </c>
      <c r="AB51" s="16" t="str">
        <f t="shared" si="11"/>
        <v/>
      </c>
      <c r="AC51" s="90"/>
      <c r="AD51" s="92"/>
      <c r="AF51" s="16">
        <f t="shared" si="12"/>
        <v>5</v>
      </c>
      <c r="AG51" s="228" t="s">
        <v>142</v>
      </c>
      <c r="AH51" s="5">
        <v>0.38861088565784313</v>
      </c>
      <c r="AJ51" s="16" t="str">
        <f t="shared" si="13"/>
        <v/>
      </c>
    </row>
    <row r="52" spans="6:38" x14ac:dyDescent="0.3">
      <c r="F52" s="16">
        <f t="shared" si="10"/>
        <v>6</v>
      </c>
      <c r="G52" s="16" t="str">
        <v>수익증권</v>
      </c>
      <c r="H52" s="16" t="str">
        <v>한국투자글로벌AI&amp;반도체TOP10증권자투자신탁UH(주식)C-Re</v>
      </c>
      <c r="I52" s="66">
        <v>7932805</v>
      </c>
      <c r="J52" s="66">
        <v>2986.92</v>
      </c>
      <c r="K52" s="66">
        <v>23694654</v>
      </c>
      <c r="L52" s="66">
        <v>22780000</v>
      </c>
      <c r="M52" s="66">
        <v>22780000</v>
      </c>
      <c r="N52" s="66">
        <v>0</v>
      </c>
      <c r="O52" s="66">
        <v>0</v>
      </c>
      <c r="P52" s="66" t="str">
        <v>-</v>
      </c>
      <c r="Q52" s="66" t="str">
        <v>-</v>
      </c>
      <c r="R52" s="65">
        <v>4.0149999999999998E-2</v>
      </c>
      <c r="S52" s="80">
        <f t="shared" si="7"/>
        <v>0.19322342072326862</v>
      </c>
      <c r="T52" s="71" t="str">
        <f t="shared" si="8"/>
        <v>절대성장형</v>
      </c>
      <c r="U52" s="71" t="str">
        <f t="shared" si="9"/>
        <v>글로벌</v>
      </c>
      <c r="W52" s="16" t="s">
        <v>197</v>
      </c>
      <c r="X52" s="16" t="s">
        <v>198</v>
      </c>
      <c r="Y52" s="16" t="s">
        <v>166</v>
      </c>
      <c r="Z52" s="16" t="s">
        <v>177</v>
      </c>
      <c r="AB52" s="16" t="str">
        <f t="shared" si="11"/>
        <v/>
      </c>
      <c r="AC52" s="90"/>
      <c r="AD52" s="92"/>
      <c r="AF52" s="16" t="str">
        <f t="shared" si="12"/>
        <v/>
      </c>
      <c r="AJ52" s="16" t="str">
        <f t="shared" si="13"/>
        <v/>
      </c>
    </row>
    <row r="53" spans="6:38" x14ac:dyDescent="0.3">
      <c r="F53" s="16">
        <f t="shared" si="10"/>
        <v>7</v>
      </c>
      <c r="G53" s="16" t="str">
        <v>ETF</v>
      </c>
      <c r="H53" s="16" t="str">
        <v>WON 미국우주항공방산</v>
      </c>
      <c r="I53" s="66">
        <v>228</v>
      </c>
      <c r="J53" s="66">
        <v>27185</v>
      </c>
      <c r="K53" s="66">
        <v>6198180</v>
      </c>
      <c r="L53" s="66">
        <v>6144600</v>
      </c>
      <c r="M53" s="66">
        <v>0</v>
      </c>
      <c r="N53" s="66">
        <v>0</v>
      </c>
      <c r="O53" s="66">
        <v>0</v>
      </c>
      <c r="P53" s="66" t="str">
        <v>-</v>
      </c>
      <c r="Q53" s="66" t="str">
        <v>-</v>
      </c>
      <c r="R53" s="65">
        <v>8.7200000000000003E-3</v>
      </c>
      <c r="S53" s="80">
        <f t="shared" si="7"/>
        <v>5.0544462133042714E-2</v>
      </c>
      <c r="T53" s="71" t="str">
        <f t="shared" si="8"/>
        <v>절대성장형</v>
      </c>
      <c r="U53" s="71" t="str">
        <f t="shared" si="9"/>
        <v>미국</v>
      </c>
      <c r="W53" s="16" t="s">
        <v>199</v>
      </c>
      <c r="X53" s="16" t="s">
        <v>200</v>
      </c>
      <c r="Y53" s="16" t="s">
        <v>166</v>
      </c>
      <c r="Z53" s="16" t="s">
        <v>168</v>
      </c>
      <c r="AB53" s="16" t="str">
        <f t="shared" si="11"/>
        <v/>
      </c>
      <c r="AC53" s="90"/>
      <c r="AD53" s="92"/>
      <c r="AF53" s="16" t="str">
        <f t="shared" si="12"/>
        <v/>
      </c>
      <c r="AJ53" s="16" t="str">
        <f t="shared" si="13"/>
        <v/>
      </c>
    </row>
    <row r="54" spans="6:38" x14ac:dyDescent="0.3">
      <c r="F54" s="16">
        <f t="shared" si="10"/>
        <v>8</v>
      </c>
      <c r="G54" s="16" t="str">
        <v>ETF</v>
      </c>
      <c r="H54" s="16" t="str">
        <v>KODEX 로봇액티브</v>
      </c>
      <c r="I54" s="66">
        <v>201</v>
      </c>
      <c r="J54" s="66">
        <v>34405</v>
      </c>
      <c r="K54" s="66">
        <v>6915405</v>
      </c>
      <c r="L54" s="66">
        <v>7363635</v>
      </c>
      <c r="M54" s="66">
        <v>0</v>
      </c>
      <c r="N54" s="66">
        <v>0</v>
      </c>
      <c r="O54" s="66">
        <v>0</v>
      </c>
      <c r="P54" s="66" t="str">
        <v>-</v>
      </c>
      <c r="Q54" s="66" t="str">
        <v>-</v>
      </c>
      <c r="R54" s="65">
        <v>-6.087E-2</v>
      </c>
      <c r="S54" s="80">
        <f t="shared" si="7"/>
        <v>5.6393235781657558E-2</v>
      </c>
      <c r="T54" s="71" t="str">
        <f t="shared" si="8"/>
        <v>절대성장형</v>
      </c>
      <c r="U54" s="71" t="str">
        <f t="shared" si="9"/>
        <v>국내</v>
      </c>
      <c r="W54" s="16" t="s">
        <v>201</v>
      </c>
      <c r="X54" s="16" t="s">
        <v>202</v>
      </c>
      <c r="Y54" s="16" t="s">
        <v>166</v>
      </c>
      <c r="Z54" s="16" t="s">
        <v>169</v>
      </c>
      <c r="AB54" s="16" t="str">
        <f t="shared" si="11"/>
        <v/>
      </c>
      <c r="AC54" s="90"/>
      <c r="AD54" s="92"/>
      <c r="AF54" s="16" t="str">
        <f t="shared" si="12"/>
        <v/>
      </c>
      <c r="AJ54" s="16" t="str">
        <f t="shared" si="13"/>
        <v/>
      </c>
    </row>
    <row r="55" spans="6:38" x14ac:dyDescent="0.3">
      <c r="F55" s="16">
        <f t="shared" si="10"/>
        <v>9</v>
      </c>
      <c r="G55" s="16" t="str">
        <v>ETF</v>
      </c>
      <c r="H55" s="16" t="str">
        <v>ACE 미국30년국채액티브(H)</v>
      </c>
      <c r="I55" s="66">
        <v>1410</v>
      </c>
      <c r="J55" s="66">
        <v>7635</v>
      </c>
      <c r="K55" s="66">
        <v>10765350</v>
      </c>
      <c r="L55" s="66">
        <v>11611350</v>
      </c>
      <c r="M55" s="66">
        <v>0</v>
      </c>
      <c r="N55" s="66">
        <v>0</v>
      </c>
      <c r="O55" s="66">
        <v>0</v>
      </c>
      <c r="P55" s="66" t="str">
        <v>-</v>
      </c>
      <c r="Q55" s="66" t="str">
        <v>-</v>
      </c>
      <c r="R55" s="65">
        <v>-7.2859999999999994E-2</v>
      </c>
      <c r="S55" s="80">
        <f t="shared" si="7"/>
        <v>8.7788483945924672E-2</v>
      </c>
      <c r="T55" s="71" t="str">
        <f t="shared" si="8"/>
        <v>안정형</v>
      </c>
      <c r="U55" s="71" t="str">
        <f t="shared" si="9"/>
        <v>미국</v>
      </c>
      <c r="W55" s="16" t="s">
        <v>203</v>
      </c>
      <c r="X55" s="16" t="s">
        <v>204</v>
      </c>
      <c r="Y55" s="16" t="s">
        <v>144</v>
      </c>
      <c r="Z55" s="16" t="s">
        <v>142</v>
      </c>
      <c r="AB55" s="16" t="str">
        <f t="shared" si="11"/>
        <v/>
      </c>
      <c r="AC55" s="90"/>
      <c r="AD55" s="92"/>
      <c r="AF55" s="16" t="str">
        <f t="shared" si="12"/>
        <v/>
      </c>
      <c r="AJ55" s="16" t="str">
        <f t="shared" si="13"/>
        <v/>
      </c>
    </row>
    <row r="56" spans="6:38" x14ac:dyDescent="0.3">
      <c r="F56" s="16">
        <f t="shared" si="10"/>
        <v>10</v>
      </c>
      <c r="G56" s="16" t="str">
        <v>현금성자산(원화)</v>
      </c>
      <c r="H56" s="16" t="str">
        <v>자동운용상품(고유계정대)</v>
      </c>
      <c r="I56" s="66">
        <v>0</v>
      </c>
      <c r="J56" s="66">
        <v>0</v>
      </c>
      <c r="K56" s="66">
        <v>513297</v>
      </c>
      <c r="L56" s="66">
        <v>513297</v>
      </c>
      <c r="M56" s="66">
        <v>0</v>
      </c>
      <c r="N56" s="66">
        <v>0</v>
      </c>
      <c r="O56" s="66">
        <v>0</v>
      </c>
      <c r="P56" s="66" t="str">
        <v>-</v>
      </c>
      <c r="Q56" s="66" t="str">
        <v>-</v>
      </c>
      <c r="R56" s="65">
        <v>0</v>
      </c>
      <c r="S56" s="80">
        <f t="shared" si="7"/>
        <v>4.1857966015030907E-3</v>
      </c>
      <c r="T56" s="71" t="str">
        <f t="shared" si="8"/>
        <v>절대안정형</v>
      </c>
      <c r="U56" s="71" t="str">
        <f t="shared" si="9"/>
        <v>국내</v>
      </c>
      <c r="W56" s="16" t="s">
        <v>205</v>
      </c>
      <c r="X56" s="16">
        <v>69500</v>
      </c>
      <c r="Y56" s="16" t="s">
        <v>144</v>
      </c>
      <c r="Z56" s="16" t="s">
        <v>142</v>
      </c>
      <c r="AB56" s="16" t="str">
        <f t="shared" si="11"/>
        <v/>
      </c>
      <c r="AC56" s="90"/>
      <c r="AD56" s="92"/>
      <c r="AF56" s="16" t="str">
        <f t="shared" si="12"/>
        <v/>
      </c>
      <c r="AJ56" s="16" t="str">
        <f t="shared" si="13"/>
        <v/>
      </c>
    </row>
    <row r="57" spans="6:38" x14ac:dyDescent="0.3">
      <c r="F57" s="16" t="str">
        <f t="shared" si="10"/>
        <v/>
      </c>
      <c r="G57" s="16"/>
      <c r="H57" s="16"/>
      <c r="I57" s="66"/>
      <c r="J57" s="66"/>
      <c r="K57" s="66"/>
      <c r="L57" s="66"/>
      <c r="M57" s="66"/>
      <c r="N57" s="66"/>
      <c r="O57" s="66"/>
      <c r="P57" s="66"/>
      <c r="Q57" s="66"/>
      <c r="R57" s="65"/>
      <c r="S57" s="80">
        <f t="shared" si="7"/>
        <v>0</v>
      </c>
      <c r="T57" s="71" t="str">
        <f t="shared" si="8"/>
        <v/>
      </c>
      <c r="U57" s="71" t="str">
        <f t="shared" si="9"/>
        <v/>
      </c>
      <c r="W57" s="16" t="s">
        <v>206</v>
      </c>
      <c r="X57" s="16">
        <v>314250</v>
      </c>
      <c r="Y57" s="16" t="s">
        <v>166</v>
      </c>
      <c r="Z57" s="16" t="s">
        <v>170</v>
      </c>
      <c r="AB57" s="16" t="str">
        <f t="shared" si="11"/>
        <v/>
      </c>
      <c r="AC57" s="90"/>
      <c r="AD57" s="92"/>
      <c r="AF57" s="16" t="str">
        <f t="shared" si="12"/>
        <v/>
      </c>
      <c r="AJ57" s="16" t="str">
        <f t="shared" si="13"/>
        <v/>
      </c>
    </row>
    <row r="58" spans="6:38" x14ac:dyDescent="0.3">
      <c r="F58" s="16" t="str">
        <f t="shared" si="10"/>
        <v/>
      </c>
      <c r="G58" s="16"/>
      <c r="H58" s="16"/>
      <c r="I58" s="66"/>
      <c r="J58" s="66"/>
      <c r="K58" s="66"/>
      <c r="L58" s="66"/>
      <c r="M58" s="66"/>
      <c r="N58" s="66"/>
      <c r="O58" s="66"/>
      <c r="P58" s="66"/>
      <c r="Q58" s="66"/>
      <c r="R58" s="65"/>
      <c r="S58" s="80">
        <f t="shared" si="7"/>
        <v>0</v>
      </c>
      <c r="T58" s="71" t="str">
        <f t="shared" si="8"/>
        <v/>
      </c>
      <c r="U58" s="71" t="str">
        <f t="shared" si="9"/>
        <v/>
      </c>
      <c r="W58" s="16" t="s">
        <v>207</v>
      </c>
      <c r="X58" s="16">
        <v>364960</v>
      </c>
      <c r="Y58" s="16" t="s">
        <v>144</v>
      </c>
      <c r="Z58" s="16" t="s">
        <v>142</v>
      </c>
      <c r="AB58" s="16" t="str">
        <f t="shared" si="11"/>
        <v/>
      </c>
      <c r="AC58" s="90"/>
      <c r="AD58" s="92"/>
      <c r="AF58" s="16" t="str">
        <f t="shared" si="12"/>
        <v/>
      </c>
      <c r="AH58">
        <v>46</v>
      </c>
      <c r="AJ58" s="16" t="str">
        <f t="shared" si="13"/>
        <v/>
      </c>
    </row>
    <row r="59" spans="6:38" x14ac:dyDescent="0.3">
      <c r="F59" s="16" t="str">
        <f t="shared" si="10"/>
        <v/>
      </c>
      <c r="G59" s="16"/>
      <c r="H59" s="16"/>
      <c r="I59" s="66"/>
      <c r="J59" s="66"/>
      <c r="K59" s="66"/>
      <c r="L59" s="66"/>
      <c r="M59" s="66"/>
      <c r="N59" s="66"/>
      <c r="O59" s="66"/>
      <c r="P59" s="66"/>
      <c r="Q59" s="66"/>
      <c r="R59" s="65"/>
      <c r="S59" s="80">
        <f t="shared" si="7"/>
        <v>0</v>
      </c>
      <c r="T59" s="71" t="str">
        <f t="shared" si="8"/>
        <v/>
      </c>
      <c r="U59" s="71" t="str">
        <f t="shared" si="9"/>
        <v/>
      </c>
      <c r="W59" s="16" t="s">
        <v>208</v>
      </c>
      <c r="X59" s="16" t="s">
        <v>209</v>
      </c>
      <c r="Y59" s="16" t="s">
        <v>166</v>
      </c>
      <c r="Z59" s="16" t="s">
        <v>171</v>
      </c>
    </row>
    <row r="60" spans="6:38" x14ac:dyDescent="0.3">
      <c r="F60" s="16" t="str">
        <f t="shared" si="10"/>
        <v/>
      </c>
      <c r="G60" s="16"/>
      <c r="H60" s="16"/>
      <c r="I60" s="66"/>
      <c r="J60" s="66"/>
      <c r="K60" s="66"/>
      <c r="L60" s="66"/>
      <c r="M60" s="66"/>
      <c r="N60" s="66"/>
      <c r="O60" s="66"/>
      <c r="P60" s="66"/>
      <c r="Q60" s="66"/>
      <c r="R60" s="65"/>
      <c r="S60" s="80">
        <f t="shared" si="7"/>
        <v>0</v>
      </c>
      <c r="T60" s="71" t="str">
        <f t="shared" si="8"/>
        <v/>
      </c>
      <c r="U60" s="71" t="str">
        <f t="shared" si="9"/>
        <v/>
      </c>
      <c r="W60" s="16" t="s">
        <v>210</v>
      </c>
      <c r="X60" s="16">
        <v>379800</v>
      </c>
      <c r="Y60" s="16" t="s">
        <v>166</v>
      </c>
      <c r="Z60" s="16" t="s">
        <v>170</v>
      </c>
    </row>
    <row r="61" spans="6:38" x14ac:dyDescent="0.3">
      <c r="F61" s="16" t="str">
        <f t="shared" si="10"/>
        <v/>
      </c>
      <c r="G61" s="16"/>
      <c r="H61" s="16"/>
      <c r="I61" s="66"/>
      <c r="J61" s="66"/>
      <c r="K61" s="66"/>
      <c r="L61" s="66"/>
      <c r="M61" s="66"/>
      <c r="N61" s="66"/>
      <c r="O61" s="66"/>
      <c r="P61" s="66"/>
      <c r="Q61" s="66"/>
      <c r="R61" s="65"/>
      <c r="S61" s="80">
        <f t="shared" si="7"/>
        <v>0</v>
      </c>
      <c r="T61" s="71" t="str">
        <f t="shared" si="8"/>
        <v/>
      </c>
      <c r="U61" s="71" t="str">
        <f t="shared" si="9"/>
        <v/>
      </c>
      <c r="W61" s="16" t="s">
        <v>211</v>
      </c>
      <c r="X61" s="16">
        <v>381170</v>
      </c>
      <c r="Y61" s="16" t="s">
        <v>166</v>
      </c>
      <c r="Z61" s="16" t="s">
        <v>170</v>
      </c>
    </row>
    <row r="62" spans="6:38" x14ac:dyDescent="0.3">
      <c r="F62" s="16" t="str">
        <f t="shared" ref="F62:F71" si="14">IF(G62&lt;&gt;"",F61+1,"")</f>
        <v/>
      </c>
      <c r="G62" s="16"/>
      <c r="H62" s="16"/>
      <c r="I62" s="66"/>
      <c r="J62" s="66"/>
      <c r="K62" s="66"/>
      <c r="L62" s="66"/>
      <c r="M62" s="66"/>
      <c r="N62" s="66"/>
      <c r="O62" s="66"/>
      <c r="P62" s="66"/>
      <c r="Q62" s="66"/>
      <c r="R62" s="65"/>
      <c r="S62" s="80">
        <f t="shared" si="7"/>
        <v>0</v>
      </c>
      <c r="T62" s="71" t="str">
        <f t="shared" ref="T62:T71" si="15">IFERROR(IF(INDEX($Y$14:$Y$200, MATCH(H62,$W$14:$W$200,0))&lt;&gt;"",INDEX($Y$14:$Y$200, MATCH(H62,$W$14:$W$200,0)),""),"")</f>
        <v/>
      </c>
      <c r="U62" s="71" t="str">
        <f t="shared" ref="U62:U71" si="16">IFERROR(IF(INDEX($Z$14:$Z$200, MATCH(H62,$W$14:$W$200,0))&lt;&gt;"",INDEX($Z$14:$Z$200, MATCH(H62,$W$14:$W$200,0)),""),"")</f>
        <v/>
      </c>
      <c r="W62" s="16" t="s">
        <v>212</v>
      </c>
      <c r="X62" s="16" t="s">
        <v>213</v>
      </c>
      <c r="Y62" s="16" t="s">
        <v>166</v>
      </c>
      <c r="Z62" s="16" t="s">
        <v>177</v>
      </c>
    </row>
    <row r="63" spans="6:38" x14ac:dyDescent="0.3">
      <c r="F63" s="16" t="str">
        <f t="shared" si="14"/>
        <v/>
      </c>
      <c r="G63" s="16"/>
      <c r="H63" s="16"/>
      <c r="I63" s="66"/>
      <c r="J63" s="66"/>
      <c r="K63" s="66"/>
      <c r="L63" s="66"/>
      <c r="M63" s="66"/>
      <c r="N63" s="66"/>
      <c r="O63" s="66"/>
      <c r="P63" s="66"/>
      <c r="Q63" s="66"/>
      <c r="R63" s="65"/>
      <c r="S63" s="80">
        <f t="shared" si="7"/>
        <v>0</v>
      </c>
      <c r="T63" s="71" t="str">
        <f t="shared" si="15"/>
        <v/>
      </c>
      <c r="U63" s="71" t="str">
        <f t="shared" si="16"/>
        <v/>
      </c>
      <c r="W63" s="16" t="s">
        <v>212</v>
      </c>
      <c r="X63" s="16" t="s">
        <v>214</v>
      </c>
      <c r="Y63" s="16" t="s">
        <v>166</v>
      </c>
      <c r="Z63" s="16" t="s">
        <v>177</v>
      </c>
    </row>
    <row r="64" spans="6:38" x14ac:dyDescent="0.3">
      <c r="F64" s="16" t="str">
        <f t="shared" si="14"/>
        <v/>
      </c>
      <c r="G64" s="16"/>
      <c r="H64" s="16"/>
      <c r="I64" s="66"/>
      <c r="J64" s="66"/>
      <c r="K64" s="66"/>
      <c r="L64" s="66"/>
      <c r="M64" s="66"/>
      <c r="N64" s="66"/>
      <c r="O64" s="66"/>
      <c r="P64" s="66"/>
      <c r="Q64" s="66"/>
      <c r="R64" s="65"/>
      <c r="S64" s="80">
        <f t="shared" si="7"/>
        <v>0</v>
      </c>
      <c r="T64" s="71" t="str">
        <f t="shared" si="15"/>
        <v/>
      </c>
      <c r="U64" s="71" t="str">
        <f t="shared" si="16"/>
        <v/>
      </c>
      <c r="W64" s="16" t="s">
        <v>215</v>
      </c>
      <c r="X64" s="16"/>
      <c r="Y64" s="16" t="s">
        <v>166</v>
      </c>
      <c r="Z64" s="16" t="s">
        <v>170</v>
      </c>
    </row>
    <row r="65" spans="6:38" x14ac:dyDescent="0.3">
      <c r="F65" s="16" t="str">
        <f t="shared" si="14"/>
        <v/>
      </c>
      <c r="G65" s="16"/>
      <c r="H65" s="16"/>
      <c r="I65" s="66"/>
      <c r="J65" s="66"/>
      <c r="K65" s="66"/>
      <c r="L65" s="66"/>
      <c r="M65" s="66"/>
      <c r="N65" s="66"/>
      <c r="O65" s="66"/>
      <c r="P65" s="66"/>
      <c r="Q65" s="66"/>
      <c r="R65" s="65"/>
      <c r="S65" s="80">
        <f t="shared" si="7"/>
        <v>0</v>
      </c>
      <c r="T65" s="71" t="str">
        <f t="shared" si="15"/>
        <v/>
      </c>
      <c r="U65" s="71" t="str">
        <f t="shared" si="16"/>
        <v/>
      </c>
      <c r="W65" s="16" t="s">
        <v>216</v>
      </c>
      <c r="X65" s="16">
        <v>360750</v>
      </c>
      <c r="Y65" s="16" t="s">
        <v>166</v>
      </c>
      <c r="Z65" s="16" t="s">
        <v>170</v>
      </c>
    </row>
    <row r="66" spans="6:38" x14ac:dyDescent="0.3">
      <c r="F66" s="16" t="str">
        <f t="shared" si="14"/>
        <v/>
      </c>
      <c r="G66" s="16"/>
      <c r="H66" s="16"/>
      <c r="I66" s="66"/>
      <c r="J66" s="66"/>
      <c r="K66" s="66"/>
      <c r="L66" s="66"/>
      <c r="M66" s="66"/>
      <c r="N66" s="66"/>
      <c r="O66" s="66"/>
      <c r="P66" s="66"/>
      <c r="Q66" s="66"/>
      <c r="R66" s="65"/>
      <c r="S66" s="80">
        <f t="shared" si="7"/>
        <v>0</v>
      </c>
      <c r="T66" s="71" t="str">
        <f t="shared" si="15"/>
        <v/>
      </c>
      <c r="U66" s="71" t="str">
        <f t="shared" si="16"/>
        <v/>
      </c>
      <c r="W66" s="16" t="s">
        <v>217</v>
      </c>
      <c r="X66" s="16"/>
      <c r="Y66" s="16" t="s">
        <v>166</v>
      </c>
      <c r="Z66" s="16" t="s">
        <v>171</v>
      </c>
    </row>
    <row r="67" spans="6:38" x14ac:dyDescent="0.3">
      <c r="F67" s="16" t="str">
        <f t="shared" si="14"/>
        <v/>
      </c>
      <c r="G67" s="16"/>
      <c r="H67" s="16"/>
      <c r="I67" s="66"/>
      <c r="J67" s="66"/>
      <c r="K67" s="66"/>
      <c r="L67" s="66"/>
      <c r="M67" s="66"/>
      <c r="N67" s="66"/>
      <c r="O67" s="66"/>
      <c r="P67" s="66"/>
      <c r="Q67" s="66"/>
      <c r="R67" s="65"/>
      <c r="S67" s="80">
        <f t="shared" si="7"/>
        <v>0</v>
      </c>
      <c r="T67" s="71" t="str">
        <f t="shared" si="15"/>
        <v/>
      </c>
      <c r="U67" s="71" t="str">
        <f t="shared" si="16"/>
        <v/>
      </c>
      <c r="W67" s="16" t="s">
        <v>218</v>
      </c>
      <c r="X67" s="16"/>
      <c r="Y67" s="16" t="s">
        <v>166</v>
      </c>
      <c r="Z67" s="16" t="s">
        <v>142</v>
      </c>
    </row>
    <row r="68" spans="6:38" x14ac:dyDescent="0.3">
      <c r="F68" s="16" t="str">
        <f t="shared" si="14"/>
        <v/>
      </c>
      <c r="G68" s="16"/>
      <c r="H68" s="16"/>
      <c r="I68" s="66"/>
      <c r="J68" s="66"/>
      <c r="K68" s="66"/>
      <c r="L68" s="66"/>
      <c r="M68" s="66"/>
      <c r="N68" s="66"/>
      <c r="O68" s="66"/>
      <c r="P68" s="66"/>
      <c r="Q68" s="66"/>
      <c r="R68" s="65"/>
      <c r="S68" s="80">
        <f t="shared" si="7"/>
        <v>0</v>
      </c>
      <c r="T68" s="71" t="str">
        <f t="shared" si="15"/>
        <v/>
      </c>
      <c r="U68" s="71" t="str">
        <f t="shared" si="16"/>
        <v/>
      </c>
      <c r="W68" s="16" t="s">
        <v>219</v>
      </c>
      <c r="X68" s="16"/>
      <c r="Y68" s="16" t="s">
        <v>166</v>
      </c>
      <c r="Z68" s="16" t="s">
        <v>142</v>
      </c>
    </row>
    <row r="69" spans="6:38" x14ac:dyDescent="0.3">
      <c r="F69" s="16" t="str">
        <f t="shared" si="14"/>
        <v/>
      </c>
      <c r="G69" s="16"/>
      <c r="H69" s="16"/>
      <c r="I69" s="66"/>
      <c r="J69" s="66"/>
      <c r="K69" s="66"/>
      <c r="L69" s="66"/>
      <c r="M69" s="66"/>
      <c r="N69" s="66"/>
      <c r="O69" s="66"/>
      <c r="P69" s="66"/>
      <c r="Q69" s="66"/>
      <c r="R69" s="65"/>
      <c r="S69" s="80">
        <f t="shared" si="7"/>
        <v>0</v>
      </c>
      <c r="T69" s="71" t="str">
        <f t="shared" si="15"/>
        <v/>
      </c>
      <c r="U69" s="71" t="str">
        <f t="shared" si="16"/>
        <v/>
      </c>
      <c r="W69" s="16" t="s">
        <v>174</v>
      </c>
      <c r="X69" s="16" t="s">
        <v>220</v>
      </c>
      <c r="Y69" s="16" t="s">
        <v>166</v>
      </c>
      <c r="Z69" s="16" t="s">
        <v>170</v>
      </c>
    </row>
    <row r="70" spans="6:38" x14ac:dyDescent="0.3">
      <c r="F70" s="16" t="str">
        <f t="shared" si="14"/>
        <v/>
      </c>
      <c r="G70" s="16"/>
      <c r="H70" s="16"/>
      <c r="I70" s="66"/>
      <c r="J70" s="66"/>
      <c r="K70" s="66"/>
      <c r="L70" s="66"/>
      <c r="M70" s="66"/>
      <c r="N70" s="66"/>
      <c r="O70" s="66"/>
      <c r="P70" s="66"/>
      <c r="Q70" s="66"/>
      <c r="R70" s="65"/>
      <c r="S70" s="80">
        <f t="shared" si="7"/>
        <v>0</v>
      </c>
      <c r="T70" s="71" t="str">
        <f t="shared" si="15"/>
        <v/>
      </c>
      <c r="U70" s="71" t="str">
        <f t="shared" si="16"/>
        <v/>
      </c>
      <c r="W70" s="16"/>
      <c r="X70" s="16"/>
      <c r="Y70" s="16"/>
      <c r="Z70" s="16"/>
    </row>
    <row r="71" spans="6:38" x14ac:dyDescent="0.3">
      <c r="F71" s="16" t="str">
        <f t="shared" si="14"/>
        <v/>
      </c>
      <c r="G71" s="16"/>
      <c r="H71" s="16"/>
      <c r="I71" s="66"/>
      <c r="J71" s="66"/>
      <c r="K71" s="66"/>
      <c r="L71" s="66"/>
      <c r="M71" s="66"/>
      <c r="N71" s="66"/>
      <c r="O71" s="66"/>
      <c r="P71" s="66"/>
      <c r="Q71" s="66"/>
      <c r="R71" s="65"/>
      <c r="S71" s="80">
        <f t="shared" si="7"/>
        <v>0</v>
      </c>
      <c r="T71" s="71" t="str">
        <f t="shared" si="15"/>
        <v/>
      </c>
      <c r="U71" s="71" t="str">
        <f t="shared" si="16"/>
        <v/>
      </c>
      <c r="W71" s="16"/>
      <c r="X71" s="16"/>
      <c r="Y71" s="16"/>
      <c r="Z71" s="16"/>
    </row>
    <row r="72" spans="6:38" ht="17.25" thickBot="1" x14ac:dyDescent="0.35">
      <c r="F72" s="81"/>
      <c r="G72" s="82"/>
      <c r="H72" s="82" t="s">
        <v>109</v>
      </c>
      <c r="I72" s="82"/>
      <c r="J72" s="82"/>
      <c r="K72" s="83">
        <f t="shared" ref="K72:L72" si="17">SUM(K47:K71)</f>
        <v>122628271</v>
      </c>
      <c r="L72" s="83">
        <f t="shared" si="17"/>
        <v>110278166</v>
      </c>
      <c r="M72" s="83">
        <f>SUM(M47:M71)</f>
        <v>113952127</v>
      </c>
      <c r="N72" s="83">
        <f>SUM(N47:N71)</f>
        <v>39226471</v>
      </c>
      <c r="O72" s="82"/>
      <c r="P72" s="82"/>
      <c r="Q72" s="82"/>
      <c r="R72" s="84"/>
      <c r="S72" s="85">
        <f>SUM(S47:S71)</f>
        <v>1</v>
      </c>
      <c r="T72" s="84"/>
      <c r="U72" s="86"/>
      <c r="W72" s="16"/>
      <c r="X72" s="16"/>
      <c r="Y72" s="16"/>
      <c r="Z72" s="16"/>
    </row>
    <row r="73" spans="6:38" x14ac:dyDescent="0.3">
      <c r="W73" s="16"/>
      <c r="X73" s="16"/>
      <c r="Y73" s="16"/>
      <c r="Z73" s="16"/>
    </row>
    <row r="74" spans="6:38" ht="20.25" x14ac:dyDescent="0.3">
      <c r="F74" s="62" t="str">
        <f>B5</f>
        <v>연금저축_거치</v>
      </c>
      <c r="G74" s="60"/>
      <c r="H74" s="60"/>
      <c r="W74" s="16"/>
      <c r="X74" s="16"/>
      <c r="Y74" s="16"/>
      <c r="Z74" s="16"/>
    </row>
    <row r="75" spans="6:38" x14ac:dyDescent="0.3">
      <c r="F75" s="15" t="s">
        <v>1</v>
      </c>
      <c r="G75" s="68" t="s">
        <v>70</v>
      </c>
      <c r="H75" s="68" t="s">
        <v>71</v>
      </c>
      <c r="I75" s="68" t="s">
        <v>24</v>
      </c>
      <c r="J75" s="68" t="s">
        <v>25</v>
      </c>
      <c r="K75" s="68" t="s">
        <v>9</v>
      </c>
      <c r="L75" s="68" t="s">
        <v>3</v>
      </c>
      <c r="M75" s="68" t="s">
        <v>4</v>
      </c>
      <c r="N75" s="69" t="s">
        <v>26</v>
      </c>
      <c r="W75" s="16"/>
      <c r="X75" s="16"/>
      <c r="Y75" s="16"/>
      <c r="Z75" s="16"/>
    </row>
    <row r="76" spans="6:38" x14ac:dyDescent="0.3">
      <c r="F76" s="16">
        <f>IFERROR(INDEX(DB_연금저축_거치_History!C:C,MATCH($D$5,DB_연금저축_거치_History!$B:$B,0)),"")</f>
        <v>0</v>
      </c>
      <c r="G76" s="16">
        <f>IFERROR(INDEX(DB_연금저축_거치_History!D:D,MATCH($D$5,DB_연금저축_거치_History!$B:$B,0)),"")</f>
        <v>0</v>
      </c>
      <c r="H76" s="16">
        <f>IFERROR(INDEX(DB_연금저축_거치_History!E:E,MATCH($D$5,DB_연금저축_거치_History!$B:$B,0)),"")</f>
        <v>0</v>
      </c>
      <c r="I76" s="16">
        <f>IFERROR(INDEX(DB_연금저축_거치_History!F:F,MATCH($D$5,DB_연금저축_거치_History!$B:$B,0)),"")</f>
        <v>0</v>
      </c>
      <c r="J76" s="16">
        <f>IFERROR(INDEX(DB_연금저축_거치_History!G:G,MATCH($D$5,DB_연금저축_거치_History!$B:$B,0)),"")</f>
        <v>0</v>
      </c>
      <c r="K76" s="16">
        <f>IFERROR(INDEX(DB_연금저축_거치_History!H:H,MATCH($D$5,DB_연금저축_거치_History!$B:$B,0)),"")</f>
        <v>0</v>
      </c>
      <c r="L76" s="16">
        <f>IFERROR(INDEX(DB_연금저축_거치_History!I:I,MATCH($D$5,DB_연금저축_거치_History!$B:$B,0)),"")</f>
        <v>0</v>
      </c>
      <c r="M76" s="16">
        <f>IFERROR(INDEX(DB_연금저축_거치_History!J:J,MATCH($D$5,DB_연금저축_거치_History!$B:$B,0)),"")</f>
        <v>0</v>
      </c>
      <c r="N76" s="65" t="str">
        <f>IFERROR((L76+I76-G76)/G76,"")</f>
        <v/>
      </c>
      <c r="W76" s="16"/>
      <c r="X76" s="16"/>
      <c r="Y76" s="16"/>
      <c r="Z76" s="16"/>
    </row>
    <row r="77" spans="6:38" x14ac:dyDescent="0.3">
      <c r="W77" s="16"/>
      <c r="X77" s="16"/>
      <c r="Y77" s="16"/>
      <c r="Z77" s="16"/>
    </row>
    <row r="78" spans="6:38" x14ac:dyDescent="0.3">
      <c r="F78" s="57" t="s">
        <v>87</v>
      </c>
      <c r="G78" s="63" t="s">
        <v>46</v>
      </c>
      <c r="H78" s="57" t="s">
        <v>47</v>
      </c>
      <c r="I78" s="57" t="s">
        <v>48</v>
      </c>
      <c r="J78" s="58" t="s">
        <v>49</v>
      </c>
      <c r="K78" s="58" t="s">
        <v>50</v>
      </c>
      <c r="L78" s="58" t="s">
        <v>51</v>
      </c>
      <c r="M78" s="58" t="s">
        <v>44</v>
      </c>
      <c r="N78" s="58" t="s">
        <v>45</v>
      </c>
      <c r="O78" s="59" t="s">
        <v>52</v>
      </c>
      <c r="P78" s="59" t="s">
        <v>57</v>
      </c>
      <c r="S78" s="59" t="s">
        <v>108</v>
      </c>
      <c r="T78" s="59" t="s">
        <v>88</v>
      </c>
      <c r="U78" s="72" t="s">
        <v>99</v>
      </c>
      <c r="W78" s="16"/>
      <c r="X78" s="16"/>
      <c r="Y78" s="16"/>
      <c r="Z78" s="16"/>
      <c r="AB78" s="57" t="s">
        <v>86</v>
      </c>
      <c r="AC78" s="64" t="s">
        <v>110</v>
      </c>
      <c r="AD78" s="59" t="s">
        <v>111</v>
      </c>
      <c r="AF78" s="57" t="s">
        <v>86</v>
      </c>
      <c r="AG78" s="95" t="s">
        <v>126</v>
      </c>
      <c r="AH78" t="s">
        <v>127</v>
      </c>
      <c r="AJ78" s="57" t="s">
        <v>86</v>
      </c>
      <c r="AK78" s="95" t="s">
        <v>126</v>
      </c>
      <c r="AL78" t="s">
        <v>127</v>
      </c>
    </row>
    <row r="79" spans="6:38" x14ac:dyDescent="0.3">
      <c r="F79" s="16">
        <f>IF(G79&gt;0,1,"")</f>
        <v>1</v>
      </c>
      <c r="G79" s="16" t="str" cm="1">
        <f t="array" ref="G79:P103">IFERROR(
    _xlfn.TAKE(
        _xlfn.WRAPROWS(
            _xlfn.TOROW(
                _xlfn.LET(
                    _xlpm.data, _xlfn._xlws.FILTER(DB_연금저축_거치_History!L6:ZZ300, DB_연금저축_거치_History!B6:B300 = D5),
                    IF(_xlpm.data = "", "", _xlpm.data)
                ),
                0
            ),
            10
        ),
        25
    ),
    ""
)</f>
        <v/>
      </c>
      <c r="H79" s="16" t="str">
        <v/>
      </c>
      <c r="I79" s="16" t="str">
        <v/>
      </c>
      <c r="J79" s="66" t="str">
        <v/>
      </c>
      <c r="K79" s="66" t="str">
        <v/>
      </c>
      <c r="L79" s="66" t="str">
        <v/>
      </c>
      <c r="M79" s="66" t="str">
        <v/>
      </c>
      <c r="N79" s="66" t="str">
        <v/>
      </c>
      <c r="O79" s="65" t="str">
        <v/>
      </c>
      <c r="P79" s="67" t="str">
        <v/>
      </c>
      <c r="S79" s="80">
        <f>IFERROR(IF(M79&gt;0, M79/$M$104, 0),0)</f>
        <v>0</v>
      </c>
      <c r="T79" s="71" t="str">
        <f>IFERROR(IF(INDEX($Y$14:$Y$200, MATCH(H79,$W$14:$W$200,0))&lt;&gt;"",INDEX($Y$14:$Y$200, MATCH(H79,$W$14:$W$200,0)),""),"")</f>
        <v/>
      </c>
      <c r="U79" s="71" t="str">
        <f>IFERROR(IF(INDEX($Z$14:$Z$200, MATCH(H79,$W$14:$W$200,0))&lt;&gt;"",INDEX($Z$14:$Z$200, MATCH(H79,$W$14:$W$200,0)),""),"")</f>
        <v/>
      </c>
      <c r="W79" s="16"/>
      <c r="X79" s="16"/>
      <c r="Y79" s="16"/>
      <c r="Z79" s="16"/>
      <c r="AB79" s="16" t="str">
        <f>IF(AC79&gt;0,1,"")</f>
        <v/>
      </c>
      <c r="AC79" s="90" cm="1">
        <f t="array" ref="AC79:AD79">IFERROR(
    _xlfn.TAKE(
        _xlfn._xlws.FILTER(
            _xlfn.HSTACK(DB_연금저축_거치_History!B6:B200, DB_연금저축_거치_History!K6:K200),
            (DB_연금저축_거치_History!B6:B200 &lt;&gt; "") * (DB_연금저축_거치_History!K6:K200 &lt;&gt; "")
        ),
        -12
    ),
    ""
)</f>
        <v>0</v>
      </c>
      <c r="AD79" s="92">
        <v>0</v>
      </c>
      <c r="AF79" s="16" t="str">
        <f>IF(AG79&gt;0,1,"")</f>
        <v/>
      </c>
      <c r="AJ79" s="16" t="str">
        <f>IF(AK79&gt;0,1,"")</f>
        <v/>
      </c>
    </row>
    <row r="80" spans="6:38" x14ac:dyDescent="0.3">
      <c r="F80" s="16" t="str">
        <f>IF(G80&lt;&gt;"",F79+1,"")</f>
        <v/>
      </c>
      <c r="G80" s="16" t="str">
        <v/>
      </c>
      <c r="H80" s="16" t="str">
        <v/>
      </c>
      <c r="I80" s="16" t="str">
        <v/>
      </c>
      <c r="J80" s="66" t="str">
        <v/>
      </c>
      <c r="K80" s="66" t="str">
        <v/>
      </c>
      <c r="L80" s="66" t="str">
        <v/>
      </c>
      <c r="M80" s="66" t="str">
        <v/>
      </c>
      <c r="N80" s="66" t="str">
        <v/>
      </c>
      <c r="O80" s="65" t="str">
        <v/>
      </c>
      <c r="P80" s="67" t="str">
        <v/>
      </c>
      <c r="S80" s="80">
        <f t="shared" ref="S80:S103" si="18">IFERROR(IF(M80&gt;0, M80/$M$104, 0),0)</f>
        <v>0</v>
      </c>
      <c r="T80" s="71" t="str">
        <f t="shared" ref="T80:T103" si="19">IFERROR(IF(INDEX($Y$14:$Y$200, MATCH(H80,$W$14:$W$200,0))&lt;&gt;"",INDEX($Y$14:$Y$200, MATCH(H80,$W$14:$W$200,0)),""),"")</f>
        <v/>
      </c>
      <c r="U80" s="71" t="str">
        <f t="shared" ref="U80:U103" si="20">IFERROR(IF(INDEX($Z$14:$Z$200, MATCH(H80,$W$14:$W$200,0))&lt;&gt;"",INDEX($Z$14:$Z$200, MATCH(H80,$W$14:$W$200,0)),""),"")</f>
        <v/>
      </c>
      <c r="W80" s="16"/>
      <c r="X80" s="16"/>
      <c r="Y80" s="16"/>
      <c r="Z80" s="16"/>
      <c r="AB80" s="16" t="str">
        <f>IF(AC80&gt;0,AB79+1,"")</f>
        <v/>
      </c>
      <c r="AC80" s="90"/>
      <c r="AD80" s="92"/>
      <c r="AF80" s="16" t="str">
        <f>IF(AG80&gt;0,AF79+1,"")</f>
        <v/>
      </c>
      <c r="AJ80" s="16" t="str">
        <f>IF(AK80&gt;0,AJ79+1,"")</f>
        <v/>
      </c>
    </row>
    <row r="81" spans="6:36" x14ac:dyDescent="0.3">
      <c r="F81" s="16" t="str">
        <f t="shared" ref="F81" si="21">IF(G81&lt;&gt;"",F80+1,"")</f>
        <v/>
      </c>
      <c r="G81" s="16" t="str">
        <v/>
      </c>
      <c r="H81" s="16" t="str">
        <v/>
      </c>
      <c r="I81" s="16" t="str">
        <v/>
      </c>
      <c r="J81" s="66" t="str">
        <v/>
      </c>
      <c r="K81" s="66" t="str">
        <v/>
      </c>
      <c r="L81" s="66" t="str">
        <v/>
      </c>
      <c r="M81" s="66" t="str">
        <v/>
      </c>
      <c r="N81" s="66" t="str">
        <v/>
      </c>
      <c r="O81" s="65" t="str">
        <v/>
      </c>
      <c r="P81" s="67" t="str">
        <v/>
      </c>
      <c r="S81" s="80">
        <f t="shared" si="18"/>
        <v>0</v>
      </c>
      <c r="T81" s="71" t="str">
        <f t="shared" si="19"/>
        <v/>
      </c>
      <c r="U81" s="71" t="str">
        <f t="shared" si="20"/>
        <v/>
      </c>
      <c r="W81" s="16"/>
      <c r="X81" s="16"/>
      <c r="Y81" s="16"/>
      <c r="Z81" s="16"/>
      <c r="AB81" s="16" t="str">
        <f t="shared" ref="AB81:AB90" si="22">IF(AC81&gt;0,AB80+1,"")</f>
        <v/>
      </c>
      <c r="AC81" s="90"/>
      <c r="AD81" s="92"/>
      <c r="AF81" s="16" t="str">
        <f t="shared" ref="AF81:AF90" si="23">IF(AG81&gt;0,AF80+1,"")</f>
        <v/>
      </c>
      <c r="AJ81" s="16" t="str">
        <f t="shared" ref="AJ81:AJ90" si="24">IF(AK81&gt;0,AJ80+1,"")</f>
        <v/>
      </c>
    </row>
    <row r="82" spans="6:36" x14ac:dyDescent="0.3">
      <c r="F82" s="16"/>
      <c r="G82" s="16" t="str">
        <v/>
      </c>
      <c r="H82" s="16" t="str">
        <v/>
      </c>
      <c r="I82" s="16" t="str">
        <v/>
      </c>
      <c r="J82" s="66" t="str">
        <v/>
      </c>
      <c r="K82" s="66" t="str">
        <v/>
      </c>
      <c r="L82" s="66" t="str">
        <v/>
      </c>
      <c r="M82" s="66" t="str">
        <v/>
      </c>
      <c r="N82" s="66" t="str">
        <v/>
      </c>
      <c r="O82" s="65" t="str">
        <v/>
      </c>
      <c r="P82" s="67" t="str">
        <v/>
      </c>
      <c r="S82" s="80">
        <f t="shared" si="18"/>
        <v>0</v>
      </c>
      <c r="T82" s="71" t="str">
        <f t="shared" si="19"/>
        <v/>
      </c>
      <c r="U82" s="71" t="str">
        <f t="shared" si="20"/>
        <v/>
      </c>
      <c r="W82" s="16"/>
      <c r="X82" s="16"/>
      <c r="Y82" s="16"/>
      <c r="Z82" s="16"/>
      <c r="AB82" s="16" t="str">
        <f t="shared" si="22"/>
        <v/>
      </c>
      <c r="AC82" s="90"/>
      <c r="AD82" s="92"/>
      <c r="AF82" s="16" t="str">
        <f t="shared" si="23"/>
        <v/>
      </c>
      <c r="AJ82" s="16" t="str">
        <f t="shared" si="24"/>
        <v/>
      </c>
    </row>
    <row r="83" spans="6:36" x14ac:dyDescent="0.3">
      <c r="F83" s="16"/>
      <c r="G83" s="16" t="str">
        <v/>
      </c>
      <c r="H83" s="16" t="str">
        <v/>
      </c>
      <c r="I83" s="16" t="str">
        <v/>
      </c>
      <c r="J83" s="66" t="str">
        <v/>
      </c>
      <c r="K83" s="66" t="str">
        <v/>
      </c>
      <c r="L83" s="66" t="str">
        <v/>
      </c>
      <c r="M83" s="66" t="str">
        <v/>
      </c>
      <c r="N83" s="66" t="str">
        <v/>
      </c>
      <c r="O83" s="65" t="str">
        <v/>
      </c>
      <c r="P83" s="67" t="str">
        <v/>
      </c>
      <c r="S83" s="80">
        <f t="shared" si="18"/>
        <v>0</v>
      </c>
      <c r="T83" s="71" t="str">
        <f t="shared" si="19"/>
        <v/>
      </c>
      <c r="U83" s="71" t="str">
        <f t="shared" si="20"/>
        <v/>
      </c>
      <c r="W83" s="16"/>
      <c r="X83" s="16"/>
      <c r="Y83" s="16"/>
      <c r="Z83" s="16"/>
      <c r="AB83" s="16" t="str">
        <f t="shared" si="22"/>
        <v/>
      </c>
      <c r="AC83" s="90"/>
      <c r="AD83" s="92"/>
      <c r="AF83" s="16" t="str">
        <f t="shared" si="23"/>
        <v/>
      </c>
      <c r="AJ83" s="16" t="str">
        <f t="shared" si="24"/>
        <v/>
      </c>
    </row>
    <row r="84" spans="6:36" x14ac:dyDescent="0.3">
      <c r="F84" s="16"/>
      <c r="G84" s="16" t="str">
        <v/>
      </c>
      <c r="H84" s="16" t="str">
        <v/>
      </c>
      <c r="I84" s="16" t="str">
        <v/>
      </c>
      <c r="J84" s="66" t="str">
        <v/>
      </c>
      <c r="K84" s="66" t="str">
        <v/>
      </c>
      <c r="L84" s="66" t="str">
        <v/>
      </c>
      <c r="M84" s="66" t="str">
        <v/>
      </c>
      <c r="N84" s="66" t="str">
        <v/>
      </c>
      <c r="O84" s="65" t="str">
        <v/>
      </c>
      <c r="P84" s="67" t="str">
        <v/>
      </c>
      <c r="S84" s="80">
        <f t="shared" si="18"/>
        <v>0</v>
      </c>
      <c r="T84" s="71" t="str">
        <f t="shared" si="19"/>
        <v/>
      </c>
      <c r="U84" s="71" t="str">
        <f t="shared" si="20"/>
        <v/>
      </c>
      <c r="W84" s="16"/>
      <c r="X84" s="16"/>
      <c r="Y84" s="16"/>
      <c r="Z84" s="16"/>
      <c r="AB84" s="16" t="str">
        <f t="shared" si="22"/>
        <v/>
      </c>
      <c r="AC84" s="90"/>
      <c r="AD84" s="92"/>
      <c r="AF84" s="16" t="str">
        <f t="shared" si="23"/>
        <v/>
      </c>
      <c r="AJ84" s="16" t="str">
        <f t="shared" si="24"/>
        <v/>
      </c>
    </row>
    <row r="85" spans="6:36" x14ac:dyDescent="0.3">
      <c r="F85" s="16"/>
      <c r="G85" s="16" t="str">
        <v/>
      </c>
      <c r="H85" s="16" t="str">
        <v/>
      </c>
      <c r="I85" s="16" t="str">
        <v/>
      </c>
      <c r="J85" s="66" t="str">
        <v/>
      </c>
      <c r="K85" s="66" t="str">
        <v/>
      </c>
      <c r="L85" s="66" t="str">
        <v/>
      </c>
      <c r="M85" s="66" t="str">
        <v/>
      </c>
      <c r="N85" s="66" t="str">
        <v/>
      </c>
      <c r="O85" s="65" t="str">
        <v/>
      </c>
      <c r="P85" s="67" t="str">
        <v/>
      </c>
      <c r="S85" s="80">
        <f t="shared" si="18"/>
        <v>0</v>
      </c>
      <c r="T85" s="71" t="str">
        <f t="shared" si="19"/>
        <v/>
      </c>
      <c r="U85" s="71" t="str">
        <f t="shared" si="20"/>
        <v/>
      </c>
      <c r="W85" s="16"/>
      <c r="X85" s="16"/>
      <c r="Y85" s="16"/>
      <c r="Z85" s="16"/>
      <c r="AB85" s="16" t="str">
        <f t="shared" si="22"/>
        <v/>
      </c>
      <c r="AC85" s="90"/>
      <c r="AD85" s="92"/>
      <c r="AF85" s="16" t="str">
        <f t="shared" si="23"/>
        <v/>
      </c>
      <c r="AJ85" s="16" t="str">
        <f t="shared" si="24"/>
        <v/>
      </c>
    </row>
    <row r="86" spans="6:36" x14ac:dyDescent="0.3">
      <c r="F86" s="16"/>
      <c r="G86" s="16" t="str">
        <v/>
      </c>
      <c r="H86" s="16" t="str">
        <v/>
      </c>
      <c r="I86" s="16" t="str">
        <v/>
      </c>
      <c r="J86" s="66" t="str">
        <v/>
      </c>
      <c r="K86" s="66" t="str">
        <v/>
      </c>
      <c r="L86" s="66" t="str">
        <v/>
      </c>
      <c r="M86" s="66" t="str">
        <v/>
      </c>
      <c r="N86" s="66" t="str">
        <v/>
      </c>
      <c r="O86" s="65" t="str">
        <v/>
      </c>
      <c r="P86" s="67" t="str">
        <v/>
      </c>
      <c r="S86" s="80">
        <f t="shared" si="18"/>
        <v>0</v>
      </c>
      <c r="T86" s="71" t="str">
        <f t="shared" si="19"/>
        <v/>
      </c>
      <c r="U86" s="71" t="str">
        <f t="shared" si="20"/>
        <v/>
      </c>
      <c r="W86" s="16"/>
      <c r="X86" s="16"/>
      <c r="Y86" s="16"/>
      <c r="Z86" s="16"/>
      <c r="AB86" s="16" t="str">
        <f t="shared" si="22"/>
        <v/>
      </c>
      <c r="AC86" s="90"/>
      <c r="AD86" s="92"/>
      <c r="AF86" s="16" t="str">
        <f t="shared" si="23"/>
        <v/>
      </c>
      <c r="AJ86" s="16" t="str">
        <f t="shared" si="24"/>
        <v/>
      </c>
    </row>
    <row r="87" spans="6:36" x14ac:dyDescent="0.3">
      <c r="F87" s="16"/>
      <c r="G87" s="16" t="str">
        <v/>
      </c>
      <c r="H87" s="16" t="str">
        <v/>
      </c>
      <c r="I87" s="16" t="str">
        <v/>
      </c>
      <c r="J87" s="66" t="str">
        <v/>
      </c>
      <c r="K87" s="66" t="str">
        <v/>
      </c>
      <c r="L87" s="66" t="str">
        <v/>
      </c>
      <c r="M87" s="66" t="str">
        <v/>
      </c>
      <c r="N87" s="66" t="str">
        <v/>
      </c>
      <c r="O87" s="65" t="str">
        <v/>
      </c>
      <c r="P87" s="67" t="str">
        <v/>
      </c>
      <c r="S87" s="80">
        <f t="shared" si="18"/>
        <v>0</v>
      </c>
      <c r="T87" s="71" t="str">
        <f t="shared" si="19"/>
        <v/>
      </c>
      <c r="U87" s="71" t="str">
        <f t="shared" si="20"/>
        <v/>
      </c>
      <c r="W87" s="16"/>
      <c r="X87" s="16"/>
      <c r="Y87" s="16"/>
      <c r="Z87" s="16"/>
      <c r="AB87" s="16" t="str">
        <f t="shared" si="22"/>
        <v/>
      </c>
      <c r="AC87" s="90"/>
      <c r="AD87" s="92"/>
      <c r="AF87" s="16" t="str">
        <f t="shared" si="23"/>
        <v/>
      </c>
      <c r="AJ87" s="16" t="str">
        <f t="shared" si="24"/>
        <v/>
      </c>
    </row>
    <row r="88" spans="6:36" x14ac:dyDescent="0.3">
      <c r="F88" s="16"/>
      <c r="G88" s="16" t="str">
        <v/>
      </c>
      <c r="H88" s="16" t="str">
        <v/>
      </c>
      <c r="I88" s="16" t="str">
        <v/>
      </c>
      <c r="J88" s="66" t="str">
        <v/>
      </c>
      <c r="K88" s="66" t="str">
        <v/>
      </c>
      <c r="L88" s="66" t="str">
        <v/>
      </c>
      <c r="M88" s="66" t="str">
        <v/>
      </c>
      <c r="N88" s="66" t="str">
        <v/>
      </c>
      <c r="O88" s="65" t="str">
        <v/>
      </c>
      <c r="P88" s="67" t="str">
        <v/>
      </c>
      <c r="S88" s="80">
        <f t="shared" si="18"/>
        <v>0</v>
      </c>
      <c r="T88" s="71" t="str">
        <f t="shared" si="19"/>
        <v/>
      </c>
      <c r="U88" s="71" t="str">
        <f t="shared" si="20"/>
        <v/>
      </c>
      <c r="W88" s="16"/>
      <c r="X88" s="16"/>
      <c r="Y88" s="16"/>
      <c r="Z88" s="16"/>
      <c r="AB88" s="16" t="str">
        <f t="shared" si="22"/>
        <v/>
      </c>
      <c r="AC88" s="90"/>
      <c r="AD88" s="92"/>
      <c r="AF88" s="16" t="str">
        <f t="shared" si="23"/>
        <v/>
      </c>
      <c r="AJ88" s="16" t="str">
        <f t="shared" si="24"/>
        <v/>
      </c>
    </row>
    <row r="89" spans="6:36" x14ac:dyDescent="0.3">
      <c r="F89" s="16"/>
      <c r="G89" s="16" t="str">
        <v/>
      </c>
      <c r="H89" s="16" t="str">
        <v/>
      </c>
      <c r="I89" s="16" t="str">
        <v/>
      </c>
      <c r="J89" s="66" t="str">
        <v/>
      </c>
      <c r="K89" s="66" t="str">
        <v/>
      </c>
      <c r="L89" s="66" t="str">
        <v/>
      </c>
      <c r="M89" s="66" t="str">
        <v/>
      </c>
      <c r="N89" s="66" t="str">
        <v/>
      </c>
      <c r="O89" s="65" t="str">
        <v/>
      </c>
      <c r="P89" s="67" t="str">
        <v/>
      </c>
      <c r="S89" s="80">
        <f t="shared" si="18"/>
        <v>0</v>
      </c>
      <c r="T89" s="71" t="str">
        <f t="shared" si="19"/>
        <v/>
      </c>
      <c r="U89" s="71" t="str">
        <f t="shared" si="20"/>
        <v/>
      </c>
      <c r="W89" s="16"/>
      <c r="X89" s="16"/>
      <c r="Y89" s="16"/>
      <c r="Z89" s="16"/>
      <c r="AB89" s="16" t="str">
        <f t="shared" si="22"/>
        <v/>
      </c>
      <c r="AC89" s="90"/>
      <c r="AD89" s="92"/>
      <c r="AF89" s="16" t="str">
        <f t="shared" si="23"/>
        <v/>
      </c>
      <c r="AJ89" s="16" t="str">
        <f t="shared" si="24"/>
        <v/>
      </c>
    </row>
    <row r="90" spans="6:36" x14ac:dyDescent="0.3">
      <c r="F90" s="16"/>
      <c r="G90" s="16" t="str">
        <v/>
      </c>
      <c r="H90" s="16" t="str">
        <v/>
      </c>
      <c r="I90" s="16" t="str">
        <v/>
      </c>
      <c r="J90" s="66" t="str">
        <v/>
      </c>
      <c r="K90" s="66" t="str">
        <v/>
      </c>
      <c r="L90" s="66" t="str">
        <v/>
      </c>
      <c r="M90" s="66" t="str">
        <v/>
      </c>
      <c r="N90" s="66" t="str">
        <v/>
      </c>
      <c r="O90" s="65" t="str">
        <v/>
      </c>
      <c r="P90" s="67" t="str">
        <v/>
      </c>
      <c r="S90" s="80">
        <f t="shared" si="18"/>
        <v>0</v>
      </c>
      <c r="T90" s="71" t="str">
        <f t="shared" si="19"/>
        <v/>
      </c>
      <c r="U90" s="71" t="str">
        <f t="shared" si="20"/>
        <v/>
      </c>
      <c r="W90" s="16"/>
      <c r="X90" s="16"/>
      <c r="Y90" s="16"/>
      <c r="Z90" s="16"/>
      <c r="AB90" s="16" t="str">
        <f t="shared" si="22"/>
        <v/>
      </c>
      <c r="AC90" s="90"/>
      <c r="AD90" s="92"/>
      <c r="AF90" s="16" t="str">
        <f t="shared" si="23"/>
        <v/>
      </c>
      <c r="AJ90" s="16" t="str">
        <f t="shared" si="24"/>
        <v/>
      </c>
    </row>
    <row r="91" spans="6:36" x14ac:dyDescent="0.3">
      <c r="F91" s="16"/>
      <c r="G91" s="16" t="str">
        <v/>
      </c>
      <c r="H91" s="16" t="str">
        <v/>
      </c>
      <c r="I91" s="16" t="str">
        <v/>
      </c>
      <c r="J91" s="66" t="str">
        <v/>
      </c>
      <c r="K91" s="66" t="str">
        <v/>
      </c>
      <c r="L91" s="66" t="str">
        <v/>
      </c>
      <c r="M91" s="66" t="str">
        <v/>
      </c>
      <c r="N91" s="66" t="str">
        <v/>
      </c>
      <c r="O91" s="65" t="str">
        <v/>
      </c>
      <c r="P91" s="67" t="str">
        <v/>
      </c>
      <c r="S91" s="80">
        <f t="shared" si="18"/>
        <v>0</v>
      </c>
      <c r="T91" s="71" t="str">
        <f t="shared" si="19"/>
        <v/>
      </c>
      <c r="U91" s="71" t="str">
        <f t="shared" si="20"/>
        <v/>
      </c>
      <c r="W91" s="16"/>
      <c r="X91" s="16"/>
      <c r="Y91" s="16"/>
      <c r="Z91" s="16"/>
    </row>
    <row r="92" spans="6:36" x14ac:dyDescent="0.3">
      <c r="F92" s="16"/>
      <c r="G92" s="16" t="str">
        <v/>
      </c>
      <c r="H92" s="16" t="str">
        <v/>
      </c>
      <c r="I92" s="16" t="str">
        <v/>
      </c>
      <c r="J92" s="66" t="str">
        <v/>
      </c>
      <c r="K92" s="66" t="str">
        <v/>
      </c>
      <c r="L92" s="66" t="str">
        <v/>
      </c>
      <c r="M92" s="66" t="str">
        <v/>
      </c>
      <c r="N92" s="66" t="str">
        <v/>
      </c>
      <c r="O92" s="65" t="str">
        <v/>
      </c>
      <c r="P92" s="67" t="str">
        <v/>
      </c>
      <c r="S92" s="80">
        <f t="shared" si="18"/>
        <v>0</v>
      </c>
      <c r="T92" s="71" t="str">
        <f t="shared" si="19"/>
        <v/>
      </c>
      <c r="U92" s="71" t="str">
        <f t="shared" si="20"/>
        <v/>
      </c>
      <c r="W92" s="16"/>
      <c r="X92" s="16"/>
      <c r="Y92" s="16"/>
      <c r="Z92" s="16"/>
    </row>
    <row r="93" spans="6:36" x14ac:dyDescent="0.3">
      <c r="F93" s="16"/>
      <c r="G93" s="16" t="str">
        <v/>
      </c>
      <c r="H93" s="16" t="str">
        <v/>
      </c>
      <c r="I93" s="16" t="str">
        <v/>
      </c>
      <c r="J93" s="66" t="str">
        <v/>
      </c>
      <c r="K93" s="66" t="str">
        <v/>
      </c>
      <c r="L93" s="66" t="str">
        <v/>
      </c>
      <c r="M93" s="66" t="str">
        <v/>
      </c>
      <c r="N93" s="66" t="str">
        <v/>
      </c>
      <c r="O93" s="65" t="str">
        <v/>
      </c>
      <c r="P93" s="67" t="str">
        <v/>
      </c>
      <c r="S93" s="80">
        <f t="shared" si="18"/>
        <v>0</v>
      </c>
      <c r="T93" s="71" t="str">
        <f t="shared" si="19"/>
        <v/>
      </c>
      <c r="U93" s="71" t="str">
        <f t="shared" si="20"/>
        <v/>
      </c>
      <c r="W93" s="16"/>
      <c r="X93" s="16"/>
      <c r="Y93" s="16"/>
      <c r="Z93" s="16"/>
    </row>
    <row r="94" spans="6:36" x14ac:dyDescent="0.3">
      <c r="F94" s="16"/>
      <c r="G94" s="16" t="str">
        <v/>
      </c>
      <c r="H94" s="16" t="str">
        <v/>
      </c>
      <c r="I94" s="16" t="str">
        <v/>
      </c>
      <c r="J94" s="66" t="str">
        <v/>
      </c>
      <c r="K94" s="66" t="str">
        <v/>
      </c>
      <c r="L94" s="66" t="str">
        <v/>
      </c>
      <c r="M94" s="66" t="str">
        <v/>
      </c>
      <c r="N94" s="66" t="str">
        <v/>
      </c>
      <c r="O94" s="65" t="str">
        <v/>
      </c>
      <c r="P94" s="67" t="str">
        <v/>
      </c>
      <c r="S94" s="80">
        <f t="shared" si="18"/>
        <v>0</v>
      </c>
      <c r="T94" s="71" t="str">
        <f t="shared" si="19"/>
        <v/>
      </c>
      <c r="U94" s="71" t="str">
        <f t="shared" si="20"/>
        <v/>
      </c>
      <c r="W94" s="16"/>
      <c r="X94" s="16"/>
      <c r="Y94" s="16"/>
      <c r="Z94" s="16"/>
    </row>
    <row r="95" spans="6:36" x14ac:dyDescent="0.3">
      <c r="F95" s="16"/>
      <c r="G95" s="16" t="str">
        <v/>
      </c>
      <c r="H95" s="16" t="str">
        <v/>
      </c>
      <c r="I95" s="16" t="str">
        <v/>
      </c>
      <c r="J95" s="66" t="str">
        <v/>
      </c>
      <c r="K95" s="66" t="str">
        <v/>
      </c>
      <c r="L95" s="66" t="str">
        <v/>
      </c>
      <c r="M95" s="66" t="str">
        <v/>
      </c>
      <c r="N95" s="66" t="str">
        <v/>
      </c>
      <c r="O95" s="65" t="str">
        <v/>
      </c>
      <c r="P95" s="67" t="str">
        <v/>
      </c>
      <c r="S95" s="80">
        <f t="shared" si="18"/>
        <v>0</v>
      </c>
      <c r="T95" s="71" t="str">
        <f t="shared" si="19"/>
        <v/>
      </c>
      <c r="U95" s="71" t="str">
        <f t="shared" si="20"/>
        <v/>
      </c>
      <c r="W95" s="16"/>
      <c r="X95" s="16"/>
      <c r="Y95" s="16"/>
      <c r="Z95" s="16"/>
    </row>
    <row r="96" spans="6:36" x14ac:dyDescent="0.3">
      <c r="F96" s="16"/>
      <c r="G96" s="16" t="str">
        <v/>
      </c>
      <c r="H96" s="16" t="str">
        <v/>
      </c>
      <c r="I96" s="16" t="str">
        <v/>
      </c>
      <c r="J96" s="66" t="str">
        <v/>
      </c>
      <c r="K96" s="66" t="str">
        <v/>
      </c>
      <c r="L96" s="66" t="str">
        <v/>
      </c>
      <c r="M96" s="66" t="str">
        <v/>
      </c>
      <c r="N96" s="66" t="str">
        <v/>
      </c>
      <c r="O96" s="65" t="str">
        <v/>
      </c>
      <c r="P96" s="67" t="str">
        <v/>
      </c>
      <c r="S96" s="80">
        <f t="shared" si="18"/>
        <v>0</v>
      </c>
      <c r="T96" s="71" t="str">
        <f t="shared" si="19"/>
        <v/>
      </c>
      <c r="U96" s="71" t="str">
        <f t="shared" si="20"/>
        <v/>
      </c>
      <c r="W96" s="16"/>
      <c r="X96" s="16"/>
      <c r="Y96" s="16"/>
      <c r="Z96" s="16"/>
    </row>
    <row r="97" spans="6:26" x14ac:dyDescent="0.3">
      <c r="F97" s="16"/>
      <c r="G97" s="16" t="str">
        <v/>
      </c>
      <c r="H97" s="16" t="str">
        <v/>
      </c>
      <c r="I97" s="16" t="str">
        <v/>
      </c>
      <c r="J97" s="66" t="str">
        <v/>
      </c>
      <c r="K97" s="66" t="str">
        <v/>
      </c>
      <c r="L97" s="66" t="str">
        <v/>
      </c>
      <c r="M97" s="66" t="str">
        <v/>
      </c>
      <c r="N97" s="66" t="str">
        <v/>
      </c>
      <c r="O97" s="65" t="str">
        <v/>
      </c>
      <c r="P97" s="67" t="str">
        <v/>
      </c>
      <c r="S97" s="80">
        <f t="shared" si="18"/>
        <v>0</v>
      </c>
      <c r="T97" s="71" t="str">
        <f t="shared" si="19"/>
        <v/>
      </c>
      <c r="U97" s="71" t="str">
        <f t="shared" si="20"/>
        <v/>
      </c>
      <c r="W97" s="16"/>
      <c r="X97" s="16"/>
      <c r="Y97" s="16"/>
      <c r="Z97" s="16"/>
    </row>
    <row r="98" spans="6:26" x14ac:dyDescent="0.3">
      <c r="F98" s="16"/>
      <c r="G98" s="16" t="str">
        <v/>
      </c>
      <c r="H98" s="16" t="str">
        <v/>
      </c>
      <c r="I98" s="16" t="str">
        <v/>
      </c>
      <c r="J98" s="66" t="str">
        <v/>
      </c>
      <c r="K98" s="66" t="str">
        <v/>
      </c>
      <c r="L98" s="66" t="str">
        <v/>
      </c>
      <c r="M98" s="66" t="str">
        <v/>
      </c>
      <c r="N98" s="66" t="str">
        <v/>
      </c>
      <c r="O98" s="65" t="str">
        <v/>
      </c>
      <c r="P98" s="67" t="str">
        <v/>
      </c>
      <c r="S98" s="80">
        <f t="shared" si="18"/>
        <v>0</v>
      </c>
      <c r="T98" s="71" t="str">
        <f t="shared" si="19"/>
        <v/>
      </c>
      <c r="U98" s="71" t="str">
        <f t="shared" si="20"/>
        <v/>
      </c>
      <c r="W98" s="16"/>
      <c r="X98" s="16"/>
      <c r="Y98" s="16"/>
      <c r="Z98" s="16"/>
    </row>
    <row r="99" spans="6:26" x14ac:dyDescent="0.3">
      <c r="F99" s="16"/>
      <c r="G99" s="16" t="str">
        <v/>
      </c>
      <c r="H99" s="16" t="str">
        <v/>
      </c>
      <c r="I99" s="16" t="str">
        <v/>
      </c>
      <c r="J99" s="66" t="str">
        <v/>
      </c>
      <c r="K99" s="66" t="str">
        <v/>
      </c>
      <c r="L99" s="66" t="str">
        <v/>
      </c>
      <c r="M99" s="66" t="str">
        <v/>
      </c>
      <c r="N99" s="66" t="str">
        <v/>
      </c>
      <c r="O99" s="65" t="str">
        <v/>
      </c>
      <c r="P99" s="67" t="str">
        <v/>
      </c>
      <c r="S99" s="80">
        <f t="shared" si="18"/>
        <v>0</v>
      </c>
      <c r="T99" s="71" t="str">
        <f t="shared" si="19"/>
        <v/>
      </c>
      <c r="U99" s="71" t="str">
        <f t="shared" si="20"/>
        <v/>
      </c>
      <c r="W99" s="16"/>
      <c r="X99" s="16"/>
      <c r="Y99" s="16"/>
      <c r="Z99" s="16"/>
    </row>
    <row r="100" spans="6:26" x14ac:dyDescent="0.3">
      <c r="F100" s="16"/>
      <c r="G100" s="16" t="str">
        <v/>
      </c>
      <c r="H100" s="16" t="str">
        <v/>
      </c>
      <c r="I100" s="16" t="str">
        <v/>
      </c>
      <c r="J100" s="66" t="str">
        <v/>
      </c>
      <c r="K100" s="66" t="str">
        <v/>
      </c>
      <c r="L100" s="66" t="str">
        <v/>
      </c>
      <c r="M100" s="66" t="str">
        <v/>
      </c>
      <c r="N100" s="66" t="str">
        <v/>
      </c>
      <c r="O100" s="65" t="str">
        <v/>
      </c>
      <c r="P100" s="67" t="str">
        <v/>
      </c>
      <c r="S100" s="80">
        <f t="shared" si="18"/>
        <v>0</v>
      </c>
      <c r="T100" s="71" t="str">
        <f t="shared" si="19"/>
        <v/>
      </c>
      <c r="U100" s="71" t="str">
        <f t="shared" si="20"/>
        <v/>
      </c>
      <c r="W100" s="16"/>
      <c r="X100" s="16"/>
      <c r="Y100" s="16"/>
      <c r="Z100" s="16"/>
    </row>
    <row r="101" spans="6:26" x14ac:dyDescent="0.3">
      <c r="F101" s="16"/>
      <c r="G101" s="16" t="str">
        <v/>
      </c>
      <c r="H101" s="16" t="str">
        <v/>
      </c>
      <c r="I101" s="16" t="str">
        <v/>
      </c>
      <c r="J101" s="66" t="str">
        <v/>
      </c>
      <c r="K101" s="66" t="str">
        <v/>
      </c>
      <c r="L101" s="66" t="str">
        <v/>
      </c>
      <c r="M101" s="66" t="str">
        <v/>
      </c>
      <c r="N101" s="66" t="str">
        <v/>
      </c>
      <c r="O101" s="65" t="str">
        <v/>
      </c>
      <c r="P101" s="67" t="str">
        <v/>
      </c>
      <c r="S101" s="80">
        <f t="shared" si="18"/>
        <v>0</v>
      </c>
      <c r="T101" s="71" t="str">
        <f t="shared" si="19"/>
        <v/>
      </c>
      <c r="U101" s="71" t="str">
        <f t="shared" si="20"/>
        <v/>
      </c>
      <c r="W101" s="16"/>
      <c r="X101" s="16"/>
      <c r="Y101" s="16"/>
      <c r="Z101" s="16"/>
    </row>
    <row r="102" spans="6:26" x14ac:dyDescent="0.3">
      <c r="F102" s="16"/>
      <c r="G102" s="16" t="str">
        <v/>
      </c>
      <c r="H102" s="16" t="str">
        <v/>
      </c>
      <c r="I102" s="16" t="str">
        <v/>
      </c>
      <c r="J102" s="66" t="str">
        <v/>
      </c>
      <c r="K102" s="66" t="str">
        <v/>
      </c>
      <c r="L102" s="66" t="str">
        <v/>
      </c>
      <c r="M102" s="66" t="str">
        <v/>
      </c>
      <c r="N102" s="66" t="str">
        <v/>
      </c>
      <c r="O102" s="65" t="str">
        <v/>
      </c>
      <c r="P102" s="67" t="str">
        <v/>
      </c>
      <c r="S102" s="80">
        <f t="shared" si="18"/>
        <v>0</v>
      </c>
      <c r="T102" s="71" t="str">
        <f t="shared" si="19"/>
        <v/>
      </c>
      <c r="U102" s="71" t="str">
        <f t="shared" si="20"/>
        <v/>
      </c>
      <c r="W102" s="16"/>
      <c r="X102" s="16"/>
      <c r="Y102" s="16"/>
      <c r="Z102" s="16"/>
    </row>
    <row r="103" spans="6:26" x14ac:dyDescent="0.3">
      <c r="F103" s="16"/>
      <c r="G103" s="16" t="str">
        <v/>
      </c>
      <c r="H103" s="16" t="str">
        <v/>
      </c>
      <c r="I103" s="16" t="str">
        <v/>
      </c>
      <c r="J103" s="66" t="str">
        <v/>
      </c>
      <c r="K103" s="66" t="str">
        <v/>
      </c>
      <c r="L103" s="66" t="str">
        <v/>
      </c>
      <c r="M103" s="66" t="str">
        <v/>
      </c>
      <c r="N103" s="66" t="str">
        <v/>
      </c>
      <c r="O103" s="65" t="str">
        <v/>
      </c>
      <c r="P103" s="67" t="str">
        <v/>
      </c>
      <c r="S103" s="80">
        <f t="shared" si="18"/>
        <v>0</v>
      </c>
      <c r="T103" s="71" t="str">
        <f t="shared" si="19"/>
        <v/>
      </c>
      <c r="U103" s="71" t="str">
        <f t="shared" si="20"/>
        <v/>
      </c>
      <c r="W103" s="16"/>
      <c r="X103" s="16"/>
      <c r="Y103" s="16"/>
      <c r="Z103" s="16"/>
    </row>
    <row r="104" spans="6:26" ht="17.25" thickBot="1" x14ac:dyDescent="0.35">
      <c r="F104" s="81"/>
      <c r="G104" s="82"/>
      <c r="H104" s="82" t="s">
        <v>109</v>
      </c>
      <c r="I104" s="82"/>
      <c r="J104" s="83"/>
      <c r="K104" s="83"/>
      <c r="L104" s="83"/>
      <c r="M104" s="83">
        <f>SUM(M79:M103)</f>
        <v>0</v>
      </c>
      <c r="N104" s="83">
        <f>SUM(N79:N103)</f>
        <v>0</v>
      </c>
      <c r="O104" s="84"/>
      <c r="P104" s="87"/>
      <c r="S104" s="85">
        <f>SUM(S79:S103)</f>
        <v>0</v>
      </c>
      <c r="T104" s="84"/>
      <c r="U104" s="86"/>
    </row>
  </sheetData>
  <autoFilter ref="W13:Z13" xr:uid="{4FD57F39-4185-4E1A-83F1-A191322583CB}">
    <sortState xmlns:xlrd2="http://schemas.microsoft.com/office/spreadsheetml/2017/richdata2" ref="W14:Z36">
      <sortCondition ref="W13"/>
    </sortState>
  </autoFilter>
  <phoneticPr fontId="3" type="noConversion"/>
  <pageMargins left="0.7" right="0.7" top="0.75" bottom="0.75" header="0.3" footer="0.3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0B64-0FF6-48ED-89F8-3824F30D1D52}">
  <sheetPr>
    <tabColor theme="9" tint="0.79998168889431442"/>
    <pageSetUpPr fitToPage="1"/>
  </sheetPr>
  <dimension ref="B3:S291"/>
  <sheetViews>
    <sheetView tabSelected="1" zoomScale="70" zoomScaleNormal="70" workbookViewId="0">
      <selection activeCell="G5" sqref="G5"/>
    </sheetView>
  </sheetViews>
  <sheetFormatPr defaultRowHeight="16.5" x14ac:dyDescent="0.3"/>
  <cols>
    <col min="3" max="3" width="16.625" customWidth="1"/>
    <col min="4" max="4" width="13.25" customWidth="1"/>
    <col min="5" max="5" width="14.125" bestFit="1" customWidth="1"/>
    <col min="6" max="6" width="12.5" bestFit="1" customWidth="1"/>
    <col min="7" max="7" width="14" customWidth="1"/>
    <col min="8" max="8" width="17.125" bestFit="1" customWidth="1"/>
    <col min="9" max="10" width="11.125" customWidth="1"/>
    <col min="11" max="11" width="14.625" customWidth="1"/>
    <col min="12" max="12" width="12.25" customWidth="1"/>
    <col min="13" max="13" width="14.75" customWidth="1"/>
    <col min="14" max="22" width="15.25" customWidth="1"/>
  </cols>
  <sheetData>
    <row r="3" spans="2:19" ht="26.25" x14ac:dyDescent="0.3">
      <c r="B3" s="258" t="s">
        <v>95</v>
      </c>
      <c r="C3" s="258"/>
      <c r="D3" s="258"/>
      <c r="E3" s="258"/>
      <c r="F3" s="258"/>
      <c r="G3" s="258"/>
      <c r="H3" s="258"/>
      <c r="I3" s="258"/>
      <c r="J3" s="258"/>
      <c r="K3" s="258"/>
      <c r="L3" s="258"/>
    </row>
    <row r="4" spans="2:19" ht="26.25" customHeight="1" x14ac:dyDescent="0.3"/>
    <row r="5" spans="2:19" ht="27.75" customHeight="1" x14ac:dyDescent="0.3">
      <c r="B5" s="75" t="s">
        <v>74</v>
      </c>
      <c r="C5" s="75"/>
      <c r="D5" s="75"/>
      <c r="K5" s="265">
        <f ca="1">TODAY()</f>
        <v>46097</v>
      </c>
      <c r="L5" s="265"/>
    </row>
    <row r="7" spans="2:19" s="4" customFormat="1" ht="18" customHeight="1" x14ac:dyDescent="0.3">
      <c r="B7" s="98" t="s">
        <v>42</v>
      </c>
      <c r="C7" s="255" t="str">
        <f>Data_Input!C5</f>
        <v>김명화</v>
      </c>
      <c r="D7" s="255"/>
      <c r="E7" s="255"/>
      <c r="F7" s="255"/>
      <c r="G7" s="255"/>
      <c r="H7" s="255"/>
      <c r="I7" s="255"/>
      <c r="J7" s="255"/>
      <c r="K7" s="255"/>
      <c r="L7" s="256"/>
      <c r="N7"/>
      <c r="O7"/>
      <c r="P7"/>
      <c r="Q7"/>
      <c r="R7"/>
      <c r="S7"/>
    </row>
    <row r="8" spans="2:19" s="4" customFormat="1" ht="18" customHeight="1" x14ac:dyDescent="0.3">
      <c r="B8" s="262" t="s">
        <v>77</v>
      </c>
      <c r="C8" s="96" t="s">
        <v>78</v>
      </c>
      <c r="D8" s="96" t="s">
        <v>85</v>
      </c>
      <c r="E8" s="96" t="s">
        <v>1</v>
      </c>
      <c r="F8" s="96" t="s">
        <v>71</v>
      </c>
      <c r="G8" s="96" t="s">
        <v>105</v>
      </c>
      <c r="H8" s="96" t="s">
        <v>70</v>
      </c>
      <c r="I8" s="270" t="s">
        <v>44</v>
      </c>
      <c r="J8" s="270"/>
      <c r="K8" s="96" t="s">
        <v>79</v>
      </c>
      <c r="L8" s="97" t="s">
        <v>107</v>
      </c>
      <c r="N8"/>
      <c r="O8"/>
      <c r="P8"/>
      <c r="Q8"/>
      <c r="R8"/>
      <c r="S8"/>
    </row>
    <row r="9" spans="2:19" s="4" customFormat="1" ht="18" customHeight="1" x14ac:dyDescent="0.3">
      <c r="B9" s="263"/>
      <c r="C9" s="52" t="str">
        <f>Data_Templet!B3</f>
        <v>연금저축</v>
      </c>
      <c r="D9" s="94">
        <f>IFERROR(IF(Data_Templet!D3&lt;&gt;"",Data_Templet!D3,""),"")</f>
        <v>0</v>
      </c>
      <c r="E9" s="52" t="str">
        <f>IFERROR(INDEX(DB_연금저축_History!C:C,MATCH(Data_Templet!$D3,DB_연금저축_History!$B:$B,0)),"")</f>
        <v/>
      </c>
      <c r="F9" s="77" t="str">
        <f>IFERROR(INDEX(DB_연금저축_History!E:E,MATCH(Data_Templet!$D3,DB_연금저축_History!$B:$B,0)),"")</f>
        <v/>
      </c>
      <c r="G9" s="77" t="str">
        <f>IFERROR(INDEX(DB_연금저축_History!F:F,MATCH(Data_Templet!$D3,DB_연금저축_History!$B:$B,0)),"")</f>
        <v/>
      </c>
      <c r="H9" s="77" t="str">
        <f>IFERROR(INDEX(DB_연금저축_History!D:D,MATCH(Data_Templet!$D3,DB_연금저축_History!$B:$B,0)),"")</f>
        <v/>
      </c>
      <c r="I9" s="254" t="str">
        <f>IFERROR(INDEX(DB_연금저축_History!I:I,MATCH(Data_Templet!$D3,DB_연금저축_History!$B:$B,0)),"")</f>
        <v/>
      </c>
      <c r="J9" s="254"/>
      <c r="K9" s="77" t="str">
        <f>IFERROR(INDEX(DB_연금저축_History!J:J,MATCH(Data_Templet!$D3,DB_연금저축_History!$B:$B,0)),"")</f>
        <v/>
      </c>
      <c r="L9" s="104" t="str">
        <f>IFERROR(INDEX(DB_연금저축_History!K:K,MATCH(Data_Templet!$D3,DB_연금저축_History!$B:$B,0)),"")</f>
        <v/>
      </c>
      <c r="M9" s="73"/>
      <c r="N9"/>
      <c r="O9"/>
      <c r="P9"/>
      <c r="Q9"/>
      <c r="R9"/>
      <c r="S9"/>
    </row>
    <row r="10" spans="2:19" s="4" customFormat="1" ht="18" customHeight="1" x14ac:dyDescent="0.3">
      <c r="B10" s="263"/>
      <c r="C10" s="99" t="str">
        <f>Data_Templet!B4</f>
        <v>IRP</v>
      </c>
      <c r="D10" s="100">
        <f>IFERROR(IF(Data_Templet!D4&lt;&gt;"",Data_Templet!D4,""),"")</f>
        <v>46064</v>
      </c>
      <c r="E10" s="99" t="str">
        <f>IFERROR(INDEX(DB_IRP_History!C:C,MATCH(Data_Templet!$D4,DB_IRP_History!$B:$B,0)),"")</f>
        <v>204-03-53***8</v>
      </c>
      <c r="F10" s="101">
        <f>IFERROR(INDEX(DB_IRP_History!E:E,MATCH(Data_Templet!$D4,DB_IRP_History!$B:$B,0)),"")</f>
        <v>300000</v>
      </c>
      <c r="G10" s="101" t="s">
        <v>106</v>
      </c>
      <c r="H10" s="101">
        <f>IFERROR(INDEX(DB_IRP_History!D:D,MATCH(Data_Templet!$D4,DB_IRP_History!$B:$B,0)),"")</f>
        <v>80000000</v>
      </c>
      <c r="I10" s="271">
        <f>IFERROR(INDEX(DB_IRP_History!H:H,MATCH(Data_Templet!$D4,DB_IRP_History!$B:$B,0)),"")</f>
        <v>122628271</v>
      </c>
      <c r="J10" s="271"/>
      <c r="K10" s="101">
        <f>IFERROR(INDEX(DB_IRP_History!I:I,MATCH(Data_Templet!$D4,DB_IRP_History!$B:$B,0)),"")</f>
        <v>26500109</v>
      </c>
      <c r="L10" s="201">
        <f>IFERROR(INDEX(DB_IRP_History!J:J,MATCH(Data_Templet!$D4,DB_IRP_History!$B:$B,0)),"")</f>
        <v>0.46779999999999999</v>
      </c>
      <c r="M10" s="73"/>
      <c r="N10"/>
      <c r="O10"/>
      <c r="P10"/>
      <c r="Q10"/>
      <c r="R10"/>
      <c r="S10"/>
    </row>
    <row r="11" spans="2:19" s="4" customFormat="1" ht="18" customHeight="1" x14ac:dyDescent="0.3">
      <c r="B11" s="263"/>
      <c r="C11" s="52" t="str">
        <f>Data_Templet!B5</f>
        <v>연금저축_거치</v>
      </c>
      <c r="D11" s="94">
        <f>IFERROR(IF(Data_Templet!D5&lt;&gt;"",Data_Templet!D5,""),"")</f>
        <v>0</v>
      </c>
      <c r="E11" s="52">
        <f>IFERROR(INDEX(DB_연금저축_거치_History!C:C,MATCH(Data_Templet!$D5,DB_연금저축_거치_History!$B:$B,0)),"")</f>
        <v>0</v>
      </c>
      <c r="F11" s="77">
        <f>IFERROR(INDEX(DB_연금저축_거치_History!E:E,MATCH(Data_Templet!$D5,DB_연금저축_거치_History!$B:$B,0)),"")</f>
        <v>0</v>
      </c>
      <c r="G11" s="77">
        <f>IFERROR(INDEX(DB_연금저축_거치_History!F:F,MATCH(Data_Templet!$D5,DB_연금저축_거치_History!$B:$B,0)),"")</f>
        <v>0</v>
      </c>
      <c r="H11" s="77">
        <f>IFERROR(INDEX(DB_연금저축_거치_History!D:D,MATCH(Data_Templet!$D5,DB_연금저축_거치_History!$B:$B,0)),"")</f>
        <v>0</v>
      </c>
      <c r="I11" s="254">
        <f>IFERROR(INDEX(DB_연금저축_거치_History!I:I,MATCH(Data_Templet!$D5,DB_연금저축_거치_History!$B:$B,0)),"")</f>
        <v>0</v>
      </c>
      <c r="J11" s="254"/>
      <c r="K11" s="77">
        <f>IFERROR(INDEX(DB_연금저축_거치_History!J:J,MATCH(Data_Templet!$D5,DB_연금저축_거치_History!$B:$B,0)),"")</f>
        <v>0</v>
      </c>
      <c r="L11" s="104">
        <f>IFERROR(INDEX(DB_연금저축_거치_History!K:K,MATCH(Data_Templet!$D5,DB_연금저축_거치_History!$B:$B,0)),"")</f>
        <v>0</v>
      </c>
      <c r="M11" s="73"/>
      <c r="N11"/>
      <c r="O11"/>
      <c r="P11"/>
      <c r="Q11"/>
      <c r="R11"/>
      <c r="S11"/>
    </row>
    <row r="12" spans="2:19" s="4" customFormat="1" ht="18" customHeight="1" thickBot="1" x14ac:dyDescent="0.35">
      <c r="B12" s="264"/>
      <c r="C12" s="259" t="s">
        <v>128</v>
      </c>
      <c r="D12" s="260"/>
      <c r="E12" s="261"/>
      <c r="F12" s="102">
        <f>SUM(F9:F11)</f>
        <v>300000</v>
      </c>
      <c r="G12" s="102">
        <f>SUM(G9:G11)</f>
        <v>0</v>
      </c>
      <c r="H12" s="102">
        <f t="shared" ref="H12:I12" si="0">SUM(H9:H11)</f>
        <v>80000000</v>
      </c>
      <c r="I12" s="272">
        <f t="shared" si="0"/>
        <v>122628271</v>
      </c>
      <c r="J12" s="272"/>
      <c r="K12" s="102">
        <f>SUM(K9:K11)</f>
        <v>26500109</v>
      </c>
      <c r="L12" s="103">
        <f>IFERROR(K12/H12,0)</f>
        <v>0.33125136249999998</v>
      </c>
      <c r="M12" s="73"/>
      <c r="N12"/>
      <c r="O12"/>
      <c r="P12"/>
      <c r="Q12"/>
      <c r="R12"/>
      <c r="S12"/>
    </row>
    <row r="14" spans="2:19" ht="27.75" customHeight="1" x14ac:dyDescent="0.3">
      <c r="B14" s="75" t="s">
        <v>96</v>
      </c>
      <c r="C14" s="75"/>
      <c r="D14" s="75"/>
    </row>
    <row r="16" spans="2:19" ht="20.25" x14ac:dyDescent="0.3">
      <c r="B16" s="145" t="s">
        <v>141</v>
      </c>
      <c r="C16" s="146"/>
      <c r="K16" s="230" t="s">
        <v>148</v>
      </c>
      <c r="L16" s="229" t="str">
        <f>IF(Data_Input!E2&lt;&gt;"",Data_Input!E2,"")</f>
        <v/>
      </c>
    </row>
    <row r="17" spans="2:13" ht="8.25" customHeight="1" x14ac:dyDescent="0.3"/>
    <row r="18" spans="2:13" ht="18" customHeight="1" x14ac:dyDescent="0.3">
      <c r="B18" s="108" t="s">
        <v>40</v>
      </c>
      <c r="C18" s="109" t="s">
        <v>47</v>
      </c>
      <c r="D18" s="109"/>
      <c r="E18" s="109"/>
      <c r="F18" s="109"/>
      <c r="G18" s="110" t="s">
        <v>97</v>
      </c>
      <c r="H18" s="110" t="s">
        <v>43</v>
      </c>
      <c r="I18" s="257" t="s">
        <v>44</v>
      </c>
      <c r="J18" s="257"/>
      <c r="K18" s="110" t="s">
        <v>45</v>
      </c>
      <c r="L18" s="111" t="s">
        <v>52</v>
      </c>
      <c r="M18" s="4"/>
    </row>
    <row r="19" spans="2:13" ht="18" customHeight="1" x14ac:dyDescent="0.3">
      <c r="B19" s="76">
        <f>IF(C19&gt;0,1,"")</f>
        <v>1</v>
      </c>
      <c r="C19" s="130" t="s">
        <v>129</v>
      </c>
      <c r="D19" s="131"/>
      <c r="E19" s="131"/>
      <c r="F19" s="132"/>
      <c r="G19" s="51" t="s">
        <v>120</v>
      </c>
      <c r="H19" s="118" t="str">
        <f>G9</f>
        <v/>
      </c>
      <c r="I19" s="266" t="str">
        <f>G9</f>
        <v/>
      </c>
      <c r="J19" s="246"/>
      <c r="K19" s="134" t="str">
        <f>IFERROR(I19-H19,"")</f>
        <v/>
      </c>
      <c r="L19" s="133">
        <v>0</v>
      </c>
      <c r="M19" s="73"/>
    </row>
    <row r="20" spans="2:13" ht="18" customHeight="1" x14ac:dyDescent="0.3">
      <c r="B20" s="76" t="str">
        <f>IF(OR(C20&lt;=0, C20=""),"", B19+1)</f>
        <v/>
      </c>
      <c r="C20" s="124" t="str">
        <f>IFERROR(IF(Data_Templet!H14&lt;&gt;"",Data_Templet!H14,""),"")</f>
        <v/>
      </c>
      <c r="D20" s="125"/>
      <c r="E20" s="125"/>
      <c r="F20" s="126"/>
      <c r="G20" s="52" t="str">
        <f>IFERROR(IF(Data_Templet!T14&lt;&gt;"",Data_Templet!T14,""),"")</f>
        <v/>
      </c>
      <c r="H20" s="77" t="str">
        <f>IFERROR(IF(Data_Templet!J14&lt;&gt;"",(Data_Templet!K14*Data_Templet!J14),""),"")</f>
        <v/>
      </c>
      <c r="I20" s="254" t="str">
        <f>IFERROR(IF(Data_Templet!M14&lt;&gt;"",Data_Templet!M14,""),"")</f>
        <v/>
      </c>
      <c r="J20" s="254"/>
      <c r="K20" s="113" t="str">
        <f>IFERROR(IF(Data_Templet!N14&lt;&gt;"",Data_Templet!N14,""),"")</f>
        <v/>
      </c>
      <c r="L20" s="112" t="str">
        <f>IFERROR(IF(Data_Templet!O14&lt;&gt;"",Data_Templet!O14,""),"")</f>
        <v/>
      </c>
      <c r="M20" s="73"/>
    </row>
    <row r="21" spans="2:13" ht="18" customHeight="1" x14ac:dyDescent="0.3">
      <c r="B21" s="76" t="str">
        <f t="shared" ref="B21:B43" si="1">IF(OR(C21&lt;=0, C21=""),"", B20+1)</f>
        <v/>
      </c>
      <c r="C21" s="124" t="str">
        <f>IFERROR(IF(Data_Templet!H15&lt;&gt;"",Data_Templet!H15,""),"")</f>
        <v/>
      </c>
      <c r="D21" s="125"/>
      <c r="E21" s="125"/>
      <c r="F21" s="126"/>
      <c r="G21" s="52" t="str">
        <f>IFERROR(IF(Data_Templet!T15&lt;&gt;"",Data_Templet!T15,""),"")</f>
        <v/>
      </c>
      <c r="H21" s="77" t="str">
        <f>IFERROR(IF(Data_Templet!J15&lt;&gt;"",(Data_Templet!K15*Data_Templet!J15),""),"")</f>
        <v/>
      </c>
      <c r="I21" s="254" t="str">
        <f>IFERROR(IF(Data_Templet!M15&lt;&gt;"",Data_Templet!M15,""),"")</f>
        <v/>
      </c>
      <c r="J21" s="254"/>
      <c r="K21" s="113" t="str">
        <f>IFERROR(IF(Data_Templet!N15&lt;&gt;"",Data_Templet!N15,""),"")</f>
        <v/>
      </c>
      <c r="L21" s="112" t="str">
        <f>IFERROR(IF(Data_Templet!O15&lt;&gt;"",Data_Templet!O15,""),"")</f>
        <v/>
      </c>
      <c r="M21" s="73"/>
    </row>
    <row r="22" spans="2:13" ht="18" customHeight="1" x14ac:dyDescent="0.3">
      <c r="B22" s="76" t="str">
        <f t="shared" si="1"/>
        <v/>
      </c>
      <c r="C22" s="124" t="str">
        <f>IFERROR(IF(Data_Templet!H16&lt;&gt;"",Data_Templet!H16,""),"")</f>
        <v/>
      </c>
      <c r="D22" s="125"/>
      <c r="E22" s="125"/>
      <c r="F22" s="126"/>
      <c r="G22" s="52" t="str">
        <f>IFERROR(IF(Data_Templet!T16&lt;&gt;"",Data_Templet!T16,""),"")</f>
        <v/>
      </c>
      <c r="H22" s="77" t="str">
        <f>IFERROR(IF(Data_Templet!J16&lt;&gt;"",(Data_Templet!K16*Data_Templet!J16),""),"")</f>
        <v/>
      </c>
      <c r="I22" s="254" t="str">
        <f>IFERROR(IF(Data_Templet!M16&lt;&gt;"",Data_Templet!M16,""),"")</f>
        <v/>
      </c>
      <c r="J22" s="254"/>
      <c r="K22" s="113" t="str">
        <f>IFERROR(IF(Data_Templet!N16&lt;&gt;"",Data_Templet!N16,""),"")</f>
        <v/>
      </c>
      <c r="L22" s="112" t="str">
        <f>IFERROR(IF(Data_Templet!O16&lt;&gt;"",Data_Templet!O16,""),"")</f>
        <v/>
      </c>
      <c r="M22" s="73"/>
    </row>
    <row r="23" spans="2:13" ht="18" customHeight="1" x14ac:dyDescent="0.3">
      <c r="B23" s="76" t="str">
        <f t="shared" si="1"/>
        <v/>
      </c>
      <c r="C23" s="124" t="str">
        <f>IFERROR(IF(Data_Templet!H17&lt;&gt;"",Data_Templet!H17,""),"")</f>
        <v/>
      </c>
      <c r="D23" s="125"/>
      <c r="E23" s="125"/>
      <c r="F23" s="126"/>
      <c r="G23" s="52" t="str">
        <f>IFERROR(IF(Data_Templet!T17&lt;&gt;"",Data_Templet!T17,""),"")</f>
        <v/>
      </c>
      <c r="H23" s="77" t="str">
        <f>IFERROR(IF(Data_Templet!J17&lt;&gt;"",(Data_Templet!K17*Data_Templet!J17),""),"")</f>
        <v/>
      </c>
      <c r="I23" s="254" t="str">
        <f>IFERROR(IF(Data_Templet!M17&lt;&gt;"",Data_Templet!M17,""),"")</f>
        <v/>
      </c>
      <c r="J23" s="254"/>
      <c r="K23" s="113" t="str">
        <f>IFERROR(IF(Data_Templet!N17&lt;&gt;"",Data_Templet!N17,""),"")</f>
        <v/>
      </c>
      <c r="L23" s="112" t="str">
        <f>IFERROR(IF(Data_Templet!O17&lt;&gt;"",Data_Templet!O17,""),"")</f>
        <v/>
      </c>
      <c r="M23" s="73"/>
    </row>
    <row r="24" spans="2:13" ht="18" customHeight="1" x14ac:dyDescent="0.3">
      <c r="B24" s="76" t="str">
        <f t="shared" si="1"/>
        <v/>
      </c>
      <c r="C24" s="124" t="str">
        <f>IFERROR(IF(Data_Templet!H18&lt;&gt;"",Data_Templet!H18,""),"")</f>
        <v/>
      </c>
      <c r="D24" s="125"/>
      <c r="E24" s="125"/>
      <c r="F24" s="126"/>
      <c r="G24" s="52" t="str">
        <f>IFERROR(IF(Data_Templet!T18&lt;&gt;"",Data_Templet!T18,""),"")</f>
        <v/>
      </c>
      <c r="H24" s="77" t="str">
        <f>IFERROR(IF(Data_Templet!J18&lt;&gt;"",(Data_Templet!K18*Data_Templet!J18),""),"")</f>
        <v/>
      </c>
      <c r="I24" s="254" t="str">
        <f>IFERROR(IF(Data_Templet!M18&lt;&gt;"",Data_Templet!M18,""),"")</f>
        <v/>
      </c>
      <c r="J24" s="254"/>
      <c r="K24" s="113" t="str">
        <f>IFERROR(IF(Data_Templet!N18&lt;&gt;"",Data_Templet!N18,""),"")</f>
        <v/>
      </c>
      <c r="L24" s="112" t="str">
        <f>IFERROR(IF(Data_Templet!O18&lt;&gt;"",Data_Templet!O18,""),"")</f>
        <v/>
      </c>
      <c r="M24" s="73"/>
    </row>
    <row r="25" spans="2:13" ht="18" customHeight="1" x14ac:dyDescent="0.3">
      <c r="B25" s="76" t="str">
        <f t="shared" si="1"/>
        <v/>
      </c>
      <c r="C25" s="124" t="str">
        <f>IFERROR(IF(Data_Templet!H19&lt;&gt;"",Data_Templet!H19,""),"")</f>
        <v/>
      </c>
      <c r="D25" s="125"/>
      <c r="E25" s="125"/>
      <c r="F25" s="126"/>
      <c r="G25" s="52" t="str">
        <f>IFERROR(IF(Data_Templet!T19&lt;&gt;"",Data_Templet!T19,""),"")</f>
        <v/>
      </c>
      <c r="H25" s="77" t="str">
        <f>IFERROR(IF(Data_Templet!J19&lt;&gt;"",(Data_Templet!K19*Data_Templet!J19),""),"")</f>
        <v/>
      </c>
      <c r="I25" s="254" t="str">
        <f>IFERROR(IF(Data_Templet!M19&lt;&gt;"",Data_Templet!M19,""),"")</f>
        <v/>
      </c>
      <c r="J25" s="254"/>
      <c r="K25" s="113" t="str">
        <f>IFERROR(IF(Data_Templet!N19&lt;&gt;"",Data_Templet!N19,""),"")</f>
        <v/>
      </c>
      <c r="L25" s="112" t="str">
        <f>IFERROR(IF(Data_Templet!O19&lt;&gt;"",Data_Templet!O19,""),"")</f>
        <v/>
      </c>
      <c r="M25" s="73"/>
    </row>
    <row r="26" spans="2:13" ht="18" customHeight="1" x14ac:dyDescent="0.3">
      <c r="B26" s="76" t="str">
        <f t="shared" si="1"/>
        <v/>
      </c>
      <c r="C26" s="124" t="str">
        <f>IFERROR(IF(Data_Templet!H20&lt;&gt;"",Data_Templet!H20,""),"")</f>
        <v/>
      </c>
      <c r="D26" s="125"/>
      <c r="E26" s="125"/>
      <c r="F26" s="126"/>
      <c r="G26" s="52" t="str">
        <f>IFERROR(IF(Data_Templet!T20&lt;&gt;"",Data_Templet!T20,""),"")</f>
        <v/>
      </c>
      <c r="H26" s="77" t="str">
        <f>IFERROR(IF(Data_Templet!J20&lt;&gt;"",(Data_Templet!K20*Data_Templet!J20),""),"")</f>
        <v/>
      </c>
      <c r="I26" s="254" t="str">
        <f>IFERROR(IF(Data_Templet!M20&lt;&gt;"",Data_Templet!M20,""),"")</f>
        <v/>
      </c>
      <c r="J26" s="254"/>
      <c r="K26" s="113" t="str">
        <f>IFERROR(IF(Data_Templet!N20&lt;&gt;"",Data_Templet!N20,""),"")</f>
        <v/>
      </c>
      <c r="L26" s="112" t="str">
        <f>IFERROR(IF(Data_Templet!O20&lt;&gt;"",Data_Templet!O20,""),"")</f>
        <v/>
      </c>
      <c r="M26" s="73"/>
    </row>
    <row r="27" spans="2:13" ht="18" hidden="1" customHeight="1" x14ac:dyDescent="0.3">
      <c r="B27" s="76" t="str">
        <f t="shared" si="1"/>
        <v/>
      </c>
      <c r="C27" s="124" t="str">
        <f>IFERROR(IF(Data_Templet!H21&lt;&gt;"",Data_Templet!H21,""),"")</f>
        <v/>
      </c>
      <c r="D27" s="125"/>
      <c r="E27" s="125"/>
      <c r="F27" s="126"/>
      <c r="G27" s="52" t="str">
        <f>IFERROR(IF(Data_Templet!T21&lt;&gt;"",Data_Templet!T21,""),"")</f>
        <v/>
      </c>
      <c r="H27" s="77" t="str">
        <f>IFERROR(IF(Data_Templet!J21&lt;&gt;"",(Data_Templet!K21*Data_Templet!J21),""),"")</f>
        <v/>
      </c>
      <c r="I27" s="254" t="str">
        <f>IFERROR(IF(Data_Templet!M21&lt;&gt;"",Data_Templet!M21,""),"")</f>
        <v/>
      </c>
      <c r="J27" s="254"/>
      <c r="K27" s="113" t="str">
        <f>IFERROR(IF(Data_Templet!N21&lt;&gt;"",Data_Templet!N21,""),"")</f>
        <v/>
      </c>
      <c r="L27" s="112" t="str">
        <f>IFERROR(IF(Data_Templet!O21&lt;&gt;"",Data_Templet!O21,""),"")</f>
        <v/>
      </c>
      <c r="M27" s="73"/>
    </row>
    <row r="28" spans="2:13" ht="18" hidden="1" customHeight="1" x14ac:dyDescent="0.3">
      <c r="B28" s="76" t="str">
        <f t="shared" si="1"/>
        <v/>
      </c>
      <c r="C28" s="124" t="str">
        <f>IFERROR(IF(Data_Templet!H22&lt;&gt;"",Data_Templet!H22,""),"")</f>
        <v/>
      </c>
      <c r="D28" s="125"/>
      <c r="E28" s="125"/>
      <c r="F28" s="126"/>
      <c r="G28" s="52" t="str">
        <f>IFERROR(IF(Data_Templet!T22&lt;&gt;"",Data_Templet!T22,""),"")</f>
        <v/>
      </c>
      <c r="H28" s="77" t="str">
        <f>IFERROR(IF(Data_Templet!J22&lt;&gt;"",(Data_Templet!K22*Data_Templet!J22),""),"")</f>
        <v/>
      </c>
      <c r="I28" s="254" t="str">
        <f>IFERROR(IF(Data_Templet!M22&lt;&gt;"",Data_Templet!M22,""),"")</f>
        <v/>
      </c>
      <c r="J28" s="254"/>
      <c r="K28" s="113" t="str">
        <f>IFERROR(IF(Data_Templet!N22&lt;&gt;"",Data_Templet!N22,""),"")</f>
        <v/>
      </c>
      <c r="L28" s="112" t="str">
        <f>IFERROR(IF(Data_Templet!O22&lt;&gt;"",Data_Templet!O22,""),"")</f>
        <v/>
      </c>
      <c r="M28" s="73"/>
    </row>
    <row r="29" spans="2:13" ht="18" hidden="1" customHeight="1" x14ac:dyDescent="0.3">
      <c r="B29" s="76" t="str">
        <f t="shared" si="1"/>
        <v/>
      </c>
      <c r="C29" s="124" t="str">
        <f>IFERROR(IF(Data_Templet!H23&lt;&gt;"",Data_Templet!H23,""),"")</f>
        <v/>
      </c>
      <c r="D29" s="125"/>
      <c r="E29" s="125"/>
      <c r="F29" s="126"/>
      <c r="G29" s="52" t="str">
        <f>IFERROR(IF(Data_Templet!T23&lt;&gt;"",Data_Templet!T23,""),"")</f>
        <v/>
      </c>
      <c r="H29" s="77" t="str">
        <f>IFERROR(IF(Data_Templet!J23&lt;&gt;"",(Data_Templet!K23*Data_Templet!J23),""),"")</f>
        <v/>
      </c>
      <c r="I29" s="254" t="str">
        <f>IFERROR(IF(Data_Templet!M23&lt;&gt;"",Data_Templet!M23,""),"")</f>
        <v/>
      </c>
      <c r="J29" s="254"/>
      <c r="K29" s="113" t="str">
        <f>IFERROR(IF(Data_Templet!N23&lt;&gt;"",Data_Templet!N23,""),"")</f>
        <v/>
      </c>
      <c r="L29" s="112" t="str">
        <f>IFERROR(IF(Data_Templet!O23&lt;&gt;"",Data_Templet!O23,""),"")</f>
        <v/>
      </c>
      <c r="M29" s="73"/>
    </row>
    <row r="30" spans="2:13" ht="18" hidden="1" customHeight="1" x14ac:dyDescent="0.3">
      <c r="B30" s="76" t="str">
        <f t="shared" si="1"/>
        <v/>
      </c>
      <c r="C30" s="124" t="str">
        <f>IFERROR(IF(Data_Templet!H24&lt;&gt;"",Data_Templet!H24,""),"")</f>
        <v/>
      </c>
      <c r="D30" s="125"/>
      <c r="E30" s="125"/>
      <c r="F30" s="126"/>
      <c r="G30" s="52" t="str">
        <f>IFERROR(IF(Data_Templet!T24&lt;&gt;"",Data_Templet!T24,""),"")</f>
        <v/>
      </c>
      <c r="H30" s="77" t="str">
        <f>IFERROR(IF(Data_Templet!J24&lt;&gt;"",(Data_Templet!K24*Data_Templet!J24),""),"")</f>
        <v/>
      </c>
      <c r="I30" s="254" t="str">
        <f>IFERROR(IF(Data_Templet!M24&lt;&gt;"",Data_Templet!M24,""),"")</f>
        <v/>
      </c>
      <c r="J30" s="254"/>
      <c r="K30" s="113" t="str">
        <f>IFERROR(IF(Data_Templet!N24&lt;&gt;"",Data_Templet!N24,""),"")</f>
        <v/>
      </c>
      <c r="L30" s="112" t="str">
        <f>IFERROR(IF(Data_Templet!O24&lt;&gt;"",Data_Templet!O24,""),"")</f>
        <v/>
      </c>
      <c r="M30" s="73"/>
    </row>
    <row r="31" spans="2:13" ht="18" hidden="1" customHeight="1" x14ac:dyDescent="0.3">
      <c r="B31" s="76" t="str">
        <f t="shared" si="1"/>
        <v/>
      </c>
      <c r="C31" s="124" t="str">
        <f>IFERROR(IF(Data_Templet!H25&lt;&gt;"",Data_Templet!H25,""),"")</f>
        <v/>
      </c>
      <c r="D31" s="125"/>
      <c r="E31" s="125"/>
      <c r="F31" s="126"/>
      <c r="G31" s="52" t="str">
        <f>IFERROR(IF(Data_Templet!T25&lt;&gt;"",Data_Templet!T25,""),"")</f>
        <v/>
      </c>
      <c r="H31" s="77" t="str">
        <f>IFERROR(IF(Data_Templet!J25&lt;&gt;"",(Data_Templet!K25*Data_Templet!J25),""),"")</f>
        <v/>
      </c>
      <c r="I31" s="254" t="str">
        <f>IFERROR(IF(Data_Templet!M25&lt;&gt;"",Data_Templet!M25,""),"")</f>
        <v/>
      </c>
      <c r="J31" s="254"/>
      <c r="K31" s="113" t="str">
        <f>IFERROR(IF(Data_Templet!N25&lt;&gt;"",Data_Templet!N25,""),"")</f>
        <v/>
      </c>
      <c r="L31" s="112" t="str">
        <f>IFERROR(IF(Data_Templet!O25&lt;&gt;"",Data_Templet!O25,""),"")</f>
        <v/>
      </c>
      <c r="M31" s="73"/>
    </row>
    <row r="32" spans="2:13" ht="18" hidden="1" customHeight="1" x14ac:dyDescent="0.3">
      <c r="B32" s="76" t="str">
        <f t="shared" si="1"/>
        <v/>
      </c>
      <c r="C32" s="124" t="str">
        <f>IFERROR(IF(Data_Templet!H26&lt;&gt;"",Data_Templet!H26,""),"")</f>
        <v/>
      </c>
      <c r="D32" s="125"/>
      <c r="E32" s="125"/>
      <c r="F32" s="126"/>
      <c r="G32" s="52" t="str">
        <f>IFERROR(IF(Data_Templet!T26&lt;&gt;"",Data_Templet!T26,""),"")</f>
        <v/>
      </c>
      <c r="H32" s="77" t="str">
        <f>IFERROR(IF(Data_Templet!J26&lt;&gt;"",(Data_Templet!K26*Data_Templet!J26),""),"")</f>
        <v/>
      </c>
      <c r="I32" s="254" t="str">
        <f>IFERROR(IF(Data_Templet!M26&lt;&gt;"",Data_Templet!M26,""),"")</f>
        <v/>
      </c>
      <c r="J32" s="254"/>
      <c r="K32" s="113" t="str">
        <f>IFERROR(IF(Data_Templet!N26&lt;&gt;"",Data_Templet!N26,""),"")</f>
        <v/>
      </c>
      <c r="L32" s="112" t="str">
        <f>IFERROR(IF(Data_Templet!O26&lt;&gt;"",Data_Templet!O26,""),"")</f>
        <v/>
      </c>
      <c r="M32" s="73"/>
    </row>
    <row r="33" spans="2:13" ht="18" hidden="1" customHeight="1" x14ac:dyDescent="0.3">
      <c r="B33" s="76" t="str">
        <f t="shared" si="1"/>
        <v/>
      </c>
      <c r="C33" s="124" t="str">
        <f>IFERROR(IF(Data_Templet!H27&lt;&gt;"",Data_Templet!H27,""),"")</f>
        <v/>
      </c>
      <c r="D33" s="125"/>
      <c r="E33" s="125"/>
      <c r="F33" s="126"/>
      <c r="G33" s="52" t="str">
        <f>IFERROR(IF(Data_Templet!T27&lt;&gt;"",Data_Templet!T27,""),"")</f>
        <v/>
      </c>
      <c r="H33" s="77" t="str">
        <f>IFERROR(IF(Data_Templet!J27&lt;&gt;"",(Data_Templet!K27*Data_Templet!J27),""),"")</f>
        <v/>
      </c>
      <c r="I33" s="254" t="str">
        <f>IFERROR(IF(Data_Templet!M27&lt;&gt;"",Data_Templet!M27,""),"")</f>
        <v/>
      </c>
      <c r="J33" s="254"/>
      <c r="K33" s="113" t="str">
        <f>IFERROR(IF(Data_Templet!N27&lt;&gt;"",Data_Templet!N27,""),"")</f>
        <v/>
      </c>
      <c r="L33" s="112" t="str">
        <f>IFERROR(IF(Data_Templet!O27&lt;&gt;"",Data_Templet!O27,""),"")</f>
        <v/>
      </c>
      <c r="M33" s="73"/>
    </row>
    <row r="34" spans="2:13" ht="18" hidden="1" customHeight="1" x14ac:dyDescent="0.3">
      <c r="B34" s="76" t="str">
        <f t="shared" si="1"/>
        <v/>
      </c>
      <c r="C34" s="124" t="str">
        <f>IFERROR(IF(Data_Templet!H28&lt;&gt;"",Data_Templet!H28,""),"")</f>
        <v/>
      </c>
      <c r="D34" s="125"/>
      <c r="E34" s="125"/>
      <c r="F34" s="126"/>
      <c r="G34" s="52" t="str">
        <f>IFERROR(IF(Data_Templet!T28&lt;&gt;"",Data_Templet!T28,""),"")</f>
        <v/>
      </c>
      <c r="H34" s="77" t="str">
        <f>IFERROR(IF(Data_Templet!J28&lt;&gt;"",(Data_Templet!K28*Data_Templet!J28),""),"")</f>
        <v/>
      </c>
      <c r="I34" s="254" t="str">
        <f>IFERROR(IF(Data_Templet!M28&lt;&gt;"",Data_Templet!M28,""),"")</f>
        <v/>
      </c>
      <c r="J34" s="254"/>
      <c r="K34" s="113" t="str">
        <f>IFERROR(IF(Data_Templet!N28&lt;&gt;"",Data_Templet!N28,""),"")</f>
        <v/>
      </c>
      <c r="L34" s="112" t="str">
        <f>IFERROR(IF(Data_Templet!O28&lt;&gt;"",Data_Templet!O28,""),"")</f>
        <v/>
      </c>
      <c r="M34" s="73"/>
    </row>
    <row r="35" spans="2:13" ht="18" hidden="1" customHeight="1" x14ac:dyDescent="0.3">
      <c r="B35" s="76" t="str">
        <f t="shared" si="1"/>
        <v/>
      </c>
      <c r="C35" s="124" t="str">
        <f>IFERROR(IF(Data_Templet!H29&lt;&gt;"",Data_Templet!H29,""),"")</f>
        <v/>
      </c>
      <c r="D35" s="125"/>
      <c r="E35" s="125"/>
      <c r="F35" s="126"/>
      <c r="G35" s="52" t="str">
        <f>IFERROR(IF(Data_Templet!T29&lt;&gt;"",Data_Templet!T29,""),"")</f>
        <v/>
      </c>
      <c r="H35" s="77" t="str">
        <f>IFERROR(IF(Data_Templet!J29&lt;&gt;"",(Data_Templet!K29*Data_Templet!J29),""),"")</f>
        <v/>
      </c>
      <c r="I35" s="254" t="str">
        <f>IFERROR(IF(Data_Templet!M29&lt;&gt;"",Data_Templet!M29,""),"")</f>
        <v/>
      </c>
      <c r="J35" s="254"/>
      <c r="K35" s="113" t="str">
        <f>IFERROR(IF(Data_Templet!N29&lt;&gt;"",Data_Templet!N29,""),"")</f>
        <v/>
      </c>
      <c r="L35" s="112" t="str">
        <f>IFERROR(IF(Data_Templet!O29&lt;&gt;"",Data_Templet!O29,""),"")</f>
        <v/>
      </c>
      <c r="M35" s="73"/>
    </row>
    <row r="36" spans="2:13" ht="18" hidden="1" customHeight="1" x14ac:dyDescent="0.3">
      <c r="B36" s="76" t="str">
        <f t="shared" si="1"/>
        <v/>
      </c>
      <c r="C36" s="124" t="str">
        <f>IFERROR(IF(Data_Templet!H30&lt;&gt;"",Data_Templet!H30,""),"")</f>
        <v/>
      </c>
      <c r="D36" s="125"/>
      <c r="E36" s="125"/>
      <c r="F36" s="126"/>
      <c r="G36" s="52" t="str">
        <f>IFERROR(IF(Data_Templet!T30&lt;&gt;"",Data_Templet!T30,""),"")</f>
        <v/>
      </c>
      <c r="H36" s="77" t="str">
        <f>IFERROR(IF(Data_Templet!J30&lt;&gt;"",(Data_Templet!K30*Data_Templet!J30),""),"")</f>
        <v/>
      </c>
      <c r="I36" s="254" t="str">
        <f>IFERROR(IF(Data_Templet!M30&lt;&gt;"",Data_Templet!M30,""),"")</f>
        <v/>
      </c>
      <c r="J36" s="254"/>
      <c r="K36" s="113" t="str">
        <f>IFERROR(IF(Data_Templet!N30&lt;&gt;"",Data_Templet!N30,""),"")</f>
        <v/>
      </c>
      <c r="L36" s="112" t="str">
        <f>IFERROR(IF(Data_Templet!O30&lt;&gt;"",Data_Templet!O30,""),"")</f>
        <v/>
      </c>
      <c r="M36" s="73"/>
    </row>
    <row r="37" spans="2:13" ht="18" hidden="1" customHeight="1" x14ac:dyDescent="0.3">
      <c r="B37" s="76" t="str">
        <f t="shared" si="1"/>
        <v/>
      </c>
      <c r="C37" s="124" t="str">
        <f>IFERROR(IF(Data_Templet!H31&lt;&gt;"",Data_Templet!H31,""),"")</f>
        <v/>
      </c>
      <c r="D37" s="125"/>
      <c r="E37" s="125"/>
      <c r="F37" s="126"/>
      <c r="G37" s="52" t="str">
        <f>IFERROR(IF(Data_Templet!T31&lt;&gt;"",Data_Templet!T31,""),"")</f>
        <v/>
      </c>
      <c r="H37" s="77" t="str">
        <f>IFERROR(IF(Data_Templet!J31&lt;&gt;"",(Data_Templet!K31*Data_Templet!J31),""),"")</f>
        <v/>
      </c>
      <c r="I37" s="254" t="str">
        <f>IFERROR(IF(Data_Templet!M31&lt;&gt;"",Data_Templet!M31,""),"")</f>
        <v/>
      </c>
      <c r="J37" s="254"/>
      <c r="K37" s="113" t="str">
        <f>IFERROR(IF(Data_Templet!N31&lt;&gt;"",Data_Templet!N31,""),"")</f>
        <v/>
      </c>
      <c r="L37" s="112" t="str">
        <f>IFERROR(IF(Data_Templet!O31&lt;&gt;"",Data_Templet!O31,""),"")</f>
        <v/>
      </c>
      <c r="M37" s="73"/>
    </row>
    <row r="38" spans="2:13" ht="18" hidden="1" customHeight="1" x14ac:dyDescent="0.3">
      <c r="B38" s="76" t="str">
        <f t="shared" si="1"/>
        <v/>
      </c>
      <c r="C38" s="124" t="str">
        <f>IFERROR(IF(Data_Templet!H32&lt;&gt;"",Data_Templet!H32,""),"")</f>
        <v/>
      </c>
      <c r="D38" s="125"/>
      <c r="E38" s="125"/>
      <c r="F38" s="126"/>
      <c r="G38" s="52" t="str">
        <f>IFERROR(IF(Data_Templet!T32&lt;&gt;"",Data_Templet!T32,""),"")</f>
        <v/>
      </c>
      <c r="H38" s="77" t="str">
        <f>IFERROR(IF(Data_Templet!J32&lt;&gt;"",(Data_Templet!K32*Data_Templet!J32),""),"")</f>
        <v/>
      </c>
      <c r="I38" s="254" t="str">
        <f>IFERROR(IF(Data_Templet!M32&lt;&gt;"",Data_Templet!M32,""),"")</f>
        <v/>
      </c>
      <c r="J38" s="254"/>
      <c r="K38" s="113" t="str">
        <f>IFERROR(IF(Data_Templet!N32&lt;&gt;"",Data_Templet!N32,""),"")</f>
        <v/>
      </c>
      <c r="L38" s="112" t="str">
        <f>IFERROR(IF(Data_Templet!O32&lt;&gt;"",Data_Templet!O32,""),"")</f>
        <v/>
      </c>
      <c r="M38" s="73"/>
    </row>
    <row r="39" spans="2:13" ht="18" hidden="1" customHeight="1" x14ac:dyDescent="0.3">
      <c r="B39" s="76" t="str">
        <f t="shared" si="1"/>
        <v/>
      </c>
      <c r="C39" s="124" t="str">
        <f>IFERROR(IF(Data_Templet!H33&lt;&gt;"",Data_Templet!H33,""),"")</f>
        <v/>
      </c>
      <c r="D39" s="125"/>
      <c r="E39" s="125"/>
      <c r="F39" s="126"/>
      <c r="G39" s="52" t="str">
        <f>IFERROR(IF(Data_Templet!T33&lt;&gt;"",Data_Templet!T33,""),"")</f>
        <v/>
      </c>
      <c r="H39" s="77" t="str">
        <f>IFERROR(IF(Data_Templet!J33&lt;&gt;"",(Data_Templet!K33*Data_Templet!J33),""),"")</f>
        <v/>
      </c>
      <c r="I39" s="254" t="str">
        <f>IFERROR(IF(Data_Templet!M33&lt;&gt;"",Data_Templet!M33,""),"")</f>
        <v/>
      </c>
      <c r="J39" s="254"/>
      <c r="K39" s="113" t="str">
        <f>IFERROR(IF(Data_Templet!N33&lt;&gt;"",Data_Templet!N33,""),"")</f>
        <v/>
      </c>
      <c r="L39" s="112" t="str">
        <f>IFERROR(IF(Data_Templet!O33&lt;&gt;"",Data_Templet!O33,""),"")</f>
        <v/>
      </c>
      <c r="M39" s="73"/>
    </row>
    <row r="40" spans="2:13" ht="18" hidden="1" customHeight="1" x14ac:dyDescent="0.3">
      <c r="B40" s="76" t="str">
        <f t="shared" si="1"/>
        <v/>
      </c>
      <c r="C40" s="124" t="str">
        <f>IFERROR(IF(Data_Templet!H34&lt;&gt;"",Data_Templet!H34,""),"")</f>
        <v/>
      </c>
      <c r="D40" s="125"/>
      <c r="E40" s="125"/>
      <c r="F40" s="126"/>
      <c r="G40" s="52" t="str">
        <f>IFERROR(IF(Data_Templet!T34&lt;&gt;"",Data_Templet!T34,""),"")</f>
        <v/>
      </c>
      <c r="H40" s="77" t="str">
        <f>IFERROR(IF(Data_Templet!J34&lt;&gt;"",(Data_Templet!K34*Data_Templet!J34),""),"")</f>
        <v/>
      </c>
      <c r="I40" s="254" t="str">
        <f>IFERROR(IF(Data_Templet!M34&lt;&gt;"",Data_Templet!M34,""),"")</f>
        <v/>
      </c>
      <c r="J40" s="254"/>
      <c r="K40" s="113" t="str">
        <f>IFERROR(IF(Data_Templet!N34&lt;&gt;"",Data_Templet!N34,""),"")</f>
        <v/>
      </c>
      <c r="L40" s="112" t="str">
        <f>IFERROR(IF(Data_Templet!O34&lt;&gt;"",Data_Templet!O34,""),"")</f>
        <v/>
      </c>
      <c r="M40" s="73"/>
    </row>
    <row r="41" spans="2:13" ht="18" hidden="1" customHeight="1" x14ac:dyDescent="0.3">
      <c r="B41" s="76" t="str">
        <f t="shared" si="1"/>
        <v/>
      </c>
      <c r="C41" s="124" t="str">
        <f>IFERROR(IF(Data_Templet!H35&lt;&gt;"",Data_Templet!H35,""),"")</f>
        <v/>
      </c>
      <c r="D41" s="125"/>
      <c r="E41" s="125"/>
      <c r="F41" s="126"/>
      <c r="G41" s="52" t="str">
        <f>IFERROR(IF(Data_Templet!T35&lt;&gt;"",Data_Templet!T35,""),"")</f>
        <v/>
      </c>
      <c r="H41" s="77" t="str">
        <f>IFERROR(IF(Data_Templet!J35&lt;&gt;"",(Data_Templet!K35*Data_Templet!J35),""),"")</f>
        <v/>
      </c>
      <c r="I41" s="254" t="str">
        <f>IFERROR(IF(Data_Templet!M35&lt;&gt;"",Data_Templet!M35,""),"")</f>
        <v/>
      </c>
      <c r="J41" s="254"/>
      <c r="K41" s="113" t="str">
        <f>IFERROR(IF(Data_Templet!N35&lt;&gt;"",Data_Templet!N35,""),"")</f>
        <v/>
      </c>
      <c r="L41" s="112" t="str">
        <f>IFERROR(IF(Data_Templet!O35&lt;&gt;"",Data_Templet!O35,""),"")</f>
        <v/>
      </c>
      <c r="M41" s="73"/>
    </row>
    <row r="42" spans="2:13" ht="18" hidden="1" customHeight="1" x14ac:dyDescent="0.3">
      <c r="B42" s="76" t="str">
        <f t="shared" si="1"/>
        <v/>
      </c>
      <c r="C42" s="124" t="str">
        <f>IFERROR(IF(Data_Templet!H36&lt;&gt;"",Data_Templet!H36,""),"")</f>
        <v/>
      </c>
      <c r="D42" s="125"/>
      <c r="E42" s="125"/>
      <c r="F42" s="126"/>
      <c r="G42" s="52" t="str">
        <f>IFERROR(IF(Data_Templet!T36&lt;&gt;"",Data_Templet!T36,""),"")</f>
        <v/>
      </c>
      <c r="H42" s="77" t="str">
        <f>IFERROR(IF(Data_Templet!J36&lt;&gt;"",(Data_Templet!K36*Data_Templet!J36),""),"")</f>
        <v/>
      </c>
      <c r="I42" s="254" t="str">
        <f>IFERROR(IF(Data_Templet!M36&lt;&gt;"",Data_Templet!M36,""),"")</f>
        <v/>
      </c>
      <c r="J42" s="254"/>
      <c r="K42" s="113" t="str">
        <f>IFERROR(IF(Data_Templet!N36&lt;&gt;"",Data_Templet!N36,""),"")</f>
        <v/>
      </c>
      <c r="L42" s="112" t="str">
        <f>IFERROR(IF(Data_Templet!O36&lt;&gt;"",Data_Templet!O36,""),"")</f>
        <v/>
      </c>
      <c r="M42" s="73"/>
    </row>
    <row r="43" spans="2:13" ht="18" customHeight="1" x14ac:dyDescent="0.3">
      <c r="B43" s="76" t="str">
        <f t="shared" si="1"/>
        <v/>
      </c>
      <c r="C43" s="127" t="str">
        <f>IFERROR(IF(Data_Templet!H37&lt;&gt;"",Data_Templet!H37,""),"")</f>
        <v/>
      </c>
      <c r="D43" s="128"/>
      <c r="E43" s="128"/>
      <c r="F43" s="129"/>
      <c r="G43" s="55" t="str">
        <f>IFERROR(IF(Data_Templet!T37&lt;&gt;"",Data_Templet!T37,""),"")</f>
        <v/>
      </c>
      <c r="H43" s="121" t="str">
        <f>IFERROR(IF(Data_Templet!J37&lt;&gt;"",(Data_Templet!K37*Data_Templet!J37),""),"")</f>
        <v/>
      </c>
      <c r="I43" s="268" t="str">
        <f>IFERROR(IF(Data_Templet!M37&lt;&gt;"",Data_Templet!M37,""),"")</f>
        <v/>
      </c>
      <c r="J43" s="268"/>
      <c r="K43" s="122" t="str">
        <f>IFERROR(IF(Data_Templet!N37&lt;&gt;"",Data_Templet!N37,""),"")</f>
        <v/>
      </c>
      <c r="L43" s="123" t="str">
        <f>IFERROR(IF(Data_Templet!O37&lt;&gt;"",Data_Templet!O37,""),"")</f>
        <v/>
      </c>
      <c r="M43" s="73"/>
    </row>
    <row r="44" spans="2:13" ht="18" customHeight="1" thickBot="1" x14ac:dyDescent="0.35">
      <c r="B44" s="53"/>
      <c r="C44" s="114"/>
      <c r="D44" s="114"/>
      <c r="E44" s="114"/>
      <c r="F44" s="114"/>
      <c r="G44" s="54"/>
      <c r="H44" s="115">
        <f>SUM(H19:H43)</f>
        <v>0</v>
      </c>
      <c r="I44" s="269">
        <f>SUM(I19:I43)</f>
        <v>0</v>
      </c>
      <c r="J44" s="269"/>
      <c r="K44" s="115">
        <f>SUM(K19:K43)</f>
        <v>0</v>
      </c>
      <c r="L44" s="116" t="str">
        <f>IFERROR(K44/H44,"")</f>
        <v/>
      </c>
      <c r="M44" s="73"/>
    </row>
    <row r="46" spans="2:13" ht="20.25" x14ac:dyDescent="0.3">
      <c r="B46" s="145" t="s">
        <v>132</v>
      </c>
      <c r="C46" s="146"/>
      <c r="G46" s="145" t="s">
        <v>133</v>
      </c>
      <c r="H46" s="146"/>
    </row>
    <row r="47" spans="2:13" ht="8.25" customHeight="1" x14ac:dyDescent="0.3"/>
    <row r="62" spans="2:3" ht="20.25" x14ac:dyDescent="0.3">
      <c r="B62" s="145" t="s">
        <v>131</v>
      </c>
      <c r="C62" s="146"/>
    </row>
    <row r="63" spans="2:3" ht="8.25" customHeight="1" x14ac:dyDescent="0.3"/>
    <row r="64" spans="2:3" x14ac:dyDescent="0.3">
      <c r="B64" s="1"/>
    </row>
    <row r="77" spans="2:13" ht="20.25" x14ac:dyDescent="0.3">
      <c r="B77" s="145" t="s">
        <v>130</v>
      </c>
      <c r="C77" s="146"/>
    </row>
    <row r="78" spans="2:13" ht="8.25" customHeight="1" x14ac:dyDescent="0.3">
      <c r="J78" s="139">
        <v>1</v>
      </c>
      <c r="L78" s="144">
        <v>0</v>
      </c>
    </row>
    <row r="79" spans="2:13" ht="18" customHeight="1" x14ac:dyDescent="0.3">
      <c r="B79" s="98" t="s">
        <v>40</v>
      </c>
      <c r="C79" s="274" t="s">
        <v>47</v>
      </c>
      <c r="D79" s="275"/>
      <c r="E79" s="105" t="s">
        <v>113</v>
      </c>
      <c r="F79" s="105" t="s">
        <v>114</v>
      </c>
      <c r="G79" s="105" t="s">
        <v>44</v>
      </c>
      <c r="H79" s="105" t="s">
        <v>52</v>
      </c>
      <c r="I79" s="105" t="s">
        <v>115</v>
      </c>
      <c r="J79" s="106" t="s">
        <v>116</v>
      </c>
      <c r="K79" s="106" t="s">
        <v>117</v>
      </c>
      <c r="L79" s="107" t="s">
        <v>118</v>
      </c>
      <c r="M79" s="4"/>
    </row>
    <row r="80" spans="2:13" ht="18" customHeight="1" x14ac:dyDescent="0.3">
      <c r="B80" s="76">
        <f>IF(C80="","",1)</f>
        <v>1</v>
      </c>
      <c r="C80" s="119" t="s">
        <v>129</v>
      </c>
      <c r="D80" s="119"/>
      <c r="E80" s="37"/>
      <c r="F80" s="135" t="str">
        <f>G9</f>
        <v/>
      </c>
      <c r="G80" s="135" t="str">
        <f>G9</f>
        <v/>
      </c>
      <c r="H80" s="136">
        <f>L19</f>
        <v>0</v>
      </c>
      <c r="I80" s="117" t="str">
        <f t="shared" ref="I80:I87" si="2">IFERROR(IF(G80&gt;0,G80/$G$105,""),"")</f>
        <v/>
      </c>
      <c r="J80" s="141">
        <f>J78-SUM(J81:J104)</f>
        <v>1</v>
      </c>
      <c r="K80" s="113">
        <f>IFERROR(IF(J80&gt;0,J80*$G$105,0),"")</f>
        <v>0</v>
      </c>
      <c r="L80" s="140">
        <f>L78-SUM(L81:L104)</f>
        <v>0</v>
      </c>
    </row>
    <row r="81" spans="2:12" ht="18" customHeight="1" x14ac:dyDescent="0.3">
      <c r="B81" s="76" t="str">
        <f>IF(C81="","",B80+1)</f>
        <v/>
      </c>
      <c r="C81" s="267" t="str">
        <f>IFERROR(IF(Data_Templet!H14&lt;&gt;"",Data_Templet!H14,""),"")</f>
        <v/>
      </c>
      <c r="D81" s="267"/>
      <c r="E81" s="52" t="str">
        <f>IFERROR(IF(Data_Templet!I14&lt;&gt;"",Data_Templet!I14,""),"")</f>
        <v/>
      </c>
      <c r="F81" s="77" t="str">
        <f>IFERROR(IF(Data_Templet!L14&lt;&gt;"",Data_Templet!L14,""),"")</f>
        <v/>
      </c>
      <c r="G81" s="77" t="str">
        <f>IFERROR(IF(Data_Templet!M14&lt;&gt;"",Data_Templet!M14,""),"")</f>
        <v/>
      </c>
      <c r="H81" s="104" t="str">
        <f>IFERROR(IF(Data_Templet!O14&lt;&gt;"",Data_Templet!O14,""),"")</f>
        <v/>
      </c>
      <c r="I81" s="117" t="str">
        <f t="shared" si="2"/>
        <v/>
      </c>
      <c r="J81" s="142"/>
      <c r="K81" s="113">
        <f t="shared" ref="K81:K104" si="3">IFERROR(IF(J81&gt;0,J81*$G$105,0),"")</f>
        <v>0</v>
      </c>
      <c r="L81" s="140">
        <f>ROUND(IF(K81&gt;0,K81-G81,0),-4)</f>
        <v>0</v>
      </c>
    </row>
    <row r="82" spans="2:12" ht="18" customHeight="1" x14ac:dyDescent="0.3">
      <c r="B82" s="76" t="str">
        <f t="shared" ref="B82:B104" si="4">IF(C82="","",B81+1)</f>
        <v/>
      </c>
      <c r="C82" s="267" t="str">
        <f>IFERROR(IF(Data_Templet!H16&lt;&gt;"",Data_Templet!H16,""),"")</f>
        <v/>
      </c>
      <c r="D82" s="267"/>
      <c r="E82" s="52" t="str">
        <f>IFERROR(IF(Data_Templet!I16&lt;&gt;"",Data_Templet!I16,""),"")</f>
        <v/>
      </c>
      <c r="F82" s="77" t="str">
        <f>IFERROR(IF(Data_Templet!L16&lt;&gt;"",Data_Templet!L16,""),"")</f>
        <v/>
      </c>
      <c r="G82" s="77" t="str">
        <f>IFERROR(IF(Data_Templet!M16&lt;&gt;"",Data_Templet!M16,""),"")</f>
        <v/>
      </c>
      <c r="H82" s="104" t="str">
        <f>IFERROR(IF(Data_Templet!O16&lt;&gt;"",Data_Templet!O16,""),"")</f>
        <v/>
      </c>
      <c r="I82" s="117" t="str">
        <f t="shared" si="2"/>
        <v/>
      </c>
      <c r="J82" s="142"/>
      <c r="K82" s="113">
        <f t="shared" si="3"/>
        <v>0</v>
      </c>
      <c r="L82" s="140">
        <f t="shared" ref="L82:L104" si="5">ROUND(IF(K82&gt;0,K82-G82,0),-4)</f>
        <v>0</v>
      </c>
    </row>
    <row r="83" spans="2:12" ht="18" customHeight="1" x14ac:dyDescent="0.3">
      <c r="B83" s="76" t="str">
        <f t="shared" si="4"/>
        <v/>
      </c>
      <c r="C83" s="267" t="str">
        <f>IFERROR(IF(Data_Templet!H17&lt;&gt;"",Data_Templet!H17,""),"")</f>
        <v/>
      </c>
      <c r="D83" s="267"/>
      <c r="E83" s="52" t="str">
        <f>IFERROR(IF(Data_Templet!I17&lt;&gt;"",Data_Templet!I17,""),"")</f>
        <v/>
      </c>
      <c r="F83" s="77" t="str">
        <f>IFERROR(IF(Data_Templet!L17&lt;&gt;"",Data_Templet!L17,""),"")</f>
        <v/>
      </c>
      <c r="G83" s="77" t="str">
        <f>IFERROR(IF(Data_Templet!M17&lt;&gt;"",Data_Templet!M17,""),"")</f>
        <v/>
      </c>
      <c r="H83" s="104" t="str">
        <f>IFERROR(IF(Data_Templet!O17&lt;&gt;"",Data_Templet!O17,""),"")</f>
        <v/>
      </c>
      <c r="I83" s="117" t="str">
        <f t="shared" si="2"/>
        <v/>
      </c>
      <c r="J83" s="142"/>
      <c r="K83" s="113">
        <f t="shared" si="3"/>
        <v>0</v>
      </c>
      <c r="L83" s="140">
        <f t="shared" si="5"/>
        <v>0</v>
      </c>
    </row>
    <row r="84" spans="2:12" ht="37.5" customHeight="1" x14ac:dyDescent="0.3">
      <c r="B84" s="76" t="str">
        <f t="shared" si="4"/>
        <v/>
      </c>
      <c r="C84" s="267" t="str">
        <f>IFERROR(IF(Data_Templet!H18&lt;&gt;"",Data_Templet!H18,""),"")</f>
        <v/>
      </c>
      <c r="D84" s="267"/>
      <c r="E84" s="52" t="str">
        <f>IFERROR(IF(Data_Templet!I18&lt;&gt;"",Data_Templet!I18,""),"")</f>
        <v/>
      </c>
      <c r="F84" s="77" t="str">
        <f>IFERROR(IF(Data_Templet!L18&lt;&gt;"",Data_Templet!L18,""),"")</f>
        <v/>
      </c>
      <c r="G84" s="77" t="str">
        <f>IFERROR(IF(Data_Templet!M18&lt;&gt;"",Data_Templet!M18,""),"")</f>
        <v/>
      </c>
      <c r="H84" s="104" t="str">
        <f>IFERROR(IF(Data_Templet!O18&lt;&gt;"",Data_Templet!O18,""),"")</f>
        <v/>
      </c>
      <c r="I84" s="117" t="str">
        <f t="shared" si="2"/>
        <v/>
      </c>
      <c r="J84" s="142"/>
      <c r="K84" s="113">
        <f t="shared" si="3"/>
        <v>0</v>
      </c>
      <c r="L84" s="140">
        <f t="shared" si="5"/>
        <v>0</v>
      </c>
    </row>
    <row r="85" spans="2:12" ht="18" customHeight="1" x14ac:dyDescent="0.3">
      <c r="B85" s="76" t="str">
        <f t="shared" si="4"/>
        <v/>
      </c>
      <c r="C85" s="267" t="str">
        <f>IFERROR(IF(Data_Templet!H19&lt;&gt;"",Data_Templet!H19,""),"")</f>
        <v/>
      </c>
      <c r="D85" s="267"/>
      <c r="E85" s="52" t="str">
        <f>IFERROR(IF(Data_Templet!I19&lt;&gt;"",Data_Templet!I19,""),"")</f>
        <v/>
      </c>
      <c r="F85" s="77" t="str">
        <f>IFERROR(IF(Data_Templet!L19&lt;&gt;"",Data_Templet!L19,""),"")</f>
        <v/>
      </c>
      <c r="G85" s="77" t="str">
        <f>IFERROR(IF(Data_Templet!M19&lt;&gt;"",Data_Templet!M19,""),"")</f>
        <v/>
      </c>
      <c r="H85" s="104" t="str">
        <f>IFERROR(IF(Data_Templet!O19&lt;&gt;"",Data_Templet!O19,""),"")</f>
        <v/>
      </c>
      <c r="I85" s="117" t="str">
        <f t="shared" si="2"/>
        <v/>
      </c>
      <c r="J85" s="142"/>
      <c r="K85" s="113">
        <f t="shared" si="3"/>
        <v>0</v>
      </c>
      <c r="L85" s="140">
        <f t="shared" si="5"/>
        <v>0</v>
      </c>
    </row>
    <row r="86" spans="2:12" ht="18" customHeight="1" x14ac:dyDescent="0.3">
      <c r="B86" s="76" t="str">
        <f t="shared" si="4"/>
        <v/>
      </c>
      <c r="C86" s="267" t="str">
        <f>IFERROR(IF(Data_Templet!H20&lt;&gt;"",Data_Templet!H20,""),"")</f>
        <v/>
      </c>
      <c r="D86" s="267"/>
      <c r="E86" s="52" t="str">
        <f>IFERROR(IF(Data_Templet!I20&lt;&gt;"",Data_Templet!I20,""),"")</f>
        <v/>
      </c>
      <c r="F86" s="77" t="str">
        <f>IFERROR(IF(Data_Templet!L20&lt;&gt;"",Data_Templet!L20,""),"")</f>
        <v/>
      </c>
      <c r="G86" s="77" t="str">
        <f>IFERROR(IF(Data_Templet!M20&lt;&gt;"",Data_Templet!M20,""),"")</f>
        <v/>
      </c>
      <c r="H86" s="104" t="str">
        <f>IFERROR(IF(Data_Templet!O20&lt;&gt;"",Data_Templet!O20,""),"")</f>
        <v/>
      </c>
      <c r="I86" s="117" t="str">
        <f t="shared" si="2"/>
        <v/>
      </c>
      <c r="J86" s="142"/>
      <c r="K86" s="113">
        <f t="shared" si="3"/>
        <v>0</v>
      </c>
      <c r="L86" s="140">
        <f t="shared" si="5"/>
        <v>0</v>
      </c>
    </row>
    <row r="87" spans="2:12" ht="18" customHeight="1" x14ac:dyDescent="0.3">
      <c r="B87" s="76" t="str">
        <f t="shared" si="4"/>
        <v/>
      </c>
      <c r="C87" s="267" t="str">
        <f>IFERROR(IF(Data_Templet!H21&lt;&gt;"",Data_Templet!H21,""),"")</f>
        <v/>
      </c>
      <c r="D87" s="267"/>
      <c r="E87" s="52" t="str">
        <f>IFERROR(IF(Data_Templet!I21&lt;&gt;"",Data_Templet!I21,""),"")</f>
        <v/>
      </c>
      <c r="F87" s="77" t="str">
        <f>IFERROR(IF(Data_Templet!L21&lt;&gt;"",Data_Templet!L21,""),"")</f>
        <v/>
      </c>
      <c r="G87" s="77" t="str">
        <f>IFERROR(IF(Data_Templet!M21&lt;&gt;"",Data_Templet!M21,""),"")</f>
        <v/>
      </c>
      <c r="H87" s="104" t="str">
        <f>IFERROR(IF(Data_Templet!O21&lt;&gt;"",Data_Templet!O21,""),"")</f>
        <v/>
      </c>
      <c r="I87" s="117" t="str">
        <f t="shared" si="2"/>
        <v/>
      </c>
      <c r="J87" s="142"/>
      <c r="K87" s="113">
        <f t="shared" si="3"/>
        <v>0</v>
      </c>
      <c r="L87" s="140">
        <f>ROUND(IF(K87&gt;0,K87-G87,0),-4)</f>
        <v>0</v>
      </c>
    </row>
    <row r="88" spans="2:12" ht="18" hidden="1" customHeight="1" x14ac:dyDescent="0.3">
      <c r="B88" s="76" t="str">
        <f t="shared" si="4"/>
        <v/>
      </c>
      <c r="C88" s="267" t="str">
        <f>IFERROR(IF(Data_Templet!H22&lt;&gt;"",Data_Templet!H22,""),"")</f>
        <v/>
      </c>
      <c r="D88" s="267"/>
      <c r="E88" s="52" t="str">
        <f>IFERROR(IF(Data_Templet!I22&lt;&gt;"",Data_Templet!I22,""),"")</f>
        <v/>
      </c>
      <c r="F88" s="77" t="str">
        <f>IFERROR(IF(Data_Templet!L22&lt;&gt;"",Data_Templet!L22,""),"")</f>
        <v/>
      </c>
      <c r="G88" s="77" t="str">
        <f>IFERROR(IF(Data_Templet!M22&lt;&gt;"",Data_Templet!M22,""),"")</f>
        <v/>
      </c>
      <c r="H88" s="104" t="str">
        <f>IFERROR(IF(Data_Templet!O22&lt;&gt;"",Data_Templet!O22,""),"")</f>
        <v/>
      </c>
      <c r="I88" s="117" t="str">
        <f t="shared" ref="I88:I104" si="6">IFERROR(IF(G88&gt;0,G88/$G$105,""),"")</f>
        <v/>
      </c>
      <c r="J88" s="142"/>
      <c r="K88" s="113">
        <f t="shared" si="3"/>
        <v>0</v>
      </c>
      <c r="L88" s="140">
        <f t="shared" si="5"/>
        <v>0</v>
      </c>
    </row>
    <row r="89" spans="2:12" ht="18" hidden="1" customHeight="1" x14ac:dyDescent="0.3">
      <c r="B89" s="76" t="str">
        <f t="shared" si="4"/>
        <v/>
      </c>
      <c r="C89" s="267" t="str">
        <f>IFERROR(IF(Data_Templet!H23&lt;&gt;"",Data_Templet!H23,""),"")</f>
        <v/>
      </c>
      <c r="D89" s="267"/>
      <c r="E89" s="52" t="str">
        <f>IFERROR(IF(Data_Templet!I23&lt;&gt;"",Data_Templet!I23,""),"")</f>
        <v/>
      </c>
      <c r="F89" s="77" t="str">
        <f>IFERROR(IF(Data_Templet!L23&lt;&gt;"",Data_Templet!L23,""),"")</f>
        <v/>
      </c>
      <c r="G89" s="77" t="str">
        <f>IFERROR(IF(Data_Templet!M23&lt;&gt;"",Data_Templet!M23,""),"")</f>
        <v/>
      </c>
      <c r="H89" s="104" t="str">
        <f>IFERROR(IF(Data_Templet!O23&lt;&gt;"",Data_Templet!O23,""),"")</f>
        <v/>
      </c>
      <c r="I89" s="117" t="str">
        <f t="shared" si="6"/>
        <v/>
      </c>
      <c r="J89" s="142"/>
      <c r="K89" s="113">
        <f t="shared" si="3"/>
        <v>0</v>
      </c>
      <c r="L89" s="140">
        <f t="shared" si="5"/>
        <v>0</v>
      </c>
    </row>
    <row r="90" spans="2:12" ht="18" hidden="1" customHeight="1" x14ac:dyDescent="0.3">
      <c r="B90" s="76" t="str">
        <f t="shared" si="4"/>
        <v/>
      </c>
      <c r="C90" s="267" t="str">
        <f>IFERROR(IF(Data_Templet!H24&lt;&gt;"",Data_Templet!H24,""),"")</f>
        <v/>
      </c>
      <c r="D90" s="267"/>
      <c r="E90" s="52" t="str">
        <f>IFERROR(IF(Data_Templet!I24&lt;&gt;"",Data_Templet!I24,""),"")</f>
        <v/>
      </c>
      <c r="F90" s="77" t="str">
        <f>IFERROR(IF(Data_Templet!L24&lt;&gt;"",Data_Templet!L24,""),"")</f>
        <v/>
      </c>
      <c r="G90" s="77" t="str">
        <f>IFERROR(IF(Data_Templet!M24&lt;&gt;"",Data_Templet!M24,""),"")</f>
        <v/>
      </c>
      <c r="H90" s="104" t="str">
        <f>IFERROR(IF(Data_Templet!O24&lt;&gt;"",Data_Templet!O24,""),"")</f>
        <v/>
      </c>
      <c r="I90" s="117" t="str">
        <f t="shared" si="6"/>
        <v/>
      </c>
      <c r="J90" s="142"/>
      <c r="K90" s="113">
        <f t="shared" si="3"/>
        <v>0</v>
      </c>
      <c r="L90" s="140">
        <f t="shared" si="5"/>
        <v>0</v>
      </c>
    </row>
    <row r="91" spans="2:12" ht="18" hidden="1" customHeight="1" x14ac:dyDescent="0.3">
      <c r="B91" s="76" t="str">
        <f t="shared" si="4"/>
        <v/>
      </c>
      <c r="C91" s="267" t="str">
        <f>IFERROR(IF(Data_Templet!H25&lt;&gt;"",Data_Templet!H25,""),"")</f>
        <v/>
      </c>
      <c r="D91" s="267"/>
      <c r="E91" s="52" t="str">
        <f>IFERROR(IF(Data_Templet!I25&lt;&gt;"",Data_Templet!I25,""),"")</f>
        <v/>
      </c>
      <c r="F91" s="77" t="str">
        <f>IFERROR(IF(Data_Templet!L25&lt;&gt;"",Data_Templet!L25,""),"")</f>
        <v/>
      </c>
      <c r="G91" s="77" t="str">
        <f>IFERROR(IF(Data_Templet!M25&lt;&gt;"",Data_Templet!M25,""),"")</f>
        <v/>
      </c>
      <c r="H91" s="104" t="str">
        <f>IFERROR(IF(Data_Templet!O25&lt;&gt;"",Data_Templet!O25,""),"")</f>
        <v/>
      </c>
      <c r="I91" s="117" t="str">
        <f t="shared" si="6"/>
        <v/>
      </c>
      <c r="J91" s="142"/>
      <c r="K91" s="113">
        <f t="shared" si="3"/>
        <v>0</v>
      </c>
      <c r="L91" s="140">
        <f t="shared" si="5"/>
        <v>0</v>
      </c>
    </row>
    <row r="92" spans="2:12" ht="18" hidden="1" customHeight="1" x14ac:dyDescent="0.3">
      <c r="B92" s="76" t="str">
        <f t="shared" si="4"/>
        <v/>
      </c>
      <c r="C92" s="267" t="str">
        <f>IFERROR(IF(Data_Templet!H26&lt;&gt;"",Data_Templet!H26,""),"")</f>
        <v/>
      </c>
      <c r="D92" s="267"/>
      <c r="E92" s="52" t="str">
        <f>IFERROR(IF(Data_Templet!I26&lt;&gt;"",Data_Templet!I26,""),"")</f>
        <v/>
      </c>
      <c r="F92" s="77" t="str">
        <f>IFERROR(IF(Data_Templet!L26&lt;&gt;"",Data_Templet!L26,""),"")</f>
        <v/>
      </c>
      <c r="G92" s="77" t="str">
        <f>IFERROR(IF(Data_Templet!M26&lt;&gt;"",Data_Templet!M26,""),"")</f>
        <v/>
      </c>
      <c r="H92" s="104" t="str">
        <f>IFERROR(IF(Data_Templet!O26&lt;&gt;"",Data_Templet!O26,""),"")</f>
        <v/>
      </c>
      <c r="I92" s="117" t="str">
        <f t="shared" si="6"/>
        <v/>
      </c>
      <c r="J92" s="142"/>
      <c r="K92" s="113">
        <f t="shared" si="3"/>
        <v>0</v>
      </c>
      <c r="L92" s="140">
        <f t="shared" si="5"/>
        <v>0</v>
      </c>
    </row>
    <row r="93" spans="2:12" ht="18" hidden="1" customHeight="1" x14ac:dyDescent="0.3">
      <c r="B93" s="76" t="str">
        <f t="shared" si="4"/>
        <v/>
      </c>
      <c r="C93" s="267" t="str">
        <f>IFERROR(IF(Data_Templet!H27&lt;&gt;"",Data_Templet!H27,""),"")</f>
        <v/>
      </c>
      <c r="D93" s="267"/>
      <c r="E93" s="52" t="str">
        <f>IFERROR(IF(Data_Templet!I27&lt;&gt;"",Data_Templet!I27,""),"")</f>
        <v/>
      </c>
      <c r="F93" s="77" t="str">
        <f>IFERROR(IF(Data_Templet!L27&lt;&gt;"",Data_Templet!L27,""),"")</f>
        <v/>
      </c>
      <c r="G93" s="77" t="str">
        <f>IFERROR(IF(Data_Templet!M27&lt;&gt;"",Data_Templet!M27,""),"")</f>
        <v/>
      </c>
      <c r="H93" s="104" t="str">
        <f>IFERROR(IF(Data_Templet!O27&lt;&gt;"",Data_Templet!O27,""),"")</f>
        <v/>
      </c>
      <c r="I93" s="117" t="str">
        <f t="shared" si="6"/>
        <v/>
      </c>
      <c r="J93" s="142"/>
      <c r="K93" s="113">
        <f t="shared" si="3"/>
        <v>0</v>
      </c>
      <c r="L93" s="140">
        <f t="shared" si="5"/>
        <v>0</v>
      </c>
    </row>
    <row r="94" spans="2:12" ht="18" hidden="1" customHeight="1" x14ac:dyDescent="0.3">
      <c r="B94" s="76" t="str">
        <f t="shared" si="4"/>
        <v/>
      </c>
      <c r="C94" s="267" t="str">
        <f>IFERROR(IF(Data_Templet!H28&lt;&gt;"",Data_Templet!H28,""),"")</f>
        <v/>
      </c>
      <c r="D94" s="267"/>
      <c r="E94" s="52" t="str">
        <f>IFERROR(IF(Data_Templet!I28&lt;&gt;"",Data_Templet!I28,""),"")</f>
        <v/>
      </c>
      <c r="F94" s="77" t="str">
        <f>IFERROR(IF(Data_Templet!L28&lt;&gt;"",Data_Templet!L28,""),"")</f>
        <v/>
      </c>
      <c r="G94" s="77" t="str">
        <f>IFERROR(IF(Data_Templet!M28&lt;&gt;"",Data_Templet!M28,""),"")</f>
        <v/>
      </c>
      <c r="H94" s="104" t="str">
        <f>IFERROR(IF(Data_Templet!O28&lt;&gt;"",Data_Templet!O28,""),"")</f>
        <v/>
      </c>
      <c r="I94" s="117" t="str">
        <f t="shared" si="6"/>
        <v/>
      </c>
      <c r="J94" s="142"/>
      <c r="K94" s="113">
        <f t="shared" si="3"/>
        <v>0</v>
      </c>
      <c r="L94" s="140">
        <f t="shared" si="5"/>
        <v>0</v>
      </c>
    </row>
    <row r="95" spans="2:12" ht="18" hidden="1" customHeight="1" x14ac:dyDescent="0.3">
      <c r="B95" s="76" t="str">
        <f t="shared" si="4"/>
        <v/>
      </c>
      <c r="C95" s="267" t="str">
        <f>IFERROR(IF(Data_Templet!H29&lt;&gt;"",Data_Templet!H29,""),"")</f>
        <v/>
      </c>
      <c r="D95" s="267"/>
      <c r="E95" s="52" t="str">
        <f>IFERROR(IF(Data_Templet!I29&lt;&gt;"",Data_Templet!I29,""),"")</f>
        <v/>
      </c>
      <c r="F95" s="77" t="str">
        <f>IFERROR(IF(Data_Templet!L29&lt;&gt;"",Data_Templet!L29,""),"")</f>
        <v/>
      </c>
      <c r="G95" s="77" t="str">
        <f>IFERROR(IF(Data_Templet!M29&lt;&gt;"",Data_Templet!M29,""),"")</f>
        <v/>
      </c>
      <c r="H95" s="104" t="str">
        <f>IFERROR(IF(Data_Templet!O29&lt;&gt;"",Data_Templet!O29,""),"")</f>
        <v/>
      </c>
      <c r="I95" s="117" t="str">
        <f t="shared" si="6"/>
        <v/>
      </c>
      <c r="J95" s="142"/>
      <c r="K95" s="113">
        <f t="shared" si="3"/>
        <v>0</v>
      </c>
      <c r="L95" s="140">
        <f t="shared" si="5"/>
        <v>0</v>
      </c>
    </row>
    <row r="96" spans="2:12" ht="18" hidden="1" customHeight="1" x14ac:dyDescent="0.3">
      <c r="B96" s="76" t="str">
        <f t="shared" si="4"/>
        <v/>
      </c>
      <c r="C96" s="267" t="str">
        <f>IFERROR(IF(Data_Templet!H30&lt;&gt;"",Data_Templet!H30,""),"")</f>
        <v/>
      </c>
      <c r="D96" s="267"/>
      <c r="E96" s="52" t="str">
        <f>IFERROR(IF(Data_Templet!I30&lt;&gt;"",Data_Templet!I30,""),"")</f>
        <v/>
      </c>
      <c r="F96" s="77" t="str">
        <f>IFERROR(IF(Data_Templet!L30&lt;&gt;"",Data_Templet!L30,""),"")</f>
        <v/>
      </c>
      <c r="G96" s="77" t="str">
        <f>IFERROR(IF(Data_Templet!M30&lt;&gt;"",Data_Templet!M30,""),"")</f>
        <v/>
      </c>
      <c r="H96" s="104" t="str">
        <f>IFERROR(IF(Data_Templet!O30&lt;&gt;"",Data_Templet!O30,""),"")</f>
        <v/>
      </c>
      <c r="I96" s="117" t="str">
        <f t="shared" si="6"/>
        <v/>
      </c>
      <c r="J96" s="142"/>
      <c r="K96" s="113">
        <f t="shared" si="3"/>
        <v>0</v>
      </c>
      <c r="L96" s="140">
        <f t="shared" si="5"/>
        <v>0</v>
      </c>
    </row>
    <row r="97" spans="2:12" ht="18" hidden="1" customHeight="1" x14ac:dyDescent="0.3">
      <c r="B97" s="76" t="str">
        <f t="shared" si="4"/>
        <v/>
      </c>
      <c r="C97" s="267" t="str">
        <f>IFERROR(IF(Data_Templet!H31&lt;&gt;"",Data_Templet!H31,""),"")</f>
        <v/>
      </c>
      <c r="D97" s="267"/>
      <c r="E97" s="52" t="str">
        <f>IFERROR(IF(Data_Templet!I31&lt;&gt;"",Data_Templet!I31,""),"")</f>
        <v/>
      </c>
      <c r="F97" s="77" t="str">
        <f>IFERROR(IF(Data_Templet!L31&lt;&gt;"",Data_Templet!L31,""),"")</f>
        <v/>
      </c>
      <c r="G97" s="77" t="str">
        <f>IFERROR(IF(Data_Templet!M31&lt;&gt;"",Data_Templet!M31,""),"")</f>
        <v/>
      </c>
      <c r="H97" s="104" t="str">
        <f>IFERROR(IF(Data_Templet!O31&lt;&gt;"",Data_Templet!O31,""),"")</f>
        <v/>
      </c>
      <c r="I97" s="117" t="str">
        <f t="shared" si="6"/>
        <v/>
      </c>
      <c r="J97" s="142"/>
      <c r="K97" s="113">
        <f t="shared" si="3"/>
        <v>0</v>
      </c>
      <c r="L97" s="140">
        <f t="shared" si="5"/>
        <v>0</v>
      </c>
    </row>
    <row r="98" spans="2:12" ht="18" hidden="1" customHeight="1" x14ac:dyDescent="0.3">
      <c r="B98" s="76" t="str">
        <f t="shared" si="4"/>
        <v/>
      </c>
      <c r="C98" s="267" t="str">
        <f>IFERROR(IF(Data_Templet!H32&lt;&gt;"",Data_Templet!H32,""),"")</f>
        <v/>
      </c>
      <c r="D98" s="267"/>
      <c r="E98" s="52" t="str">
        <f>IFERROR(IF(Data_Templet!I32&lt;&gt;"",Data_Templet!I32,""),"")</f>
        <v/>
      </c>
      <c r="F98" s="77" t="str">
        <f>IFERROR(IF(Data_Templet!L32&lt;&gt;"",Data_Templet!L32,""),"")</f>
        <v/>
      </c>
      <c r="G98" s="77" t="str">
        <f>IFERROR(IF(Data_Templet!M32&lt;&gt;"",Data_Templet!M32,""),"")</f>
        <v/>
      </c>
      <c r="H98" s="104" t="str">
        <f>IFERROR(IF(Data_Templet!O32&lt;&gt;"",Data_Templet!O32,""),"")</f>
        <v/>
      </c>
      <c r="I98" s="117" t="str">
        <f t="shared" si="6"/>
        <v/>
      </c>
      <c r="J98" s="142"/>
      <c r="K98" s="113">
        <f t="shared" si="3"/>
        <v>0</v>
      </c>
      <c r="L98" s="140">
        <f t="shared" si="5"/>
        <v>0</v>
      </c>
    </row>
    <row r="99" spans="2:12" ht="18" hidden="1" customHeight="1" x14ac:dyDescent="0.3">
      <c r="B99" s="76" t="str">
        <f t="shared" si="4"/>
        <v/>
      </c>
      <c r="C99" s="267" t="str">
        <f>IFERROR(IF(Data_Templet!H33&lt;&gt;"",Data_Templet!H33,""),"")</f>
        <v/>
      </c>
      <c r="D99" s="267"/>
      <c r="E99" s="52" t="str">
        <f>IFERROR(IF(Data_Templet!I33&lt;&gt;"",Data_Templet!I33,""),"")</f>
        <v/>
      </c>
      <c r="F99" s="77" t="str">
        <f>IFERROR(IF(Data_Templet!L33&lt;&gt;"",Data_Templet!L33,""),"")</f>
        <v/>
      </c>
      <c r="G99" s="77" t="str">
        <f>IFERROR(IF(Data_Templet!M33&lt;&gt;"",Data_Templet!M33,""),"")</f>
        <v/>
      </c>
      <c r="H99" s="104" t="str">
        <f>IFERROR(IF(Data_Templet!O33&lt;&gt;"",Data_Templet!O33,""),"")</f>
        <v/>
      </c>
      <c r="I99" s="117" t="str">
        <f t="shared" si="6"/>
        <v/>
      </c>
      <c r="J99" s="142"/>
      <c r="K99" s="113">
        <f t="shared" si="3"/>
        <v>0</v>
      </c>
      <c r="L99" s="140">
        <f t="shared" si="5"/>
        <v>0</v>
      </c>
    </row>
    <row r="100" spans="2:12" ht="18" hidden="1" customHeight="1" x14ac:dyDescent="0.3">
      <c r="B100" s="76" t="str">
        <f t="shared" si="4"/>
        <v/>
      </c>
      <c r="C100" s="267" t="str">
        <f>IFERROR(IF(Data_Templet!H34&lt;&gt;"",Data_Templet!H34,""),"")</f>
        <v/>
      </c>
      <c r="D100" s="267"/>
      <c r="E100" s="52" t="str">
        <f>IFERROR(IF(Data_Templet!I34&lt;&gt;"",Data_Templet!I34,""),"")</f>
        <v/>
      </c>
      <c r="F100" s="77" t="str">
        <f>IFERROR(IF(Data_Templet!L34&lt;&gt;"",Data_Templet!L34,""),"")</f>
        <v/>
      </c>
      <c r="G100" s="77" t="str">
        <f>IFERROR(IF(Data_Templet!M34&lt;&gt;"",Data_Templet!M34,""),"")</f>
        <v/>
      </c>
      <c r="H100" s="104" t="str">
        <f>IFERROR(IF(Data_Templet!O34&lt;&gt;"",Data_Templet!O34,""),"")</f>
        <v/>
      </c>
      <c r="I100" s="117" t="str">
        <f t="shared" si="6"/>
        <v/>
      </c>
      <c r="J100" s="142"/>
      <c r="K100" s="113">
        <f t="shared" si="3"/>
        <v>0</v>
      </c>
      <c r="L100" s="140">
        <f t="shared" si="5"/>
        <v>0</v>
      </c>
    </row>
    <row r="101" spans="2:12" ht="18" hidden="1" customHeight="1" x14ac:dyDescent="0.3">
      <c r="B101" s="76" t="str">
        <f t="shared" si="4"/>
        <v/>
      </c>
      <c r="C101" s="267" t="str">
        <f>IFERROR(IF(Data_Templet!H35&lt;&gt;"",Data_Templet!H35,""),"")</f>
        <v/>
      </c>
      <c r="D101" s="267"/>
      <c r="E101" s="52" t="str">
        <f>IFERROR(IF(Data_Templet!I35&lt;&gt;"",Data_Templet!I35,""),"")</f>
        <v/>
      </c>
      <c r="F101" s="77" t="str">
        <f>IFERROR(IF(Data_Templet!L35&lt;&gt;"",Data_Templet!L35,""),"")</f>
        <v/>
      </c>
      <c r="G101" s="77" t="str">
        <f>IFERROR(IF(Data_Templet!M35&lt;&gt;"",Data_Templet!M35,""),"")</f>
        <v/>
      </c>
      <c r="H101" s="104" t="str">
        <f>IFERROR(IF(Data_Templet!O35&lt;&gt;"",Data_Templet!O35,""),"")</f>
        <v/>
      </c>
      <c r="I101" s="117" t="str">
        <f t="shared" si="6"/>
        <v/>
      </c>
      <c r="J101" s="142"/>
      <c r="K101" s="113">
        <f t="shared" si="3"/>
        <v>0</v>
      </c>
      <c r="L101" s="140">
        <f t="shared" si="5"/>
        <v>0</v>
      </c>
    </row>
    <row r="102" spans="2:12" ht="18" hidden="1" customHeight="1" x14ac:dyDescent="0.3">
      <c r="B102" s="76" t="str">
        <f t="shared" si="4"/>
        <v/>
      </c>
      <c r="C102" s="267" t="str">
        <f>IFERROR(IF(Data_Templet!H36&lt;&gt;"",Data_Templet!H36,""),"")</f>
        <v/>
      </c>
      <c r="D102" s="267"/>
      <c r="E102" s="52" t="str">
        <f>IFERROR(IF(Data_Templet!I36&lt;&gt;"",Data_Templet!I36,""),"")</f>
        <v/>
      </c>
      <c r="F102" s="77" t="str">
        <f>IFERROR(IF(Data_Templet!L36&lt;&gt;"",Data_Templet!L36,""),"")</f>
        <v/>
      </c>
      <c r="G102" s="77" t="str">
        <f>IFERROR(IF(Data_Templet!M36&lt;&gt;"",Data_Templet!M36,""),"")</f>
        <v/>
      </c>
      <c r="H102" s="104" t="str">
        <f>IFERROR(IF(Data_Templet!O36&lt;&gt;"",Data_Templet!O36,""),"")</f>
        <v/>
      </c>
      <c r="I102" s="117" t="str">
        <f t="shared" si="6"/>
        <v/>
      </c>
      <c r="J102" s="142"/>
      <c r="K102" s="113">
        <f t="shared" si="3"/>
        <v>0</v>
      </c>
      <c r="L102" s="140">
        <f t="shared" si="5"/>
        <v>0</v>
      </c>
    </row>
    <row r="103" spans="2:12" ht="18" hidden="1" customHeight="1" x14ac:dyDescent="0.3">
      <c r="B103" s="76" t="str">
        <f t="shared" si="4"/>
        <v/>
      </c>
      <c r="C103" s="267" t="str">
        <f>IFERROR(IF(Data_Templet!H37&lt;&gt;"",Data_Templet!H37,""),"")</f>
        <v/>
      </c>
      <c r="D103" s="267"/>
      <c r="E103" s="52" t="str">
        <f>IFERROR(IF(Data_Templet!I37&lt;&gt;"",Data_Templet!I37,""),"")</f>
        <v/>
      </c>
      <c r="F103" s="77" t="str">
        <f>IFERROR(IF(Data_Templet!L37&lt;&gt;"",Data_Templet!L37,""),"")</f>
        <v/>
      </c>
      <c r="G103" s="77" t="str">
        <f>IFERROR(IF(Data_Templet!M37&lt;&gt;"",Data_Templet!M37,""),"")</f>
        <v/>
      </c>
      <c r="H103" s="104" t="str">
        <f>IFERROR(IF(Data_Templet!O37&lt;&gt;"",Data_Templet!O37,""),"")</f>
        <v/>
      </c>
      <c r="I103" s="117" t="str">
        <f t="shared" si="6"/>
        <v/>
      </c>
      <c r="J103" s="142"/>
      <c r="K103" s="113">
        <f t="shared" si="3"/>
        <v>0</v>
      </c>
      <c r="L103" s="140">
        <f t="shared" si="5"/>
        <v>0</v>
      </c>
    </row>
    <row r="104" spans="2:12" ht="18" customHeight="1" x14ac:dyDescent="0.3">
      <c r="B104" s="120" t="str">
        <f t="shared" si="4"/>
        <v/>
      </c>
      <c r="C104" s="273" t="str">
        <f>IFERROR(IF(Data_Templet!H38&lt;&gt;"",Data_Templet!H38,""),"")</f>
        <v/>
      </c>
      <c r="D104" s="273"/>
      <c r="E104" s="55" t="str">
        <f>IFERROR(IF(Data_Templet!I38&lt;&gt;"",Data_Templet!I38,""),"")</f>
        <v/>
      </c>
      <c r="F104" s="121" t="str">
        <f>IFERROR(IF(Data_Templet!L38&lt;&gt;"",Data_Templet!L38,""),"")</f>
        <v/>
      </c>
      <c r="G104" s="121" t="str">
        <f>IFERROR(IF(Data_Templet!M38&lt;&gt;"",Data_Templet!M38,""),"")</f>
        <v/>
      </c>
      <c r="H104" s="137" t="str">
        <f>IFERROR(IF(Data_Templet!O38&lt;&gt;"",Data_Templet!O38,""),"")</f>
        <v/>
      </c>
      <c r="I104" s="138" t="str">
        <f t="shared" si="6"/>
        <v/>
      </c>
      <c r="J104" s="143"/>
      <c r="K104" s="113">
        <f t="shared" si="3"/>
        <v>0</v>
      </c>
      <c r="L104" s="140">
        <f t="shared" si="5"/>
        <v>0</v>
      </c>
    </row>
    <row r="105" spans="2:12" ht="18" customHeight="1" thickBot="1" x14ac:dyDescent="0.35">
      <c r="B105" s="276" t="s">
        <v>128</v>
      </c>
      <c r="C105" s="276"/>
      <c r="D105" s="276"/>
      <c r="E105" s="277"/>
      <c r="F105" s="187"/>
      <c r="G105" s="187">
        <f>SUM(G80:G104)</f>
        <v>0</v>
      </c>
      <c r="H105" s="188"/>
      <c r="I105" s="189">
        <f>SUM(I80:I104)</f>
        <v>0</v>
      </c>
      <c r="J105" s="190">
        <f>SUM(J80:J104)</f>
        <v>1</v>
      </c>
      <c r="K105" s="187">
        <f>SUM(K80:K104)</f>
        <v>0</v>
      </c>
      <c r="L105" s="187">
        <f>SUM(L80:L104)</f>
        <v>0</v>
      </c>
    </row>
    <row r="107" spans="2:12" ht="26.25" x14ac:dyDescent="0.3">
      <c r="B107" s="147" t="s">
        <v>98</v>
      </c>
      <c r="C107" s="147"/>
      <c r="D107" s="147"/>
    </row>
    <row r="109" spans="2:12" ht="20.25" x14ac:dyDescent="0.3">
      <c r="B109" s="148" t="s">
        <v>141</v>
      </c>
      <c r="C109" s="149"/>
      <c r="K109" s="231" t="s">
        <v>148</v>
      </c>
      <c r="L109" s="229">
        <f>IF(Data_Input!E3&lt;&gt;"",Data_Input!E3,"")</f>
        <v>15</v>
      </c>
    </row>
    <row r="110" spans="2:12" ht="8.25" customHeight="1" x14ac:dyDescent="0.3"/>
    <row r="111" spans="2:12" ht="18" customHeight="1" x14ac:dyDescent="0.3">
      <c r="B111" s="180" t="s">
        <v>40</v>
      </c>
      <c r="C111" s="181" t="s">
        <v>47</v>
      </c>
      <c r="D111" s="182"/>
      <c r="E111" s="182"/>
      <c r="F111" s="183"/>
      <c r="G111" s="196" t="s">
        <v>97</v>
      </c>
      <c r="H111" s="196" t="s">
        <v>43</v>
      </c>
      <c r="I111" s="278" t="s">
        <v>44</v>
      </c>
      <c r="J111" s="278"/>
      <c r="K111" s="196" t="s">
        <v>138</v>
      </c>
      <c r="L111" s="195" t="s">
        <v>52</v>
      </c>
    </row>
    <row r="112" spans="2:12" ht="18" customHeight="1" x14ac:dyDescent="0.3">
      <c r="B112" s="76">
        <f>IF(C112&gt;0,1,"")</f>
        <v>1</v>
      </c>
      <c r="C112" s="174" t="str">
        <f>IFERROR(IF(Data_Templet!H47&lt;&gt;"",Data_Templet!H47,""),"")</f>
        <v>미래에셋인도중소형포커스증권자투자신탁1호(주식)C-P2e</v>
      </c>
      <c r="D112" s="175"/>
      <c r="E112" s="175"/>
      <c r="F112" s="168"/>
      <c r="G112" s="52" t="str">
        <f>IFERROR(IF(Data_Templet!T47&lt;&gt;"",Data_Templet!T47,""),"")</f>
        <v>절대성장형</v>
      </c>
      <c r="H112" s="77">
        <f>IFERROR(IF(Data_Templet!L47&lt;&gt;"",Data_Templet!L47,""),"")</f>
        <v>5570000</v>
      </c>
      <c r="I112" s="254">
        <f>IFERROR(IF(Data_Templet!K47&lt;&gt;"",Data_Templet!K47,""),"")</f>
        <v>5392814</v>
      </c>
      <c r="J112" s="254"/>
      <c r="K112" s="77">
        <f>IFERROR(IF(I112&gt;0,I112-H112,0),"")</f>
        <v>-177186</v>
      </c>
      <c r="L112" s="78">
        <f>IFERROR(IF(Data_Templet!R47&lt;&gt;"",Data_Templet!R47,""),"")</f>
        <v>-3.1809999999999998E-2</v>
      </c>
    </row>
    <row r="113" spans="2:12" ht="18" customHeight="1" x14ac:dyDescent="0.3">
      <c r="B113" s="76">
        <f>IF(OR(C113&lt;=0, C113=""),"", B112+1)</f>
        <v>2</v>
      </c>
      <c r="C113" s="174" t="str">
        <f>IFERROR(IF(Data_Templet!H48&lt;&gt;"",Data_Templet!H48,""),"")</f>
        <v>마이다스책임투자증권투자신탁(주식)C-Pe2</v>
      </c>
      <c r="D113" s="175"/>
      <c r="E113" s="175"/>
      <c r="F113" s="168"/>
      <c r="G113" s="52" t="str">
        <f>IFERROR(IF(Data_Templet!T48&lt;&gt;"",Data_Templet!T48,""),"")</f>
        <v>성장형</v>
      </c>
      <c r="H113" s="77">
        <f>IFERROR(IF(Data_Templet!L48&lt;&gt;"",Data_Templet!L48,""),"")</f>
        <v>5647761</v>
      </c>
      <c r="I113" s="254">
        <f>IFERROR(IF(Data_Templet!K48&lt;&gt;"",Data_Templet!K48,""),"")</f>
        <v>13218710</v>
      </c>
      <c r="J113" s="254"/>
      <c r="K113" s="77">
        <f t="shared" ref="K113:K129" si="7">IFERROR(IF(I113&gt;0,I113-H113,0),"")</f>
        <v>7570949</v>
      </c>
      <c r="L113" s="78">
        <f>IFERROR(IF(Data_Templet!R48&lt;&gt;"",Data_Templet!R48,""),"")</f>
        <v>1.3405199999999999</v>
      </c>
    </row>
    <row r="114" spans="2:12" ht="18" customHeight="1" x14ac:dyDescent="0.3">
      <c r="B114" s="76">
        <f t="shared" ref="B114:B136" si="8">IF(OR(C114&lt;=0, C114=""),"", B113+1)</f>
        <v>3</v>
      </c>
      <c r="C114" s="174" t="str">
        <f>IFERROR(IF(Data_Templet!H49&lt;&gt;"",Data_Templet!H49,""),"")</f>
        <v>AB미국그로스증권투자신탁(주식-재간접형)Ce-P2</v>
      </c>
      <c r="D114" s="175"/>
      <c r="E114" s="175"/>
      <c r="F114" s="168"/>
      <c r="G114" s="52" t="str">
        <f>IFERROR(IF(Data_Templet!T49&lt;&gt;"",Data_Templet!T49,""),"")</f>
        <v>절대성장형</v>
      </c>
      <c r="H114" s="77">
        <f>IFERROR(IF(Data_Templet!L49&lt;&gt;"",Data_Templet!L49,""),"")</f>
        <v>15337523</v>
      </c>
      <c r="I114" s="254">
        <f>IFERROR(IF(Data_Templet!K49&lt;&gt;"",Data_Templet!K49,""),"")</f>
        <v>17950518</v>
      </c>
      <c r="J114" s="254"/>
      <c r="K114" s="77">
        <f t="shared" si="7"/>
        <v>2612995</v>
      </c>
      <c r="L114" s="78">
        <f>IFERROR(IF(Data_Templet!R49&lt;&gt;"",Data_Templet!R49,""),"")</f>
        <v>0.17036999999999999</v>
      </c>
    </row>
    <row r="115" spans="2:12" ht="18" customHeight="1" x14ac:dyDescent="0.3">
      <c r="B115" s="76">
        <f t="shared" si="8"/>
        <v>4</v>
      </c>
      <c r="C115" s="174" t="str">
        <f>IFERROR(IF(Data_Templet!H50&lt;&gt;"",Data_Templet!H50,""),"")</f>
        <v>한국투자연금베트남증권자투자신탁(주식혼합)C-Re</v>
      </c>
      <c r="D115" s="175"/>
      <c r="E115" s="175"/>
      <c r="F115" s="168"/>
      <c r="G115" s="52" t="str">
        <f>IFERROR(IF(Data_Templet!T50&lt;&gt;"",Data_Templet!T50,""),"")</f>
        <v>절대성장형</v>
      </c>
      <c r="H115" s="77">
        <f>IFERROR(IF(Data_Templet!L50&lt;&gt;"",Data_Templet!L50,""),"")</f>
        <v>10250000</v>
      </c>
      <c r="I115" s="254">
        <f>IFERROR(IF(Data_Templet!K50&lt;&gt;"",Data_Templet!K50,""),"")</f>
        <v>10972074</v>
      </c>
      <c r="J115" s="254"/>
      <c r="K115" s="77">
        <f t="shared" si="7"/>
        <v>722074</v>
      </c>
      <c r="L115" s="78">
        <f>IFERROR(IF(Data_Templet!R50&lt;&gt;"",Data_Templet!R50,""),"")</f>
        <v>7.0449999999999999E-2</v>
      </c>
    </row>
    <row r="116" spans="2:12" ht="18" customHeight="1" x14ac:dyDescent="0.3">
      <c r="B116" s="76">
        <f t="shared" si="8"/>
        <v>5</v>
      </c>
      <c r="C116" s="174" t="str">
        <f>IFERROR(IF(Data_Templet!H51&lt;&gt;"",Data_Templet!H51,""),"")</f>
        <v>우리하이플러스채권증권자투자신탁1호(채권)C-Pe</v>
      </c>
      <c r="D116" s="175"/>
      <c r="E116" s="175"/>
      <c r="F116" s="168"/>
      <c r="G116" s="52" t="str">
        <f>IFERROR(IF(Data_Templet!T51&lt;&gt;"",Data_Templet!T51,""),"")</f>
        <v>절대안정형</v>
      </c>
      <c r="H116" s="77">
        <f>IFERROR(IF(Data_Templet!L51&lt;&gt;"",Data_Templet!L51,""),"")</f>
        <v>25060000</v>
      </c>
      <c r="I116" s="254">
        <f>IFERROR(IF(Data_Templet!K51&lt;&gt;"",Data_Templet!K51,""),"")</f>
        <v>27007269</v>
      </c>
      <c r="J116" s="254"/>
      <c r="K116" s="77">
        <f t="shared" si="7"/>
        <v>1947269</v>
      </c>
      <c r="L116" s="78">
        <f>IFERROR(IF(Data_Templet!R51&lt;&gt;"",Data_Templet!R51,""),"")</f>
        <v>7.7699999999999991E-2</v>
      </c>
    </row>
    <row r="117" spans="2:12" ht="18" customHeight="1" x14ac:dyDescent="0.3">
      <c r="B117" s="76">
        <f t="shared" si="8"/>
        <v>6</v>
      </c>
      <c r="C117" s="174" t="str">
        <f>IFERROR(IF(Data_Templet!H52&lt;&gt;"",Data_Templet!H52,""),"")</f>
        <v>한국투자글로벌AI&amp;반도체TOP10증권자투자신탁UH(주식)C-Re</v>
      </c>
      <c r="D117" s="175"/>
      <c r="E117" s="175"/>
      <c r="F117" s="168"/>
      <c r="G117" s="52" t="str">
        <f>IFERROR(IF(Data_Templet!T52&lt;&gt;"",Data_Templet!T52,""),"")</f>
        <v>절대성장형</v>
      </c>
      <c r="H117" s="77">
        <f>IFERROR(IF(Data_Templet!L52&lt;&gt;"",Data_Templet!L52,""),"")</f>
        <v>22780000</v>
      </c>
      <c r="I117" s="254">
        <f>IFERROR(IF(Data_Templet!K52&lt;&gt;"",Data_Templet!K52,""),"")</f>
        <v>23694654</v>
      </c>
      <c r="J117" s="254"/>
      <c r="K117" s="77">
        <f t="shared" si="7"/>
        <v>914654</v>
      </c>
      <c r="L117" s="78">
        <f>IFERROR(IF(Data_Templet!R52&lt;&gt;"",Data_Templet!R52,""),"")</f>
        <v>4.0149999999999998E-2</v>
      </c>
    </row>
    <row r="118" spans="2:12" ht="18" customHeight="1" x14ac:dyDescent="0.3">
      <c r="B118" s="76">
        <f t="shared" si="8"/>
        <v>7</v>
      </c>
      <c r="C118" s="174" t="str">
        <f>IFERROR(IF(Data_Templet!H53&lt;&gt;"",Data_Templet!H53,""),"")</f>
        <v>WON 미국우주항공방산</v>
      </c>
      <c r="D118" s="175"/>
      <c r="E118" s="175"/>
      <c r="F118" s="168"/>
      <c r="G118" s="52" t="str">
        <f>IFERROR(IF(Data_Templet!T53&lt;&gt;"",Data_Templet!T53,""),"")</f>
        <v>절대성장형</v>
      </c>
      <c r="H118" s="77">
        <f>IFERROR(IF(Data_Templet!L53&lt;&gt;"",Data_Templet!L53,""),"")</f>
        <v>6144600</v>
      </c>
      <c r="I118" s="254">
        <f>IFERROR(IF(Data_Templet!K53&lt;&gt;"",Data_Templet!K53,""),"")</f>
        <v>6198180</v>
      </c>
      <c r="J118" s="254"/>
      <c r="K118" s="77">
        <f t="shared" si="7"/>
        <v>53580</v>
      </c>
      <c r="L118" s="78">
        <f>IFERROR(IF(Data_Templet!R53&lt;&gt;"",Data_Templet!R53,""),"")</f>
        <v>8.7200000000000003E-3</v>
      </c>
    </row>
    <row r="119" spans="2:12" ht="18" customHeight="1" x14ac:dyDescent="0.3">
      <c r="B119" s="76">
        <f t="shared" si="8"/>
        <v>8</v>
      </c>
      <c r="C119" s="174" t="str">
        <f>IFERROR(IF(Data_Templet!H54&lt;&gt;"",Data_Templet!H54,""),"")</f>
        <v>KODEX 로봇액티브</v>
      </c>
      <c r="D119" s="175"/>
      <c r="E119" s="175"/>
      <c r="F119" s="168"/>
      <c r="G119" s="52" t="str">
        <f>IFERROR(IF(Data_Templet!T54&lt;&gt;"",Data_Templet!T54,""),"")</f>
        <v>절대성장형</v>
      </c>
      <c r="H119" s="77">
        <f>IFERROR(IF(Data_Templet!L54&lt;&gt;"",Data_Templet!L54,""),"")</f>
        <v>7363635</v>
      </c>
      <c r="I119" s="254">
        <f>IFERROR(IF(Data_Templet!K54&lt;&gt;"",Data_Templet!K54,""),"")</f>
        <v>6915405</v>
      </c>
      <c r="J119" s="254"/>
      <c r="K119" s="77">
        <f t="shared" si="7"/>
        <v>-448230</v>
      </c>
      <c r="L119" s="78">
        <f>IFERROR(IF(Data_Templet!R54&lt;&gt;"",Data_Templet!R54,""),"")</f>
        <v>-6.087E-2</v>
      </c>
    </row>
    <row r="120" spans="2:12" ht="18" customHeight="1" x14ac:dyDescent="0.3">
      <c r="B120" s="76">
        <f t="shared" si="8"/>
        <v>9</v>
      </c>
      <c r="C120" s="174" t="str">
        <f>IFERROR(IF(Data_Templet!H55&lt;&gt;"",Data_Templet!H55,""),"")</f>
        <v>ACE 미국30년국채액티브(H)</v>
      </c>
      <c r="D120" s="175"/>
      <c r="E120" s="175"/>
      <c r="F120" s="168"/>
      <c r="G120" s="52" t="str">
        <f>IFERROR(IF(Data_Templet!T55&lt;&gt;"",Data_Templet!T55,""),"")</f>
        <v>안정형</v>
      </c>
      <c r="H120" s="77">
        <f>IFERROR(IF(Data_Templet!L55&lt;&gt;"",Data_Templet!L55,""),"")</f>
        <v>11611350</v>
      </c>
      <c r="I120" s="254">
        <f>IFERROR(IF(Data_Templet!K55&lt;&gt;"",Data_Templet!K55,""),"")</f>
        <v>10765350</v>
      </c>
      <c r="J120" s="254"/>
      <c r="K120" s="77">
        <f t="shared" si="7"/>
        <v>-846000</v>
      </c>
      <c r="L120" s="78">
        <f>IFERROR(IF(Data_Templet!R55&lt;&gt;"",Data_Templet!R55,""),"")</f>
        <v>-7.2859999999999994E-2</v>
      </c>
    </row>
    <row r="121" spans="2:12" ht="18" customHeight="1" x14ac:dyDescent="0.3">
      <c r="B121" s="76">
        <f t="shared" si="8"/>
        <v>10</v>
      </c>
      <c r="C121" s="174" t="str">
        <f>IFERROR(IF(Data_Templet!H56&lt;&gt;"",Data_Templet!H56,""),"")</f>
        <v>자동운용상품(고유계정대)</v>
      </c>
      <c r="D121" s="175"/>
      <c r="E121" s="175"/>
      <c r="F121" s="168"/>
      <c r="G121" s="52" t="str">
        <f>IFERROR(IF(Data_Templet!T56&lt;&gt;"",Data_Templet!T56,""),"")</f>
        <v>절대안정형</v>
      </c>
      <c r="H121" s="77">
        <f>IFERROR(IF(Data_Templet!L56&lt;&gt;"",Data_Templet!L56,""),"")</f>
        <v>513297</v>
      </c>
      <c r="I121" s="254">
        <f>IFERROR(IF(Data_Templet!K56&lt;&gt;"",Data_Templet!K56,""),"")</f>
        <v>513297</v>
      </c>
      <c r="J121" s="254"/>
      <c r="K121" s="77">
        <f t="shared" si="7"/>
        <v>0</v>
      </c>
      <c r="L121" s="78">
        <f>IFERROR(IF(Data_Templet!R56&lt;&gt;"",Data_Templet!R56,""),"")</f>
        <v>0</v>
      </c>
    </row>
    <row r="122" spans="2:12" ht="18" customHeight="1" x14ac:dyDescent="0.3">
      <c r="B122" s="76" t="str">
        <f t="shared" si="8"/>
        <v/>
      </c>
      <c r="C122" s="174" t="str">
        <f>IFERROR(IF(Data_Templet!H57&lt;&gt;"",Data_Templet!H57,""),"")</f>
        <v/>
      </c>
      <c r="D122" s="175"/>
      <c r="E122" s="175"/>
      <c r="F122" s="168"/>
      <c r="G122" s="52" t="str">
        <f>IFERROR(IF(Data_Templet!T57&lt;&gt;"",Data_Templet!T57,""),"")</f>
        <v/>
      </c>
      <c r="H122" s="77" t="str">
        <f>IFERROR(IF(Data_Templet!L57&lt;&gt;"",Data_Templet!L57,""),"")</f>
        <v/>
      </c>
      <c r="I122" s="254" t="str">
        <f>IFERROR(IF(Data_Templet!K57&lt;&gt;"",Data_Templet!K57,""),"")</f>
        <v/>
      </c>
      <c r="J122" s="254"/>
      <c r="K122" s="77" t="str">
        <f t="shared" si="7"/>
        <v/>
      </c>
      <c r="L122" s="78" t="str">
        <f>IFERROR(IF(Data_Templet!R57&lt;&gt;"",Data_Templet!R57,""),"")</f>
        <v/>
      </c>
    </row>
    <row r="123" spans="2:12" ht="18" hidden="1" customHeight="1" x14ac:dyDescent="0.3">
      <c r="B123" s="76" t="str">
        <f t="shared" si="8"/>
        <v/>
      </c>
      <c r="C123" s="174" t="str">
        <f>IFERROR(IF(Data_Templet!H58&lt;&gt;"",Data_Templet!H58,""),"")</f>
        <v/>
      </c>
      <c r="D123" s="175"/>
      <c r="E123" s="175"/>
      <c r="F123" s="168"/>
      <c r="G123" s="52" t="str">
        <f>IFERROR(IF(Data_Templet!T58&lt;&gt;"",Data_Templet!T58,""),"")</f>
        <v/>
      </c>
      <c r="H123" s="77" t="str">
        <f>IFERROR(IF(Data_Templet!L58&lt;&gt;"",Data_Templet!L58,""),"")</f>
        <v/>
      </c>
      <c r="I123" s="254" t="str">
        <f>IFERROR(IF(Data_Templet!K58&lt;&gt;"",Data_Templet!K58,""),"")</f>
        <v/>
      </c>
      <c r="J123" s="254"/>
      <c r="K123" s="77" t="str">
        <f t="shared" si="7"/>
        <v/>
      </c>
      <c r="L123" s="78" t="str">
        <f>IFERROR(IF(Data_Templet!R58&lt;&gt;"",Data_Templet!R58,""),"")</f>
        <v/>
      </c>
    </row>
    <row r="124" spans="2:12" ht="18" hidden="1" customHeight="1" x14ac:dyDescent="0.3">
      <c r="B124" s="76" t="str">
        <f t="shared" si="8"/>
        <v/>
      </c>
      <c r="C124" s="174" t="str">
        <f>IFERROR(IF(Data_Templet!H59&lt;&gt;"",Data_Templet!H59,""),"")</f>
        <v/>
      </c>
      <c r="D124" s="175"/>
      <c r="E124" s="175"/>
      <c r="F124" s="168"/>
      <c r="G124" s="52" t="str">
        <f>IFERROR(IF(Data_Templet!T59&lt;&gt;"",Data_Templet!T59,""),"")</f>
        <v/>
      </c>
      <c r="H124" s="77" t="str">
        <f>IFERROR(IF(Data_Templet!L59&lt;&gt;"",Data_Templet!L59,""),"")</f>
        <v/>
      </c>
      <c r="I124" s="254" t="str">
        <f>IFERROR(IF(Data_Templet!K59&lt;&gt;"",Data_Templet!K59,""),"")</f>
        <v/>
      </c>
      <c r="J124" s="254"/>
      <c r="K124" s="77" t="str">
        <f t="shared" si="7"/>
        <v/>
      </c>
      <c r="L124" s="78" t="str">
        <f>IFERROR(IF(Data_Templet!R59&lt;&gt;"",Data_Templet!R59,""),"")</f>
        <v/>
      </c>
    </row>
    <row r="125" spans="2:12" ht="18" hidden="1" customHeight="1" x14ac:dyDescent="0.3">
      <c r="B125" s="76" t="str">
        <f t="shared" si="8"/>
        <v/>
      </c>
      <c r="C125" s="174" t="str">
        <f>IFERROR(IF(Data_Templet!H60&lt;&gt;"",Data_Templet!H60,""),"")</f>
        <v/>
      </c>
      <c r="D125" s="175"/>
      <c r="E125" s="175"/>
      <c r="F125" s="168"/>
      <c r="G125" s="52" t="str">
        <f>IFERROR(IF(Data_Templet!T60&lt;&gt;"",Data_Templet!T60,""),"")</f>
        <v/>
      </c>
      <c r="H125" s="77" t="str">
        <f>IFERROR(IF(Data_Templet!L60&lt;&gt;"",Data_Templet!L60,""),"")</f>
        <v/>
      </c>
      <c r="I125" s="254" t="str">
        <f>IFERROR(IF(Data_Templet!K60&lt;&gt;"",Data_Templet!K60,""),"")</f>
        <v/>
      </c>
      <c r="J125" s="254"/>
      <c r="K125" s="77" t="str">
        <f t="shared" si="7"/>
        <v/>
      </c>
      <c r="L125" s="78" t="str">
        <f>IFERROR(IF(Data_Templet!R60&lt;&gt;"",Data_Templet!R60,""),"")</f>
        <v/>
      </c>
    </row>
    <row r="126" spans="2:12" ht="18" hidden="1" customHeight="1" x14ac:dyDescent="0.3">
      <c r="B126" s="76" t="str">
        <f t="shared" si="8"/>
        <v/>
      </c>
      <c r="C126" s="174" t="str">
        <f>IFERROR(IF(Data_Templet!H61&lt;&gt;"",Data_Templet!H61,""),"")</f>
        <v/>
      </c>
      <c r="D126" s="175"/>
      <c r="E126" s="175"/>
      <c r="F126" s="168"/>
      <c r="G126" s="52" t="str">
        <f>IFERROR(IF(Data_Templet!T61&lt;&gt;"",Data_Templet!T61,""),"")</f>
        <v/>
      </c>
      <c r="H126" s="77" t="str">
        <f>IFERROR(IF(Data_Templet!L61&lt;&gt;"",Data_Templet!L61,""),"")</f>
        <v/>
      </c>
      <c r="I126" s="254" t="str">
        <f>IFERROR(IF(Data_Templet!K61&lt;&gt;"",Data_Templet!K61,""),"")</f>
        <v/>
      </c>
      <c r="J126" s="254"/>
      <c r="K126" s="77" t="str">
        <f t="shared" si="7"/>
        <v/>
      </c>
      <c r="L126" s="78" t="str">
        <f>IFERROR(IF(Data_Templet!R61&lt;&gt;"",Data_Templet!R61,""),"")</f>
        <v/>
      </c>
    </row>
    <row r="127" spans="2:12" ht="18" hidden="1" customHeight="1" x14ac:dyDescent="0.3">
      <c r="B127" s="76" t="str">
        <f t="shared" si="8"/>
        <v/>
      </c>
      <c r="C127" s="174" t="str">
        <f>IFERROR(IF(Data_Templet!H62&lt;&gt;"",Data_Templet!H62,""),"")</f>
        <v/>
      </c>
      <c r="D127" s="175"/>
      <c r="E127" s="175"/>
      <c r="F127" s="168"/>
      <c r="G127" s="52" t="str">
        <f>IFERROR(IF(Data_Templet!T62&lt;&gt;"",Data_Templet!T62,""),"")</f>
        <v/>
      </c>
      <c r="H127" s="77" t="str">
        <f>IFERROR(IF(Data_Templet!L62&lt;&gt;"",Data_Templet!L62,""),"")</f>
        <v/>
      </c>
      <c r="I127" s="254" t="str">
        <f>IFERROR(IF(Data_Templet!K62&lt;&gt;"",Data_Templet!K62,""),"")</f>
        <v/>
      </c>
      <c r="J127" s="254"/>
      <c r="K127" s="77" t="str">
        <f t="shared" si="7"/>
        <v/>
      </c>
      <c r="L127" s="78" t="str">
        <f>IFERROR(IF(Data_Templet!R62&lt;&gt;"",Data_Templet!R62,""),"")</f>
        <v/>
      </c>
    </row>
    <row r="128" spans="2:12" ht="18" hidden="1" customHeight="1" x14ac:dyDescent="0.3">
      <c r="B128" s="76" t="str">
        <f t="shared" ref="B128:B135" si="9">IF(OR(C128&lt;=0, C128=""),"", B127+1)</f>
        <v/>
      </c>
      <c r="C128" s="174" t="str">
        <f>IFERROR(IF(Data_Templet!H63&lt;&gt;"",Data_Templet!H63,""),"")</f>
        <v/>
      </c>
      <c r="D128" s="175"/>
      <c r="E128" s="175"/>
      <c r="F128" s="168"/>
      <c r="G128" s="52" t="str">
        <f>IFERROR(IF(Data_Templet!T63&lt;&gt;"",Data_Templet!T63,""),"")</f>
        <v/>
      </c>
      <c r="H128" s="77" t="str">
        <f>IFERROR(IF(Data_Templet!L63&lt;&gt;"",Data_Templet!L63,""),"")</f>
        <v/>
      </c>
      <c r="I128" s="254" t="str">
        <f>IFERROR(IF(Data_Templet!K63&lt;&gt;"",Data_Templet!K63,""),"")</f>
        <v/>
      </c>
      <c r="J128" s="254"/>
      <c r="K128" s="77" t="str">
        <f t="shared" si="7"/>
        <v/>
      </c>
      <c r="L128" s="78" t="str">
        <f>IFERROR(IF(Data_Templet!R63&lt;&gt;"",Data_Templet!R63,""),"")</f>
        <v/>
      </c>
    </row>
    <row r="129" spans="2:12" ht="18" hidden="1" customHeight="1" x14ac:dyDescent="0.3">
      <c r="B129" s="76" t="str">
        <f t="shared" si="9"/>
        <v/>
      </c>
      <c r="C129" s="174" t="str">
        <f>IFERROR(IF(Data_Templet!H64&lt;&gt;"",Data_Templet!H64,""),"")</f>
        <v/>
      </c>
      <c r="D129" s="175"/>
      <c r="E129" s="175"/>
      <c r="F129" s="168"/>
      <c r="G129" s="52" t="str">
        <f>IFERROR(IF(Data_Templet!T64&lt;&gt;"",Data_Templet!T64,""),"")</f>
        <v/>
      </c>
      <c r="H129" s="77" t="str">
        <f>IFERROR(IF(Data_Templet!L64&lt;&gt;"",Data_Templet!L64,""),"")</f>
        <v/>
      </c>
      <c r="I129" s="254" t="str">
        <f>IFERROR(IF(Data_Templet!K64&lt;&gt;"",Data_Templet!K64,""),"")</f>
        <v/>
      </c>
      <c r="J129" s="254"/>
      <c r="K129" s="77" t="str">
        <f t="shared" si="7"/>
        <v/>
      </c>
      <c r="L129" s="78" t="str">
        <f>IFERROR(IF(Data_Templet!R64&lt;&gt;"",Data_Templet!R64,""),"")</f>
        <v/>
      </c>
    </row>
    <row r="130" spans="2:12" ht="18" hidden="1" customHeight="1" x14ac:dyDescent="0.3">
      <c r="B130" s="76" t="str">
        <f t="shared" si="9"/>
        <v/>
      </c>
      <c r="C130" s="174" t="str">
        <f>IFERROR(IF(Data_Templet!H65&lt;&gt;"",Data_Templet!H65,""),"")</f>
        <v/>
      </c>
      <c r="D130" s="175"/>
      <c r="E130" s="175"/>
      <c r="F130" s="168"/>
      <c r="G130" s="52" t="str">
        <f>IFERROR(IF(Data_Templet!T65&lt;&gt;"",Data_Templet!T65,""),"")</f>
        <v/>
      </c>
      <c r="H130" s="77" t="str">
        <f>IFERROR(IF(Data_Templet!L65&lt;&gt;"",Data_Templet!L65,""),"")</f>
        <v/>
      </c>
      <c r="I130" s="254" t="str">
        <f>IFERROR(IF(Data_Templet!K65&lt;&gt;"",Data_Templet!K65,""),"")</f>
        <v/>
      </c>
      <c r="J130" s="254"/>
      <c r="K130" s="77" t="str">
        <f t="shared" ref="K130:K136" si="10">IFERROR(IF(I130&gt;0,I130-H130,0),"")</f>
        <v/>
      </c>
      <c r="L130" s="78" t="str">
        <f>IFERROR(IF(Data_Templet!R65&lt;&gt;"",Data_Templet!R65,""),"")</f>
        <v/>
      </c>
    </row>
    <row r="131" spans="2:12" ht="18" hidden="1" customHeight="1" x14ac:dyDescent="0.3">
      <c r="B131" s="76" t="str">
        <f t="shared" si="9"/>
        <v/>
      </c>
      <c r="C131" s="174" t="str">
        <f>IFERROR(IF(Data_Templet!H66&lt;&gt;"",Data_Templet!H66,""),"")</f>
        <v/>
      </c>
      <c r="D131" s="175"/>
      <c r="E131" s="175"/>
      <c r="F131" s="168"/>
      <c r="G131" s="52" t="str">
        <f>IFERROR(IF(Data_Templet!T66&lt;&gt;"",Data_Templet!T66,""),"")</f>
        <v/>
      </c>
      <c r="H131" s="77" t="str">
        <f>IFERROR(IF(Data_Templet!L66&lt;&gt;"",Data_Templet!L66,""),"")</f>
        <v/>
      </c>
      <c r="I131" s="254" t="str">
        <f>IFERROR(IF(Data_Templet!K66&lt;&gt;"",Data_Templet!K66,""),"")</f>
        <v/>
      </c>
      <c r="J131" s="254"/>
      <c r="K131" s="77" t="str">
        <f t="shared" si="10"/>
        <v/>
      </c>
      <c r="L131" s="78" t="str">
        <f>IFERROR(IF(Data_Templet!R66&lt;&gt;"",Data_Templet!R66,""),"")</f>
        <v/>
      </c>
    </row>
    <row r="132" spans="2:12" ht="18" hidden="1" customHeight="1" x14ac:dyDescent="0.3">
      <c r="B132" s="76" t="str">
        <f t="shared" si="9"/>
        <v/>
      </c>
      <c r="C132" s="174" t="str">
        <f>IFERROR(IF(Data_Templet!H67&lt;&gt;"",Data_Templet!H67,""),"")</f>
        <v/>
      </c>
      <c r="D132" s="175"/>
      <c r="E132" s="175"/>
      <c r="F132" s="168"/>
      <c r="G132" s="52" t="str">
        <f>IFERROR(IF(Data_Templet!T67&lt;&gt;"",Data_Templet!T67,""),"")</f>
        <v/>
      </c>
      <c r="H132" s="77" t="str">
        <f>IFERROR(IF(Data_Templet!L67&lt;&gt;"",Data_Templet!L67,""),"")</f>
        <v/>
      </c>
      <c r="I132" s="254" t="str">
        <f>IFERROR(IF(Data_Templet!K67&lt;&gt;"",Data_Templet!K67,""),"")</f>
        <v/>
      </c>
      <c r="J132" s="254"/>
      <c r="K132" s="77" t="str">
        <f t="shared" si="10"/>
        <v/>
      </c>
      <c r="L132" s="78" t="str">
        <f>IFERROR(IF(Data_Templet!R67&lt;&gt;"",Data_Templet!R67,""),"")</f>
        <v/>
      </c>
    </row>
    <row r="133" spans="2:12" ht="18" hidden="1" customHeight="1" x14ac:dyDescent="0.3">
      <c r="B133" s="76" t="str">
        <f t="shared" si="9"/>
        <v/>
      </c>
      <c r="C133" s="174" t="str">
        <f>IFERROR(IF(Data_Templet!H68&lt;&gt;"",Data_Templet!H68,""),"")</f>
        <v/>
      </c>
      <c r="D133" s="175"/>
      <c r="E133" s="175"/>
      <c r="F133" s="168"/>
      <c r="G133" s="52" t="str">
        <f>IFERROR(IF(Data_Templet!T68&lt;&gt;"",Data_Templet!T68,""),"")</f>
        <v/>
      </c>
      <c r="H133" s="77" t="str">
        <f>IFERROR(IF(Data_Templet!L68&lt;&gt;"",Data_Templet!L68,""),"")</f>
        <v/>
      </c>
      <c r="I133" s="254" t="str">
        <f>IFERROR(IF(Data_Templet!K68&lt;&gt;"",Data_Templet!K68,""),"")</f>
        <v/>
      </c>
      <c r="J133" s="254"/>
      <c r="K133" s="77" t="str">
        <f t="shared" si="10"/>
        <v/>
      </c>
      <c r="L133" s="78" t="str">
        <f>IFERROR(IF(Data_Templet!R68&lt;&gt;"",Data_Templet!R68,""),"")</f>
        <v/>
      </c>
    </row>
    <row r="134" spans="2:12" ht="18" hidden="1" customHeight="1" x14ac:dyDescent="0.3">
      <c r="B134" s="76" t="str">
        <f t="shared" si="9"/>
        <v/>
      </c>
      <c r="C134" s="174" t="str">
        <f>IFERROR(IF(Data_Templet!H69&lt;&gt;"",Data_Templet!H69,""),"")</f>
        <v/>
      </c>
      <c r="D134" s="175"/>
      <c r="E134" s="175"/>
      <c r="F134" s="168"/>
      <c r="G134" s="52" t="str">
        <f>IFERROR(IF(Data_Templet!T69&lt;&gt;"",Data_Templet!T69,""),"")</f>
        <v/>
      </c>
      <c r="H134" s="77" t="str">
        <f>IFERROR(IF(Data_Templet!L69&lt;&gt;"",Data_Templet!L69,""),"")</f>
        <v/>
      </c>
      <c r="I134" s="254" t="str">
        <f>IFERROR(IF(Data_Templet!K69&lt;&gt;"",Data_Templet!K69,""),"")</f>
        <v/>
      </c>
      <c r="J134" s="254"/>
      <c r="K134" s="77" t="str">
        <f t="shared" si="10"/>
        <v/>
      </c>
      <c r="L134" s="78" t="str">
        <f>IFERROR(IF(Data_Templet!R69&lt;&gt;"",Data_Templet!R69,""),"")</f>
        <v/>
      </c>
    </row>
    <row r="135" spans="2:12" ht="18" hidden="1" customHeight="1" x14ac:dyDescent="0.3">
      <c r="B135" s="76" t="str">
        <f t="shared" si="9"/>
        <v/>
      </c>
      <c r="C135" s="174" t="str">
        <f>IFERROR(IF(Data_Templet!H70&lt;&gt;"",Data_Templet!H70,""),"")</f>
        <v/>
      </c>
      <c r="D135" s="176"/>
      <c r="E135" s="176"/>
      <c r="F135" s="177"/>
      <c r="G135" s="52" t="str">
        <f>IFERROR(IF(Data_Templet!T70&lt;&gt;"",Data_Templet!T70,""),"")</f>
        <v/>
      </c>
      <c r="H135" s="77" t="str">
        <f>IFERROR(IF(Data_Templet!L70&lt;&gt;"",Data_Templet!L70,""),"")</f>
        <v/>
      </c>
      <c r="I135" s="254" t="str">
        <f>IFERROR(IF(Data_Templet!K70&lt;&gt;"",Data_Templet!K70,""),"")</f>
        <v/>
      </c>
      <c r="J135" s="254"/>
      <c r="K135" s="77" t="str">
        <f t="shared" si="10"/>
        <v/>
      </c>
      <c r="L135" s="78" t="str">
        <f>IFERROR(IF(Data_Templet!R70&lt;&gt;"",Data_Templet!R70,""),"")</f>
        <v/>
      </c>
    </row>
    <row r="136" spans="2:12" ht="18" customHeight="1" x14ac:dyDescent="0.3">
      <c r="B136" s="120" t="str">
        <f t="shared" si="8"/>
        <v/>
      </c>
      <c r="C136" s="178" t="str">
        <f>IFERROR(IF(Data_Templet!H67&lt;&gt;"",Data_Templet!H67,""),"")</f>
        <v/>
      </c>
      <c r="D136" s="179"/>
      <c r="E136" s="179"/>
      <c r="F136" s="173"/>
      <c r="G136" s="52" t="str">
        <f>IFERROR(IF(Data_Templet!T71&lt;&gt;"",Data_Templet!T71,""),"")</f>
        <v/>
      </c>
      <c r="H136" s="77" t="str">
        <f>IFERROR(IF(Data_Templet!L71&lt;&gt;"",Data_Templet!L71,""),"")</f>
        <v/>
      </c>
      <c r="I136" s="254" t="str">
        <f>IFERROR(IF(Data_Templet!K71&lt;&gt;"",Data_Templet!K71,""),"")</f>
        <v/>
      </c>
      <c r="J136" s="254"/>
      <c r="K136" s="77" t="str">
        <f t="shared" si="10"/>
        <v/>
      </c>
      <c r="L136" s="78" t="str">
        <f>IFERROR(IF(Data_Templet!R71&lt;&gt;"",Data_Templet!R71,""),"")</f>
        <v/>
      </c>
    </row>
    <row r="137" spans="2:12" ht="18" customHeight="1" thickBot="1" x14ac:dyDescent="0.35">
      <c r="B137" s="197"/>
      <c r="C137" s="184"/>
      <c r="D137" s="185"/>
      <c r="E137" s="185"/>
      <c r="F137" s="186"/>
      <c r="G137" s="198"/>
      <c r="H137" s="199">
        <f>SUM(H112:H136)</f>
        <v>110278166</v>
      </c>
      <c r="I137" s="281">
        <f>SUM(I112:I136)</f>
        <v>122628271</v>
      </c>
      <c r="J137" s="282"/>
      <c r="K137" s="199">
        <f>SUM(K112:K136)</f>
        <v>12350105</v>
      </c>
      <c r="L137" s="200">
        <f>IFERROR((I137-H137)/H137,"")</f>
        <v>0.11199048232267482</v>
      </c>
    </row>
    <row r="139" spans="2:12" ht="20.25" x14ac:dyDescent="0.3">
      <c r="B139" s="148" t="s">
        <v>132</v>
      </c>
      <c r="C139" s="149"/>
      <c r="G139" s="148" t="s">
        <v>133</v>
      </c>
      <c r="H139" s="149"/>
    </row>
    <row r="140" spans="2:12" ht="8.25" customHeight="1" x14ac:dyDescent="0.3"/>
    <row r="155" spans="2:3" ht="20.25" x14ac:dyDescent="0.3">
      <c r="B155" s="148" t="s">
        <v>131</v>
      </c>
      <c r="C155" s="149"/>
    </row>
    <row r="156" spans="2:3" ht="8.25" customHeight="1" x14ac:dyDescent="0.3"/>
    <row r="170" spans="2:12" ht="20.25" x14ac:dyDescent="0.3">
      <c r="B170" s="148" t="s">
        <v>130</v>
      </c>
      <c r="C170" s="149"/>
    </row>
    <row r="171" spans="2:12" ht="8.25" customHeight="1" x14ac:dyDescent="0.3">
      <c r="J171" s="139">
        <v>1</v>
      </c>
      <c r="L171" s="144">
        <v>0</v>
      </c>
    </row>
    <row r="172" spans="2:12" ht="18" customHeight="1" x14ac:dyDescent="0.3">
      <c r="B172" s="150" t="s">
        <v>40</v>
      </c>
      <c r="C172" s="156" t="s">
        <v>47</v>
      </c>
      <c r="D172" s="157"/>
      <c r="E172" s="158"/>
      <c r="F172" s="151" t="s">
        <v>114</v>
      </c>
      <c r="G172" s="151" t="s">
        <v>44</v>
      </c>
      <c r="H172" s="151" t="s">
        <v>52</v>
      </c>
      <c r="I172" s="151" t="s">
        <v>108</v>
      </c>
      <c r="J172" s="152" t="s">
        <v>116</v>
      </c>
      <c r="K172" s="152" t="s">
        <v>117</v>
      </c>
      <c r="L172" s="153" t="s">
        <v>118</v>
      </c>
    </row>
    <row r="173" spans="2:12" ht="33" x14ac:dyDescent="0.3">
      <c r="B173" s="76">
        <f>IF(C173="","",1)</f>
        <v>1</v>
      </c>
      <c r="C173" s="165" t="str">
        <f>IFERROR(IF(Data_Templet!H47&lt;&gt;"",Data_Templet!H47,""),"")</f>
        <v>미래에셋인도중소형포커스증권자투자신탁1호(주식)C-P2e</v>
      </c>
      <c r="D173" s="166"/>
      <c r="E173" s="167"/>
      <c r="F173" s="164">
        <f>IFERROR(IF(Data_Templet!J47&lt;&gt;"",Data_Templet!J47,""),"")</f>
        <v>3092.24</v>
      </c>
      <c r="G173" s="164">
        <f>IFERROR(IF(Data_Templet!K47&lt;&gt;"",Data_Templet!K47,""),"")</f>
        <v>5392814</v>
      </c>
      <c r="H173" s="154">
        <f>IFERROR(IF(Data_Templet!R47&lt;&gt;"",Data_Templet!R47,""),"")</f>
        <v>-3.1809999999999998E-2</v>
      </c>
      <c r="I173" s="155">
        <f>IFERROR(IF(Data_Templet!S47&lt;&gt;0,Data_Templet!S47,""),"")</f>
        <v>4.3976922744022054E-2</v>
      </c>
      <c r="J173" s="163"/>
      <c r="K173" s="159">
        <f>IFERROR(IF(J173&gt;0,J173*$G$198,0),"")</f>
        <v>0</v>
      </c>
      <c r="L173" s="160">
        <f>IFERROR(ROUND(IF(C173="자동운용상품(고유계정대)",$L$171-SUM(L174:L197),K173-G173),-4),0)</f>
        <v>-5390000</v>
      </c>
    </row>
    <row r="174" spans="2:12" ht="18" customHeight="1" x14ac:dyDescent="0.3">
      <c r="B174" s="76">
        <f>IF(C173="","",B173+1)</f>
        <v>2</v>
      </c>
      <c r="C174" s="165" t="str">
        <f>IFERROR(IF(Data_Templet!H48&lt;&gt;"",Data_Templet!H48,""),"")</f>
        <v>마이다스책임투자증권투자신탁(주식)C-Pe2</v>
      </c>
      <c r="D174" s="166"/>
      <c r="E174" s="168"/>
      <c r="F174" s="164">
        <f>IFERROR(IF(Data_Templet!J48&lt;&gt;"",Data_Templet!J48,""),"")</f>
        <v>3290.15</v>
      </c>
      <c r="G174" s="164">
        <f>IFERROR(IF(Data_Templet!K48&lt;&gt;"",Data_Templet!K48,""),"")</f>
        <v>13218710</v>
      </c>
      <c r="H174" s="154">
        <f>IFERROR(IF(Data_Templet!R48&lt;&gt;"",Data_Templet!R48,""),"")</f>
        <v>1.3405199999999999</v>
      </c>
      <c r="I174" s="155">
        <f>IFERROR(IF(Data_Templet!S48&lt;&gt;0,Data_Templet!S48,""),"")</f>
        <v>0.10779496352843465</v>
      </c>
      <c r="J174" s="161"/>
      <c r="K174" s="159">
        <f t="shared" ref="K174:K197" si="11">IFERROR(IF(J174&gt;0,J174*$G$198,0),"")</f>
        <v>0</v>
      </c>
      <c r="L174" s="160">
        <f>IFERROR(ROUND(IF(C174="자동운용상품(고유계정대)",$L$171-SUM(L175:L197)-L173,K174-G174),-4),0)</f>
        <v>-13220000</v>
      </c>
    </row>
    <row r="175" spans="2:12" ht="18" customHeight="1" x14ac:dyDescent="0.3">
      <c r="B175" s="76">
        <f>IF(C174="","",B174+1)</f>
        <v>3</v>
      </c>
      <c r="C175" s="165" t="str">
        <f>IFERROR(IF(Data_Templet!H49&lt;&gt;"",Data_Templet!H49,""),"")</f>
        <v>AB미국그로스증권투자신탁(주식-재간접형)Ce-P2</v>
      </c>
      <c r="D175" s="166"/>
      <c r="E175" s="168"/>
      <c r="F175" s="164">
        <f>IFERROR(IF(Data_Templet!J49&lt;&gt;"",Data_Templet!J49,""),"")</f>
        <v>2844.5</v>
      </c>
      <c r="G175" s="164">
        <f>IFERROR(IF(Data_Templet!K49&lt;&gt;"",Data_Templet!K49,""),"")</f>
        <v>17950518</v>
      </c>
      <c r="H175" s="154">
        <f>IFERROR(IF(Data_Templet!R49&lt;&gt;"",Data_Templet!R49,""),"")</f>
        <v>0.17036999999999999</v>
      </c>
      <c r="I175" s="155">
        <f>IFERROR(IF(Data_Templet!S49&lt;&gt;0,Data_Templet!S49,""),"")</f>
        <v>0.14638156318782314</v>
      </c>
      <c r="J175" s="161"/>
      <c r="K175" s="159">
        <f t="shared" si="11"/>
        <v>0</v>
      </c>
      <c r="L175" s="160">
        <f>IFERROR(ROUND(IF(C175="자동운용상품(고유계정대)",$L$171-SUM(L176:L197)-SUM(L173:L174),K175-G175),-4),0)</f>
        <v>-17950000</v>
      </c>
    </row>
    <row r="176" spans="2:12" ht="18" customHeight="1" x14ac:dyDescent="0.3">
      <c r="B176" s="76">
        <f>IF(C175="","",B175+1)</f>
        <v>4</v>
      </c>
      <c r="C176" s="165" t="str">
        <f>IFERROR(IF(Data_Templet!H50&lt;&gt;"",Data_Templet!H50,""),"")</f>
        <v>한국투자연금베트남증권자투자신탁(주식혼합)C-Re</v>
      </c>
      <c r="D176" s="166"/>
      <c r="E176" s="168"/>
      <c r="F176" s="164">
        <f>IFERROR(IF(Data_Templet!J50&lt;&gt;"",Data_Templet!J50,""),"")</f>
        <v>1040.32</v>
      </c>
      <c r="G176" s="164">
        <f>IFERROR(IF(Data_Templet!K50&lt;&gt;"",Data_Templet!K50,""),"")</f>
        <v>10972074</v>
      </c>
      <c r="H176" s="154">
        <f>IFERROR(IF(Data_Templet!R50&lt;&gt;"",Data_Templet!R50,""),"")</f>
        <v>7.0449999999999999E-2</v>
      </c>
      <c r="I176" s="155">
        <f>IFERROR(IF(Data_Templet!S50&lt;&gt;0,Data_Templet!S50,""),"")</f>
        <v>8.9474261608075673E-2</v>
      </c>
      <c r="J176" s="161"/>
      <c r="K176" s="159">
        <f t="shared" si="11"/>
        <v>0</v>
      </c>
      <c r="L176" s="160">
        <f>IFERROR(ROUND(IF(C176="자동운용상품(고유계정대)",$L$171-SUM(L177:L197)-SUM(L173:L175),K176-G176),-4),0)</f>
        <v>-10970000</v>
      </c>
    </row>
    <row r="177" spans="2:12" ht="18" customHeight="1" x14ac:dyDescent="0.3">
      <c r="B177" s="76">
        <f>IF(C176="","",B176+1)</f>
        <v>5</v>
      </c>
      <c r="C177" s="165" t="str">
        <f>IFERROR(IF(Data_Templet!H51&lt;&gt;"",Data_Templet!H51,""),"")</f>
        <v>우리하이플러스채권증권자투자신탁1호(채권)C-Pe</v>
      </c>
      <c r="D177" s="169"/>
      <c r="E177" s="170"/>
      <c r="F177" s="164">
        <f>IFERROR(IF(Data_Templet!J51&lt;&gt;"",Data_Templet!J51,""),"")</f>
        <v>1044.0899999999999</v>
      </c>
      <c r="G177" s="164">
        <f>IFERROR(IF(Data_Templet!K51&lt;&gt;"",Data_Templet!K51,""),"")</f>
        <v>27007269</v>
      </c>
      <c r="H177" s="154">
        <f>IFERROR(IF(Data_Templet!R51&lt;&gt;"",Data_Templet!R51,""),"")</f>
        <v>7.7699999999999991E-2</v>
      </c>
      <c r="I177" s="155">
        <f>IFERROR(IF(Data_Templet!S51&lt;&gt;0,Data_Templet!S51,""),"")</f>
        <v>0.22023688974624783</v>
      </c>
      <c r="J177" s="161"/>
      <c r="K177" s="159">
        <f t="shared" si="11"/>
        <v>0</v>
      </c>
      <c r="L177" s="160">
        <f>IFERROR(ROUND(IF(C177="자동운용상품(고유계정대)",$L$171-SUM(L178:L197)-SUM(L173:L176),K177-G177),-4),0)</f>
        <v>-27010000</v>
      </c>
    </row>
    <row r="178" spans="2:12" ht="33" x14ac:dyDescent="0.3">
      <c r="B178" s="76">
        <f t="shared" ref="B178:B197" si="12">IF(C178="","",B177+1)</f>
        <v>6</v>
      </c>
      <c r="C178" s="165" t="str">
        <f>IFERROR(IF(Data_Templet!H52&lt;&gt;"",Data_Templet!H52,""),"")</f>
        <v>한국투자글로벌AI&amp;반도체TOP10증권자투자신탁UH(주식)C-Re</v>
      </c>
      <c r="D178" s="166"/>
      <c r="E178" s="168"/>
      <c r="F178" s="164">
        <f>IFERROR(IF(Data_Templet!J52&lt;&gt;"",Data_Templet!J52,""),"")</f>
        <v>2986.92</v>
      </c>
      <c r="G178" s="164">
        <f>IFERROR(IF(Data_Templet!K52&lt;&gt;"",Data_Templet!K52,""),"")</f>
        <v>23694654</v>
      </c>
      <c r="H178" s="154">
        <f>IFERROR(IF(Data_Templet!R52&lt;&gt;"",Data_Templet!R52,""),"")</f>
        <v>4.0149999999999998E-2</v>
      </c>
      <c r="I178" s="155">
        <f>IFERROR(IF(Data_Templet!S52&lt;&gt;0,Data_Templet!S52,""),"")</f>
        <v>0.19322342072326862</v>
      </c>
      <c r="J178" s="161"/>
      <c r="K178" s="159">
        <f t="shared" si="11"/>
        <v>0</v>
      </c>
      <c r="L178" s="160">
        <f>IFERROR(ROUND(IF(C178="자동운용상품(고유계정대)",$L$171-SUM(L179:L197)-SUM(L173:L177),K178-G178),-4),0)</f>
        <v>-23690000</v>
      </c>
    </row>
    <row r="179" spans="2:12" ht="18" customHeight="1" x14ac:dyDescent="0.3">
      <c r="B179" s="76">
        <f t="shared" si="12"/>
        <v>7</v>
      </c>
      <c r="C179" s="165" t="str">
        <f>IFERROR(IF(Data_Templet!H53&lt;&gt;"",Data_Templet!H53,""),"")</f>
        <v>WON 미국우주항공방산</v>
      </c>
      <c r="D179" s="166"/>
      <c r="E179" s="168"/>
      <c r="F179" s="164">
        <f>IFERROR(IF(Data_Templet!J53&lt;&gt;"",Data_Templet!J53,""),"")</f>
        <v>27185</v>
      </c>
      <c r="G179" s="164">
        <f>IFERROR(IF(Data_Templet!K53&lt;&gt;"",Data_Templet!K53,""),"")</f>
        <v>6198180</v>
      </c>
      <c r="H179" s="154">
        <f>IFERROR(IF(Data_Templet!R53&lt;&gt;"",Data_Templet!R53,""),"")</f>
        <v>8.7200000000000003E-3</v>
      </c>
      <c r="I179" s="155">
        <f>IFERROR(IF(Data_Templet!S53&lt;&gt;0,Data_Templet!S53,""),"")</f>
        <v>5.0544462133042714E-2</v>
      </c>
      <c r="J179" s="161"/>
      <c r="K179" s="159">
        <f t="shared" si="11"/>
        <v>0</v>
      </c>
      <c r="L179" s="160">
        <f>IFERROR(ROUND(IF(C179="자동운용상품(고유계정대)",$L$171-SUM(L180:L197)-SUM(L173:L178),K179-G179),-4),0)</f>
        <v>-6200000</v>
      </c>
    </row>
    <row r="180" spans="2:12" ht="18" customHeight="1" x14ac:dyDescent="0.3">
      <c r="B180" s="76">
        <f t="shared" si="12"/>
        <v>8</v>
      </c>
      <c r="C180" s="165" t="str">
        <f>IFERROR(IF(Data_Templet!H54&lt;&gt;"",Data_Templet!H54,""),"")</f>
        <v>KODEX 로봇액티브</v>
      </c>
      <c r="D180" s="166"/>
      <c r="E180" s="168"/>
      <c r="F180" s="164">
        <f>IFERROR(IF(Data_Templet!J54&lt;&gt;"",Data_Templet!J54,""),"")</f>
        <v>34405</v>
      </c>
      <c r="G180" s="164">
        <f>IFERROR(IF(Data_Templet!K54&lt;&gt;"",Data_Templet!K54,""),"")</f>
        <v>6915405</v>
      </c>
      <c r="H180" s="154">
        <f>IFERROR(IF(Data_Templet!R54&lt;&gt;"",Data_Templet!R54,""),"")</f>
        <v>-6.087E-2</v>
      </c>
      <c r="I180" s="155">
        <f>IFERROR(IF(Data_Templet!S54&lt;&gt;0,Data_Templet!S54,""),"")</f>
        <v>5.6393235781657558E-2</v>
      </c>
      <c r="J180" s="161"/>
      <c r="K180" s="159">
        <f t="shared" si="11"/>
        <v>0</v>
      </c>
      <c r="L180" s="160">
        <f>IFERROR(ROUND(IF(C180="자동운용상품(고유계정대)",$L$171-SUM(L181:L197)-SUM(L173:L179),K180-G180),-4),0)</f>
        <v>-6920000</v>
      </c>
    </row>
    <row r="181" spans="2:12" ht="18" customHeight="1" x14ac:dyDescent="0.3">
      <c r="B181" s="76">
        <f t="shared" si="12"/>
        <v>9</v>
      </c>
      <c r="C181" s="165" t="str">
        <f>IFERROR(IF(Data_Templet!H55&lt;&gt;"",Data_Templet!H55,""),"")</f>
        <v>ACE 미국30년국채액티브(H)</v>
      </c>
      <c r="D181" s="166"/>
      <c r="E181" s="168"/>
      <c r="F181" s="164">
        <f>IFERROR(IF(Data_Templet!J55&lt;&gt;"",Data_Templet!J55,""),"")</f>
        <v>7635</v>
      </c>
      <c r="G181" s="164">
        <f>IFERROR(IF(Data_Templet!K55&lt;&gt;"",Data_Templet!K55,""),"")</f>
        <v>10765350</v>
      </c>
      <c r="H181" s="154">
        <f>IFERROR(IF(Data_Templet!R55&lt;&gt;"",Data_Templet!R55,""),"")</f>
        <v>-7.2859999999999994E-2</v>
      </c>
      <c r="I181" s="155">
        <f>IFERROR(IF(Data_Templet!S55&lt;&gt;0,Data_Templet!S55,""),"")</f>
        <v>8.7788483945924672E-2</v>
      </c>
      <c r="J181" s="161"/>
      <c r="K181" s="159">
        <f t="shared" si="11"/>
        <v>0</v>
      </c>
      <c r="L181" s="160" cm="1">
        <f t="array" ref="L181">IFERROR(ROUND(IF(C181="자동운용상품(고유계정대)",$L$171-SUM(L182:L197)+-UM(L173:L180),K181-G181),-4),0)</f>
        <v>-10770000</v>
      </c>
    </row>
    <row r="182" spans="2:12" ht="18" customHeight="1" x14ac:dyDescent="0.3">
      <c r="B182" s="76">
        <f t="shared" si="12"/>
        <v>10</v>
      </c>
      <c r="C182" s="165" t="str">
        <f>IFERROR(IF(Data_Templet!H56&lt;&gt;"",Data_Templet!H56,""),"")</f>
        <v>자동운용상품(고유계정대)</v>
      </c>
      <c r="D182" s="166"/>
      <c r="E182" s="168"/>
      <c r="F182" s="164">
        <f>IFERROR(IF(Data_Templet!J56&lt;&gt;"",Data_Templet!J56,""),"")</f>
        <v>0</v>
      </c>
      <c r="G182" s="164">
        <f>IFERROR(IF(Data_Templet!K56&lt;&gt;"",Data_Templet!K56,""),"")</f>
        <v>513297</v>
      </c>
      <c r="H182" s="154">
        <f>IFERROR(IF(Data_Templet!R56&lt;&gt;"",Data_Templet!R56,""),"")</f>
        <v>0</v>
      </c>
      <c r="I182" s="155">
        <f>IFERROR(IF(Data_Templet!S56&lt;&gt;0,Data_Templet!S56,""),"")</f>
        <v>4.1857966015030907E-3</v>
      </c>
      <c r="J182" s="161"/>
      <c r="K182" s="159">
        <f t="shared" si="11"/>
        <v>0</v>
      </c>
      <c r="L182" s="160">
        <f>IFERROR(ROUND(IF(C182="자동운용상품(고유계정대)",$L$171-SUM(L183:L197)-SUM(L173:L181),K182-G182),-4),0)</f>
        <v>122120000</v>
      </c>
    </row>
    <row r="183" spans="2:12" ht="18" customHeight="1" x14ac:dyDescent="0.3">
      <c r="B183" s="76" t="str">
        <f t="shared" si="12"/>
        <v/>
      </c>
      <c r="C183" s="165" t="str">
        <f>IFERROR(IF(Data_Templet!H57&lt;&gt;"",Data_Templet!H57,""),"")</f>
        <v/>
      </c>
      <c r="D183" s="166"/>
      <c r="E183" s="168"/>
      <c r="F183" s="164" t="str">
        <f>IFERROR(IF(Data_Templet!J57&lt;&gt;"",Data_Templet!J57,""),"")</f>
        <v/>
      </c>
      <c r="G183" s="164" t="str">
        <f>IFERROR(IF(Data_Templet!K57&lt;&gt;"",Data_Templet!K57,""),"")</f>
        <v/>
      </c>
      <c r="H183" s="154" t="str">
        <f>IFERROR(IF(Data_Templet!R57&lt;&gt;"",Data_Templet!R57,""),"")</f>
        <v/>
      </c>
      <c r="I183" s="155" t="str">
        <f>IFERROR(IF(Data_Templet!S57&lt;&gt;0,Data_Templet!S57,""),"")</f>
        <v/>
      </c>
      <c r="J183" s="161"/>
      <c r="K183" s="159">
        <f t="shared" si="11"/>
        <v>0</v>
      </c>
      <c r="L183" s="160">
        <f>IFERROR(ROUND(IF(C183="자동운용상품(고유계정대)",$L$171-SUM(L184:L197)*SUM(L173:L182),K183-G183),-4),0)</f>
        <v>0</v>
      </c>
    </row>
    <row r="184" spans="2:12" ht="18" hidden="1" customHeight="1" x14ac:dyDescent="0.3">
      <c r="B184" s="76" t="str">
        <f t="shared" si="12"/>
        <v/>
      </c>
      <c r="C184" s="165" t="str">
        <f>IFERROR(IF(Data_Templet!H58&lt;&gt;"",Data_Templet!H58,""),"")</f>
        <v/>
      </c>
      <c r="D184" s="166"/>
      <c r="E184" s="168"/>
      <c r="F184" s="164" t="str">
        <f>IFERROR(IF(Data_Templet!J58&lt;&gt;"",Data_Templet!J58,""),"")</f>
        <v/>
      </c>
      <c r="G184" s="164" t="str">
        <f>IFERROR(IF(Data_Templet!K58&lt;&gt;"",Data_Templet!K58,""),"")</f>
        <v/>
      </c>
      <c r="H184" s="154" t="str">
        <f>IFERROR(IF(Data_Templet!R58&lt;&gt;"",Data_Templet!R58,""),"")</f>
        <v/>
      </c>
      <c r="I184" s="155" t="str">
        <f>IFERROR(IF(Data_Templet!S58&lt;&gt;0,Data_Templet!S58,""),"")</f>
        <v/>
      </c>
      <c r="J184" s="161"/>
      <c r="K184" s="159">
        <f t="shared" si="11"/>
        <v>0</v>
      </c>
      <c r="L184" s="160">
        <f>IFERROR(ROUND(IF(C184="자동운용상품(고유계정대)",$L$171-SUM(L185:L197)-SUM(L173:L183),K184-G184),-4),0)</f>
        <v>0</v>
      </c>
    </row>
    <row r="185" spans="2:12" ht="18" hidden="1" customHeight="1" x14ac:dyDescent="0.3">
      <c r="B185" s="76" t="str">
        <f t="shared" si="12"/>
        <v/>
      </c>
      <c r="C185" s="165" t="str">
        <f>IFERROR(IF(Data_Templet!H59&lt;&gt;"",Data_Templet!H59,""),"")</f>
        <v/>
      </c>
      <c r="D185" s="166"/>
      <c r="E185" s="168"/>
      <c r="F185" s="164" t="str">
        <f>IFERROR(IF(Data_Templet!J59&lt;&gt;"",Data_Templet!J59,""),"")</f>
        <v/>
      </c>
      <c r="G185" s="164" t="str">
        <f>IFERROR(IF(Data_Templet!K59&lt;&gt;"",Data_Templet!K59,""),"")</f>
        <v/>
      </c>
      <c r="H185" s="154" t="str">
        <f>IFERROR(IF(Data_Templet!R59&lt;&gt;"",Data_Templet!R59,""),"")</f>
        <v/>
      </c>
      <c r="I185" s="155" t="str">
        <f>IFERROR(IF(Data_Templet!S59&lt;&gt;0,Data_Templet!S59,""),"")</f>
        <v/>
      </c>
      <c r="J185" s="161"/>
      <c r="K185" s="159">
        <f t="shared" si="11"/>
        <v>0</v>
      </c>
      <c r="L185" s="160">
        <f>IFERROR(ROUND(IF(C185="자동운용상품(고유계정대)",$L$171-SUM(L186:L197)-SUM(L173:L184),K185-G185),-4),0)</f>
        <v>0</v>
      </c>
    </row>
    <row r="186" spans="2:12" ht="18" hidden="1" customHeight="1" x14ac:dyDescent="0.3">
      <c r="B186" s="76" t="str">
        <f t="shared" si="12"/>
        <v/>
      </c>
      <c r="C186" s="165" t="str">
        <f>IFERROR(IF(Data_Templet!H60&lt;&gt;"",Data_Templet!H60,""),"")</f>
        <v/>
      </c>
      <c r="D186" s="166"/>
      <c r="E186" s="168"/>
      <c r="F186" s="164" t="str">
        <f>IFERROR(IF(Data_Templet!J60&lt;&gt;"",Data_Templet!J60,""),"")</f>
        <v/>
      </c>
      <c r="G186" s="164" t="str">
        <f>IFERROR(IF(Data_Templet!K60&lt;&gt;"",Data_Templet!K60,""),"")</f>
        <v/>
      </c>
      <c r="H186" s="154" t="str">
        <f>IFERROR(IF(Data_Templet!R60&lt;&gt;"",Data_Templet!R60,""),"")</f>
        <v/>
      </c>
      <c r="I186" s="155" t="str">
        <f>IFERROR(IF(Data_Templet!S60&lt;&gt;0,Data_Templet!S60,""),"")</f>
        <v/>
      </c>
      <c r="J186" s="161"/>
      <c r="K186" s="159">
        <f t="shared" si="11"/>
        <v>0</v>
      </c>
      <c r="L186" s="160">
        <f>IFERROR(ROUND(IF(C186="자동운용상품(고유계정대)",$L$171-SUM(L187:L197)-SUM(L173:L185),K186-G186),-4),0)</f>
        <v>0</v>
      </c>
    </row>
    <row r="187" spans="2:12" ht="18" hidden="1" customHeight="1" x14ac:dyDescent="0.3">
      <c r="B187" s="76" t="str">
        <f t="shared" si="12"/>
        <v/>
      </c>
      <c r="C187" s="165" t="str">
        <f>IFERROR(IF(Data_Templet!H61&lt;&gt;"",Data_Templet!H61,""),"")</f>
        <v/>
      </c>
      <c r="D187" s="166"/>
      <c r="E187" s="168"/>
      <c r="F187" s="164" t="str">
        <f>IFERROR(IF(Data_Templet!J61&lt;&gt;"",Data_Templet!J61,""),"")</f>
        <v/>
      </c>
      <c r="G187" s="164" t="str">
        <f>IFERROR(IF(Data_Templet!K61&lt;&gt;"",Data_Templet!K61,""),"")</f>
        <v/>
      </c>
      <c r="H187" s="154" t="str">
        <f>IFERROR(IF(Data_Templet!R61&lt;&gt;"",Data_Templet!R61,""),"")</f>
        <v/>
      </c>
      <c r="I187" s="155" t="str">
        <f>IFERROR(IF(Data_Templet!S61&lt;&gt;0,Data_Templet!S61,""),"")</f>
        <v/>
      </c>
      <c r="J187" s="161"/>
      <c r="K187" s="159">
        <f t="shared" si="11"/>
        <v>0</v>
      </c>
      <c r="L187" s="160">
        <f>IFERROR(ROUND(IF(C187="자동운용상품(고유계정대)",$L$171-SUM(L188:L197)-SUM(L173:L186),K187-G187),-4),0)</f>
        <v>0</v>
      </c>
    </row>
    <row r="188" spans="2:12" ht="18" hidden="1" customHeight="1" x14ac:dyDescent="0.3">
      <c r="B188" s="76" t="str">
        <f t="shared" si="12"/>
        <v/>
      </c>
      <c r="C188" s="165" t="str">
        <f>IFERROR(IF(Data_Templet!H62&lt;&gt;"",Data_Templet!H62,""),"")</f>
        <v/>
      </c>
      <c r="D188" s="166"/>
      <c r="E188" s="168"/>
      <c r="F188" s="164" t="str">
        <f>IFERROR(IF(Data_Templet!J62&lt;&gt;"",Data_Templet!J62,""),"")</f>
        <v/>
      </c>
      <c r="G188" s="164" t="str">
        <f>IFERROR(IF(Data_Templet!K62&lt;&gt;"",Data_Templet!K62,""),"")</f>
        <v/>
      </c>
      <c r="H188" s="154" t="str">
        <f>IFERROR(IF(Data_Templet!R62&lt;&gt;"",Data_Templet!R62,""),"")</f>
        <v/>
      </c>
      <c r="I188" s="155" t="str">
        <f>IFERROR(IF(Data_Templet!S62&lt;&gt;0,Data_Templet!S62,""),"")</f>
        <v/>
      </c>
      <c r="J188" s="161"/>
      <c r="K188" s="159">
        <f t="shared" si="11"/>
        <v>0</v>
      </c>
      <c r="L188" s="160">
        <f>IFERROR(ROUND(IF(C188="자동운용상품(고유계정대)",$L$171-SUM(L189:L197)-SUM(L173:L187),K188-G188),-4),0)</f>
        <v>0</v>
      </c>
    </row>
    <row r="189" spans="2:12" ht="18" hidden="1" customHeight="1" x14ac:dyDescent="0.3">
      <c r="B189" s="76" t="str">
        <f t="shared" si="12"/>
        <v/>
      </c>
      <c r="C189" s="165" t="str">
        <f>IFERROR(IF(Data_Templet!H63&lt;&gt;"",Data_Templet!H63,""),"")</f>
        <v/>
      </c>
      <c r="D189" s="166"/>
      <c r="E189" s="168"/>
      <c r="F189" s="164" t="str">
        <f>IFERROR(IF(Data_Templet!J63&lt;&gt;"",Data_Templet!J63,""),"")</f>
        <v/>
      </c>
      <c r="G189" s="164" t="str">
        <f>IFERROR(IF(Data_Templet!K63&lt;&gt;"",Data_Templet!K63,""),"")</f>
        <v/>
      </c>
      <c r="H189" s="154" t="str">
        <f>IFERROR(IF(Data_Templet!R63&lt;&gt;"",Data_Templet!R63,""),"")</f>
        <v/>
      </c>
      <c r="I189" s="155" t="str">
        <f>IFERROR(IF(Data_Templet!S63&lt;&gt;0,Data_Templet!S63,""),"")</f>
        <v/>
      </c>
      <c r="J189" s="161"/>
      <c r="K189" s="159">
        <f t="shared" si="11"/>
        <v>0</v>
      </c>
      <c r="L189" s="160">
        <f>IFERROR(ROUND(IF(C189="자동운용상품(고유계정대)",$L$171-SUM(L190:L197)-SUM(L173:L188),K189-G189),-4),0)</f>
        <v>0</v>
      </c>
    </row>
    <row r="190" spans="2:12" ht="18" hidden="1" customHeight="1" x14ac:dyDescent="0.3">
      <c r="B190" s="76" t="str">
        <f t="shared" si="12"/>
        <v/>
      </c>
      <c r="C190" s="165" t="str">
        <f>IFERROR(IF(Data_Templet!H64&lt;&gt;"",Data_Templet!H64,""),"")</f>
        <v/>
      </c>
      <c r="D190" s="166"/>
      <c r="E190" s="168"/>
      <c r="F190" s="164" t="str">
        <f>IFERROR(IF(Data_Templet!J64&lt;&gt;"",Data_Templet!J64,""),"")</f>
        <v/>
      </c>
      <c r="G190" s="164" t="str">
        <f>IFERROR(IF(Data_Templet!K64&lt;&gt;"",Data_Templet!K64,""),"")</f>
        <v/>
      </c>
      <c r="H190" s="154" t="str">
        <f>IFERROR(IF(Data_Templet!R64&lt;&gt;"",Data_Templet!R64,""),"")</f>
        <v/>
      </c>
      <c r="I190" s="155" t="str">
        <f>IFERROR(IF(Data_Templet!S64&lt;&gt;0,Data_Templet!S64,""),"")</f>
        <v/>
      </c>
      <c r="J190" s="161"/>
      <c r="K190" s="159">
        <f t="shared" si="11"/>
        <v>0</v>
      </c>
      <c r="L190" s="160">
        <f>IFERROR(ROUND(IF(C190="자동운용상품(고유계정대)",$L$171-SUM(L191:L197)-SUM(L173:L189),K190-G190),-4),0)</f>
        <v>0</v>
      </c>
    </row>
    <row r="191" spans="2:12" ht="18" hidden="1" customHeight="1" x14ac:dyDescent="0.3">
      <c r="B191" s="76" t="str">
        <f t="shared" si="12"/>
        <v/>
      </c>
      <c r="C191" s="165" t="str">
        <f>IFERROR(IF(Data_Templet!H65&lt;&gt;"",Data_Templet!H65,""),"")</f>
        <v/>
      </c>
      <c r="D191" s="166"/>
      <c r="E191" s="168"/>
      <c r="F191" s="164" t="str">
        <f>IFERROR(IF(Data_Templet!J65&lt;&gt;"",Data_Templet!J65,""),"")</f>
        <v/>
      </c>
      <c r="G191" s="164" t="str">
        <f>IFERROR(IF(Data_Templet!K65&lt;&gt;"",Data_Templet!K65,""),"")</f>
        <v/>
      </c>
      <c r="H191" s="154" t="str">
        <f>IFERROR(IF(Data_Templet!R65&lt;&gt;"",Data_Templet!R65,""),"")</f>
        <v/>
      </c>
      <c r="I191" s="155" t="str">
        <f>IFERROR(IF(Data_Templet!S65&lt;&gt;0,Data_Templet!S65,""),"")</f>
        <v/>
      </c>
      <c r="J191" s="161"/>
      <c r="K191" s="159">
        <f t="shared" si="11"/>
        <v>0</v>
      </c>
      <c r="L191" s="160">
        <f>IFERROR(ROUND(IF(C191="자동운용상품(고유계정대)",$L$171-SUM(L192:L197)-SUM(L173:L190),K191-G191),-4),0)</f>
        <v>0</v>
      </c>
    </row>
    <row r="192" spans="2:12" ht="18" hidden="1" customHeight="1" x14ac:dyDescent="0.3">
      <c r="B192" s="76" t="str">
        <f t="shared" si="12"/>
        <v/>
      </c>
      <c r="C192" s="165" t="str">
        <f>IFERROR(IF(Data_Templet!H66&lt;&gt;"",Data_Templet!H66,""),"")</f>
        <v/>
      </c>
      <c r="D192" s="166"/>
      <c r="E192" s="168"/>
      <c r="F192" s="164" t="str">
        <f>IFERROR(IF(Data_Templet!J66&lt;&gt;"",Data_Templet!J66,""),"")</f>
        <v/>
      </c>
      <c r="G192" s="164" t="str">
        <f>IFERROR(IF(Data_Templet!K66&lt;&gt;"",Data_Templet!K66,""),"")</f>
        <v/>
      </c>
      <c r="H192" s="154" t="str">
        <f>IFERROR(IF(Data_Templet!R66&lt;&gt;"",Data_Templet!R66,""),"")</f>
        <v/>
      </c>
      <c r="I192" s="155" t="str">
        <f>IFERROR(IF(Data_Templet!S66&lt;&gt;0,Data_Templet!S66,""),"")</f>
        <v/>
      </c>
      <c r="J192" s="161"/>
      <c r="K192" s="159">
        <f t="shared" si="11"/>
        <v>0</v>
      </c>
      <c r="L192" s="160">
        <f>IFERROR(ROUND(IF(C192="자동운용상품(고유계정대)",$L$171-SUM(L193:L197)-SUM(L173:L191),K192-G192),-4),0)</f>
        <v>0</v>
      </c>
    </row>
    <row r="193" spans="2:12" ht="18" hidden="1" customHeight="1" x14ac:dyDescent="0.3">
      <c r="B193" s="76" t="str">
        <f t="shared" si="12"/>
        <v/>
      </c>
      <c r="C193" s="165" t="str">
        <f>IFERROR(IF(Data_Templet!H67&lt;&gt;"",Data_Templet!H67,""),"")</f>
        <v/>
      </c>
      <c r="D193" s="166"/>
      <c r="E193" s="168"/>
      <c r="F193" s="164" t="str">
        <f>IFERROR(IF(Data_Templet!J67&lt;&gt;"",Data_Templet!J67,""),"")</f>
        <v/>
      </c>
      <c r="G193" s="164" t="str">
        <f>IFERROR(IF(Data_Templet!K67&lt;&gt;"",Data_Templet!K67,""),"")</f>
        <v/>
      </c>
      <c r="H193" s="154" t="str">
        <f>IFERROR(IF(Data_Templet!R67&lt;&gt;"",Data_Templet!R67,""),"")</f>
        <v/>
      </c>
      <c r="I193" s="155" t="str">
        <f>IFERROR(IF(Data_Templet!S67&lt;&gt;0,Data_Templet!S67,""),"")</f>
        <v/>
      </c>
      <c r="J193" s="161"/>
      <c r="K193" s="159">
        <f t="shared" si="11"/>
        <v>0</v>
      </c>
      <c r="L193" s="160">
        <f>IFERROR(ROUND(IF(C193="자동운용상품(고유계정대)",$L$171-SUM(L194:L197)-SUM(L173:L192),K193-G193),-4),0)</f>
        <v>0</v>
      </c>
    </row>
    <row r="194" spans="2:12" ht="18" hidden="1" customHeight="1" x14ac:dyDescent="0.3">
      <c r="B194" s="76" t="str">
        <f t="shared" si="12"/>
        <v/>
      </c>
      <c r="C194" s="165" t="str">
        <f>IFERROR(IF(Data_Templet!H68&lt;&gt;"",Data_Templet!H68,""),"")</f>
        <v/>
      </c>
      <c r="D194" s="166"/>
      <c r="E194" s="168"/>
      <c r="F194" s="164" t="str">
        <f>IFERROR(IF(Data_Templet!J68&lt;&gt;"",Data_Templet!J68,""),"")</f>
        <v/>
      </c>
      <c r="G194" s="164" t="str">
        <f>IFERROR(IF(Data_Templet!K68&lt;&gt;"",Data_Templet!K68,""),"")</f>
        <v/>
      </c>
      <c r="H194" s="154" t="str">
        <f>IFERROR(IF(Data_Templet!R68&lt;&gt;"",Data_Templet!R68,""),"")</f>
        <v/>
      </c>
      <c r="I194" s="155" t="str">
        <f>IFERROR(IF(Data_Templet!S68&lt;&gt;0,Data_Templet!S68,""),"")</f>
        <v/>
      </c>
      <c r="J194" s="161"/>
      <c r="K194" s="159">
        <f t="shared" si="11"/>
        <v>0</v>
      </c>
      <c r="L194" s="160">
        <f>IFERROR(ROUND(IF(C194="자동운용상품(고유계정대)",$L$171-SUM(L195:L197)-SUM(L173:L193),K194-G194),-4),0)</f>
        <v>0</v>
      </c>
    </row>
    <row r="195" spans="2:12" ht="18" hidden="1" customHeight="1" x14ac:dyDescent="0.3">
      <c r="B195" s="76" t="str">
        <f t="shared" si="12"/>
        <v/>
      </c>
      <c r="C195" s="165" t="str">
        <f>IFERROR(IF(Data_Templet!H69&lt;&gt;"",Data_Templet!H69,""),"")</f>
        <v/>
      </c>
      <c r="D195" s="166"/>
      <c r="E195" s="168"/>
      <c r="F195" s="164" t="str">
        <f>IFERROR(IF(Data_Templet!J69&lt;&gt;"",Data_Templet!J69,""),"")</f>
        <v/>
      </c>
      <c r="G195" s="164" t="str">
        <f>IFERROR(IF(Data_Templet!K69&lt;&gt;"",Data_Templet!K69,""),"")</f>
        <v/>
      </c>
      <c r="H195" s="154" t="str">
        <f>IFERROR(IF(Data_Templet!R69&lt;&gt;"",Data_Templet!R69,""),"")</f>
        <v/>
      </c>
      <c r="I195" s="155" t="str">
        <f>IFERROR(IF(Data_Templet!S69&lt;&gt;0,Data_Templet!S69,""),"")</f>
        <v/>
      </c>
      <c r="J195" s="161"/>
      <c r="K195" s="159">
        <f t="shared" si="11"/>
        <v>0</v>
      </c>
      <c r="L195" s="160">
        <f>IFERROR(ROUND(IF(C195="자동운용상품(고유계정대)",$L$171-SUM(L196:L197)-SUM(L173:L194),K195-G195),-4),0)</f>
        <v>0</v>
      </c>
    </row>
    <row r="196" spans="2:12" ht="18" hidden="1" customHeight="1" x14ac:dyDescent="0.3">
      <c r="B196" s="76" t="str">
        <f t="shared" si="12"/>
        <v/>
      </c>
      <c r="C196" s="165" t="str">
        <f>IFERROR(IF(Data_Templet!H70&lt;&gt;"",Data_Templet!H70,""),"")</f>
        <v/>
      </c>
      <c r="D196" s="166"/>
      <c r="E196" s="168"/>
      <c r="F196" s="164" t="str">
        <f>IFERROR(IF(Data_Templet!J70&lt;&gt;"",Data_Templet!J70,""),"")</f>
        <v/>
      </c>
      <c r="G196" s="164" t="str">
        <f>IFERROR(IF(Data_Templet!K70&lt;&gt;"",Data_Templet!K70,""),"")</f>
        <v/>
      </c>
      <c r="H196" s="154" t="str">
        <f>IFERROR(IF(Data_Templet!R70&lt;&gt;"",Data_Templet!R70,""),"")</f>
        <v/>
      </c>
      <c r="I196" s="155" t="str">
        <f>IFERROR(IF(Data_Templet!S70&lt;&gt;0,Data_Templet!S70,""),"")</f>
        <v/>
      </c>
      <c r="J196" s="161"/>
      <c r="K196" s="159">
        <f t="shared" si="11"/>
        <v>0</v>
      </c>
      <c r="L196" s="160">
        <f>IFERROR(ROUND(IF(C196="자동운용상품(고유계정대)",$L$171-L197-SUM(L173:L195),K196-G196),-4),0)</f>
        <v>0</v>
      </c>
    </row>
    <row r="197" spans="2:12" ht="18" customHeight="1" x14ac:dyDescent="0.3">
      <c r="B197" s="120" t="str">
        <f t="shared" si="12"/>
        <v/>
      </c>
      <c r="C197" s="171" t="str">
        <f>IFERROR(IF(Data_Templet!H71&lt;&gt;"",Data_Templet!H71,""),"")</f>
        <v/>
      </c>
      <c r="D197" s="172"/>
      <c r="E197" s="173"/>
      <c r="F197" s="164" t="str">
        <f>IFERROR(IF(Data_Templet!J71&lt;&gt;"",Data_Templet!J71,""),"")</f>
        <v/>
      </c>
      <c r="G197" s="164" t="str">
        <f>IFERROR(IF(Data_Templet!K71&lt;&gt;"",Data_Templet!K71,""),"")</f>
        <v/>
      </c>
      <c r="H197" s="154" t="str">
        <f>IFERROR(IF(Data_Templet!R71&lt;&gt;"",Data_Templet!R71,""),"")</f>
        <v/>
      </c>
      <c r="I197" s="155" t="str">
        <f>IFERROR(IF(Data_Templet!S71&lt;&gt;0,Data_Templet!S71,""),"")</f>
        <v/>
      </c>
      <c r="J197" s="162"/>
      <c r="K197" s="159">
        <f t="shared" si="11"/>
        <v>0</v>
      </c>
      <c r="L197" s="160">
        <f>IFERROR(ROUND(IF(C197="자동운용상품(고유계정대)",$L$171-SUM(L173:L196),K197-G197),-4),0)</f>
        <v>0</v>
      </c>
    </row>
    <row r="198" spans="2:12" ht="18" customHeight="1" thickBot="1" x14ac:dyDescent="0.35">
      <c r="B198" s="279" t="s">
        <v>109</v>
      </c>
      <c r="C198" s="279"/>
      <c r="D198" s="279"/>
      <c r="E198" s="280"/>
      <c r="F198" s="191"/>
      <c r="G198" s="191">
        <f>SUM(G173:G197)</f>
        <v>122628271</v>
      </c>
      <c r="H198" s="192"/>
      <c r="I198" s="193">
        <f>SUM(I173:I197)</f>
        <v>1</v>
      </c>
      <c r="J198" s="194">
        <f>SUM(J173:J197)</f>
        <v>0</v>
      </c>
      <c r="K198" s="191">
        <f>SUM(K173:K197)</f>
        <v>0</v>
      </c>
      <c r="L198" s="191">
        <f>SUM(L173:L197)</f>
        <v>0</v>
      </c>
    </row>
    <row r="200" spans="2:12" ht="26.25" x14ac:dyDescent="0.3">
      <c r="B200" s="202" t="str">
        <f>"■ "&amp;Data_Templet!B5</f>
        <v>■ 연금저축_거치</v>
      </c>
      <c r="C200" s="203"/>
      <c r="D200" s="203"/>
    </row>
    <row r="202" spans="2:12" ht="20.25" x14ac:dyDescent="0.3">
      <c r="B202" s="204" t="s">
        <v>141</v>
      </c>
      <c r="C202" s="205"/>
      <c r="K202" s="232" t="s">
        <v>148</v>
      </c>
      <c r="L202" s="229" t="str">
        <f>IF(Data_Input!E4&lt;&gt;"",Data_Input!E4,"")</f>
        <v/>
      </c>
    </row>
    <row r="204" spans="2:12" x14ac:dyDescent="0.3">
      <c r="B204" s="218" t="s">
        <v>40</v>
      </c>
      <c r="C204" s="219" t="s">
        <v>47</v>
      </c>
      <c r="D204" s="219"/>
      <c r="E204" s="219"/>
      <c r="F204" s="219"/>
      <c r="G204" s="220" t="s">
        <v>88</v>
      </c>
      <c r="H204" s="220" t="s">
        <v>43</v>
      </c>
      <c r="I204" s="283" t="s">
        <v>44</v>
      </c>
      <c r="J204" s="283"/>
      <c r="K204" s="220" t="s">
        <v>45</v>
      </c>
      <c r="L204" s="221" t="s">
        <v>52</v>
      </c>
    </row>
    <row r="205" spans="2:12" x14ac:dyDescent="0.3">
      <c r="B205" s="76">
        <f>IF(C205&gt;0,1,"")</f>
        <v>1</v>
      </c>
      <c r="C205" s="130" t="s">
        <v>105</v>
      </c>
      <c r="D205" s="131"/>
      <c r="E205" s="131"/>
      <c r="F205" s="132"/>
      <c r="G205" s="51" t="s">
        <v>93</v>
      </c>
      <c r="H205" s="118">
        <f>G11</f>
        <v>0</v>
      </c>
      <c r="I205" s="266">
        <f>G11</f>
        <v>0</v>
      </c>
      <c r="J205" s="246"/>
      <c r="K205" s="227">
        <f>I205-H205</f>
        <v>0</v>
      </c>
      <c r="L205" s="133">
        <v>0</v>
      </c>
    </row>
    <row r="206" spans="2:12" x14ac:dyDescent="0.3">
      <c r="B206" s="76" t="str">
        <f>IF(OR(C206&lt;=0, C206=""),"", B205+1)</f>
        <v/>
      </c>
      <c r="C206" s="124" t="str">
        <f>IFERROR(IF(Data_Templet!H79&lt;&gt;"",Data_Templet!H79,""),"")</f>
        <v/>
      </c>
      <c r="D206" s="125"/>
      <c r="E206" s="125"/>
      <c r="F206" s="126"/>
      <c r="G206" s="52" t="str">
        <f>IFERROR(IF(Data_Templet!T79&lt;&gt;"",Data_Templet!T79,""),"")</f>
        <v/>
      </c>
      <c r="H206" s="77" t="str">
        <f>IFERROR(IF(Data_Templet!J79&lt;&gt;"",(Data_Templet!K79*Data_Templet!J79),""),"")</f>
        <v/>
      </c>
      <c r="I206" s="254" t="str">
        <f>IFERROR(IF(Data_Templet!M79&lt;&gt;"",Data_Templet!M79,""),"")</f>
        <v/>
      </c>
      <c r="J206" s="254"/>
      <c r="K206" s="211" t="str">
        <f>IFERROR(IF(Data_Templet!N79&lt;&gt;"",Data_Templet!N79,""),"")</f>
        <v/>
      </c>
      <c r="L206" s="112" t="str">
        <f>IFERROR(IF(Data_Templet!O79&lt;&gt;"",Data_Templet!O79,""),"")</f>
        <v/>
      </c>
    </row>
    <row r="207" spans="2:12" x14ac:dyDescent="0.3">
      <c r="B207" s="76" t="str">
        <f t="shared" ref="B207:B229" si="13">IF(OR(C207&lt;=0, C207=""),"", B206+1)</f>
        <v/>
      </c>
      <c r="C207" s="124" t="str">
        <f>IFERROR(IF(Data_Templet!H80&lt;&gt;"",Data_Templet!H80,""),"")</f>
        <v/>
      </c>
      <c r="D207" s="125"/>
      <c r="E207" s="125"/>
      <c r="F207" s="126"/>
      <c r="G207" s="52" t="str">
        <f>IFERROR(IF(Data_Templet!T80&lt;&gt;"",Data_Templet!T80,""),"")</f>
        <v/>
      </c>
      <c r="H207" s="77" t="str">
        <f>IFERROR(IF(Data_Templet!J80&lt;&gt;"",(Data_Templet!K80*Data_Templet!J80),""),"")</f>
        <v/>
      </c>
      <c r="I207" s="254" t="str">
        <f>IFERROR(IF(Data_Templet!M80&lt;&gt;"",Data_Templet!M80,""),"")</f>
        <v/>
      </c>
      <c r="J207" s="254"/>
      <c r="K207" s="211" t="str">
        <f>IFERROR(IF(Data_Templet!N80&lt;&gt;"",Data_Templet!N80,""),"")</f>
        <v/>
      </c>
      <c r="L207" s="112" t="str">
        <f>IFERROR(IF(Data_Templet!O80&lt;&gt;"",Data_Templet!O80,""),"")</f>
        <v/>
      </c>
    </row>
    <row r="208" spans="2:12" x14ac:dyDescent="0.3">
      <c r="B208" s="76" t="str">
        <f t="shared" si="13"/>
        <v/>
      </c>
      <c r="C208" s="124" t="str">
        <f>IFERROR(IF(Data_Templet!H81&lt;&gt;"",Data_Templet!H81,""),"")</f>
        <v/>
      </c>
      <c r="D208" s="125"/>
      <c r="E208" s="125"/>
      <c r="F208" s="126"/>
      <c r="G208" s="52" t="str">
        <f>IFERROR(IF(Data_Templet!T81&lt;&gt;"",Data_Templet!T81,""),"")</f>
        <v/>
      </c>
      <c r="H208" s="77" t="str">
        <f>IFERROR(IF(Data_Templet!J81&lt;&gt;"",(Data_Templet!K81*Data_Templet!J81),""),"")</f>
        <v/>
      </c>
      <c r="I208" s="254" t="str">
        <f>IFERROR(IF(Data_Templet!M81&lt;&gt;"",Data_Templet!M81,""),"")</f>
        <v/>
      </c>
      <c r="J208" s="254"/>
      <c r="K208" s="211" t="str">
        <f>IFERROR(IF(Data_Templet!N81&lt;&gt;"",Data_Templet!N81,""),"")</f>
        <v/>
      </c>
      <c r="L208" s="112" t="str">
        <f>IFERROR(IF(Data_Templet!O81&lt;&gt;"",Data_Templet!O81,""),"")</f>
        <v/>
      </c>
    </row>
    <row r="209" spans="2:12" hidden="1" x14ac:dyDescent="0.3">
      <c r="B209" s="76" t="str">
        <f t="shared" si="13"/>
        <v/>
      </c>
      <c r="C209" s="124" t="str">
        <f>IFERROR(IF(Data_Templet!H82&lt;&gt;"",Data_Templet!H82,""),"")</f>
        <v/>
      </c>
      <c r="D209" s="125"/>
      <c r="E209" s="125"/>
      <c r="F209" s="126"/>
      <c r="G209" s="52" t="str">
        <f>IFERROR(IF(Data_Templet!T82&lt;&gt;"",Data_Templet!T82,""),"")</f>
        <v/>
      </c>
      <c r="H209" s="77" t="str">
        <f>IFERROR(IF(Data_Templet!J82&lt;&gt;"",(Data_Templet!K82*Data_Templet!J82),""),"")</f>
        <v/>
      </c>
      <c r="I209" s="254" t="str">
        <f>IFERROR(IF(Data_Templet!M82&lt;&gt;"",Data_Templet!M82,""),"")</f>
        <v/>
      </c>
      <c r="J209" s="254"/>
      <c r="K209" s="211" t="str">
        <f>IFERROR(IF(Data_Templet!N82&lt;&gt;"",Data_Templet!N82,""),"")</f>
        <v/>
      </c>
      <c r="L209" s="112" t="str">
        <f>IFERROR(IF(Data_Templet!O82&lt;&gt;"",Data_Templet!O82,""),"")</f>
        <v/>
      </c>
    </row>
    <row r="210" spans="2:12" hidden="1" x14ac:dyDescent="0.3">
      <c r="B210" s="76" t="str">
        <f t="shared" si="13"/>
        <v/>
      </c>
      <c r="C210" s="124" t="str">
        <f>IFERROR(IF(Data_Templet!H83&lt;&gt;"",Data_Templet!H83,""),"")</f>
        <v/>
      </c>
      <c r="D210" s="125"/>
      <c r="E210" s="125"/>
      <c r="F210" s="126"/>
      <c r="G210" s="52" t="str">
        <f>IFERROR(IF(Data_Templet!T83&lt;&gt;"",Data_Templet!T83,""),"")</f>
        <v/>
      </c>
      <c r="H210" s="77" t="str">
        <f>IFERROR(IF(Data_Templet!J83&lt;&gt;"",(Data_Templet!K83*Data_Templet!J83),""),"")</f>
        <v/>
      </c>
      <c r="I210" s="254" t="str">
        <f>IFERROR(IF(Data_Templet!M83&lt;&gt;"",Data_Templet!M83,""),"")</f>
        <v/>
      </c>
      <c r="J210" s="254"/>
      <c r="K210" s="211" t="str">
        <f>IFERROR(IF(Data_Templet!N83&lt;&gt;"",Data_Templet!N83,""),"")</f>
        <v/>
      </c>
      <c r="L210" s="112" t="str">
        <f>IFERROR(IF(Data_Templet!O83&lt;&gt;"",Data_Templet!O83,""),"")</f>
        <v/>
      </c>
    </row>
    <row r="211" spans="2:12" hidden="1" x14ac:dyDescent="0.3">
      <c r="B211" s="76" t="str">
        <f t="shared" si="13"/>
        <v/>
      </c>
      <c r="C211" s="124" t="str">
        <f>IFERROR(IF(Data_Templet!H84&lt;&gt;"",Data_Templet!H84,""),"")</f>
        <v/>
      </c>
      <c r="D211" s="125"/>
      <c r="E211" s="125"/>
      <c r="F211" s="126"/>
      <c r="G211" s="52" t="str">
        <f>IFERROR(IF(Data_Templet!T84&lt;&gt;"",Data_Templet!T84,""),"")</f>
        <v/>
      </c>
      <c r="H211" s="77" t="str">
        <f>IFERROR(IF(Data_Templet!J84&lt;&gt;"",(Data_Templet!K84*Data_Templet!J84),""),"")</f>
        <v/>
      </c>
      <c r="I211" s="254" t="str">
        <f>IFERROR(IF(Data_Templet!M84&lt;&gt;"",Data_Templet!M84,""),"")</f>
        <v/>
      </c>
      <c r="J211" s="254"/>
      <c r="K211" s="211" t="str">
        <f>IFERROR(IF(Data_Templet!N84&lt;&gt;"",Data_Templet!N84,""),"")</f>
        <v/>
      </c>
      <c r="L211" s="112" t="str">
        <f>IFERROR(IF(Data_Templet!O84&lt;&gt;"",Data_Templet!O84,""),"")</f>
        <v/>
      </c>
    </row>
    <row r="212" spans="2:12" hidden="1" x14ac:dyDescent="0.3">
      <c r="B212" s="76" t="str">
        <f t="shared" si="13"/>
        <v/>
      </c>
      <c r="C212" s="124" t="str">
        <f>IFERROR(IF(Data_Templet!H85&lt;&gt;"",Data_Templet!H85,""),"")</f>
        <v/>
      </c>
      <c r="D212" s="125"/>
      <c r="E212" s="125"/>
      <c r="F212" s="126"/>
      <c r="G212" s="52" t="str">
        <f>IFERROR(IF(Data_Templet!T85&lt;&gt;"",Data_Templet!T85,""),"")</f>
        <v/>
      </c>
      <c r="H212" s="77" t="str">
        <f>IFERROR(IF(Data_Templet!J85&lt;&gt;"",(Data_Templet!K85*Data_Templet!J85),""),"")</f>
        <v/>
      </c>
      <c r="I212" s="254" t="str">
        <f>IFERROR(IF(Data_Templet!M85&lt;&gt;"",Data_Templet!M85,""),"")</f>
        <v/>
      </c>
      <c r="J212" s="254"/>
      <c r="K212" s="211" t="str">
        <f>IFERROR(IF(Data_Templet!N85&lt;&gt;"",Data_Templet!N85,""),"")</f>
        <v/>
      </c>
      <c r="L212" s="112" t="str">
        <f>IFERROR(IF(Data_Templet!O85&lt;&gt;"",Data_Templet!O85,""),"")</f>
        <v/>
      </c>
    </row>
    <row r="213" spans="2:12" hidden="1" x14ac:dyDescent="0.3">
      <c r="B213" s="76" t="str">
        <f t="shared" si="13"/>
        <v/>
      </c>
      <c r="C213" s="124" t="str">
        <f>IFERROR(IF(Data_Templet!H86&lt;&gt;"",Data_Templet!H86,""),"")</f>
        <v/>
      </c>
      <c r="D213" s="125"/>
      <c r="E213" s="125"/>
      <c r="F213" s="126"/>
      <c r="G213" s="52" t="str">
        <f>IFERROR(IF(Data_Templet!T86&lt;&gt;"",Data_Templet!T86,""),"")</f>
        <v/>
      </c>
      <c r="H213" s="77" t="str">
        <f>IFERROR(IF(Data_Templet!J86&lt;&gt;"",(Data_Templet!K86*Data_Templet!J86),""),"")</f>
        <v/>
      </c>
      <c r="I213" s="254" t="str">
        <f>IFERROR(IF(Data_Templet!M86&lt;&gt;"",Data_Templet!M86,""),"")</f>
        <v/>
      </c>
      <c r="J213" s="254"/>
      <c r="K213" s="211" t="str">
        <f>IFERROR(IF(Data_Templet!N86&lt;&gt;"",Data_Templet!N86,""),"")</f>
        <v/>
      </c>
      <c r="L213" s="112" t="str">
        <f>IFERROR(IF(Data_Templet!O86&lt;&gt;"",Data_Templet!O86,""),"")</f>
        <v/>
      </c>
    </row>
    <row r="214" spans="2:12" hidden="1" x14ac:dyDescent="0.3">
      <c r="B214" s="76" t="str">
        <f t="shared" si="13"/>
        <v/>
      </c>
      <c r="C214" s="124" t="str">
        <f>IFERROR(IF(Data_Templet!H87&lt;&gt;"",Data_Templet!H87,""),"")</f>
        <v/>
      </c>
      <c r="D214" s="125"/>
      <c r="E214" s="125"/>
      <c r="F214" s="126"/>
      <c r="G214" s="52" t="str">
        <f>IFERROR(IF(Data_Templet!T87&lt;&gt;"",Data_Templet!T87,""),"")</f>
        <v/>
      </c>
      <c r="H214" s="77" t="str">
        <f>IFERROR(IF(Data_Templet!J87&lt;&gt;"",(Data_Templet!K87*Data_Templet!J87),""),"")</f>
        <v/>
      </c>
      <c r="I214" s="254" t="str">
        <f>IFERROR(IF(Data_Templet!M87&lt;&gt;"",Data_Templet!M87,""),"")</f>
        <v/>
      </c>
      <c r="J214" s="254"/>
      <c r="K214" s="211" t="str">
        <f>IFERROR(IF(Data_Templet!N87&lt;&gt;"",Data_Templet!N87,""),"")</f>
        <v/>
      </c>
      <c r="L214" s="112" t="str">
        <f>IFERROR(IF(Data_Templet!O87&lt;&gt;"",Data_Templet!O87,""),"")</f>
        <v/>
      </c>
    </row>
    <row r="215" spans="2:12" hidden="1" x14ac:dyDescent="0.3">
      <c r="B215" s="76" t="str">
        <f t="shared" si="13"/>
        <v/>
      </c>
      <c r="C215" s="124" t="str">
        <f>IFERROR(IF(Data_Templet!H88&lt;&gt;"",Data_Templet!H88,""),"")</f>
        <v/>
      </c>
      <c r="D215" s="125"/>
      <c r="E215" s="125"/>
      <c r="F215" s="126"/>
      <c r="G215" s="52" t="str">
        <f>IFERROR(IF(Data_Templet!T88&lt;&gt;"",Data_Templet!T88,""),"")</f>
        <v/>
      </c>
      <c r="H215" s="77" t="str">
        <f>IFERROR(IF(Data_Templet!J88&lt;&gt;"",(Data_Templet!K88*Data_Templet!J88),""),"")</f>
        <v/>
      </c>
      <c r="I215" s="254" t="str">
        <f>IFERROR(IF(Data_Templet!M88&lt;&gt;"",Data_Templet!M88,""),"")</f>
        <v/>
      </c>
      <c r="J215" s="254"/>
      <c r="K215" s="211" t="str">
        <f>IFERROR(IF(Data_Templet!N88&lt;&gt;"",Data_Templet!N88,""),"")</f>
        <v/>
      </c>
      <c r="L215" s="112" t="str">
        <f>IFERROR(IF(Data_Templet!O88&lt;&gt;"",Data_Templet!O88,""),"")</f>
        <v/>
      </c>
    </row>
    <row r="216" spans="2:12" hidden="1" x14ac:dyDescent="0.3">
      <c r="B216" s="76" t="str">
        <f t="shared" si="13"/>
        <v/>
      </c>
      <c r="C216" s="124" t="str">
        <f>IFERROR(IF(Data_Templet!H89&lt;&gt;"",Data_Templet!H89,""),"")</f>
        <v/>
      </c>
      <c r="D216" s="125"/>
      <c r="E216" s="125"/>
      <c r="F216" s="126"/>
      <c r="G216" s="52" t="str">
        <f>IFERROR(IF(Data_Templet!T89&lt;&gt;"",Data_Templet!T89,""),"")</f>
        <v/>
      </c>
      <c r="H216" s="77" t="str">
        <f>IFERROR(IF(Data_Templet!J89&lt;&gt;"",(Data_Templet!K89*Data_Templet!J89),""),"")</f>
        <v/>
      </c>
      <c r="I216" s="254" t="str">
        <f>IFERROR(IF(Data_Templet!M89&lt;&gt;"",Data_Templet!M89,""),"")</f>
        <v/>
      </c>
      <c r="J216" s="254"/>
      <c r="K216" s="211" t="str">
        <f>IFERROR(IF(Data_Templet!N89&lt;&gt;"",Data_Templet!N89,""),"")</f>
        <v/>
      </c>
      <c r="L216" s="112" t="str">
        <f>IFERROR(IF(Data_Templet!O89&lt;&gt;"",Data_Templet!O89,""),"")</f>
        <v/>
      </c>
    </row>
    <row r="217" spans="2:12" hidden="1" x14ac:dyDescent="0.3">
      <c r="B217" s="76" t="str">
        <f t="shared" si="13"/>
        <v/>
      </c>
      <c r="C217" s="124" t="str">
        <f>IFERROR(IF(Data_Templet!H90&lt;&gt;"",Data_Templet!H90,""),"")</f>
        <v/>
      </c>
      <c r="D217" s="125"/>
      <c r="E217" s="125"/>
      <c r="F217" s="126"/>
      <c r="G217" s="52" t="str">
        <f>IFERROR(IF(Data_Templet!T90&lt;&gt;"",Data_Templet!T90,""),"")</f>
        <v/>
      </c>
      <c r="H217" s="77" t="str">
        <f>IFERROR(IF(Data_Templet!J90&lt;&gt;"",(Data_Templet!K90*Data_Templet!J90),""),"")</f>
        <v/>
      </c>
      <c r="I217" s="254" t="str">
        <f>IFERROR(IF(Data_Templet!M90&lt;&gt;"",Data_Templet!M90,""),"")</f>
        <v/>
      </c>
      <c r="J217" s="254"/>
      <c r="K217" s="211" t="str">
        <f>IFERROR(IF(Data_Templet!N90&lt;&gt;"",Data_Templet!N90,""),"")</f>
        <v/>
      </c>
      <c r="L217" s="112" t="str">
        <f>IFERROR(IF(Data_Templet!O90&lt;&gt;"",Data_Templet!O90,""),"")</f>
        <v/>
      </c>
    </row>
    <row r="218" spans="2:12" hidden="1" x14ac:dyDescent="0.3">
      <c r="B218" s="76" t="str">
        <f t="shared" si="13"/>
        <v/>
      </c>
      <c r="C218" s="124" t="str">
        <f>IFERROR(IF(Data_Templet!H91&lt;&gt;"",Data_Templet!H91,""),"")</f>
        <v/>
      </c>
      <c r="D218" s="125"/>
      <c r="E218" s="125"/>
      <c r="F218" s="126"/>
      <c r="G218" s="52" t="str">
        <f>IFERROR(IF(Data_Templet!T91&lt;&gt;"",Data_Templet!T91,""),"")</f>
        <v/>
      </c>
      <c r="H218" s="77" t="str">
        <f>IFERROR(IF(Data_Templet!J91&lt;&gt;"",(Data_Templet!K91*Data_Templet!J91),""),"")</f>
        <v/>
      </c>
      <c r="I218" s="254" t="str">
        <f>IFERROR(IF(Data_Templet!M91&lt;&gt;"",Data_Templet!M91,""),"")</f>
        <v/>
      </c>
      <c r="J218" s="254"/>
      <c r="K218" s="211" t="str">
        <f>IFERROR(IF(Data_Templet!N91&lt;&gt;"",Data_Templet!N91,""),"")</f>
        <v/>
      </c>
      <c r="L218" s="112" t="str">
        <f>IFERROR(IF(Data_Templet!O91&lt;&gt;"",Data_Templet!O91,""),"")</f>
        <v/>
      </c>
    </row>
    <row r="219" spans="2:12" hidden="1" x14ac:dyDescent="0.3">
      <c r="B219" s="76" t="str">
        <f t="shared" si="13"/>
        <v/>
      </c>
      <c r="C219" s="124" t="str">
        <f>IFERROR(IF(Data_Templet!H92&lt;&gt;"",Data_Templet!H92,""),"")</f>
        <v/>
      </c>
      <c r="D219" s="125"/>
      <c r="E219" s="125"/>
      <c r="F219" s="126"/>
      <c r="G219" s="52" t="str">
        <f>IFERROR(IF(Data_Templet!T92&lt;&gt;"",Data_Templet!T92,""),"")</f>
        <v/>
      </c>
      <c r="H219" s="77" t="str">
        <f>IFERROR(IF(Data_Templet!J92&lt;&gt;"",(Data_Templet!K92*Data_Templet!J92),""),"")</f>
        <v/>
      </c>
      <c r="I219" s="254" t="str">
        <f>IFERROR(IF(Data_Templet!M92&lt;&gt;"",Data_Templet!M92,""),"")</f>
        <v/>
      </c>
      <c r="J219" s="254"/>
      <c r="K219" s="211" t="str">
        <f>IFERROR(IF(Data_Templet!N92&lt;&gt;"",Data_Templet!N92,""),"")</f>
        <v/>
      </c>
      <c r="L219" s="112" t="str">
        <f>IFERROR(IF(Data_Templet!O92&lt;&gt;"",Data_Templet!O92,""),"")</f>
        <v/>
      </c>
    </row>
    <row r="220" spans="2:12" hidden="1" x14ac:dyDescent="0.3">
      <c r="B220" s="76" t="str">
        <f t="shared" si="13"/>
        <v/>
      </c>
      <c r="C220" s="124" t="str">
        <f>IFERROR(IF(Data_Templet!H93&lt;&gt;"",Data_Templet!H93,""),"")</f>
        <v/>
      </c>
      <c r="D220" s="125"/>
      <c r="E220" s="125"/>
      <c r="F220" s="126"/>
      <c r="G220" s="52" t="str">
        <f>IFERROR(IF(Data_Templet!T93&lt;&gt;"",Data_Templet!T93,""),"")</f>
        <v/>
      </c>
      <c r="H220" s="77" t="str">
        <f>IFERROR(IF(Data_Templet!J93&lt;&gt;"",(Data_Templet!K93*Data_Templet!J93),""),"")</f>
        <v/>
      </c>
      <c r="I220" s="254" t="str">
        <f>IFERROR(IF(Data_Templet!M93&lt;&gt;"",Data_Templet!M93,""),"")</f>
        <v/>
      </c>
      <c r="J220" s="254"/>
      <c r="K220" s="211" t="str">
        <f>IFERROR(IF(Data_Templet!N93&lt;&gt;"",Data_Templet!N93,""),"")</f>
        <v/>
      </c>
      <c r="L220" s="112" t="str">
        <f>IFERROR(IF(Data_Templet!O93&lt;&gt;"",Data_Templet!O93,""),"")</f>
        <v/>
      </c>
    </row>
    <row r="221" spans="2:12" hidden="1" x14ac:dyDescent="0.3">
      <c r="B221" s="76" t="str">
        <f t="shared" si="13"/>
        <v/>
      </c>
      <c r="C221" s="124" t="str">
        <f>IFERROR(IF(Data_Templet!H94&lt;&gt;"",Data_Templet!H94,""),"")</f>
        <v/>
      </c>
      <c r="D221" s="125"/>
      <c r="E221" s="125"/>
      <c r="F221" s="126"/>
      <c r="G221" s="52" t="str">
        <f>IFERROR(IF(Data_Templet!T94&lt;&gt;"",Data_Templet!T94,""),"")</f>
        <v/>
      </c>
      <c r="H221" s="77" t="str">
        <f>IFERROR(IF(Data_Templet!J94&lt;&gt;"",(Data_Templet!K94*Data_Templet!J94),""),"")</f>
        <v/>
      </c>
      <c r="I221" s="254" t="str">
        <f>IFERROR(IF(Data_Templet!M94&lt;&gt;"",Data_Templet!M94,""),"")</f>
        <v/>
      </c>
      <c r="J221" s="254"/>
      <c r="K221" s="211" t="str">
        <f>IFERROR(IF(Data_Templet!N94&lt;&gt;"",Data_Templet!N94,""),"")</f>
        <v/>
      </c>
      <c r="L221" s="112" t="str">
        <f>IFERROR(IF(Data_Templet!O94&lt;&gt;"",Data_Templet!O94,""),"")</f>
        <v/>
      </c>
    </row>
    <row r="222" spans="2:12" hidden="1" x14ac:dyDescent="0.3">
      <c r="B222" s="76" t="str">
        <f t="shared" si="13"/>
        <v/>
      </c>
      <c r="C222" s="124" t="str">
        <f>IFERROR(IF(Data_Templet!H95&lt;&gt;"",Data_Templet!H95,""),"")</f>
        <v/>
      </c>
      <c r="D222" s="125"/>
      <c r="E222" s="125"/>
      <c r="F222" s="126"/>
      <c r="G222" s="52" t="str">
        <f>IFERROR(IF(Data_Templet!T95&lt;&gt;"",Data_Templet!T95,""),"")</f>
        <v/>
      </c>
      <c r="H222" s="77" t="str">
        <f>IFERROR(IF(Data_Templet!J95&lt;&gt;"",(Data_Templet!K95*Data_Templet!J95),""),"")</f>
        <v/>
      </c>
      <c r="I222" s="254" t="str">
        <f>IFERROR(IF(Data_Templet!M95&lt;&gt;"",Data_Templet!M95,""),"")</f>
        <v/>
      </c>
      <c r="J222" s="254"/>
      <c r="K222" s="211" t="str">
        <f>IFERROR(IF(Data_Templet!N95&lt;&gt;"",Data_Templet!N95,""),"")</f>
        <v/>
      </c>
      <c r="L222" s="112" t="str">
        <f>IFERROR(IF(Data_Templet!O95&lt;&gt;"",Data_Templet!O95,""),"")</f>
        <v/>
      </c>
    </row>
    <row r="223" spans="2:12" hidden="1" x14ac:dyDescent="0.3">
      <c r="B223" s="76" t="str">
        <f t="shared" si="13"/>
        <v/>
      </c>
      <c r="C223" s="124" t="str">
        <f>IFERROR(IF(Data_Templet!H96&lt;&gt;"",Data_Templet!H96,""),"")</f>
        <v/>
      </c>
      <c r="D223" s="125"/>
      <c r="E223" s="125"/>
      <c r="F223" s="126"/>
      <c r="G223" s="52" t="str">
        <f>IFERROR(IF(Data_Templet!T96&lt;&gt;"",Data_Templet!T96,""),"")</f>
        <v/>
      </c>
      <c r="H223" s="77" t="str">
        <f>IFERROR(IF(Data_Templet!J96&lt;&gt;"",(Data_Templet!K96*Data_Templet!J96),""),"")</f>
        <v/>
      </c>
      <c r="I223" s="254" t="str">
        <f>IFERROR(IF(Data_Templet!M96&lt;&gt;"",Data_Templet!M96,""),"")</f>
        <v/>
      </c>
      <c r="J223" s="254"/>
      <c r="K223" s="211" t="str">
        <f>IFERROR(IF(Data_Templet!N96&lt;&gt;"",Data_Templet!N96,""),"")</f>
        <v/>
      </c>
      <c r="L223" s="112" t="str">
        <f>IFERROR(IF(Data_Templet!O96&lt;&gt;"",Data_Templet!O96,""),"")</f>
        <v/>
      </c>
    </row>
    <row r="224" spans="2:12" hidden="1" x14ac:dyDescent="0.3">
      <c r="B224" s="76" t="str">
        <f t="shared" si="13"/>
        <v/>
      </c>
      <c r="C224" s="124" t="str">
        <f>IFERROR(IF(Data_Templet!H97&lt;&gt;"",Data_Templet!H97,""),"")</f>
        <v/>
      </c>
      <c r="D224" s="125"/>
      <c r="E224" s="125"/>
      <c r="F224" s="126"/>
      <c r="G224" s="52" t="str">
        <f>IFERROR(IF(Data_Templet!T97&lt;&gt;"",Data_Templet!T97,""),"")</f>
        <v/>
      </c>
      <c r="H224" s="77" t="str">
        <f>IFERROR(IF(Data_Templet!J97&lt;&gt;"",(Data_Templet!K97*Data_Templet!J97),""),"")</f>
        <v/>
      </c>
      <c r="I224" s="254" t="str">
        <f>IFERROR(IF(Data_Templet!M97&lt;&gt;"",Data_Templet!M97,""),"")</f>
        <v/>
      </c>
      <c r="J224" s="254"/>
      <c r="K224" s="211" t="str">
        <f>IFERROR(IF(Data_Templet!N97&lt;&gt;"",Data_Templet!N97,""),"")</f>
        <v/>
      </c>
      <c r="L224" s="112" t="str">
        <f>IFERROR(IF(Data_Templet!O97&lt;&gt;"",Data_Templet!O97,""),"")</f>
        <v/>
      </c>
    </row>
    <row r="225" spans="2:12" hidden="1" x14ac:dyDescent="0.3">
      <c r="B225" s="76" t="str">
        <f t="shared" si="13"/>
        <v/>
      </c>
      <c r="C225" s="124" t="str">
        <f>IFERROR(IF(Data_Templet!H98&lt;&gt;"",Data_Templet!H98,""),"")</f>
        <v/>
      </c>
      <c r="D225" s="125"/>
      <c r="E225" s="125"/>
      <c r="F225" s="126"/>
      <c r="G225" s="52" t="str">
        <f>IFERROR(IF(Data_Templet!T98&lt;&gt;"",Data_Templet!T98,""),"")</f>
        <v/>
      </c>
      <c r="H225" s="77" t="str">
        <f>IFERROR(IF(Data_Templet!J98&lt;&gt;"",(Data_Templet!K98*Data_Templet!J98),""),"")</f>
        <v/>
      </c>
      <c r="I225" s="254" t="str">
        <f>IFERROR(IF(Data_Templet!M98&lt;&gt;"",Data_Templet!M98,""),"")</f>
        <v/>
      </c>
      <c r="J225" s="254"/>
      <c r="K225" s="211" t="str">
        <f>IFERROR(IF(Data_Templet!N98&lt;&gt;"",Data_Templet!N98,""),"")</f>
        <v/>
      </c>
      <c r="L225" s="112" t="str">
        <f>IFERROR(IF(Data_Templet!O98&lt;&gt;"",Data_Templet!O98,""),"")</f>
        <v/>
      </c>
    </row>
    <row r="226" spans="2:12" hidden="1" x14ac:dyDescent="0.3">
      <c r="B226" s="76" t="str">
        <f t="shared" si="13"/>
        <v/>
      </c>
      <c r="C226" s="124" t="str">
        <f>IFERROR(IF(Data_Templet!H99&lt;&gt;"",Data_Templet!H99,""),"")</f>
        <v/>
      </c>
      <c r="D226" s="125"/>
      <c r="E226" s="125"/>
      <c r="F226" s="126"/>
      <c r="G226" s="52" t="str">
        <f>IFERROR(IF(Data_Templet!T99&lt;&gt;"",Data_Templet!T99,""),"")</f>
        <v/>
      </c>
      <c r="H226" s="77" t="str">
        <f>IFERROR(IF(Data_Templet!J99&lt;&gt;"",(Data_Templet!K99*Data_Templet!J99),""),"")</f>
        <v/>
      </c>
      <c r="I226" s="254" t="str">
        <f>IFERROR(IF(Data_Templet!M99&lt;&gt;"",Data_Templet!M99,""),"")</f>
        <v/>
      </c>
      <c r="J226" s="254"/>
      <c r="K226" s="211" t="str">
        <f>IFERROR(IF(Data_Templet!N99&lt;&gt;"",Data_Templet!N99,""),"")</f>
        <v/>
      </c>
      <c r="L226" s="112" t="str">
        <f>IFERROR(IF(Data_Templet!O99&lt;&gt;"",Data_Templet!O99,""),"")</f>
        <v/>
      </c>
    </row>
    <row r="227" spans="2:12" hidden="1" x14ac:dyDescent="0.3">
      <c r="B227" s="76" t="str">
        <f t="shared" si="13"/>
        <v/>
      </c>
      <c r="C227" s="124" t="str">
        <f>IFERROR(IF(Data_Templet!H100&lt;&gt;"",Data_Templet!H100,""),"")</f>
        <v/>
      </c>
      <c r="D227" s="125"/>
      <c r="E227" s="125"/>
      <c r="F227" s="126"/>
      <c r="G227" s="52" t="str">
        <f>IFERROR(IF(Data_Templet!T100&lt;&gt;"",Data_Templet!T100,""),"")</f>
        <v/>
      </c>
      <c r="H227" s="77" t="str">
        <f>IFERROR(IF(Data_Templet!J100&lt;&gt;"",(Data_Templet!K100*Data_Templet!J100),""),"")</f>
        <v/>
      </c>
      <c r="I227" s="254" t="str">
        <f>IFERROR(IF(Data_Templet!M100&lt;&gt;"",Data_Templet!M100,""),"")</f>
        <v/>
      </c>
      <c r="J227" s="254"/>
      <c r="K227" s="211" t="str">
        <f>IFERROR(IF(Data_Templet!N100&lt;&gt;"",Data_Templet!N100,""),"")</f>
        <v/>
      </c>
      <c r="L227" s="112" t="str">
        <f>IFERROR(IF(Data_Templet!O100&lt;&gt;"",Data_Templet!O100,""),"")</f>
        <v/>
      </c>
    </row>
    <row r="228" spans="2:12" hidden="1" x14ac:dyDescent="0.3">
      <c r="B228" s="76" t="str">
        <f t="shared" si="13"/>
        <v/>
      </c>
      <c r="C228" s="124" t="str">
        <f>IFERROR(IF(Data_Templet!H101&lt;&gt;"",Data_Templet!H101,""),"")</f>
        <v/>
      </c>
      <c r="D228" s="125"/>
      <c r="E228" s="125"/>
      <c r="F228" s="126"/>
      <c r="G228" s="52" t="str">
        <f>IFERROR(IF(Data_Templet!T101&lt;&gt;"",Data_Templet!T101,""),"")</f>
        <v/>
      </c>
      <c r="H228" s="77" t="str">
        <f>IFERROR(IF(Data_Templet!J101&lt;&gt;"",(Data_Templet!K101*Data_Templet!J101),""),"")</f>
        <v/>
      </c>
      <c r="I228" s="254" t="str">
        <f>IFERROR(IF(Data_Templet!M101&lt;&gt;"",Data_Templet!M101,""),"")</f>
        <v/>
      </c>
      <c r="J228" s="254"/>
      <c r="K228" s="211" t="str">
        <f>IFERROR(IF(Data_Templet!N101&lt;&gt;"",Data_Templet!N101,""),"")</f>
        <v/>
      </c>
      <c r="L228" s="112" t="str">
        <f>IFERROR(IF(Data_Templet!O101&lt;&gt;"",Data_Templet!O101,""),"")</f>
        <v/>
      </c>
    </row>
    <row r="229" spans="2:12" x14ac:dyDescent="0.3">
      <c r="B229" s="76" t="str">
        <f t="shared" si="13"/>
        <v/>
      </c>
      <c r="C229" s="124" t="str">
        <f>IFERROR(IF(Data_Templet!H102&lt;&gt;"",Data_Templet!H102,""),"")</f>
        <v/>
      </c>
      <c r="D229" s="128"/>
      <c r="E229" s="128"/>
      <c r="F229" s="129"/>
      <c r="G229" s="52" t="str">
        <f>IFERROR(IF(Data_Templet!T102&lt;&gt;"",Data_Templet!T102,""),"")</f>
        <v/>
      </c>
      <c r="H229" s="77" t="str">
        <f>IFERROR(IF(Data_Templet!J102&lt;&gt;"",(Data_Templet!K102*Data_Templet!J102),""),"")</f>
        <v/>
      </c>
      <c r="I229" s="254" t="str">
        <f>IFERROR(IF(Data_Templet!M102&lt;&gt;"",Data_Templet!M102,""),"")</f>
        <v/>
      </c>
      <c r="J229" s="254"/>
      <c r="K229" s="211" t="str">
        <f>IFERROR(IF(Data_Templet!N102&lt;&gt;"",Data_Templet!N102,""),"")</f>
        <v/>
      </c>
      <c r="L229" s="112" t="str">
        <f>IFERROR(IF(Data_Templet!O102&lt;&gt;"",Data_Templet!O102,""),"")</f>
        <v/>
      </c>
    </row>
    <row r="230" spans="2:12" ht="17.25" thickBot="1" x14ac:dyDescent="0.35">
      <c r="B230" s="222"/>
      <c r="C230" s="223"/>
      <c r="D230" s="223"/>
      <c r="E230" s="223"/>
      <c r="F230" s="223"/>
      <c r="G230" s="224"/>
      <c r="H230" s="225">
        <f>SUM(H205:H229)</f>
        <v>0</v>
      </c>
      <c r="I230" s="284">
        <f>SUM(I205:I229)</f>
        <v>0</v>
      </c>
      <c r="J230" s="284"/>
      <c r="K230" s="225">
        <f>SUM(K205:K229)</f>
        <v>0</v>
      </c>
      <c r="L230" s="226" t="str">
        <f>IFERROR(K230/H230,"")</f>
        <v/>
      </c>
    </row>
    <row r="232" spans="2:12" ht="20.25" x14ac:dyDescent="0.3">
      <c r="B232" s="204" t="s">
        <v>132</v>
      </c>
      <c r="C232" s="205"/>
      <c r="G232" s="204" t="s">
        <v>133</v>
      </c>
      <c r="H232" s="205"/>
    </row>
    <row r="248" spans="2:3" ht="20.25" x14ac:dyDescent="0.3">
      <c r="B248" s="204" t="s">
        <v>131</v>
      </c>
      <c r="C248" s="205"/>
    </row>
    <row r="263" spans="2:12" ht="20.25" x14ac:dyDescent="0.3">
      <c r="B263" s="204" t="s">
        <v>130</v>
      </c>
      <c r="C263" s="205"/>
    </row>
    <row r="264" spans="2:12" x14ac:dyDescent="0.3">
      <c r="J264" s="139">
        <v>1</v>
      </c>
      <c r="L264" s="144">
        <v>0</v>
      </c>
    </row>
    <row r="265" spans="2:12" x14ac:dyDescent="0.3">
      <c r="B265" s="206" t="s">
        <v>40</v>
      </c>
      <c r="C265" s="207" t="s">
        <v>47</v>
      </c>
      <c r="D265" s="208"/>
      <c r="E265" s="209"/>
      <c r="F265" s="210" t="s">
        <v>114</v>
      </c>
      <c r="G265" s="210" t="s">
        <v>44</v>
      </c>
      <c r="H265" s="210" t="s">
        <v>52</v>
      </c>
      <c r="I265" s="210" t="s">
        <v>108</v>
      </c>
      <c r="J265" s="212" t="s">
        <v>116</v>
      </c>
      <c r="K265" s="212" t="s">
        <v>117</v>
      </c>
      <c r="L265" s="213" t="s">
        <v>118</v>
      </c>
    </row>
    <row r="266" spans="2:12" x14ac:dyDescent="0.3">
      <c r="B266" s="76">
        <f>IF(C266="","",1)</f>
        <v>1</v>
      </c>
      <c r="C266" s="119" t="s">
        <v>105</v>
      </c>
      <c r="D266" s="119"/>
      <c r="E266" s="37"/>
      <c r="F266" s="135">
        <f>G11</f>
        <v>0</v>
      </c>
      <c r="G266" s="135">
        <f>G11</f>
        <v>0</v>
      </c>
      <c r="H266" s="136">
        <f>L205</f>
        <v>0</v>
      </c>
      <c r="I266" s="117" t="str">
        <f>IFERROR(IF(G266&gt;0,G266/$G$291,""),"")</f>
        <v/>
      </c>
      <c r="J266" s="141">
        <f>J264-SUM(J267:J290)</f>
        <v>1</v>
      </c>
      <c r="K266" s="113">
        <f>IFERROR(IF(J266&gt;0,J266*$G$291,0),"")</f>
        <v>0</v>
      </c>
      <c r="L266" s="140">
        <f>L264-SUM(L267:L290)</f>
        <v>0</v>
      </c>
    </row>
    <row r="267" spans="2:12" x14ac:dyDescent="0.3">
      <c r="B267" s="76">
        <f>IF(C266="","",B266+1)</f>
        <v>2</v>
      </c>
      <c r="C267" s="267" t="str">
        <f>IFERROR(IF(Data_Templet!H79&lt;&gt;"",Data_Templet!H79,""),"")</f>
        <v/>
      </c>
      <c r="D267" s="267"/>
      <c r="E267" s="52" t="str">
        <f>IFERROR(IF(Data_Templet!I200&lt;&gt;"",Data_Templet!I200,""),"")</f>
        <v/>
      </c>
      <c r="F267" s="77" t="str">
        <f>IFERROR(IF(Data_Templet!L79&lt;&gt;"",Data_Templet!L79,""),"")</f>
        <v/>
      </c>
      <c r="G267" s="77" t="str">
        <f>IFERROR(IF(Data_Templet!M79&lt;&gt;"",Data_Templet!M79,""),"")</f>
        <v/>
      </c>
      <c r="H267" s="104" t="str">
        <f>IFERROR(IF(Data_Templet!O79&lt;&gt;"",Data_Templet!O79,""),"")</f>
        <v/>
      </c>
      <c r="I267" s="117" t="str">
        <f>IFERROR(IF(G267&gt;0,G267/$G$291,""),"")</f>
        <v/>
      </c>
      <c r="J267" s="142"/>
      <c r="K267" s="113">
        <f>IFERROR(IF(J267&gt;0,J267*$G$291,0),"")</f>
        <v>0</v>
      </c>
      <c r="L267" s="140">
        <f t="shared" ref="L267:L274" si="14">ROUND(IF(K267&gt;0,K267-G267,0),-4)</f>
        <v>0</v>
      </c>
    </row>
    <row r="268" spans="2:12" x14ac:dyDescent="0.3">
      <c r="B268" s="76" t="str">
        <f>IF(C267="","",B267+1)</f>
        <v/>
      </c>
      <c r="C268" s="267" t="str">
        <f>IFERROR(IF(Data_Templet!H80&lt;&gt;"",Data_Templet!H80,""),"")</f>
        <v/>
      </c>
      <c r="D268" s="267"/>
      <c r="E268" s="52" t="str">
        <f>IFERROR(IF(Data_Templet!I202&lt;&gt;"",Data_Templet!I202,""),"")</f>
        <v/>
      </c>
      <c r="F268" s="77" t="str">
        <f>IFERROR(IF(Data_Templet!L80&lt;&gt;"",Data_Templet!L80,""),"")</f>
        <v/>
      </c>
      <c r="G268" s="77" t="str">
        <f>IFERROR(IF(Data_Templet!M80&lt;&gt;"",Data_Templet!M80,""),"")</f>
        <v/>
      </c>
      <c r="H268" s="104" t="str">
        <f>IFERROR(IF(Data_Templet!O80&lt;&gt;"",Data_Templet!O80,""),"")</f>
        <v/>
      </c>
      <c r="I268" s="117" t="str">
        <f t="shared" ref="I268:I290" si="15">IFERROR(IF(G268&gt;0,G268/$G$291,""),"")</f>
        <v/>
      </c>
      <c r="J268" s="142"/>
      <c r="K268" s="113">
        <f t="shared" ref="K268:K290" si="16">IFERROR(IF(J268&gt;0,J268*$G$291,0),"")</f>
        <v>0</v>
      </c>
      <c r="L268" s="140">
        <f t="shared" si="14"/>
        <v>0</v>
      </c>
    </row>
    <row r="269" spans="2:12" x14ac:dyDescent="0.3">
      <c r="B269" s="76" t="str">
        <f>IF(C268="","",B268+1)</f>
        <v/>
      </c>
      <c r="C269" s="267" t="str">
        <f>IFERROR(IF(Data_Templet!H81&lt;&gt;"",Data_Templet!H81,""),"")</f>
        <v/>
      </c>
      <c r="D269" s="267"/>
      <c r="E269" s="52" t="str">
        <f>IFERROR(IF(Data_Templet!I203&lt;&gt;"",Data_Templet!I203,""),"")</f>
        <v/>
      </c>
      <c r="F269" s="77" t="str">
        <f>IFERROR(IF(Data_Templet!L81&lt;&gt;"",Data_Templet!L81,""),"")</f>
        <v/>
      </c>
      <c r="G269" s="77" t="str">
        <f>IFERROR(IF(Data_Templet!M81&lt;&gt;"",Data_Templet!M81,""),"")</f>
        <v/>
      </c>
      <c r="H269" s="104" t="str">
        <f>IFERROR(IF(Data_Templet!O81&lt;&gt;"",Data_Templet!O81,""),"")</f>
        <v/>
      </c>
      <c r="I269" s="117" t="str">
        <f t="shared" si="15"/>
        <v/>
      </c>
      <c r="J269" s="142"/>
      <c r="K269" s="113">
        <f t="shared" si="16"/>
        <v>0</v>
      </c>
      <c r="L269" s="140">
        <f t="shared" si="14"/>
        <v>0</v>
      </c>
    </row>
    <row r="270" spans="2:12" x14ac:dyDescent="0.3">
      <c r="B270" s="76" t="str">
        <f>IF(C269="","",B269+1)</f>
        <v/>
      </c>
      <c r="C270" s="267" t="str">
        <f>IFERROR(IF(Data_Templet!H82&lt;&gt;"",Data_Templet!H82,""),"")</f>
        <v/>
      </c>
      <c r="D270" s="267"/>
      <c r="E270" s="52" t="str">
        <f>IFERROR(IF(Data_Templet!I204&lt;&gt;"",Data_Templet!I204,""),"")</f>
        <v/>
      </c>
      <c r="F270" s="77" t="str">
        <f>IFERROR(IF(Data_Templet!L82&lt;&gt;"",Data_Templet!L82,""),"")</f>
        <v/>
      </c>
      <c r="G270" s="77" t="str">
        <f>IFERROR(IF(Data_Templet!M82&lt;&gt;"",Data_Templet!M82,""),"")</f>
        <v/>
      </c>
      <c r="H270" s="104" t="str">
        <f>IFERROR(IF(Data_Templet!O82&lt;&gt;"",Data_Templet!O82,""),"")</f>
        <v/>
      </c>
      <c r="I270" s="117" t="str">
        <f t="shared" si="15"/>
        <v/>
      </c>
      <c r="J270" s="142"/>
      <c r="K270" s="113">
        <f t="shared" si="16"/>
        <v>0</v>
      </c>
      <c r="L270" s="140">
        <f t="shared" si="14"/>
        <v>0</v>
      </c>
    </row>
    <row r="271" spans="2:12" x14ac:dyDescent="0.3">
      <c r="B271" s="76" t="str">
        <f t="shared" ref="B271:B290" si="17">IF(C271="","",B270+1)</f>
        <v/>
      </c>
      <c r="C271" s="267" t="str">
        <f>IFERROR(IF(Data_Templet!H83&lt;&gt;"",Data_Templet!H83,""),"")</f>
        <v/>
      </c>
      <c r="D271" s="267"/>
      <c r="E271" s="52" t="str">
        <f>IFERROR(IF(Data_Templet!I205&lt;&gt;"",Data_Templet!I205,""),"")</f>
        <v/>
      </c>
      <c r="F271" s="77" t="str">
        <f>IFERROR(IF(Data_Templet!L83&lt;&gt;"",Data_Templet!L83,""),"")</f>
        <v/>
      </c>
      <c r="G271" s="77" t="str">
        <f>IFERROR(IF(Data_Templet!M83&lt;&gt;"",Data_Templet!M83,""),"")</f>
        <v/>
      </c>
      <c r="H271" s="104" t="str">
        <f>IFERROR(IF(Data_Templet!O83&lt;&gt;"",Data_Templet!O83,""),"")</f>
        <v/>
      </c>
      <c r="I271" s="117" t="str">
        <f t="shared" si="15"/>
        <v/>
      </c>
      <c r="J271" s="142"/>
      <c r="K271" s="113">
        <f t="shared" si="16"/>
        <v>0</v>
      </c>
      <c r="L271" s="140">
        <f t="shared" si="14"/>
        <v>0</v>
      </c>
    </row>
    <row r="272" spans="2:12" x14ac:dyDescent="0.3">
      <c r="B272" s="76" t="str">
        <f t="shared" si="17"/>
        <v/>
      </c>
      <c r="C272" s="267" t="str">
        <f>IFERROR(IF(Data_Templet!H84&lt;&gt;"",Data_Templet!H84,""),"")</f>
        <v/>
      </c>
      <c r="D272" s="267"/>
      <c r="E272" s="52" t="str">
        <f>IFERROR(IF(Data_Templet!I206&lt;&gt;"",Data_Templet!I206,""),"")</f>
        <v/>
      </c>
      <c r="F272" s="77" t="str">
        <f>IFERROR(IF(Data_Templet!L84&lt;&gt;"",Data_Templet!L84,""),"")</f>
        <v/>
      </c>
      <c r="G272" s="77" t="str">
        <f>IFERROR(IF(Data_Templet!M84&lt;&gt;"",Data_Templet!M84,""),"")</f>
        <v/>
      </c>
      <c r="H272" s="104" t="str">
        <f>IFERROR(IF(Data_Templet!O84&lt;&gt;"",Data_Templet!O84,""),"")</f>
        <v/>
      </c>
      <c r="I272" s="117" t="str">
        <f t="shared" si="15"/>
        <v/>
      </c>
      <c r="J272" s="142"/>
      <c r="K272" s="113">
        <f t="shared" si="16"/>
        <v>0</v>
      </c>
      <c r="L272" s="140">
        <f t="shared" si="14"/>
        <v>0</v>
      </c>
    </row>
    <row r="273" spans="2:12" x14ac:dyDescent="0.3">
      <c r="B273" s="76" t="str">
        <f t="shared" si="17"/>
        <v/>
      </c>
      <c r="C273" s="267" t="str">
        <f>IFERROR(IF(Data_Templet!H85&lt;&gt;"",Data_Templet!H85,""),"")</f>
        <v/>
      </c>
      <c r="D273" s="267"/>
      <c r="E273" s="52" t="str">
        <f>IFERROR(IF(Data_Templet!I207&lt;&gt;"",Data_Templet!I207,""),"")</f>
        <v/>
      </c>
      <c r="F273" s="77" t="str">
        <f>IFERROR(IF(Data_Templet!L85&lt;&gt;"",Data_Templet!L85,""),"")</f>
        <v/>
      </c>
      <c r="G273" s="77" t="str">
        <f>IFERROR(IF(Data_Templet!M85&lt;&gt;"",Data_Templet!M85,""),"")</f>
        <v/>
      </c>
      <c r="H273" s="104" t="str">
        <f>IFERROR(IF(Data_Templet!O85&lt;&gt;"",Data_Templet!O85,""),"")</f>
        <v/>
      </c>
      <c r="I273" s="117" t="str">
        <f t="shared" si="15"/>
        <v/>
      </c>
      <c r="J273" s="142"/>
      <c r="K273" s="113">
        <f t="shared" si="16"/>
        <v>0</v>
      </c>
      <c r="L273" s="140">
        <f t="shared" si="14"/>
        <v>0</v>
      </c>
    </row>
    <row r="274" spans="2:12" x14ac:dyDescent="0.3">
      <c r="B274" s="76" t="str">
        <f t="shared" si="17"/>
        <v/>
      </c>
      <c r="C274" s="267" t="str">
        <f>IFERROR(IF(Data_Templet!H86&lt;&gt;"",Data_Templet!H86,""),"")</f>
        <v/>
      </c>
      <c r="D274" s="267"/>
      <c r="E274" s="52" t="str">
        <f>IFERROR(IF(Data_Templet!I208&lt;&gt;"",Data_Templet!I208,""),"")</f>
        <v/>
      </c>
      <c r="F274" s="77" t="str">
        <f>IFERROR(IF(Data_Templet!L86&lt;&gt;"",Data_Templet!L86,""),"")</f>
        <v/>
      </c>
      <c r="G274" s="77" t="str">
        <f>IFERROR(IF(Data_Templet!M86&lt;&gt;"",Data_Templet!M86,""),"")</f>
        <v/>
      </c>
      <c r="H274" s="104" t="str">
        <f>IFERROR(IF(Data_Templet!O86&lt;&gt;"",Data_Templet!O86,""),"")</f>
        <v/>
      </c>
      <c r="I274" s="117" t="str">
        <f t="shared" si="15"/>
        <v/>
      </c>
      <c r="J274" s="142"/>
      <c r="K274" s="113">
        <f t="shared" si="16"/>
        <v>0</v>
      </c>
      <c r="L274" s="140">
        <f t="shared" si="14"/>
        <v>0</v>
      </c>
    </row>
    <row r="275" spans="2:12" x14ac:dyDescent="0.3">
      <c r="B275" s="76" t="str">
        <f t="shared" si="17"/>
        <v/>
      </c>
      <c r="C275" s="267" t="str">
        <f>IFERROR(IF(Data_Templet!H87&lt;&gt;"",Data_Templet!H87,""),"")</f>
        <v/>
      </c>
      <c r="D275" s="267"/>
      <c r="E275" s="52" t="str">
        <f>IFERROR(IF(Data_Templet!I209&lt;&gt;"",Data_Templet!I209,""),"")</f>
        <v/>
      </c>
      <c r="F275" s="77" t="str">
        <f>IFERROR(IF(Data_Templet!L87&lt;&gt;"",Data_Templet!L87,""),"")</f>
        <v/>
      </c>
      <c r="G275" s="77" t="str">
        <f>IFERROR(IF(Data_Templet!M87&lt;&gt;"",Data_Templet!M87,""),"")</f>
        <v/>
      </c>
      <c r="H275" s="104" t="str">
        <f>IFERROR(IF(Data_Templet!O87&lt;&gt;"",Data_Templet!O87,""),"")</f>
        <v/>
      </c>
      <c r="I275" s="117" t="str">
        <f t="shared" si="15"/>
        <v/>
      </c>
      <c r="J275" s="142"/>
      <c r="K275" s="113">
        <f t="shared" si="16"/>
        <v>0</v>
      </c>
      <c r="L275" s="140">
        <f t="shared" ref="L275:L290" si="18">ROUND(IF(K275&gt;0,K275-G275,0),-4)</f>
        <v>0</v>
      </c>
    </row>
    <row r="276" spans="2:12" x14ac:dyDescent="0.3">
      <c r="B276" s="76" t="str">
        <f t="shared" si="17"/>
        <v/>
      </c>
      <c r="C276" s="267" t="str">
        <f>IFERROR(IF(Data_Templet!H88&lt;&gt;"",Data_Templet!H88,""),"")</f>
        <v/>
      </c>
      <c r="D276" s="267"/>
      <c r="E276" s="52" t="str">
        <f>IFERROR(IF(Data_Templet!I210&lt;&gt;"",Data_Templet!I210,""),"")</f>
        <v/>
      </c>
      <c r="F276" s="77" t="str">
        <f>IFERROR(IF(Data_Templet!L88&lt;&gt;"",Data_Templet!L88,""),"")</f>
        <v/>
      </c>
      <c r="G276" s="77" t="str">
        <f>IFERROR(IF(Data_Templet!M88&lt;&gt;"",Data_Templet!M88,""),"")</f>
        <v/>
      </c>
      <c r="H276" s="104" t="str">
        <f>IFERROR(IF(Data_Templet!O88&lt;&gt;"",Data_Templet!O88,""),"")</f>
        <v/>
      </c>
      <c r="I276" s="117" t="str">
        <f t="shared" si="15"/>
        <v/>
      </c>
      <c r="J276" s="142"/>
      <c r="K276" s="113">
        <f t="shared" si="16"/>
        <v>0</v>
      </c>
      <c r="L276" s="140">
        <f t="shared" si="18"/>
        <v>0</v>
      </c>
    </row>
    <row r="277" spans="2:12" x14ac:dyDescent="0.3">
      <c r="B277" s="76" t="str">
        <f t="shared" si="17"/>
        <v/>
      </c>
      <c r="C277" s="267" t="str">
        <f>IFERROR(IF(Data_Templet!H89&lt;&gt;"",Data_Templet!H89,""),"")</f>
        <v/>
      </c>
      <c r="D277" s="267"/>
      <c r="E277" s="52" t="str">
        <f>IFERROR(IF(Data_Templet!I211&lt;&gt;"",Data_Templet!I211,""),"")</f>
        <v/>
      </c>
      <c r="F277" s="77" t="str">
        <f>IFERROR(IF(Data_Templet!L89&lt;&gt;"",Data_Templet!L89,""),"")</f>
        <v/>
      </c>
      <c r="G277" s="77" t="str">
        <f>IFERROR(IF(Data_Templet!M89&lt;&gt;"",Data_Templet!M89,""),"")</f>
        <v/>
      </c>
      <c r="H277" s="104" t="str">
        <f>IFERROR(IF(Data_Templet!O89&lt;&gt;"",Data_Templet!O89,""),"")</f>
        <v/>
      </c>
      <c r="I277" s="117" t="str">
        <f t="shared" si="15"/>
        <v/>
      </c>
      <c r="J277" s="142"/>
      <c r="K277" s="113">
        <f t="shared" si="16"/>
        <v>0</v>
      </c>
      <c r="L277" s="140">
        <f t="shared" si="18"/>
        <v>0</v>
      </c>
    </row>
    <row r="278" spans="2:12" x14ac:dyDescent="0.3">
      <c r="B278" s="76" t="str">
        <f t="shared" si="17"/>
        <v/>
      </c>
      <c r="C278" s="267" t="str">
        <f>IFERROR(IF(Data_Templet!H90&lt;&gt;"",Data_Templet!H90,""),"")</f>
        <v/>
      </c>
      <c r="D278" s="267"/>
      <c r="E278" s="52" t="str">
        <f>IFERROR(IF(Data_Templet!I212&lt;&gt;"",Data_Templet!I212,""),"")</f>
        <v/>
      </c>
      <c r="F278" s="77" t="str">
        <f>IFERROR(IF(Data_Templet!L90&lt;&gt;"",Data_Templet!L90,""),"")</f>
        <v/>
      </c>
      <c r="G278" s="77" t="str">
        <f>IFERROR(IF(Data_Templet!M90&lt;&gt;"",Data_Templet!M90,""),"")</f>
        <v/>
      </c>
      <c r="H278" s="104" t="str">
        <f>IFERROR(IF(Data_Templet!O90&lt;&gt;"",Data_Templet!O90,""),"")</f>
        <v/>
      </c>
      <c r="I278" s="117" t="str">
        <f t="shared" si="15"/>
        <v/>
      </c>
      <c r="J278" s="142"/>
      <c r="K278" s="113">
        <f t="shared" si="16"/>
        <v>0</v>
      </c>
      <c r="L278" s="140">
        <f t="shared" si="18"/>
        <v>0</v>
      </c>
    </row>
    <row r="279" spans="2:12" x14ac:dyDescent="0.3">
      <c r="B279" s="76" t="str">
        <f t="shared" si="17"/>
        <v/>
      </c>
      <c r="C279" s="267" t="str">
        <f>IFERROR(IF(Data_Templet!H91&lt;&gt;"",Data_Templet!H91,""),"")</f>
        <v/>
      </c>
      <c r="D279" s="267"/>
      <c r="E279" s="52" t="str">
        <f>IFERROR(IF(Data_Templet!I213&lt;&gt;"",Data_Templet!I213,""),"")</f>
        <v/>
      </c>
      <c r="F279" s="77" t="str">
        <f>IFERROR(IF(Data_Templet!L91&lt;&gt;"",Data_Templet!L91,""),"")</f>
        <v/>
      </c>
      <c r="G279" s="77" t="str">
        <f>IFERROR(IF(Data_Templet!M91&lt;&gt;"",Data_Templet!M91,""),"")</f>
        <v/>
      </c>
      <c r="H279" s="104" t="str">
        <f>IFERROR(IF(Data_Templet!O91&lt;&gt;"",Data_Templet!O91,""),"")</f>
        <v/>
      </c>
      <c r="I279" s="117" t="str">
        <f t="shared" si="15"/>
        <v/>
      </c>
      <c r="J279" s="142"/>
      <c r="K279" s="113">
        <f t="shared" si="16"/>
        <v>0</v>
      </c>
      <c r="L279" s="140">
        <f t="shared" si="18"/>
        <v>0</v>
      </c>
    </row>
    <row r="280" spans="2:12" x14ac:dyDescent="0.3">
      <c r="B280" s="76" t="str">
        <f t="shared" si="17"/>
        <v/>
      </c>
      <c r="C280" s="267" t="str">
        <f>IFERROR(IF(Data_Templet!H92&lt;&gt;"",Data_Templet!H92,""),"")</f>
        <v/>
      </c>
      <c r="D280" s="267"/>
      <c r="E280" s="52" t="str">
        <f>IFERROR(IF(Data_Templet!I214&lt;&gt;"",Data_Templet!I214,""),"")</f>
        <v/>
      </c>
      <c r="F280" s="77" t="str">
        <f>IFERROR(IF(Data_Templet!L92&lt;&gt;"",Data_Templet!L92,""),"")</f>
        <v/>
      </c>
      <c r="G280" s="77" t="str">
        <f>IFERROR(IF(Data_Templet!M92&lt;&gt;"",Data_Templet!M92,""),"")</f>
        <v/>
      </c>
      <c r="H280" s="104" t="str">
        <f>IFERROR(IF(Data_Templet!O92&lt;&gt;"",Data_Templet!O92,""),"")</f>
        <v/>
      </c>
      <c r="I280" s="117" t="str">
        <f t="shared" si="15"/>
        <v/>
      </c>
      <c r="J280" s="142"/>
      <c r="K280" s="113">
        <f t="shared" si="16"/>
        <v>0</v>
      </c>
      <c r="L280" s="140">
        <f t="shared" si="18"/>
        <v>0</v>
      </c>
    </row>
    <row r="281" spans="2:12" x14ac:dyDescent="0.3">
      <c r="B281" s="76" t="str">
        <f t="shared" si="17"/>
        <v/>
      </c>
      <c r="C281" s="267" t="str">
        <f>IFERROR(IF(Data_Templet!H93&lt;&gt;"",Data_Templet!H93,""),"")</f>
        <v/>
      </c>
      <c r="D281" s="267"/>
      <c r="E281" s="52" t="str">
        <f>IFERROR(IF(Data_Templet!I215&lt;&gt;"",Data_Templet!I215,""),"")</f>
        <v/>
      </c>
      <c r="F281" s="77" t="str">
        <f>IFERROR(IF(Data_Templet!L93&lt;&gt;"",Data_Templet!L93,""),"")</f>
        <v/>
      </c>
      <c r="G281" s="77" t="str">
        <f>IFERROR(IF(Data_Templet!M93&lt;&gt;"",Data_Templet!M93,""),"")</f>
        <v/>
      </c>
      <c r="H281" s="104" t="str">
        <f>IFERROR(IF(Data_Templet!O93&lt;&gt;"",Data_Templet!O93,""),"")</f>
        <v/>
      </c>
      <c r="I281" s="117" t="str">
        <f t="shared" si="15"/>
        <v/>
      </c>
      <c r="J281" s="142"/>
      <c r="K281" s="113">
        <f t="shared" si="16"/>
        <v>0</v>
      </c>
      <c r="L281" s="140">
        <f t="shared" si="18"/>
        <v>0</v>
      </c>
    </row>
    <row r="282" spans="2:12" x14ac:dyDescent="0.3">
      <c r="B282" s="76" t="str">
        <f t="shared" si="17"/>
        <v/>
      </c>
      <c r="C282" s="267" t="str">
        <f>IFERROR(IF(Data_Templet!H94&lt;&gt;"",Data_Templet!H94,""),"")</f>
        <v/>
      </c>
      <c r="D282" s="267"/>
      <c r="E282" s="52" t="str">
        <f>IFERROR(IF(Data_Templet!I216&lt;&gt;"",Data_Templet!I216,""),"")</f>
        <v/>
      </c>
      <c r="F282" s="77" t="str">
        <f>IFERROR(IF(Data_Templet!L94&lt;&gt;"",Data_Templet!L94,""),"")</f>
        <v/>
      </c>
      <c r="G282" s="77" t="str">
        <f>IFERROR(IF(Data_Templet!M94&lt;&gt;"",Data_Templet!M94,""),"")</f>
        <v/>
      </c>
      <c r="H282" s="104" t="str">
        <f>IFERROR(IF(Data_Templet!O94&lt;&gt;"",Data_Templet!O94,""),"")</f>
        <v/>
      </c>
      <c r="I282" s="117" t="str">
        <f t="shared" si="15"/>
        <v/>
      </c>
      <c r="J282" s="142"/>
      <c r="K282" s="113">
        <f t="shared" si="16"/>
        <v>0</v>
      </c>
      <c r="L282" s="140">
        <f t="shared" si="18"/>
        <v>0</v>
      </c>
    </row>
    <row r="283" spans="2:12" x14ac:dyDescent="0.3">
      <c r="B283" s="76" t="str">
        <f t="shared" si="17"/>
        <v/>
      </c>
      <c r="C283" s="267" t="str">
        <f>IFERROR(IF(Data_Templet!H95&lt;&gt;"",Data_Templet!H95,""),"")</f>
        <v/>
      </c>
      <c r="D283" s="267"/>
      <c r="E283" s="52" t="str">
        <f>IFERROR(IF(Data_Templet!I217&lt;&gt;"",Data_Templet!I217,""),"")</f>
        <v/>
      </c>
      <c r="F283" s="77" t="str">
        <f>IFERROR(IF(Data_Templet!L95&lt;&gt;"",Data_Templet!L95,""),"")</f>
        <v/>
      </c>
      <c r="G283" s="77" t="str">
        <f>IFERROR(IF(Data_Templet!M95&lt;&gt;"",Data_Templet!M95,""),"")</f>
        <v/>
      </c>
      <c r="H283" s="104" t="str">
        <f>IFERROR(IF(Data_Templet!O95&lt;&gt;"",Data_Templet!O95,""),"")</f>
        <v/>
      </c>
      <c r="I283" s="117" t="str">
        <f t="shared" si="15"/>
        <v/>
      </c>
      <c r="J283" s="142"/>
      <c r="K283" s="113">
        <f t="shared" si="16"/>
        <v>0</v>
      </c>
      <c r="L283" s="140">
        <f t="shared" si="18"/>
        <v>0</v>
      </c>
    </row>
    <row r="284" spans="2:12" x14ac:dyDescent="0.3">
      <c r="B284" s="76" t="str">
        <f t="shared" si="17"/>
        <v/>
      </c>
      <c r="C284" s="267" t="str">
        <f>IFERROR(IF(Data_Templet!H96&lt;&gt;"",Data_Templet!H96,""),"")</f>
        <v/>
      </c>
      <c r="D284" s="267"/>
      <c r="E284" s="52" t="str">
        <f>IFERROR(IF(Data_Templet!I218&lt;&gt;"",Data_Templet!I218,""),"")</f>
        <v/>
      </c>
      <c r="F284" s="77" t="str">
        <f>IFERROR(IF(Data_Templet!L96&lt;&gt;"",Data_Templet!L96,""),"")</f>
        <v/>
      </c>
      <c r="G284" s="77" t="str">
        <f>IFERROR(IF(Data_Templet!M96&lt;&gt;"",Data_Templet!M96,""),"")</f>
        <v/>
      </c>
      <c r="H284" s="104" t="str">
        <f>IFERROR(IF(Data_Templet!O96&lt;&gt;"",Data_Templet!O96,""),"")</f>
        <v/>
      </c>
      <c r="I284" s="117" t="str">
        <f t="shared" si="15"/>
        <v/>
      </c>
      <c r="J284" s="142"/>
      <c r="K284" s="113">
        <f t="shared" si="16"/>
        <v>0</v>
      </c>
      <c r="L284" s="140">
        <f t="shared" si="18"/>
        <v>0</v>
      </c>
    </row>
    <row r="285" spans="2:12" x14ac:dyDescent="0.3">
      <c r="B285" s="76" t="str">
        <f t="shared" si="17"/>
        <v/>
      </c>
      <c r="C285" s="267" t="str">
        <f>IFERROR(IF(Data_Templet!H97&lt;&gt;"",Data_Templet!H97,""),"")</f>
        <v/>
      </c>
      <c r="D285" s="267"/>
      <c r="E285" s="52" t="str">
        <f>IFERROR(IF(Data_Templet!I219&lt;&gt;"",Data_Templet!I219,""),"")</f>
        <v/>
      </c>
      <c r="F285" s="77" t="str">
        <f>IFERROR(IF(Data_Templet!L97&lt;&gt;"",Data_Templet!L97,""),"")</f>
        <v/>
      </c>
      <c r="G285" s="77" t="str">
        <f>IFERROR(IF(Data_Templet!M97&lt;&gt;"",Data_Templet!M97,""),"")</f>
        <v/>
      </c>
      <c r="H285" s="104" t="str">
        <f>IFERROR(IF(Data_Templet!O97&lt;&gt;"",Data_Templet!O97,""),"")</f>
        <v/>
      </c>
      <c r="I285" s="117" t="str">
        <f t="shared" si="15"/>
        <v/>
      </c>
      <c r="J285" s="142"/>
      <c r="K285" s="113">
        <f t="shared" si="16"/>
        <v>0</v>
      </c>
      <c r="L285" s="140">
        <f t="shared" si="18"/>
        <v>0</v>
      </c>
    </row>
    <row r="286" spans="2:12" x14ac:dyDescent="0.3">
      <c r="B286" s="76" t="str">
        <f t="shared" si="17"/>
        <v/>
      </c>
      <c r="C286" s="267" t="str">
        <f>IFERROR(IF(Data_Templet!H98&lt;&gt;"",Data_Templet!H98,""),"")</f>
        <v/>
      </c>
      <c r="D286" s="267"/>
      <c r="E286" s="52" t="str">
        <f>IFERROR(IF(Data_Templet!I220&lt;&gt;"",Data_Templet!I220,""),"")</f>
        <v/>
      </c>
      <c r="F286" s="77" t="str">
        <f>IFERROR(IF(Data_Templet!L98&lt;&gt;"",Data_Templet!L98,""),"")</f>
        <v/>
      </c>
      <c r="G286" s="77" t="str">
        <f>IFERROR(IF(Data_Templet!M98&lt;&gt;"",Data_Templet!M98,""),"")</f>
        <v/>
      </c>
      <c r="H286" s="104" t="str">
        <f>IFERROR(IF(Data_Templet!O98&lt;&gt;"",Data_Templet!O98,""),"")</f>
        <v/>
      </c>
      <c r="I286" s="117" t="str">
        <f t="shared" si="15"/>
        <v/>
      </c>
      <c r="J286" s="142"/>
      <c r="K286" s="113">
        <f t="shared" si="16"/>
        <v>0</v>
      </c>
      <c r="L286" s="140">
        <f t="shared" si="18"/>
        <v>0</v>
      </c>
    </row>
    <row r="287" spans="2:12" x14ac:dyDescent="0.3">
      <c r="B287" s="76" t="str">
        <f t="shared" si="17"/>
        <v/>
      </c>
      <c r="C287" s="267" t="str">
        <f>IFERROR(IF(Data_Templet!H99&lt;&gt;"",Data_Templet!H99,""),"")</f>
        <v/>
      </c>
      <c r="D287" s="267"/>
      <c r="E287" s="52" t="str">
        <f>IFERROR(IF(Data_Templet!I221&lt;&gt;"",Data_Templet!I221,""),"")</f>
        <v/>
      </c>
      <c r="F287" s="77" t="str">
        <f>IFERROR(IF(Data_Templet!L99&lt;&gt;"",Data_Templet!L99,""),"")</f>
        <v/>
      </c>
      <c r="G287" s="77" t="str">
        <f>IFERROR(IF(Data_Templet!M99&lt;&gt;"",Data_Templet!M99,""),"")</f>
        <v/>
      </c>
      <c r="H287" s="104" t="str">
        <f>IFERROR(IF(Data_Templet!O99&lt;&gt;"",Data_Templet!O99,""),"")</f>
        <v/>
      </c>
      <c r="I287" s="117" t="str">
        <f t="shared" si="15"/>
        <v/>
      </c>
      <c r="J287" s="142"/>
      <c r="K287" s="113">
        <f t="shared" si="16"/>
        <v>0</v>
      </c>
      <c r="L287" s="140">
        <f t="shared" si="18"/>
        <v>0</v>
      </c>
    </row>
    <row r="288" spans="2:12" x14ac:dyDescent="0.3">
      <c r="B288" s="76" t="str">
        <f t="shared" si="17"/>
        <v/>
      </c>
      <c r="C288" s="267" t="str">
        <f>IFERROR(IF(Data_Templet!H100&lt;&gt;"",Data_Templet!H100,""),"")</f>
        <v/>
      </c>
      <c r="D288" s="267"/>
      <c r="E288" s="52" t="str">
        <f>IFERROR(IF(Data_Templet!I222&lt;&gt;"",Data_Templet!I222,""),"")</f>
        <v/>
      </c>
      <c r="F288" s="77" t="str">
        <f>IFERROR(IF(Data_Templet!L100&lt;&gt;"",Data_Templet!L100,""),"")</f>
        <v/>
      </c>
      <c r="G288" s="77" t="str">
        <f>IFERROR(IF(Data_Templet!M100&lt;&gt;"",Data_Templet!M100,""),"")</f>
        <v/>
      </c>
      <c r="H288" s="104" t="str">
        <f>IFERROR(IF(Data_Templet!O100&lt;&gt;"",Data_Templet!O100,""),"")</f>
        <v/>
      </c>
      <c r="I288" s="117" t="str">
        <f t="shared" si="15"/>
        <v/>
      </c>
      <c r="J288" s="142"/>
      <c r="K288" s="113">
        <f t="shared" si="16"/>
        <v>0</v>
      </c>
      <c r="L288" s="140">
        <f t="shared" si="18"/>
        <v>0</v>
      </c>
    </row>
    <row r="289" spans="2:12" x14ac:dyDescent="0.3">
      <c r="B289" s="76" t="str">
        <f t="shared" si="17"/>
        <v/>
      </c>
      <c r="C289" s="267" t="str">
        <f>IFERROR(IF(Data_Templet!H101&lt;&gt;"",Data_Templet!H101,""),"")</f>
        <v/>
      </c>
      <c r="D289" s="267"/>
      <c r="E289" s="52" t="str">
        <f>IFERROR(IF(Data_Templet!I223&lt;&gt;"",Data_Templet!I223,""),"")</f>
        <v/>
      </c>
      <c r="F289" s="77" t="str">
        <f>IFERROR(IF(Data_Templet!L101&lt;&gt;"",Data_Templet!L101,""),"")</f>
        <v/>
      </c>
      <c r="G289" s="77" t="str">
        <f>IFERROR(IF(Data_Templet!M101&lt;&gt;"",Data_Templet!M101,""),"")</f>
        <v/>
      </c>
      <c r="H289" s="104" t="str">
        <f>IFERROR(IF(Data_Templet!O101&lt;&gt;"",Data_Templet!O101,""),"")</f>
        <v/>
      </c>
      <c r="I289" s="117" t="str">
        <f t="shared" si="15"/>
        <v/>
      </c>
      <c r="J289" s="142"/>
      <c r="K289" s="113">
        <f t="shared" si="16"/>
        <v>0</v>
      </c>
      <c r="L289" s="140">
        <f t="shared" si="18"/>
        <v>0</v>
      </c>
    </row>
    <row r="290" spans="2:12" x14ac:dyDescent="0.3">
      <c r="B290" s="120" t="str">
        <f t="shared" si="17"/>
        <v/>
      </c>
      <c r="C290" s="267" t="str">
        <f>IFERROR(IF(Data_Templet!H102&lt;&gt;"",Data_Templet!H102,""),"")</f>
        <v/>
      </c>
      <c r="D290" s="267"/>
      <c r="E290" s="55" t="str">
        <f>IFERROR(IF(Data_Templet!I224&lt;&gt;"",Data_Templet!I224,""),"")</f>
        <v/>
      </c>
      <c r="F290" s="77" t="str">
        <f>IFERROR(IF(Data_Templet!L102&lt;&gt;"",Data_Templet!L102,""),"")</f>
        <v/>
      </c>
      <c r="G290" s="77" t="str">
        <f>IFERROR(IF(Data_Templet!M102&lt;&gt;"",Data_Templet!M102,""),"")</f>
        <v/>
      </c>
      <c r="H290" s="104" t="str">
        <f>IFERROR(IF(Data_Templet!O102&lt;&gt;"",Data_Templet!O102,""),"")</f>
        <v/>
      </c>
      <c r="I290" s="117" t="str">
        <f t="shared" si="15"/>
        <v/>
      </c>
      <c r="J290" s="143"/>
      <c r="K290" s="113">
        <f t="shared" si="16"/>
        <v>0</v>
      </c>
      <c r="L290" s="140">
        <f t="shared" si="18"/>
        <v>0</v>
      </c>
    </row>
    <row r="291" spans="2:12" ht="17.25" thickBot="1" x14ac:dyDescent="0.35">
      <c r="B291" s="285" t="s">
        <v>109</v>
      </c>
      <c r="C291" s="285"/>
      <c r="D291" s="285"/>
      <c r="E291" s="286"/>
      <c r="F291" s="214"/>
      <c r="G291" s="214">
        <f>SUM(G266:G290)</f>
        <v>0</v>
      </c>
      <c r="H291" s="215"/>
      <c r="I291" s="216">
        <f>SUM(I266:I290)</f>
        <v>0</v>
      </c>
      <c r="J291" s="217">
        <f>SUM(J266:J290)</f>
        <v>1</v>
      </c>
      <c r="K291" s="214">
        <f>SUM(K266:K290)</f>
        <v>0</v>
      </c>
      <c r="L291" s="214">
        <f>SUM(L266:L290)</f>
        <v>0</v>
      </c>
    </row>
  </sheetData>
  <mergeCells count="143">
    <mergeCell ref="C275:D275"/>
    <mergeCell ref="C276:D276"/>
    <mergeCell ref="C277:D277"/>
    <mergeCell ref="C278:D278"/>
    <mergeCell ref="C279:D279"/>
    <mergeCell ref="I228:J228"/>
    <mergeCell ref="I229:J229"/>
    <mergeCell ref="I230:J230"/>
    <mergeCell ref="B291:E291"/>
    <mergeCell ref="C272:D272"/>
    <mergeCell ref="C273:D273"/>
    <mergeCell ref="C274:D274"/>
    <mergeCell ref="C290:D290"/>
    <mergeCell ref="C285:D285"/>
    <mergeCell ref="C286:D286"/>
    <mergeCell ref="C287:D287"/>
    <mergeCell ref="C288:D288"/>
    <mergeCell ref="C289:D289"/>
    <mergeCell ref="C280:D280"/>
    <mergeCell ref="C281:D281"/>
    <mergeCell ref="C282:D282"/>
    <mergeCell ref="C283:D283"/>
    <mergeCell ref="C284:D284"/>
    <mergeCell ref="I224:J224"/>
    <mergeCell ref="I225:J225"/>
    <mergeCell ref="I226:J226"/>
    <mergeCell ref="I227:J227"/>
    <mergeCell ref="C267:D267"/>
    <mergeCell ref="C268:D268"/>
    <mergeCell ref="C269:D269"/>
    <mergeCell ref="C270:D270"/>
    <mergeCell ref="C271:D271"/>
    <mergeCell ref="I219:J219"/>
    <mergeCell ref="I220:J220"/>
    <mergeCell ref="I221:J221"/>
    <mergeCell ref="I222:J222"/>
    <mergeCell ref="I223:J223"/>
    <mergeCell ref="I214:J214"/>
    <mergeCell ref="I215:J215"/>
    <mergeCell ref="I216:J216"/>
    <mergeCell ref="I217:J217"/>
    <mergeCell ref="I218:J218"/>
    <mergeCell ref="I209:J209"/>
    <mergeCell ref="I210:J210"/>
    <mergeCell ref="I211:J211"/>
    <mergeCell ref="I212:J212"/>
    <mergeCell ref="I213:J213"/>
    <mergeCell ref="I204:J204"/>
    <mergeCell ref="I205:J205"/>
    <mergeCell ref="I206:J206"/>
    <mergeCell ref="I207:J207"/>
    <mergeCell ref="I208:J208"/>
    <mergeCell ref="B198:E198"/>
    <mergeCell ref="I130:J130"/>
    <mergeCell ref="I135:J135"/>
    <mergeCell ref="I136:J136"/>
    <mergeCell ref="I137:J137"/>
    <mergeCell ref="I131:J131"/>
    <mergeCell ref="I132:J132"/>
    <mergeCell ref="I133:J133"/>
    <mergeCell ref="I134:J134"/>
    <mergeCell ref="I125:J125"/>
    <mergeCell ref="I126:J126"/>
    <mergeCell ref="I127:J127"/>
    <mergeCell ref="I128:J128"/>
    <mergeCell ref="I129:J129"/>
    <mergeCell ref="I120:J120"/>
    <mergeCell ref="I121:J121"/>
    <mergeCell ref="I122:J122"/>
    <mergeCell ref="I123:J123"/>
    <mergeCell ref="I124:J124"/>
    <mergeCell ref="I115:J115"/>
    <mergeCell ref="I116:J116"/>
    <mergeCell ref="I117:J117"/>
    <mergeCell ref="I118:J118"/>
    <mergeCell ref="I119:J119"/>
    <mergeCell ref="B105:E105"/>
    <mergeCell ref="I111:J111"/>
    <mergeCell ref="I112:J112"/>
    <mergeCell ref="I113:J113"/>
    <mergeCell ref="I114:J114"/>
    <mergeCell ref="C103:D103"/>
    <mergeCell ref="C104:D104"/>
    <mergeCell ref="C97:D97"/>
    <mergeCell ref="C98:D98"/>
    <mergeCell ref="C99:D99"/>
    <mergeCell ref="C100:D100"/>
    <mergeCell ref="C101:D101"/>
    <mergeCell ref="C102:D102"/>
    <mergeCell ref="C79:D79"/>
    <mergeCell ref="C81:D81"/>
    <mergeCell ref="C82:D82"/>
    <mergeCell ref="C83:D83"/>
    <mergeCell ref="C96:D96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84:D84"/>
    <mergeCell ref="I43:J43"/>
    <mergeCell ref="I44:J44"/>
    <mergeCell ref="I8:J8"/>
    <mergeCell ref="I9:J9"/>
    <mergeCell ref="I10:J10"/>
    <mergeCell ref="I11:J11"/>
    <mergeCell ref="I12:J12"/>
    <mergeCell ref="I37:J37"/>
    <mergeCell ref="I38:J38"/>
    <mergeCell ref="I39:J39"/>
    <mergeCell ref="I40:J40"/>
    <mergeCell ref="I41:J41"/>
    <mergeCell ref="I42:J42"/>
    <mergeCell ref="I31:J31"/>
    <mergeCell ref="I32:J32"/>
    <mergeCell ref="I33:J33"/>
    <mergeCell ref="I34:J34"/>
    <mergeCell ref="I35:J35"/>
    <mergeCell ref="I36:J36"/>
    <mergeCell ref="I25:J25"/>
    <mergeCell ref="I26:J26"/>
    <mergeCell ref="I27:J27"/>
    <mergeCell ref="I28:J28"/>
    <mergeCell ref="I29:J29"/>
    <mergeCell ref="I30:J30"/>
    <mergeCell ref="I24:J24"/>
    <mergeCell ref="C7:L7"/>
    <mergeCell ref="I18:J18"/>
    <mergeCell ref="B3:L3"/>
    <mergeCell ref="C12:E12"/>
    <mergeCell ref="B8:B12"/>
    <mergeCell ref="K5:L5"/>
    <mergeCell ref="I19:J19"/>
    <mergeCell ref="I20:J20"/>
    <mergeCell ref="I21:J21"/>
    <mergeCell ref="I22:J22"/>
    <mergeCell ref="I23:J23"/>
  </mergeCells>
  <phoneticPr fontId="3" type="noConversion"/>
  <pageMargins left="0.6" right="0.6" top="0.38" bottom="0.35" header="0.3" footer="0.3"/>
  <pageSetup paperSize="9" scale="56" fitToHeight="0" orientation="portrait" r:id="rId1"/>
  <rowBreaks count="2" manualBreakCount="2">
    <brk id="106" min="1" max="11" man="1"/>
    <brk id="199" min="1" max="11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FD39-C2DB-4C6E-998B-F7DCAD3B3FA4}">
  <sheetPr>
    <tabColor theme="5" tint="0.79998168889431442"/>
  </sheetPr>
  <dimension ref="A3:DG399"/>
  <sheetViews>
    <sheetView zoomScale="70" zoomScaleNormal="70" workbookViewId="0">
      <selection activeCell="E17" sqref="E17"/>
    </sheetView>
  </sheetViews>
  <sheetFormatPr defaultRowHeight="16.5" x14ac:dyDescent="0.3"/>
  <cols>
    <col min="1" max="1" width="9" style="4"/>
    <col min="2" max="2" width="12" customWidth="1"/>
    <col min="3" max="3" width="14.125" customWidth="1"/>
    <col min="4" max="5" width="14.125" style="20" customWidth="1"/>
    <col min="6" max="6" width="15.25" style="20" customWidth="1"/>
    <col min="7" max="7" width="13.75" style="20" customWidth="1"/>
    <col min="8" max="8" width="13" style="20" customWidth="1"/>
    <col min="9" max="9" width="12.25" style="20" customWidth="1"/>
    <col min="10" max="10" width="13" style="20" bestFit="1" customWidth="1"/>
    <col min="11" max="11" width="9.75" style="14" customWidth="1"/>
    <col min="12" max="12" width="11" bestFit="1" customWidth="1"/>
    <col min="13" max="13" width="30.375" bestFit="1" customWidth="1"/>
    <col min="14" max="14" width="13" bestFit="1" customWidth="1"/>
    <col min="15" max="15" width="13" style="20" bestFit="1" customWidth="1"/>
    <col min="16" max="17" width="9.25" style="20" bestFit="1" customWidth="1"/>
    <col min="18" max="19" width="13" style="20" bestFit="1" customWidth="1"/>
    <col min="20" max="20" width="7.5" style="14" bestFit="1" customWidth="1"/>
    <col min="21" max="21" width="12.25" style="11" bestFit="1" customWidth="1"/>
    <col min="22" max="22" width="9.25" bestFit="1" customWidth="1"/>
    <col min="23" max="23" width="43.25" bestFit="1" customWidth="1"/>
    <col min="24" max="24" width="13" bestFit="1" customWidth="1"/>
    <col min="25" max="25" width="13" style="20" bestFit="1" customWidth="1"/>
    <col min="26" max="27" width="10.25" style="20" bestFit="1" customWidth="1"/>
    <col min="28" max="28" width="13" style="20" bestFit="1" customWidth="1"/>
    <col min="29" max="29" width="11.75" style="20" bestFit="1" customWidth="1"/>
    <col min="30" max="30" width="7.5" style="14" bestFit="1" customWidth="1"/>
    <col min="31" max="31" width="7.5" style="11" bestFit="1" customWidth="1"/>
    <col min="32" max="32" width="9.25" bestFit="1" customWidth="1"/>
    <col min="33" max="33" width="26.75" bestFit="1" customWidth="1"/>
    <col min="34" max="34" width="9.75" bestFit="1" customWidth="1"/>
    <col min="35" max="35" width="10.625" style="20" bestFit="1" customWidth="1"/>
    <col min="36" max="37" width="9.25" style="20" bestFit="1" customWidth="1"/>
    <col min="38" max="38" width="11.75" style="20" bestFit="1" customWidth="1"/>
    <col min="39" max="39" width="10.625" style="20" bestFit="1" customWidth="1"/>
    <col min="40" max="40" width="8.5" style="14" bestFit="1" customWidth="1"/>
    <col min="41" max="41" width="7.5" style="11" bestFit="1" customWidth="1"/>
    <col min="42" max="42" width="9.25" bestFit="1" customWidth="1"/>
    <col min="43" max="43" width="22.125" bestFit="1" customWidth="1"/>
    <col min="44" max="44" width="9.75" bestFit="1" customWidth="1"/>
    <col min="45" max="45" width="10.625" style="20" bestFit="1" customWidth="1"/>
    <col min="46" max="47" width="9.25" style="20" bestFit="1" customWidth="1"/>
    <col min="48" max="48" width="11.75" style="20" bestFit="1" customWidth="1"/>
    <col min="49" max="49" width="10.625" style="20" bestFit="1" customWidth="1"/>
    <col min="50" max="50" width="8.5" style="14" bestFit="1" customWidth="1"/>
    <col min="51" max="51" width="7.5" style="11" bestFit="1" customWidth="1"/>
    <col min="52" max="52" width="9.25" bestFit="1" customWidth="1"/>
    <col min="53" max="53" width="21.625" bestFit="1" customWidth="1"/>
    <col min="54" max="54" width="9.75" bestFit="1" customWidth="1"/>
    <col min="55" max="55" width="10.625" style="20" bestFit="1" customWidth="1"/>
    <col min="56" max="57" width="9.25" style="20" bestFit="1" customWidth="1"/>
    <col min="58" max="58" width="11.75" style="20" bestFit="1" customWidth="1"/>
    <col min="59" max="59" width="10.625" style="20" bestFit="1" customWidth="1"/>
    <col min="60" max="60" width="8.5" style="14" bestFit="1" customWidth="1"/>
    <col min="61" max="61" width="7.5" style="11" bestFit="1" customWidth="1"/>
    <col min="62" max="62" width="9.25" bestFit="1" customWidth="1"/>
    <col min="63" max="63" width="27" bestFit="1" customWidth="1"/>
    <col min="64" max="64" width="9.75" bestFit="1" customWidth="1"/>
    <col min="65" max="65" width="10.625" style="20" bestFit="1" customWidth="1"/>
    <col min="66" max="67" width="9.25" style="20" bestFit="1" customWidth="1"/>
    <col min="68" max="68" width="11.75" style="20" bestFit="1" customWidth="1"/>
    <col min="69" max="69" width="10.625" style="20" bestFit="1" customWidth="1"/>
    <col min="70" max="70" width="8.5" style="14" bestFit="1" customWidth="1"/>
    <col min="71" max="71" width="7.5" style="11" bestFit="1" customWidth="1"/>
    <col min="72" max="72" width="9.25" bestFit="1" customWidth="1"/>
    <col min="73" max="73" width="39.125" bestFit="1" customWidth="1"/>
    <col min="74" max="74" width="9.75" bestFit="1" customWidth="1"/>
    <col min="75" max="75" width="10.625" style="20" bestFit="1" customWidth="1"/>
    <col min="76" max="77" width="8.875" style="20" bestFit="1" customWidth="1"/>
    <col min="78" max="78" width="11.75" style="20" bestFit="1" customWidth="1"/>
    <col min="79" max="79" width="10.625" style="20" bestFit="1" customWidth="1"/>
    <col min="80" max="80" width="8.5" style="14" bestFit="1" customWidth="1"/>
    <col min="81" max="81" width="7.5" style="11" bestFit="1" customWidth="1"/>
    <col min="82" max="82" width="9.25" bestFit="1" customWidth="1"/>
    <col min="83" max="83" width="25" bestFit="1" customWidth="1"/>
    <col min="84" max="84" width="9.75" bestFit="1" customWidth="1"/>
    <col min="85" max="85" width="10.625" style="20" bestFit="1" customWidth="1"/>
    <col min="86" max="87" width="9.25" style="20" bestFit="1" customWidth="1"/>
    <col min="88" max="88" width="11.75" style="20" bestFit="1" customWidth="1"/>
    <col min="89" max="89" width="10.625" style="20" bestFit="1" customWidth="1"/>
    <col min="90" max="90" width="8.5" style="14" bestFit="1" customWidth="1"/>
    <col min="91" max="91" width="7.5" style="11" bestFit="1" customWidth="1"/>
    <col min="92" max="92" width="9.25" bestFit="1" customWidth="1"/>
    <col min="93" max="93" width="24" bestFit="1" customWidth="1"/>
    <col min="94" max="94" width="9.75" bestFit="1" customWidth="1"/>
    <col min="95" max="95" width="10.625" style="20" bestFit="1" customWidth="1"/>
    <col min="96" max="97" width="9.25" style="20" bestFit="1" customWidth="1"/>
    <col min="98" max="98" width="13" style="20" bestFit="1" customWidth="1"/>
    <col min="99" max="99" width="10.625" style="20" bestFit="1" customWidth="1"/>
    <col min="100" max="100" width="9.25" style="14" bestFit="1" customWidth="1"/>
    <col min="101" max="101" width="7.5" style="11" bestFit="1" customWidth="1"/>
    <col min="102" max="102" width="11" bestFit="1" customWidth="1"/>
    <col min="103" max="103" width="7.5" bestFit="1" customWidth="1"/>
    <col min="104" max="104" width="11.75" style="20" bestFit="1" customWidth="1"/>
    <col min="105" max="105" width="10.625" style="20" bestFit="1" customWidth="1"/>
    <col min="106" max="106" width="8.875" style="20" bestFit="1" customWidth="1"/>
    <col min="107" max="107" width="11.75" style="20" bestFit="1" customWidth="1"/>
    <col min="108" max="109" width="10.625" style="20" bestFit="1" customWidth="1"/>
    <col min="110" max="110" width="7.5" style="14" bestFit="1" customWidth="1"/>
    <col min="111" max="111" width="7.5" style="11" bestFit="1" customWidth="1"/>
  </cols>
  <sheetData>
    <row r="3" spans="1:111" ht="25.5" customHeight="1" x14ac:dyDescent="0.3">
      <c r="A3" s="13" t="s">
        <v>39</v>
      </c>
      <c r="B3" s="12"/>
      <c r="C3" s="12"/>
      <c r="E3" s="45" t="s">
        <v>82</v>
      </c>
      <c r="F3" s="45" t="s">
        <v>83</v>
      </c>
    </row>
    <row r="5" spans="1:111" s="4" customFormat="1" x14ac:dyDescent="0.3">
      <c r="A5" s="15" t="s">
        <v>40</v>
      </c>
      <c r="B5" s="8" t="s">
        <v>41</v>
      </c>
      <c r="C5" s="15" t="s">
        <v>1</v>
      </c>
      <c r="D5" s="30" t="s">
        <v>70</v>
      </c>
      <c r="E5" s="30" t="s">
        <v>71</v>
      </c>
      <c r="F5" s="46" t="s">
        <v>24</v>
      </c>
      <c r="G5" s="46" t="s">
        <v>25</v>
      </c>
      <c r="H5" s="46" t="s">
        <v>9</v>
      </c>
      <c r="I5" s="46" t="s">
        <v>3</v>
      </c>
      <c r="J5" s="46" t="s">
        <v>4</v>
      </c>
      <c r="K5" s="47" t="s">
        <v>26</v>
      </c>
      <c r="L5" s="8" t="s">
        <v>46</v>
      </c>
      <c r="M5" s="22" t="s">
        <v>47</v>
      </c>
      <c r="N5" s="22" t="s">
        <v>48</v>
      </c>
      <c r="O5" s="35" t="s">
        <v>49</v>
      </c>
      <c r="P5" s="35" t="s">
        <v>50</v>
      </c>
      <c r="Q5" s="35" t="s">
        <v>51</v>
      </c>
      <c r="R5" s="35" t="s">
        <v>44</v>
      </c>
      <c r="S5" s="35" t="s">
        <v>45</v>
      </c>
      <c r="T5" s="36" t="s">
        <v>52</v>
      </c>
      <c r="U5" s="18" t="s">
        <v>57</v>
      </c>
      <c r="V5" s="7" t="s">
        <v>5</v>
      </c>
      <c r="W5" s="7" t="s">
        <v>6</v>
      </c>
      <c r="X5" s="7" t="s">
        <v>27</v>
      </c>
      <c r="Y5" s="46" t="s">
        <v>28</v>
      </c>
      <c r="Z5" s="46" t="s">
        <v>29</v>
      </c>
      <c r="AA5" s="46" t="s">
        <v>30</v>
      </c>
      <c r="AB5" s="46" t="s">
        <v>3</v>
      </c>
      <c r="AC5" s="46" t="s">
        <v>4</v>
      </c>
      <c r="AD5" s="47" t="s">
        <v>11</v>
      </c>
      <c r="AE5" s="48" t="s">
        <v>57</v>
      </c>
      <c r="AF5" s="8" t="s">
        <v>46</v>
      </c>
      <c r="AG5" s="8" t="s">
        <v>47</v>
      </c>
      <c r="AH5" s="8" t="s">
        <v>48</v>
      </c>
      <c r="AI5" s="49" t="s">
        <v>49</v>
      </c>
      <c r="AJ5" s="49" t="s">
        <v>50</v>
      </c>
      <c r="AK5" s="49" t="s">
        <v>51</v>
      </c>
      <c r="AL5" s="49" t="s">
        <v>44</v>
      </c>
      <c r="AM5" s="49" t="s">
        <v>45</v>
      </c>
      <c r="AN5" s="50" t="s">
        <v>52</v>
      </c>
      <c r="AO5" s="19" t="s">
        <v>57</v>
      </c>
      <c r="AP5" s="7" t="s">
        <v>5</v>
      </c>
      <c r="AQ5" s="7" t="s">
        <v>6</v>
      </c>
      <c r="AR5" s="7" t="s">
        <v>27</v>
      </c>
      <c r="AS5" s="46" t="s">
        <v>28</v>
      </c>
      <c r="AT5" s="46" t="s">
        <v>29</v>
      </c>
      <c r="AU5" s="46" t="s">
        <v>30</v>
      </c>
      <c r="AV5" s="46" t="s">
        <v>3</v>
      </c>
      <c r="AW5" s="46" t="s">
        <v>4</v>
      </c>
      <c r="AX5" s="47" t="s">
        <v>11</v>
      </c>
      <c r="AY5" s="48" t="s">
        <v>57</v>
      </c>
      <c r="AZ5" s="8" t="s">
        <v>46</v>
      </c>
      <c r="BA5" s="8" t="s">
        <v>47</v>
      </c>
      <c r="BB5" s="8" t="s">
        <v>48</v>
      </c>
      <c r="BC5" s="49" t="s">
        <v>49</v>
      </c>
      <c r="BD5" s="49" t="s">
        <v>50</v>
      </c>
      <c r="BE5" s="49" t="s">
        <v>51</v>
      </c>
      <c r="BF5" s="49" t="s">
        <v>44</v>
      </c>
      <c r="BG5" s="49" t="s">
        <v>45</v>
      </c>
      <c r="BH5" s="50" t="s">
        <v>52</v>
      </c>
      <c r="BI5" s="19" t="s">
        <v>57</v>
      </c>
      <c r="BJ5" s="7" t="s">
        <v>5</v>
      </c>
      <c r="BK5" s="7" t="s">
        <v>6</v>
      </c>
      <c r="BL5" s="7" t="s">
        <v>27</v>
      </c>
      <c r="BM5" s="46" t="s">
        <v>28</v>
      </c>
      <c r="BN5" s="46" t="s">
        <v>29</v>
      </c>
      <c r="BO5" s="46" t="s">
        <v>30</v>
      </c>
      <c r="BP5" s="46" t="s">
        <v>3</v>
      </c>
      <c r="BQ5" s="46" t="s">
        <v>4</v>
      </c>
      <c r="BR5" s="47" t="s">
        <v>11</v>
      </c>
      <c r="BS5" s="48" t="s">
        <v>57</v>
      </c>
      <c r="BT5" s="8" t="s">
        <v>46</v>
      </c>
      <c r="BU5" s="8" t="s">
        <v>47</v>
      </c>
      <c r="BV5" s="8" t="s">
        <v>48</v>
      </c>
      <c r="BW5" s="49" t="s">
        <v>49</v>
      </c>
      <c r="BX5" s="49" t="s">
        <v>50</v>
      </c>
      <c r="BY5" s="49" t="s">
        <v>51</v>
      </c>
      <c r="BZ5" s="49" t="s">
        <v>44</v>
      </c>
      <c r="CA5" s="49" t="s">
        <v>45</v>
      </c>
      <c r="CB5" s="50" t="s">
        <v>52</v>
      </c>
      <c r="CC5" s="19" t="s">
        <v>57</v>
      </c>
      <c r="CD5" s="7" t="s">
        <v>5</v>
      </c>
      <c r="CE5" s="7" t="s">
        <v>6</v>
      </c>
      <c r="CF5" s="7" t="s">
        <v>27</v>
      </c>
      <c r="CG5" s="46" t="s">
        <v>28</v>
      </c>
      <c r="CH5" s="46" t="s">
        <v>29</v>
      </c>
      <c r="CI5" s="46" t="s">
        <v>30</v>
      </c>
      <c r="CJ5" s="46" t="s">
        <v>3</v>
      </c>
      <c r="CK5" s="46" t="s">
        <v>4</v>
      </c>
      <c r="CL5" s="47" t="s">
        <v>11</v>
      </c>
      <c r="CM5" s="48" t="s">
        <v>57</v>
      </c>
      <c r="CN5" s="8" t="s">
        <v>46</v>
      </c>
      <c r="CO5" s="8" t="s">
        <v>47</v>
      </c>
      <c r="CP5" s="8" t="s">
        <v>48</v>
      </c>
      <c r="CQ5" s="49" t="s">
        <v>49</v>
      </c>
      <c r="CR5" s="49" t="s">
        <v>50</v>
      </c>
      <c r="CS5" s="49" t="s">
        <v>51</v>
      </c>
      <c r="CT5" s="49" t="s">
        <v>44</v>
      </c>
      <c r="CU5" s="49" t="s">
        <v>45</v>
      </c>
      <c r="CV5" s="50" t="s">
        <v>52</v>
      </c>
      <c r="CW5" s="19" t="s">
        <v>57</v>
      </c>
      <c r="CX5" s="7" t="s">
        <v>5</v>
      </c>
      <c r="CY5" s="7" t="s">
        <v>6</v>
      </c>
      <c r="CZ5" s="46" t="s">
        <v>27</v>
      </c>
      <c r="DA5" s="46" t="s">
        <v>28</v>
      </c>
      <c r="DB5" s="46" t="s">
        <v>29</v>
      </c>
      <c r="DC5" s="46" t="s">
        <v>30</v>
      </c>
      <c r="DD5" s="46" t="s">
        <v>3</v>
      </c>
      <c r="DE5" s="46" t="s">
        <v>4</v>
      </c>
      <c r="DF5" s="47" t="s">
        <v>11</v>
      </c>
      <c r="DG5" s="48" t="s">
        <v>57</v>
      </c>
    </row>
    <row r="6" spans="1:111" x14ac:dyDescent="0.3">
      <c r="A6" s="16">
        <v>1</v>
      </c>
      <c r="B6" s="18" cm="1">
        <f t="array" ref="B6">IFERROR(_xlfn._xlws.SORT(_xlfn.TOCOL(_xlfn.UNIQUE(_xlfn._xlws.FILTER(Data_Input!$B$8:$ZZ$8,Data_Input!$B$7:$ZZ$7=$F$3))),1,1),0)</f>
        <v>0</v>
      </c>
      <c r="C6" s="17">
        <f>IF(B6&gt;0,IF($F$3=Data_Input!$I$2,Data_Input!$C$2, IF($F$3=Data_Input!$I$3,Data_Input!$C$3,IF($F$3=Data_Input!$I$4,Data_Input!$C$4,""))),0)</f>
        <v>0</v>
      </c>
      <c r="D6" s="29" cm="1">
        <f t="array" ref="D6">IFERROR(INDEX(Data_Input!$1:$100, 10, MATCH(1, (Data_Input!$F$7:$ZZ$7=$F$3) * (Data_Input!$F$8:$ZZ$8=$B6), 0)),0)</f>
        <v>0</v>
      </c>
      <c r="E6" s="29" cm="1">
        <f t="array" ref="E6">IFERROR(INDEX(Data_Input!$1:$100, 9, MATCH(1, (Data_Input!$7:$7=$F$3) * (Data_Input!$8:$8=$B6), 0)),0)</f>
        <v>0</v>
      </c>
      <c r="F6" s="20" cm="1">
        <f t="array" ref="F6">IFERROR(INDEX(Data_Input!$A$1:$ZZ$502, MATCH("예수금", INDEX(Data_Input!$A$1:$ZZ$502, 0, MATCH(1, (Data_Input!$7:$7=$F$3)*(Data_Input!$8:$8=$B6), 0)), 0) + 1, MATCH(1, (Data_Input!$7:$7=$F$3)*(Data_Input!$8:$8=$B6), 0)),0)</f>
        <v>0</v>
      </c>
      <c r="G6" s="20" cm="1">
        <f t="array" ref="G6">IFERROR(INDEX(Data_Input!$A$1:$ZZ$502, MATCH("총자산", INDEX(Data_Input!$A$1:$ZZ$502, 0, MATCH(1, (Data_Input!$7:$7=$F$3)*(Data_Input!$8:$8=$B6), 0)), 0) + 1, MATCH(1, (Data_Input!$7:$7=$F$3)*(Data_Input!$8:$8=$B6), 0)),0)</f>
        <v>0</v>
      </c>
      <c r="H6" s="20" cm="1">
        <f t="array" ref="H6">IFERROR(INDEX(Data_Input!$A$1:$ZZ$502, MATCH("매입금액", INDEX(Data_Input!$A$1:$ZZ$502, 0, MATCH(1, (Data_Input!$7:$7=$F$3)*(Data_Input!$8:$8=$B6), 0)), 0) + 1, MATCH(1, (Data_Input!$7:$7=$F$3)*(Data_Input!$8:$8=$B6), 0)),0)</f>
        <v>0</v>
      </c>
      <c r="I6" s="20" cm="1">
        <f t="array" ref="I6">IFERROR(INDEX(Data_Input!$A$1:$ZZ$502, MATCH("평가금액", INDEX(Data_Input!$A$1:$ZZ$502, 0, MATCH(1, (Data_Input!$7:$7=$F$3)*(Data_Input!$8:$8=$B6), 0)), 0) + 1, MATCH(1, (Data_Input!$7:$7=$F$3)*(Data_Input!$8:$8=$B6), 0)),0)</f>
        <v>0</v>
      </c>
      <c r="J6" s="20" cm="1">
        <f t="array" ref="J6">IFERROR(INDEX(Data_Input!$A$1:$ZZ$502, MATCH("평가손익", INDEX(Data_Input!$A$1:$ZZ$502, 0, MATCH(1, (Data_Input!$7:$7=$F$3)*(Data_Input!$8:$8=$B6), 0)), 0) + 1, MATCH(1, (Data_Input!$7:$7=$F$3)*(Data_Input!$8:$8=$B6), 0)),0)</f>
        <v>0</v>
      </c>
      <c r="K6" s="14" cm="1">
        <f t="array" ref="K6">IFERROR(INDEX(Data_Input!$A$1:$ZZ$502, MATCH("총수익률", INDEX(Data_Input!$A$1:$ZZ$502, 0, MATCH(1, (Data_Input!$7:$7=$F$3)*(Data_Input!$8:$8=$B6), 0)), 0) + 1, MATCH(1, (Data_Input!$7:$7=$F$3)*(Data_Input!$8:$8=$B6), 0)),0)</f>
        <v>0</v>
      </c>
      <c r="L6" t="str" cm="1">
        <f t="array" ref="L6">IFERROR(_xlfn.LET(
    _xlpm.targetDate, B6,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_xlfn.TOROW(_xlpm.validData)
),"")</f>
        <v/>
      </c>
    </row>
    <row r="7" spans="1:111" x14ac:dyDescent="0.3">
      <c r="A7" s="16" t="str">
        <f t="shared" ref="A7:A70" si="0">IF(B7&gt;0,A6+1,"")</f>
        <v/>
      </c>
      <c r="B7" s="18"/>
      <c r="C7" s="17" t="str">
        <f>IF(B7&gt;0,C6,"")</f>
        <v/>
      </c>
      <c r="D7" s="29" t="str" cm="1">
        <f t="array" ref="D7">IFERROR(INDEX(Data_Input!$1:$100, 10, MATCH(1, (Data_Input!$F$7:$ZZ$7=$F$3) * (Data_Input!$F$8:$ZZ$8=$B7), 0)),"")</f>
        <v/>
      </c>
      <c r="E7" s="29" t="str" cm="1">
        <f t="array" ref="E7">IFERROR(INDEX(Data_Input!$1:$100, 9, MATCH(1, (Data_Input!$7:$7=$F$3) * (Data_Input!$8:$8=$B7), 0)),"")</f>
        <v/>
      </c>
      <c r="F7" s="20" t="str" cm="1">
        <f t="array" ref="F7">IFERROR(INDEX(Data_Input!$A$1:$ZZ$502, MATCH("예수금", INDEX(Data_Input!$A$1:$ZZ$502, 0, MATCH(1, (Data_Input!$7:$7=$F$3)*(Data_Input!$8:$8=$B7), 0)), 0) + 1, MATCH(1, (Data_Input!$7:$7=$F$3)*(Data_Input!$8:$8=$B7), 0)),"")</f>
        <v/>
      </c>
      <c r="G7" s="20" t="str" cm="1">
        <f t="array" ref="G7">IFERROR(INDEX(Data_Input!$A$1:$ZZ$502, MATCH("총자산", INDEX(Data_Input!$A$1:$ZZ$502, 0, MATCH(1, (Data_Input!$7:$7=$F$3)*(Data_Input!$8:$8=$B7), 0)), 0) + 1, MATCH(1, (Data_Input!$7:$7=$F$3)*(Data_Input!$8:$8=$B7), 0)),"")</f>
        <v/>
      </c>
      <c r="H7" s="20" t="str" cm="1">
        <f t="array" ref="H7">IFERROR(INDEX(Data_Input!$A$1:$ZZ$502, MATCH("매입금액", INDEX(Data_Input!$A$1:$ZZ$502, 0, MATCH(1, (Data_Input!$7:$7=$F$3)*(Data_Input!$8:$8=$B7), 0)), 0) + 1, MATCH(1, (Data_Input!$7:$7=$F$3)*(Data_Input!$8:$8=$B7), 0)),"")</f>
        <v/>
      </c>
      <c r="I7" s="20" t="str" cm="1">
        <f t="array" ref="I7">IFERROR(INDEX(Data_Input!$A$1:$ZZ$502, MATCH("평가금액", INDEX(Data_Input!$A$1:$ZZ$502, 0, MATCH(1, (Data_Input!$7:$7=$F$3)*(Data_Input!$8:$8=$B7), 0)), 0) + 1, MATCH(1, (Data_Input!$7:$7=$F$3)*(Data_Input!$8:$8=$B7), 0)),"")</f>
        <v/>
      </c>
      <c r="J7" s="20" t="str" cm="1">
        <f t="array" ref="J7">IFERROR(INDEX(Data_Input!$A$1:$ZZ$502, MATCH("평가손익", INDEX(Data_Input!$A$1:$ZZ$502, 0, MATCH(1, (Data_Input!$7:$7=$F$3)*(Data_Input!$8:$8=$B7), 0)), 0) + 1, MATCH(1, (Data_Input!$7:$7=$F$3)*(Data_Input!$8:$8=$B7), 0)),"")</f>
        <v/>
      </c>
      <c r="K7" s="14" t="str" cm="1">
        <f t="array" ref="K7">IFERROR(INDEX(Data_Input!$A$1:$ZZ$502, MATCH("총수익률", INDEX(Data_Input!$A$1:$ZZ$502, 0, MATCH(1, (Data_Input!$7:$7=$F$3)*(Data_Input!$8:$8=$B7), 0)), 0) + 1, MATCH(1, (Data_Input!$7:$7=$F$3)*(Data_Input!$8:$8=$B7), 0)),"")</f>
        <v/>
      </c>
      <c r="L7" t="str" cm="1">
        <f t="array" ref="L7">IFERROR(_xlfn.LET(
    _xlpm.targetDate, B7,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8" spans="1:111" x14ac:dyDescent="0.3">
      <c r="A8" s="16" t="str">
        <f t="shared" si="0"/>
        <v/>
      </c>
      <c r="B8" s="19"/>
      <c r="C8" s="17" t="str">
        <f t="shared" ref="C8:C9" si="1">IF(B8&gt;0,C7,"")</f>
        <v/>
      </c>
      <c r="D8" s="29" t="str" cm="1">
        <f t="array" ref="D8">IFERROR(INDEX(Data_Input!$1:$100, 10, MATCH(1, (Data_Input!$F$7:$ZZ$7=$F$3) * (Data_Input!$F$8:$ZZ$8=$B8), 0)),"")</f>
        <v/>
      </c>
      <c r="E8" s="29" t="str" cm="1">
        <f t="array" ref="E8">IFERROR(INDEX(Data_Input!$1:$100, 9, MATCH(1, (Data_Input!$7:$7=$F$3) * (Data_Input!$8:$8=$B8), 0)),"")</f>
        <v/>
      </c>
      <c r="F8" s="20" t="str" cm="1">
        <f t="array" ref="F8">IFERROR(INDEX(Data_Input!$A$1:$ZZ$502, MATCH("예수금", INDEX(Data_Input!$A$1:$ZZ$502, 0, MATCH(1, (Data_Input!$7:$7=$F$3)*(Data_Input!$8:$8=$B8), 0)), 0) + 1, MATCH(1, (Data_Input!$7:$7=$F$3)*(Data_Input!$8:$8=$B8), 0)),"")</f>
        <v/>
      </c>
      <c r="G8" s="20" t="str" cm="1">
        <f t="array" ref="G8">IFERROR(INDEX(Data_Input!$A$1:$ZZ$502, MATCH("총자산", INDEX(Data_Input!$A$1:$ZZ$502, 0, MATCH(1, (Data_Input!$7:$7=$F$3)*(Data_Input!$8:$8=$B8), 0)), 0) + 1, MATCH(1, (Data_Input!$7:$7=$F$3)*(Data_Input!$8:$8=$B8), 0)),"")</f>
        <v/>
      </c>
      <c r="H8" s="20" t="str" cm="1">
        <f t="array" ref="H8">IFERROR(INDEX(Data_Input!$A$1:$ZZ$502, MATCH("매입금액", INDEX(Data_Input!$A$1:$ZZ$502, 0, MATCH(1, (Data_Input!$7:$7=$F$3)*(Data_Input!$8:$8=$B8), 0)), 0) + 1, MATCH(1, (Data_Input!$7:$7=$F$3)*(Data_Input!$8:$8=$B8), 0)),"")</f>
        <v/>
      </c>
      <c r="I8" s="20" t="str" cm="1">
        <f t="array" ref="I8">IFERROR(INDEX(Data_Input!$A$1:$ZZ$502, MATCH("평가금액", INDEX(Data_Input!$A$1:$ZZ$502, 0, MATCH(1, (Data_Input!$7:$7=$F$3)*(Data_Input!$8:$8=$B8), 0)), 0) + 1, MATCH(1, (Data_Input!$7:$7=$F$3)*(Data_Input!$8:$8=$B8), 0)),"")</f>
        <v/>
      </c>
      <c r="J8" s="20" t="str" cm="1">
        <f t="array" ref="J8">IFERROR(INDEX(Data_Input!$A$1:$ZZ$502, MATCH("평가손익", INDEX(Data_Input!$A$1:$ZZ$502, 0, MATCH(1, (Data_Input!$7:$7=$F$3)*(Data_Input!$8:$8=$B8), 0)), 0) + 1, MATCH(1, (Data_Input!$7:$7=$F$3)*(Data_Input!$8:$8=$B8), 0)),"")</f>
        <v/>
      </c>
      <c r="K8" s="14" t="str" cm="1">
        <f t="array" ref="K8">IFERROR(INDEX(Data_Input!$A$1:$ZZ$502, MATCH("총수익률", INDEX(Data_Input!$A$1:$ZZ$502, 0, MATCH(1, (Data_Input!$7:$7=$F$3)*(Data_Input!$8:$8=$B8), 0)), 0) + 1, MATCH(1, (Data_Input!$7:$7=$F$3)*(Data_Input!$8:$8=$B8), 0)),"")</f>
        <v/>
      </c>
      <c r="L8" t="str" cm="1">
        <f t="array" ref="L8">IFERROR(_xlfn.LET(
    _xlpm.targetDate, B8,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9" spans="1:111" x14ac:dyDescent="0.3">
      <c r="A9" s="16" t="str">
        <f t="shared" si="0"/>
        <v/>
      </c>
      <c r="B9" s="18"/>
      <c r="C9" s="17" t="str">
        <f t="shared" si="1"/>
        <v/>
      </c>
      <c r="D9" s="29" t="str" cm="1">
        <f t="array" ref="D9">IFERROR(INDEX(Data_Input!$1:$100, 10, MATCH(1, (Data_Input!$F$7:$ZZ$7=$F$3) * (Data_Input!$F$8:$ZZ$8=$B9), 0)),"")</f>
        <v/>
      </c>
      <c r="E9" s="29" t="str" cm="1">
        <f t="array" ref="E9">IFERROR(INDEX(Data_Input!$1:$100, 9, MATCH(1, (Data_Input!$7:$7=$F$3) * (Data_Input!$8:$8=$B9), 0)),"")</f>
        <v/>
      </c>
      <c r="F9" s="20" t="str" cm="1">
        <f t="array" ref="F9">IFERROR(INDEX(Data_Input!$A$1:$ZZ$502, MATCH("예수금", INDEX(Data_Input!$A$1:$ZZ$502, 0, MATCH(1, (Data_Input!$7:$7=$F$3)*(Data_Input!$8:$8=$B9), 0)), 0) + 1, MATCH(1, (Data_Input!$7:$7=$F$3)*(Data_Input!$8:$8=$B9), 0)),"")</f>
        <v/>
      </c>
      <c r="G9" s="20" t="str" cm="1">
        <f t="array" ref="G9">IFERROR(INDEX(Data_Input!$A$1:$ZZ$502, MATCH("총자산", INDEX(Data_Input!$A$1:$ZZ$502, 0, MATCH(1, (Data_Input!$7:$7=$F$3)*(Data_Input!$8:$8=$B9), 0)), 0) + 1, MATCH(1, (Data_Input!$7:$7=$F$3)*(Data_Input!$8:$8=$B9), 0)),"")</f>
        <v/>
      </c>
      <c r="H9" s="20" t="str" cm="1">
        <f t="array" ref="H9">IFERROR(INDEX(Data_Input!$A$1:$ZZ$502, MATCH("매입금액", INDEX(Data_Input!$A$1:$ZZ$502, 0, MATCH(1, (Data_Input!$7:$7=$F$3)*(Data_Input!$8:$8=$B9), 0)), 0) + 1, MATCH(1, (Data_Input!$7:$7=$F$3)*(Data_Input!$8:$8=$B9), 0)),"")</f>
        <v/>
      </c>
      <c r="I9" s="20" t="str" cm="1">
        <f t="array" ref="I9">IFERROR(INDEX(Data_Input!$A$1:$ZZ$502, MATCH("평가금액", INDEX(Data_Input!$A$1:$ZZ$502, 0, MATCH(1, (Data_Input!$7:$7=$F$3)*(Data_Input!$8:$8=$B9), 0)), 0) + 1, MATCH(1, (Data_Input!$7:$7=$F$3)*(Data_Input!$8:$8=$B9), 0)),"")</f>
        <v/>
      </c>
      <c r="J9" s="20" t="str" cm="1">
        <f t="array" ref="J9">IFERROR(INDEX(Data_Input!$A$1:$ZZ$502, MATCH("평가손익", INDEX(Data_Input!$A$1:$ZZ$502, 0, MATCH(1, (Data_Input!$7:$7=$F$3)*(Data_Input!$8:$8=$B9), 0)), 0) + 1, MATCH(1, (Data_Input!$7:$7=$F$3)*(Data_Input!$8:$8=$B9), 0)),"")</f>
        <v/>
      </c>
      <c r="K9" s="14" t="str" cm="1">
        <f t="array" ref="K9">IFERROR(INDEX(Data_Input!$A$1:$ZZ$502, MATCH("총수익률", INDEX(Data_Input!$A$1:$ZZ$502, 0, MATCH(1, (Data_Input!$7:$7=$F$3)*(Data_Input!$8:$8=$B9), 0)), 0) + 1, MATCH(1, (Data_Input!$7:$7=$F$3)*(Data_Input!$8:$8=$B9), 0)),"")</f>
        <v/>
      </c>
      <c r="L9" t="str" cm="1">
        <f t="array" ref="L9">IFERROR(_xlfn.LET(
    _xlpm.targetDate, B9,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0" spans="1:111" x14ac:dyDescent="0.3">
      <c r="A10" s="16" t="str">
        <f t="shared" si="0"/>
        <v/>
      </c>
      <c r="B10" s="8"/>
      <c r="C10" s="17" t="str">
        <f t="shared" ref="C10:C73" si="2">IF(B10&gt;0,C9,"")</f>
        <v/>
      </c>
      <c r="D10" s="29" t="str" cm="1">
        <f t="array" ref="D10">IFERROR(INDEX(Data_Input!$1:$100, 10, MATCH(1, (Data_Input!$F$7:$ZZ$7=$F$3) * (Data_Input!$F$8:$ZZ$8=$B10), 0)),"")</f>
        <v/>
      </c>
      <c r="E10" s="29" t="str" cm="1">
        <f t="array" ref="E10">IFERROR(INDEX(Data_Input!$1:$100, 9, MATCH(1, (Data_Input!$7:$7=$F$3) * (Data_Input!$8:$8=$B10), 0)),"")</f>
        <v/>
      </c>
      <c r="F10" s="20" t="str" cm="1">
        <f t="array" ref="F10">IFERROR(INDEX(Data_Input!$A$1:$ZZ$502, MATCH("예수금", INDEX(Data_Input!$A$1:$ZZ$502, 0, MATCH(1, (Data_Input!$7:$7=$F$3)*(Data_Input!$8:$8=$B10), 0)), 0) + 1, MATCH(1, (Data_Input!$7:$7=$F$3)*(Data_Input!$8:$8=$B10), 0)),"")</f>
        <v/>
      </c>
      <c r="G10" s="20" t="str" cm="1">
        <f t="array" ref="G10">IFERROR(INDEX(Data_Input!$A$1:$ZZ$502, MATCH("총자산", INDEX(Data_Input!$A$1:$ZZ$502, 0, MATCH(1, (Data_Input!$7:$7=$F$3)*(Data_Input!$8:$8=$B10), 0)), 0) + 1, MATCH(1, (Data_Input!$7:$7=$F$3)*(Data_Input!$8:$8=$B10), 0)),"")</f>
        <v/>
      </c>
      <c r="H10" s="20" t="str" cm="1">
        <f t="array" ref="H10">IFERROR(INDEX(Data_Input!$A$1:$ZZ$502, MATCH("매입금액", INDEX(Data_Input!$A$1:$ZZ$502, 0, MATCH(1, (Data_Input!$7:$7=$F$3)*(Data_Input!$8:$8=$B10), 0)), 0) + 1, MATCH(1, (Data_Input!$7:$7=$F$3)*(Data_Input!$8:$8=$B10), 0)),"")</f>
        <v/>
      </c>
      <c r="I10" s="20" t="str" cm="1">
        <f t="array" ref="I10">IFERROR(INDEX(Data_Input!$A$1:$ZZ$502, MATCH("평가금액", INDEX(Data_Input!$A$1:$ZZ$502, 0, MATCH(1, (Data_Input!$7:$7=$F$3)*(Data_Input!$8:$8=$B10), 0)), 0) + 1, MATCH(1, (Data_Input!$7:$7=$F$3)*(Data_Input!$8:$8=$B10), 0)),"")</f>
        <v/>
      </c>
      <c r="J10" s="20" t="str" cm="1">
        <f t="array" ref="J10">IFERROR(INDEX(Data_Input!$A$1:$ZZ$502, MATCH("평가손익", INDEX(Data_Input!$A$1:$ZZ$502, 0, MATCH(1, (Data_Input!$7:$7=$F$3)*(Data_Input!$8:$8=$B10), 0)), 0) + 1, MATCH(1, (Data_Input!$7:$7=$F$3)*(Data_Input!$8:$8=$B10), 0)),"")</f>
        <v/>
      </c>
      <c r="K10" s="14" t="str" cm="1">
        <f t="array" ref="K10">IFERROR(INDEX(Data_Input!$A$1:$ZZ$502, MATCH("총수익률", INDEX(Data_Input!$A$1:$ZZ$502, 0, MATCH(1, (Data_Input!$7:$7=$F$3)*(Data_Input!$8:$8=$B10), 0)), 0) + 1, MATCH(1, (Data_Input!$7:$7=$F$3)*(Data_Input!$8:$8=$B10), 0)),"")</f>
        <v/>
      </c>
      <c r="L10" t="str" cm="1">
        <f t="array" ref="L10">IFERROR(_xlfn.LET(
    _xlpm.targetDate, B10,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1" spans="1:111" x14ac:dyDescent="0.3">
      <c r="A11" s="16" t="str">
        <f t="shared" si="0"/>
        <v/>
      </c>
      <c r="B11" s="8"/>
      <c r="C11" s="17" t="str">
        <f t="shared" si="2"/>
        <v/>
      </c>
      <c r="D11" s="29" t="str" cm="1">
        <f t="array" ref="D11">IFERROR(INDEX(Data_Input!$1:$100, 10, MATCH(1, (Data_Input!$F$7:$ZZ$7=$F$3) * (Data_Input!$F$8:$ZZ$8=$B11), 0)),"")</f>
        <v/>
      </c>
      <c r="E11" s="29" t="str" cm="1">
        <f t="array" ref="E11">IFERROR(INDEX(Data_Input!$1:$100, 9, MATCH(1, (Data_Input!$7:$7=$F$3) * (Data_Input!$8:$8=$B11), 0)),"")</f>
        <v/>
      </c>
      <c r="F11" s="20" t="str" cm="1">
        <f t="array" ref="F11">IFERROR(INDEX(Data_Input!$A$1:$ZZ$502, MATCH("예수금", INDEX(Data_Input!$A$1:$ZZ$502, 0, MATCH(1, (Data_Input!$7:$7=$F$3)*(Data_Input!$8:$8=$B11), 0)), 0) + 1, MATCH(1, (Data_Input!$7:$7=$F$3)*(Data_Input!$8:$8=$B11), 0)),"")</f>
        <v/>
      </c>
      <c r="G11" s="20" t="str" cm="1">
        <f t="array" ref="G11">IFERROR(INDEX(Data_Input!$A$1:$ZZ$502, MATCH("총자산", INDEX(Data_Input!$A$1:$ZZ$502, 0, MATCH(1, (Data_Input!$7:$7=$F$3)*(Data_Input!$8:$8=$B11), 0)), 0) + 1, MATCH(1, (Data_Input!$7:$7=$F$3)*(Data_Input!$8:$8=$B11), 0)),"")</f>
        <v/>
      </c>
      <c r="H11" s="20" t="str" cm="1">
        <f t="array" ref="H11">IFERROR(INDEX(Data_Input!$A$1:$ZZ$502, MATCH("매입금액", INDEX(Data_Input!$A$1:$ZZ$502, 0, MATCH(1, (Data_Input!$7:$7=$F$3)*(Data_Input!$8:$8=$B11), 0)), 0) + 1, MATCH(1, (Data_Input!$7:$7=$F$3)*(Data_Input!$8:$8=$B11), 0)),"")</f>
        <v/>
      </c>
      <c r="I11" s="20" t="str" cm="1">
        <f t="array" ref="I11">IFERROR(INDEX(Data_Input!$A$1:$ZZ$502, MATCH("평가금액", INDEX(Data_Input!$A$1:$ZZ$502, 0, MATCH(1, (Data_Input!$7:$7=$F$3)*(Data_Input!$8:$8=$B11), 0)), 0) + 1, MATCH(1, (Data_Input!$7:$7=$F$3)*(Data_Input!$8:$8=$B11), 0)),"")</f>
        <v/>
      </c>
      <c r="J11" s="20" t="str" cm="1">
        <f t="array" ref="J11">IFERROR(INDEX(Data_Input!$A$1:$ZZ$502, MATCH("평가손익", INDEX(Data_Input!$A$1:$ZZ$502, 0, MATCH(1, (Data_Input!$7:$7=$F$3)*(Data_Input!$8:$8=$B11), 0)), 0) + 1, MATCH(1, (Data_Input!$7:$7=$F$3)*(Data_Input!$8:$8=$B11), 0)),"")</f>
        <v/>
      </c>
      <c r="K11" s="14" t="str" cm="1">
        <f t="array" ref="K11">IFERROR(INDEX(Data_Input!$A$1:$ZZ$502, MATCH("총수익률", INDEX(Data_Input!$A$1:$ZZ$502, 0, MATCH(1, (Data_Input!$7:$7=$F$3)*(Data_Input!$8:$8=$B11), 0)), 0) + 1, MATCH(1, (Data_Input!$7:$7=$F$3)*(Data_Input!$8:$8=$B11), 0)),"")</f>
        <v/>
      </c>
      <c r="L11" t="str" cm="1">
        <f t="array" ref="L11">IFERROR(_xlfn.LET(
    _xlpm.targetDate, B11,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2" spans="1:111" x14ac:dyDescent="0.3">
      <c r="A12" s="16" t="str">
        <f t="shared" si="0"/>
        <v/>
      </c>
      <c r="B12" s="8"/>
      <c r="C12" s="17" t="str">
        <f t="shared" si="2"/>
        <v/>
      </c>
      <c r="D12" s="29" t="str" cm="1">
        <f t="array" ref="D12">IFERROR(INDEX(Data_Input!$1:$100, 10, MATCH(1, (Data_Input!$F$7:$ZZ$7=$F$3) * (Data_Input!$F$8:$ZZ$8=$B12), 0)),"")</f>
        <v/>
      </c>
      <c r="E12" s="29" t="str" cm="1">
        <f t="array" ref="E12">IFERROR(INDEX(Data_Input!$1:$100, 9, MATCH(1, (Data_Input!$7:$7=$F$3) * (Data_Input!$8:$8=$B12), 0)),"")</f>
        <v/>
      </c>
      <c r="F12" s="20" t="str" cm="1">
        <f t="array" ref="F12">IFERROR(INDEX(Data_Input!$A$1:$ZZ$502, MATCH("예수금", INDEX(Data_Input!$A$1:$ZZ$502, 0, MATCH(1, (Data_Input!$7:$7=$F$3)*(Data_Input!$8:$8=$B12), 0)), 0) + 1, MATCH(1, (Data_Input!$7:$7=$F$3)*(Data_Input!$8:$8=$B12), 0)),"")</f>
        <v/>
      </c>
      <c r="G12" s="20" t="str" cm="1">
        <f t="array" ref="G12">IFERROR(INDEX(Data_Input!$A$1:$ZZ$502, MATCH("총자산", INDEX(Data_Input!$A$1:$ZZ$502, 0, MATCH(1, (Data_Input!$7:$7=$F$3)*(Data_Input!$8:$8=$B12), 0)), 0) + 1, MATCH(1, (Data_Input!$7:$7=$F$3)*(Data_Input!$8:$8=$B12), 0)),"")</f>
        <v/>
      </c>
      <c r="H12" s="20" t="str" cm="1">
        <f t="array" ref="H12">IFERROR(INDEX(Data_Input!$A$1:$ZZ$502, MATCH("매입금액", INDEX(Data_Input!$A$1:$ZZ$502, 0, MATCH(1, (Data_Input!$7:$7=$F$3)*(Data_Input!$8:$8=$B12), 0)), 0) + 1, MATCH(1, (Data_Input!$7:$7=$F$3)*(Data_Input!$8:$8=$B12), 0)),"")</f>
        <v/>
      </c>
      <c r="I12" s="20" t="str" cm="1">
        <f t="array" ref="I12">IFERROR(INDEX(Data_Input!$A$1:$ZZ$502, MATCH("평가금액", INDEX(Data_Input!$A$1:$ZZ$502, 0, MATCH(1, (Data_Input!$7:$7=$F$3)*(Data_Input!$8:$8=$B12), 0)), 0) + 1, MATCH(1, (Data_Input!$7:$7=$F$3)*(Data_Input!$8:$8=$B12), 0)),"")</f>
        <v/>
      </c>
      <c r="J12" s="20" t="str" cm="1">
        <f t="array" ref="J12">IFERROR(INDEX(Data_Input!$A$1:$ZZ$502, MATCH("평가손익", INDEX(Data_Input!$A$1:$ZZ$502, 0, MATCH(1, (Data_Input!$7:$7=$F$3)*(Data_Input!$8:$8=$B12), 0)), 0) + 1, MATCH(1, (Data_Input!$7:$7=$F$3)*(Data_Input!$8:$8=$B12), 0)),"")</f>
        <v/>
      </c>
      <c r="K12" s="14" t="str" cm="1">
        <f t="array" ref="K12">IFERROR(INDEX(Data_Input!$A$1:$ZZ$502, MATCH("총수익률", INDEX(Data_Input!$A$1:$ZZ$502, 0, MATCH(1, (Data_Input!$7:$7=$F$3)*(Data_Input!$8:$8=$B12), 0)), 0) + 1, MATCH(1, (Data_Input!$7:$7=$F$3)*(Data_Input!$8:$8=$B12), 0)),"")</f>
        <v/>
      </c>
      <c r="L12" t="str" cm="1">
        <f t="array" ref="L12">IFERROR(_xlfn.LET(
    _xlpm.targetDate, B12,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3" spans="1:111" x14ac:dyDescent="0.3">
      <c r="A13" s="16" t="str">
        <f t="shared" si="0"/>
        <v/>
      </c>
      <c r="B13" s="8"/>
      <c r="C13" s="17" t="str">
        <f t="shared" si="2"/>
        <v/>
      </c>
      <c r="D13" s="29" t="str" cm="1">
        <f t="array" ref="D13">IFERROR(INDEX(Data_Input!$1:$100, 10, MATCH(1, (Data_Input!$F$7:$ZZ$7=$F$3) * (Data_Input!$F$8:$ZZ$8=$B13), 0)),"")</f>
        <v/>
      </c>
      <c r="E13" s="29" t="str" cm="1">
        <f t="array" ref="E13">IFERROR(INDEX(Data_Input!$1:$100, 9, MATCH(1, (Data_Input!$7:$7=$F$3) * (Data_Input!$8:$8=$B13), 0)),"")</f>
        <v/>
      </c>
      <c r="F13" s="20" t="str" cm="1">
        <f t="array" ref="F13">IFERROR(INDEX(Data_Input!$A$1:$ZZ$502, MATCH("예수금", INDEX(Data_Input!$A$1:$ZZ$502, 0, MATCH(1, (Data_Input!$7:$7=$F$3)*(Data_Input!$8:$8=$B13), 0)), 0) + 1, MATCH(1, (Data_Input!$7:$7=$F$3)*(Data_Input!$8:$8=$B13), 0)),"")</f>
        <v/>
      </c>
      <c r="G13" s="20" t="str" cm="1">
        <f t="array" ref="G13">IFERROR(INDEX(Data_Input!$A$1:$ZZ$502, MATCH("총자산", INDEX(Data_Input!$A$1:$ZZ$502, 0, MATCH(1, (Data_Input!$7:$7=$F$3)*(Data_Input!$8:$8=$B13), 0)), 0) + 1, MATCH(1, (Data_Input!$7:$7=$F$3)*(Data_Input!$8:$8=$B13), 0)),"")</f>
        <v/>
      </c>
      <c r="H13" s="20" t="str" cm="1">
        <f t="array" ref="H13">IFERROR(INDEX(Data_Input!$A$1:$ZZ$502, MATCH("매입금액", INDEX(Data_Input!$A$1:$ZZ$502, 0, MATCH(1, (Data_Input!$7:$7=$F$3)*(Data_Input!$8:$8=$B13), 0)), 0) + 1, MATCH(1, (Data_Input!$7:$7=$F$3)*(Data_Input!$8:$8=$B13), 0)),"")</f>
        <v/>
      </c>
      <c r="I13" s="20" t="str" cm="1">
        <f t="array" ref="I13">IFERROR(INDEX(Data_Input!$A$1:$ZZ$502, MATCH("평가금액", INDEX(Data_Input!$A$1:$ZZ$502, 0, MATCH(1, (Data_Input!$7:$7=$F$3)*(Data_Input!$8:$8=$B13), 0)), 0) + 1, MATCH(1, (Data_Input!$7:$7=$F$3)*(Data_Input!$8:$8=$B13), 0)),"")</f>
        <v/>
      </c>
      <c r="J13" s="20" t="str" cm="1">
        <f t="array" ref="J13">IFERROR(INDEX(Data_Input!$A$1:$ZZ$502, MATCH("평가손익", INDEX(Data_Input!$A$1:$ZZ$502, 0, MATCH(1, (Data_Input!$7:$7=$F$3)*(Data_Input!$8:$8=$B13), 0)), 0) + 1, MATCH(1, (Data_Input!$7:$7=$F$3)*(Data_Input!$8:$8=$B13), 0)),"")</f>
        <v/>
      </c>
      <c r="K13" s="14" t="str" cm="1">
        <f t="array" ref="K13">IFERROR(INDEX(Data_Input!$A$1:$ZZ$502, MATCH("총수익률", INDEX(Data_Input!$A$1:$ZZ$502, 0, MATCH(1, (Data_Input!$7:$7=$F$3)*(Data_Input!$8:$8=$B13), 0)), 0) + 1, MATCH(1, (Data_Input!$7:$7=$F$3)*(Data_Input!$8:$8=$B13), 0)),"")</f>
        <v/>
      </c>
      <c r="L13" t="str" cm="1">
        <f t="array" ref="L13">IFERROR(_xlfn.LET(
    _xlpm.targetDate, B13,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4" spans="1:111" x14ac:dyDescent="0.3">
      <c r="A14" s="16" t="str">
        <f t="shared" si="0"/>
        <v/>
      </c>
      <c r="B14" s="8"/>
      <c r="C14" s="17" t="str">
        <f t="shared" si="2"/>
        <v/>
      </c>
      <c r="D14" s="29" t="str" cm="1">
        <f t="array" ref="D14">IFERROR(INDEX(Data_Input!$1:$100, 10, MATCH(1, (Data_Input!$F$7:$ZZ$7=$F$3) * (Data_Input!$F$8:$ZZ$8=$B14), 0)),"")</f>
        <v/>
      </c>
      <c r="E14" s="29" t="str" cm="1">
        <f t="array" ref="E14">IFERROR(INDEX(Data_Input!$1:$100, 9, MATCH(1, (Data_Input!$7:$7=$F$3) * (Data_Input!$8:$8=$B14), 0)),"")</f>
        <v/>
      </c>
      <c r="F14" s="20" t="str" cm="1">
        <f t="array" ref="F14">IFERROR(INDEX(Data_Input!$A$1:$ZZ$502, MATCH("예수금", INDEX(Data_Input!$A$1:$ZZ$502, 0, MATCH(1, (Data_Input!$7:$7=$F$3)*(Data_Input!$8:$8=$B14), 0)), 0) + 1, MATCH(1, (Data_Input!$7:$7=$F$3)*(Data_Input!$8:$8=$B14), 0)),"")</f>
        <v/>
      </c>
      <c r="G14" s="20" t="str" cm="1">
        <f t="array" ref="G14">IFERROR(INDEX(Data_Input!$A$1:$ZZ$502, MATCH("총자산", INDEX(Data_Input!$A$1:$ZZ$502, 0, MATCH(1, (Data_Input!$7:$7=$F$3)*(Data_Input!$8:$8=$B14), 0)), 0) + 1, MATCH(1, (Data_Input!$7:$7=$F$3)*(Data_Input!$8:$8=$B14), 0)),"")</f>
        <v/>
      </c>
      <c r="H14" s="20" t="str" cm="1">
        <f t="array" ref="H14">IFERROR(INDEX(Data_Input!$A$1:$ZZ$502, MATCH("매입금액", INDEX(Data_Input!$A$1:$ZZ$502, 0, MATCH(1, (Data_Input!$7:$7=$F$3)*(Data_Input!$8:$8=$B14), 0)), 0) + 1, MATCH(1, (Data_Input!$7:$7=$F$3)*(Data_Input!$8:$8=$B14), 0)),"")</f>
        <v/>
      </c>
      <c r="I14" s="20" t="str" cm="1">
        <f t="array" ref="I14">IFERROR(INDEX(Data_Input!$A$1:$ZZ$502, MATCH("평가금액", INDEX(Data_Input!$A$1:$ZZ$502, 0, MATCH(1, (Data_Input!$7:$7=$F$3)*(Data_Input!$8:$8=$B14), 0)), 0) + 1, MATCH(1, (Data_Input!$7:$7=$F$3)*(Data_Input!$8:$8=$B14), 0)),"")</f>
        <v/>
      </c>
      <c r="J14" s="20" t="str" cm="1">
        <f t="array" ref="J14">IFERROR(INDEX(Data_Input!$A$1:$ZZ$502, MATCH("평가손익", INDEX(Data_Input!$A$1:$ZZ$502, 0, MATCH(1, (Data_Input!$7:$7=$F$3)*(Data_Input!$8:$8=$B14), 0)), 0) + 1, MATCH(1, (Data_Input!$7:$7=$F$3)*(Data_Input!$8:$8=$B14), 0)),"")</f>
        <v/>
      </c>
      <c r="K14" s="14" t="str" cm="1">
        <f t="array" ref="K14">IFERROR(INDEX(Data_Input!$A$1:$ZZ$502, MATCH("총수익률", INDEX(Data_Input!$A$1:$ZZ$502, 0, MATCH(1, (Data_Input!$7:$7=$F$3)*(Data_Input!$8:$8=$B14), 0)), 0) + 1, MATCH(1, (Data_Input!$7:$7=$F$3)*(Data_Input!$8:$8=$B14), 0)),"")</f>
        <v/>
      </c>
      <c r="L14" t="str" cm="1">
        <f t="array" ref="L14">IFERROR(_xlfn.LET(
    _xlpm.targetDate, B14,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5" spans="1:111" x14ac:dyDescent="0.3">
      <c r="A15" s="16" t="str">
        <f t="shared" si="0"/>
        <v/>
      </c>
      <c r="B15" s="8"/>
      <c r="C15" s="17" t="str">
        <f t="shared" si="2"/>
        <v/>
      </c>
      <c r="D15" s="29" t="str" cm="1">
        <f t="array" ref="D15">IFERROR(INDEX(Data_Input!$1:$100, 10, MATCH(1, (Data_Input!$F$7:$ZZ$7=$F$3) * (Data_Input!$F$8:$ZZ$8=$B15), 0)),"")</f>
        <v/>
      </c>
      <c r="E15" s="29" t="str" cm="1">
        <f t="array" ref="E15">IFERROR(INDEX(Data_Input!$1:$100, 9, MATCH(1, (Data_Input!$7:$7=$F$3) * (Data_Input!$8:$8=$B15), 0)),"")</f>
        <v/>
      </c>
      <c r="F15" s="20" t="str" cm="1">
        <f t="array" ref="F15">IFERROR(INDEX(Data_Input!$A$1:$ZZ$502, MATCH("예수금", INDEX(Data_Input!$A$1:$ZZ$502, 0, MATCH(1, (Data_Input!$7:$7=$F$3)*(Data_Input!$8:$8=$B15), 0)), 0) + 1, MATCH(1, (Data_Input!$7:$7=$F$3)*(Data_Input!$8:$8=$B15), 0)),"")</f>
        <v/>
      </c>
      <c r="G15" s="20" t="str" cm="1">
        <f t="array" ref="G15">IFERROR(INDEX(Data_Input!$A$1:$ZZ$502, MATCH("총자산", INDEX(Data_Input!$A$1:$ZZ$502, 0, MATCH(1, (Data_Input!$7:$7=$F$3)*(Data_Input!$8:$8=$B15), 0)), 0) + 1, MATCH(1, (Data_Input!$7:$7=$F$3)*(Data_Input!$8:$8=$B15), 0)),"")</f>
        <v/>
      </c>
      <c r="H15" s="20" t="str" cm="1">
        <f t="array" ref="H15">IFERROR(INDEX(Data_Input!$A$1:$ZZ$502, MATCH("매입금액", INDEX(Data_Input!$A$1:$ZZ$502, 0, MATCH(1, (Data_Input!$7:$7=$F$3)*(Data_Input!$8:$8=$B15), 0)), 0) + 1, MATCH(1, (Data_Input!$7:$7=$F$3)*(Data_Input!$8:$8=$B15), 0)),"")</f>
        <v/>
      </c>
      <c r="I15" s="20" t="str" cm="1">
        <f t="array" ref="I15">IFERROR(INDEX(Data_Input!$A$1:$ZZ$502, MATCH("평가금액", INDEX(Data_Input!$A$1:$ZZ$502, 0, MATCH(1, (Data_Input!$7:$7=$F$3)*(Data_Input!$8:$8=$B15), 0)), 0) + 1, MATCH(1, (Data_Input!$7:$7=$F$3)*(Data_Input!$8:$8=$B15), 0)),"")</f>
        <v/>
      </c>
      <c r="J15" s="20" t="str" cm="1">
        <f t="array" ref="J15">IFERROR(INDEX(Data_Input!$A$1:$ZZ$502, MATCH("평가손익", INDEX(Data_Input!$A$1:$ZZ$502, 0, MATCH(1, (Data_Input!$7:$7=$F$3)*(Data_Input!$8:$8=$B15), 0)), 0) + 1, MATCH(1, (Data_Input!$7:$7=$F$3)*(Data_Input!$8:$8=$B15), 0)),"")</f>
        <v/>
      </c>
      <c r="K15" s="14" t="str" cm="1">
        <f t="array" ref="K15">IFERROR(INDEX(Data_Input!$A$1:$ZZ$502, MATCH("총수익률", INDEX(Data_Input!$A$1:$ZZ$502, 0, MATCH(1, (Data_Input!$7:$7=$F$3)*(Data_Input!$8:$8=$B15), 0)), 0) + 1, MATCH(1, (Data_Input!$7:$7=$F$3)*(Data_Input!$8:$8=$B15), 0)),"")</f>
        <v/>
      </c>
      <c r="L15" t="str" cm="1">
        <f t="array" ref="L15">IFERROR(_xlfn.LET(
    _xlpm.targetDate, B15,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6" spans="1:111" x14ac:dyDescent="0.3">
      <c r="A16" s="16" t="str">
        <f t="shared" si="0"/>
        <v/>
      </c>
      <c r="B16" s="8"/>
      <c r="C16" s="17" t="str">
        <f t="shared" si="2"/>
        <v/>
      </c>
      <c r="D16" s="29" t="str" cm="1">
        <f t="array" ref="D16">IFERROR(INDEX(Data_Input!$1:$100, 10, MATCH(1, (Data_Input!$F$7:$ZZ$7=$F$3) * (Data_Input!$F$8:$ZZ$8=$B16), 0)),"")</f>
        <v/>
      </c>
      <c r="E16" s="29" t="str" cm="1">
        <f t="array" ref="E16">IFERROR(INDEX(Data_Input!$1:$100, 9, MATCH(1, (Data_Input!$7:$7=$F$3) * (Data_Input!$8:$8=$B16), 0)),"")</f>
        <v/>
      </c>
      <c r="F16" s="20" t="str" cm="1">
        <f t="array" ref="F16">IFERROR(INDEX(Data_Input!$A$1:$ZZ$502, MATCH("예수금", INDEX(Data_Input!$A$1:$ZZ$502, 0, MATCH(1, (Data_Input!$7:$7=$F$3)*(Data_Input!$8:$8=$B16), 0)), 0) + 1, MATCH(1, (Data_Input!$7:$7=$F$3)*(Data_Input!$8:$8=$B16), 0)),"")</f>
        <v/>
      </c>
      <c r="G16" s="20" t="str" cm="1">
        <f t="array" ref="G16">IFERROR(INDEX(Data_Input!$A$1:$ZZ$502, MATCH("총자산", INDEX(Data_Input!$A$1:$ZZ$502, 0, MATCH(1, (Data_Input!$7:$7=$F$3)*(Data_Input!$8:$8=$B16), 0)), 0) + 1, MATCH(1, (Data_Input!$7:$7=$F$3)*(Data_Input!$8:$8=$B16), 0)),"")</f>
        <v/>
      </c>
      <c r="H16" s="20" t="str" cm="1">
        <f t="array" ref="H16">IFERROR(INDEX(Data_Input!$A$1:$ZZ$502, MATCH("매입금액", INDEX(Data_Input!$A$1:$ZZ$502, 0, MATCH(1, (Data_Input!$7:$7=$F$3)*(Data_Input!$8:$8=$B16), 0)), 0) + 1, MATCH(1, (Data_Input!$7:$7=$F$3)*(Data_Input!$8:$8=$B16), 0)),"")</f>
        <v/>
      </c>
      <c r="I16" s="20" t="str" cm="1">
        <f t="array" ref="I16">IFERROR(INDEX(Data_Input!$A$1:$ZZ$502, MATCH("평가금액", INDEX(Data_Input!$A$1:$ZZ$502, 0, MATCH(1, (Data_Input!$7:$7=$F$3)*(Data_Input!$8:$8=$B16), 0)), 0) + 1, MATCH(1, (Data_Input!$7:$7=$F$3)*(Data_Input!$8:$8=$B16), 0)),"")</f>
        <v/>
      </c>
      <c r="J16" s="20" t="str" cm="1">
        <f t="array" ref="J16">IFERROR(INDEX(Data_Input!$A$1:$ZZ$502, MATCH("평가손익", INDEX(Data_Input!$A$1:$ZZ$502, 0, MATCH(1, (Data_Input!$7:$7=$F$3)*(Data_Input!$8:$8=$B16), 0)), 0) + 1, MATCH(1, (Data_Input!$7:$7=$F$3)*(Data_Input!$8:$8=$B16), 0)),"")</f>
        <v/>
      </c>
      <c r="K16" s="14" t="str" cm="1">
        <f t="array" ref="K16">IFERROR(INDEX(Data_Input!$A$1:$ZZ$502, MATCH("총수익률", INDEX(Data_Input!$A$1:$ZZ$502, 0, MATCH(1, (Data_Input!$7:$7=$F$3)*(Data_Input!$8:$8=$B16), 0)), 0) + 1, MATCH(1, (Data_Input!$7:$7=$F$3)*(Data_Input!$8:$8=$B16), 0)),"")</f>
        <v/>
      </c>
      <c r="L16" t="str" cm="1">
        <f t="array" ref="L16">IFERROR(_xlfn.LET(
    _xlpm.targetDate, B16,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7" spans="1:12" x14ac:dyDescent="0.3">
      <c r="A17" s="16" t="str">
        <f t="shared" si="0"/>
        <v/>
      </c>
      <c r="B17" s="8"/>
      <c r="C17" s="17" t="str">
        <f t="shared" si="2"/>
        <v/>
      </c>
      <c r="D17" s="29" t="str" cm="1">
        <f t="array" ref="D17">IFERROR(INDEX(Data_Input!$1:$100, 10, MATCH(1, (Data_Input!$F$7:$ZZ$7=$F$3) * (Data_Input!$F$8:$ZZ$8=$B17), 0)),"")</f>
        <v/>
      </c>
      <c r="E17" s="29" t="str" cm="1">
        <f t="array" ref="E17">IFERROR(INDEX(Data_Input!$1:$100, 9, MATCH(1, (Data_Input!$7:$7=$F$3) * (Data_Input!$8:$8=$B17), 0)),"")</f>
        <v/>
      </c>
      <c r="F17" s="20" t="str" cm="1">
        <f t="array" ref="F17">IFERROR(INDEX(Data_Input!$A$1:$ZZ$502, MATCH("예수금", INDEX(Data_Input!$A$1:$ZZ$502, 0, MATCH(1, (Data_Input!$7:$7=$F$3)*(Data_Input!$8:$8=$B17), 0)), 0) + 1, MATCH(1, (Data_Input!$7:$7=$F$3)*(Data_Input!$8:$8=$B17), 0)),"")</f>
        <v/>
      </c>
      <c r="G17" s="20" t="str" cm="1">
        <f t="array" ref="G17">IFERROR(INDEX(Data_Input!$A$1:$ZZ$502, MATCH("총자산", INDEX(Data_Input!$A$1:$ZZ$502, 0, MATCH(1, (Data_Input!$7:$7=$F$3)*(Data_Input!$8:$8=$B17), 0)), 0) + 1, MATCH(1, (Data_Input!$7:$7=$F$3)*(Data_Input!$8:$8=$B17), 0)),"")</f>
        <v/>
      </c>
      <c r="H17" s="20" t="str" cm="1">
        <f t="array" ref="H17">IFERROR(INDEX(Data_Input!$A$1:$ZZ$502, MATCH("매입금액", INDEX(Data_Input!$A$1:$ZZ$502, 0, MATCH(1, (Data_Input!$7:$7=$F$3)*(Data_Input!$8:$8=$B17), 0)), 0) + 1, MATCH(1, (Data_Input!$7:$7=$F$3)*(Data_Input!$8:$8=$B17), 0)),"")</f>
        <v/>
      </c>
      <c r="I17" s="20" t="str" cm="1">
        <f t="array" ref="I17">IFERROR(INDEX(Data_Input!$A$1:$ZZ$502, MATCH("평가금액", INDEX(Data_Input!$A$1:$ZZ$502, 0, MATCH(1, (Data_Input!$7:$7=$F$3)*(Data_Input!$8:$8=$B17), 0)), 0) + 1, MATCH(1, (Data_Input!$7:$7=$F$3)*(Data_Input!$8:$8=$B17), 0)),"")</f>
        <v/>
      </c>
      <c r="J17" s="20" t="str" cm="1">
        <f t="array" ref="J17">IFERROR(INDEX(Data_Input!$A$1:$ZZ$502, MATCH("평가손익", INDEX(Data_Input!$A$1:$ZZ$502, 0, MATCH(1, (Data_Input!$7:$7=$F$3)*(Data_Input!$8:$8=$B17), 0)), 0) + 1, MATCH(1, (Data_Input!$7:$7=$F$3)*(Data_Input!$8:$8=$B17), 0)),"")</f>
        <v/>
      </c>
      <c r="K17" s="14" t="str" cm="1">
        <f t="array" ref="K17">IFERROR(INDEX(Data_Input!$A$1:$ZZ$502, MATCH("총수익률", INDEX(Data_Input!$A$1:$ZZ$502, 0, MATCH(1, (Data_Input!$7:$7=$F$3)*(Data_Input!$8:$8=$B17), 0)), 0) + 1, MATCH(1, (Data_Input!$7:$7=$F$3)*(Data_Input!$8:$8=$B17), 0)),"")</f>
        <v/>
      </c>
      <c r="L17" t="str" cm="1">
        <f t="array" ref="L17">IFERROR(_xlfn.LET(
    _xlpm.targetDate, B17,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8" spans="1:12" x14ac:dyDescent="0.3">
      <c r="A18" s="16" t="str">
        <f t="shared" si="0"/>
        <v/>
      </c>
      <c r="B18" s="8"/>
      <c r="C18" s="17" t="str">
        <f t="shared" si="2"/>
        <v/>
      </c>
      <c r="D18" s="29" t="str" cm="1">
        <f t="array" ref="D18">IFERROR(INDEX(Data_Input!$1:$100, 10, MATCH(1, (Data_Input!$F$7:$ZZ$7=$F$3) * (Data_Input!$F$8:$ZZ$8=$B18), 0)),"")</f>
        <v/>
      </c>
      <c r="E18" s="29" t="str" cm="1">
        <f t="array" ref="E18">IFERROR(INDEX(Data_Input!$1:$100, 9, MATCH(1, (Data_Input!$7:$7=$F$3) * (Data_Input!$8:$8=$B18), 0)),"")</f>
        <v/>
      </c>
      <c r="F18" s="20" t="str" cm="1">
        <f t="array" ref="F18">IFERROR(INDEX(Data_Input!$A$1:$ZZ$502, MATCH("예수금", INDEX(Data_Input!$A$1:$ZZ$502, 0, MATCH(1, (Data_Input!$7:$7=$F$3)*(Data_Input!$8:$8=$B18), 0)), 0) + 1, MATCH(1, (Data_Input!$7:$7=$F$3)*(Data_Input!$8:$8=$B18), 0)),"")</f>
        <v/>
      </c>
      <c r="G18" s="20" t="str" cm="1">
        <f t="array" ref="G18">IFERROR(INDEX(Data_Input!$A$1:$ZZ$502, MATCH("총자산", INDEX(Data_Input!$A$1:$ZZ$502, 0, MATCH(1, (Data_Input!$7:$7=$F$3)*(Data_Input!$8:$8=$B18), 0)), 0) + 1, MATCH(1, (Data_Input!$7:$7=$F$3)*(Data_Input!$8:$8=$B18), 0)),"")</f>
        <v/>
      </c>
      <c r="H18" s="20" t="str" cm="1">
        <f t="array" ref="H18">IFERROR(INDEX(Data_Input!$A$1:$ZZ$502, MATCH("매입금액", INDEX(Data_Input!$A$1:$ZZ$502, 0, MATCH(1, (Data_Input!$7:$7=$F$3)*(Data_Input!$8:$8=$B18), 0)), 0) + 1, MATCH(1, (Data_Input!$7:$7=$F$3)*(Data_Input!$8:$8=$B18), 0)),"")</f>
        <v/>
      </c>
      <c r="I18" s="20" t="str" cm="1">
        <f t="array" ref="I18">IFERROR(INDEX(Data_Input!$A$1:$ZZ$502, MATCH("평가금액", INDEX(Data_Input!$A$1:$ZZ$502, 0, MATCH(1, (Data_Input!$7:$7=$F$3)*(Data_Input!$8:$8=$B18), 0)), 0) + 1, MATCH(1, (Data_Input!$7:$7=$F$3)*(Data_Input!$8:$8=$B18), 0)),"")</f>
        <v/>
      </c>
      <c r="J18" s="20" t="str" cm="1">
        <f t="array" ref="J18">IFERROR(INDEX(Data_Input!$A$1:$ZZ$502, MATCH("평가손익", INDEX(Data_Input!$A$1:$ZZ$502, 0, MATCH(1, (Data_Input!$7:$7=$F$3)*(Data_Input!$8:$8=$B18), 0)), 0) + 1, MATCH(1, (Data_Input!$7:$7=$F$3)*(Data_Input!$8:$8=$B18), 0)),"")</f>
        <v/>
      </c>
      <c r="K18" s="14" t="str" cm="1">
        <f t="array" ref="K18">IFERROR(INDEX(Data_Input!$A$1:$ZZ$502, MATCH("총수익률", INDEX(Data_Input!$A$1:$ZZ$502, 0, MATCH(1, (Data_Input!$7:$7=$F$3)*(Data_Input!$8:$8=$B18), 0)), 0) + 1, MATCH(1, (Data_Input!$7:$7=$F$3)*(Data_Input!$8:$8=$B18), 0)),"")</f>
        <v/>
      </c>
      <c r="L18" t="str" cm="1">
        <f t="array" ref="L18">IFERROR(_xlfn.LET(
    _xlpm.targetDate, B18,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9" spans="1:12" x14ac:dyDescent="0.3">
      <c r="A19" s="16" t="str">
        <f t="shared" si="0"/>
        <v/>
      </c>
      <c r="B19" s="8"/>
      <c r="C19" s="17" t="str">
        <f t="shared" si="2"/>
        <v/>
      </c>
      <c r="D19" s="29" t="str" cm="1">
        <f t="array" ref="D19">IFERROR(INDEX(Data_Input!$1:$100, 10, MATCH(1, (Data_Input!$F$7:$ZZ$7=$F$3) * (Data_Input!$F$8:$ZZ$8=$B19), 0)),"")</f>
        <v/>
      </c>
      <c r="E19" s="29" t="str" cm="1">
        <f t="array" ref="E19">IFERROR(INDEX(Data_Input!$1:$100, 9, MATCH(1, (Data_Input!$7:$7=$F$3) * (Data_Input!$8:$8=$B19), 0)),"")</f>
        <v/>
      </c>
      <c r="F19" s="20" t="str" cm="1">
        <f t="array" ref="F19">IFERROR(INDEX(Data_Input!$A$1:$ZZ$502, MATCH("예수금", INDEX(Data_Input!$A$1:$ZZ$502, 0, MATCH(1, (Data_Input!$7:$7=$F$3)*(Data_Input!$8:$8=$B19), 0)), 0) + 1, MATCH(1, (Data_Input!$7:$7=$F$3)*(Data_Input!$8:$8=$B19), 0)),"")</f>
        <v/>
      </c>
      <c r="G19" s="20" t="str" cm="1">
        <f t="array" ref="G19">IFERROR(INDEX(Data_Input!$A$1:$ZZ$502, MATCH("총자산", INDEX(Data_Input!$A$1:$ZZ$502, 0, MATCH(1, (Data_Input!$7:$7=$F$3)*(Data_Input!$8:$8=$B19), 0)), 0) + 1, MATCH(1, (Data_Input!$7:$7=$F$3)*(Data_Input!$8:$8=$B19), 0)),"")</f>
        <v/>
      </c>
      <c r="H19" s="20" t="str" cm="1">
        <f t="array" ref="H19">IFERROR(INDEX(Data_Input!$A$1:$ZZ$502, MATCH("매입금액", INDEX(Data_Input!$A$1:$ZZ$502, 0, MATCH(1, (Data_Input!$7:$7=$F$3)*(Data_Input!$8:$8=$B19), 0)), 0) + 1, MATCH(1, (Data_Input!$7:$7=$F$3)*(Data_Input!$8:$8=$B19), 0)),"")</f>
        <v/>
      </c>
      <c r="I19" s="20" t="str" cm="1">
        <f t="array" ref="I19">IFERROR(INDEX(Data_Input!$A$1:$ZZ$502, MATCH("평가금액", INDEX(Data_Input!$A$1:$ZZ$502, 0, MATCH(1, (Data_Input!$7:$7=$F$3)*(Data_Input!$8:$8=$B19), 0)), 0) + 1, MATCH(1, (Data_Input!$7:$7=$F$3)*(Data_Input!$8:$8=$B19), 0)),"")</f>
        <v/>
      </c>
      <c r="J19" s="20" t="str" cm="1">
        <f t="array" ref="J19">IFERROR(INDEX(Data_Input!$A$1:$ZZ$502, MATCH("평가손익", INDEX(Data_Input!$A$1:$ZZ$502, 0, MATCH(1, (Data_Input!$7:$7=$F$3)*(Data_Input!$8:$8=$B19), 0)), 0) + 1, MATCH(1, (Data_Input!$7:$7=$F$3)*(Data_Input!$8:$8=$B19), 0)),"")</f>
        <v/>
      </c>
      <c r="K19" s="14" t="str" cm="1">
        <f t="array" ref="K19">IFERROR(INDEX(Data_Input!$A$1:$ZZ$502, MATCH("총수익률", INDEX(Data_Input!$A$1:$ZZ$502, 0, MATCH(1, (Data_Input!$7:$7=$F$3)*(Data_Input!$8:$8=$B19), 0)), 0) + 1, MATCH(1, (Data_Input!$7:$7=$F$3)*(Data_Input!$8:$8=$B19), 0)),"")</f>
        <v/>
      </c>
      <c r="L19" t="str" cm="1">
        <f t="array" ref="L19">IFERROR(_xlfn.LET(
    _xlpm.targetDate, B19,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0" spans="1:12" x14ac:dyDescent="0.3">
      <c r="A20" s="16" t="str">
        <f t="shared" si="0"/>
        <v/>
      </c>
      <c r="B20" s="8"/>
      <c r="C20" s="17" t="str">
        <f t="shared" si="2"/>
        <v/>
      </c>
      <c r="D20" s="29" t="str" cm="1">
        <f t="array" ref="D20">IFERROR(INDEX(Data_Input!$1:$100, 10, MATCH(1, (Data_Input!$F$7:$ZZ$7=$F$3) * (Data_Input!$F$8:$ZZ$8=$B20), 0)),"")</f>
        <v/>
      </c>
      <c r="E20" s="29" t="str" cm="1">
        <f t="array" ref="E20">IFERROR(INDEX(Data_Input!$1:$100, 9, MATCH(1, (Data_Input!$7:$7=$F$3) * (Data_Input!$8:$8=$B20), 0)),"")</f>
        <v/>
      </c>
      <c r="F20" s="20" t="str" cm="1">
        <f t="array" ref="F20">IFERROR(INDEX(Data_Input!$A$1:$ZZ$502, MATCH("예수금", INDEX(Data_Input!$A$1:$ZZ$502, 0, MATCH(1, (Data_Input!$7:$7=$F$3)*(Data_Input!$8:$8=$B20), 0)), 0) + 1, MATCH(1, (Data_Input!$7:$7=$F$3)*(Data_Input!$8:$8=$B20), 0)),"")</f>
        <v/>
      </c>
      <c r="G20" s="20" t="str" cm="1">
        <f t="array" ref="G20">IFERROR(INDEX(Data_Input!$A$1:$ZZ$502, MATCH("총자산", INDEX(Data_Input!$A$1:$ZZ$502, 0, MATCH(1, (Data_Input!$7:$7=$F$3)*(Data_Input!$8:$8=$B20), 0)), 0) + 1, MATCH(1, (Data_Input!$7:$7=$F$3)*(Data_Input!$8:$8=$B20), 0)),"")</f>
        <v/>
      </c>
      <c r="H20" s="20" t="str" cm="1">
        <f t="array" ref="H20">IFERROR(INDEX(Data_Input!$A$1:$ZZ$502, MATCH("매입금액", INDEX(Data_Input!$A$1:$ZZ$502, 0, MATCH(1, (Data_Input!$7:$7=$F$3)*(Data_Input!$8:$8=$B20), 0)), 0) + 1, MATCH(1, (Data_Input!$7:$7=$F$3)*(Data_Input!$8:$8=$B20), 0)),"")</f>
        <v/>
      </c>
      <c r="I20" s="20" t="str" cm="1">
        <f t="array" ref="I20">IFERROR(INDEX(Data_Input!$A$1:$ZZ$502, MATCH("평가금액", INDEX(Data_Input!$A$1:$ZZ$502, 0, MATCH(1, (Data_Input!$7:$7=$F$3)*(Data_Input!$8:$8=$B20), 0)), 0) + 1, MATCH(1, (Data_Input!$7:$7=$F$3)*(Data_Input!$8:$8=$B20), 0)),"")</f>
        <v/>
      </c>
      <c r="J20" s="20" t="str" cm="1">
        <f t="array" ref="J20">IFERROR(INDEX(Data_Input!$A$1:$ZZ$502, MATCH("평가손익", INDEX(Data_Input!$A$1:$ZZ$502, 0, MATCH(1, (Data_Input!$7:$7=$F$3)*(Data_Input!$8:$8=$B20), 0)), 0) + 1, MATCH(1, (Data_Input!$7:$7=$F$3)*(Data_Input!$8:$8=$B20), 0)),"")</f>
        <v/>
      </c>
      <c r="K20" s="14" t="str" cm="1">
        <f t="array" ref="K20">IFERROR(INDEX(Data_Input!$A$1:$ZZ$502, MATCH("총수익률", INDEX(Data_Input!$A$1:$ZZ$502, 0, MATCH(1, (Data_Input!$7:$7=$F$3)*(Data_Input!$8:$8=$B20), 0)), 0) + 1, MATCH(1, (Data_Input!$7:$7=$F$3)*(Data_Input!$8:$8=$B20), 0)),"")</f>
        <v/>
      </c>
      <c r="L20" t="str" cm="1">
        <f t="array" ref="L20">IFERROR(_xlfn.LET(
    _xlpm.targetDate, B20,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1" spans="1:12" x14ac:dyDescent="0.3">
      <c r="A21" s="16" t="str">
        <f t="shared" si="0"/>
        <v/>
      </c>
      <c r="B21" s="8"/>
      <c r="C21" s="17" t="str">
        <f t="shared" si="2"/>
        <v/>
      </c>
      <c r="D21" s="29" t="str" cm="1">
        <f t="array" ref="D21">IFERROR(INDEX(Data_Input!$1:$100, 10, MATCH(1, (Data_Input!$F$7:$ZZ$7=$F$3) * (Data_Input!$F$8:$ZZ$8=$B21), 0)),"")</f>
        <v/>
      </c>
      <c r="E21" s="29" t="str" cm="1">
        <f t="array" ref="E21">IFERROR(INDEX(Data_Input!$1:$100, 9, MATCH(1, (Data_Input!$7:$7=$F$3) * (Data_Input!$8:$8=$B21), 0)),"")</f>
        <v/>
      </c>
      <c r="F21" s="20" t="str" cm="1">
        <f t="array" ref="F21">IFERROR(INDEX(Data_Input!$A$1:$ZZ$502, MATCH("예수금", INDEX(Data_Input!$A$1:$ZZ$502, 0, MATCH(1, (Data_Input!$7:$7=$F$3)*(Data_Input!$8:$8=$B21), 0)), 0) + 1, MATCH(1, (Data_Input!$7:$7=$F$3)*(Data_Input!$8:$8=$B21), 0)),"")</f>
        <v/>
      </c>
      <c r="G21" s="20" t="str" cm="1">
        <f t="array" ref="G21">IFERROR(INDEX(Data_Input!$A$1:$ZZ$502, MATCH("총자산", INDEX(Data_Input!$A$1:$ZZ$502, 0, MATCH(1, (Data_Input!$7:$7=$F$3)*(Data_Input!$8:$8=$B21), 0)), 0) + 1, MATCH(1, (Data_Input!$7:$7=$F$3)*(Data_Input!$8:$8=$B21), 0)),"")</f>
        <v/>
      </c>
      <c r="H21" s="20" t="str" cm="1">
        <f t="array" ref="H21">IFERROR(INDEX(Data_Input!$A$1:$ZZ$502, MATCH("매입금액", INDEX(Data_Input!$A$1:$ZZ$502, 0, MATCH(1, (Data_Input!$7:$7=$F$3)*(Data_Input!$8:$8=$B21), 0)), 0) + 1, MATCH(1, (Data_Input!$7:$7=$F$3)*(Data_Input!$8:$8=$B21), 0)),"")</f>
        <v/>
      </c>
      <c r="I21" s="20" t="str" cm="1">
        <f t="array" ref="I21">IFERROR(INDEX(Data_Input!$A$1:$ZZ$502, MATCH("평가금액", INDEX(Data_Input!$A$1:$ZZ$502, 0, MATCH(1, (Data_Input!$7:$7=$F$3)*(Data_Input!$8:$8=$B21), 0)), 0) + 1, MATCH(1, (Data_Input!$7:$7=$F$3)*(Data_Input!$8:$8=$B21), 0)),"")</f>
        <v/>
      </c>
      <c r="J21" s="20" t="str" cm="1">
        <f t="array" ref="J21">IFERROR(INDEX(Data_Input!$A$1:$ZZ$502, MATCH("평가손익", INDEX(Data_Input!$A$1:$ZZ$502, 0, MATCH(1, (Data_Input!$7:$7=$F$3)*(Data_Input!$8:$8=$B21), 0)), 0) + 1, MATCH(1, (Data_Input!$7:$7=$F$3)*(Data_Input!$8:$8=$B21), 0)),"")</f>
        <v/>
      </c>
      <c r="K21" s="14" t="str" cm="1">
        <f t="array" ref="K21">IFERROR(INDEX(Data_Input!$A$1:$ZZ$502, MATCH("총수익률", INDEX(Data_Input!$A$1:$ZZ$502, 0, MATCH(1, (Data_Input!$7:$7=$F$3)*(Data_Input!$8:$8=$B21), 0)), 0) + 1, MATCH(1, (Data_Input!$7:$7=$F$3)*(Data_Input!$8:$8=$B21), 0)),"")</f>
        <v/>
      </c>
      <c r="L21" t="str" cm="1">
        <f t="array" ref="L21">IFERROR(_xlfn.LET(
    _xlpm.targetDate, B21,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2" spans="1:12" x14ac:dyDescent="0.3">
      <c r="A22" s="16" t="str">
        <f t="shared" si="0"/>
        <v/>
      </c>
      <c r="B22" s="8"/>
      <c r="C22" s="17" t="str">
        <f t="shared" si="2"/>
        <v/>
      </c>
      <c r="D22" s="29" t="str" cm="1">
        <f t="array" ref="D22">IFERROR(INDEX(Data_Input!$1:$100, 10, MATCH(1, (Data_Input!$F$7:$ZZ$7=$F$3) * (Data_Input!$F$8:$ZZ$8=$B22), 0)),"")</f>
        <v/>
      </c>
      <c r="E22" s="29" t="str" cm="1">
        <f t="array" ref="E22">IFERROR(INDEX(Data_Input!$1:$100, 9, MATCH(1, (Data_Input!$7:$7=$F$3) * (Data_Input!$8:$8=$B22), 0)),"")</f>
        <v/>
      </c>
      <c r="F22" s="20" t="str" cm="1">
        <f t="array" ref="F22">IFERROR(INDEX(Data_Input!$A$1:$ZZ$502, MATCH("예수금", INDEX(Data_Input!$A$1:$ZZ$502, 0, MATCH(1, (Data_Input!$7:$7=$F$3)*(Data_Input!$8:$8=$B22), 0)), 0) + 1, MATCH(1, (Data_Input!$7:$7=$F$3)*(Data_Input!$8:$8=$B22), 0)),"")</f>
        <v/>
      </c>
      <c r="G22" s="20" t="str" cm="1">
        <f t="array" ref="G22">IFERROR(INDEX(Data_Input!$A$1:$ZZ$502, MATCH("총자산", INDEX(Data_Input!$A$1:$ZZ$502, 0, MATCH(1, (Data_Input!$7:$7=$F$3)*(Data_Input!$8:$8=$B22), 0)), 0) + 1, MATCH(1, (Data_Input!$7:$7=$F$3)*(Data_Input!$8:$8=$B22), 0)),"")</f>
        <v/>
      </c>
      <c r="H22" s="20" t="str" cm="1">
        <f t="array" ref="H22">IFERROR(INDEX(Data_Input!$A$1:$ZZ$502, MATCH("매입금액", INDEX(Data_Input!$A$1:$ZZ$502, 0, MATCH(1, (Data_Input!$7:$7=$F$3)*(Data_Input!$8:$8=$B22), 0)), 0) + 1, MATCH(1, (Data_Input!$7:$7=$F$3)*(Data_Input!$8:$8=$B22), 0)),"")</f>
        <v/>
      </c>
      <c r="I22" s="20" t="str" cm="1">
        <f t="array" ref="I22">IFERROR(INDEX(Data_Input!$A$1:$ZZ$502, MATCH("평가금액", INDEX(Data_Input!$A$1:$ZZ$502, 0, MATCH(1, (Data_Input!$7:$7=$F$3)*(Data_Input!$8:$8=$B22), 0)), 0) + 1, MATCH(1, (Data_Input!$7:$7=$F$3)*(Data_Input!$8:$8=$B22), 0)),"")</f>
        <v/>
      </c>
      <c r="J22" s="20" t="str" cm="1">
        <f t="array" ref="J22">IFERROR(INDEX(Data_Input!$A$1:$ZZ$502, MATCH("평가손익", INDEX(Data_Input!$A$1:$ZZ$502, 0, MATCH(1, (Data_Input!$7:$7=$F$3)*(Data_Input!$8:$8=$B22), 0)), 0) + 1, MATCH(1, (Data_Input!$7:$7=$F$3)*(Data_Input!$8:$8=$B22), 0)),"")</f>
        <v/>
      </c>
      <c r="K22" s="14" t="str" cm="1">
        <f t="array" ref="K22">IFERROR(INDEX(Data_Input!$A$1:$ZZ$502, MATCH("총수익률", INDEX(Data_Input!$A$1:$ZZ$502, 0, MATCH(1, (Data_Input!$7:$7=$F$3)*(Data_Input!$8:$8=$B22), 0)), 0) + 1, MATCH(1, (Data_Input!$7:$7=$F$3)*(Data_Input!$8:$8=$B22), 0)),"")</f>
        <v/>
      </c>
      <c r="L22" t="str" cm="1">
        <f t="array" ref="L22">IFERROR(_xlfn.LET(
    _xlpm.targetDate, B22,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3" spans="1:12" x14ac:dyDescent="0.3">
      <c r="A23" s="16" t="str">
        <f t="shared" si="0"/>
        <v/>
      </c>
      <c r="B23" s="8"/>
      <c r="C23" s="17" t="str">
        <f t="shared" si="2"/>
        <v/>
      </c>
      <c r="D23" s="29" t="str" cm="1">
        <f t="array" ref="D23">IFERROR(INDEX(Data_Input!$1:$100, 10, MATCH(1, (Data_Input!$F$7:$ZZ$7=$F$3) * (Data_Input!$F$8:$ZZ$8=$B23), 0)),"")</f>
        <v/>
      </c>
      <c r="E23" s="29" t="str" cm="1">
        <f t="array" ref="E23">IFERROR(INDEX(Data_Input!$1:$100, 9, MATCH(1, (Data_Input!$7:$7=$F$3) * (Data_Input!$8:$8=$B23), 0)),"")</f>
        <v/>
      </c>
      <c r="F23" s="20" t="str" cm="1">
        <f t="array" ref="F23">IFERROR(INDEX(Data_Input!$A$1:$ZZ$502, MATCH("예수금", INDEX(Data_Input!$A$1:$ZZ$502, 0, MATCH(1, (Data_Input!$7:$7=$F$3)*(Data_Input!$8:$8=$B23), 0)), 0) + 1, MATCH(1, (Data_Input!$7:$7=$F$3)*(Data_Input!$8:$8=$B23), 0)),"")</f>
        <v/>
      </c>
      <c r="G23" s="20" t="str" cm="1">
        <f t="array" ref="G23">IFERROR(INDEX(Data_Input!$A$1:$ZZ$502, MATCH("총자산", INDEX(Data_Input!$A$1:$ZZ$502, 0, MATCH(1, (Data_Input!$7:$7=$F$3)*(Data_Input!$8:$8=$B23), 0)), 0) + 1, MATCH(1, (Data_Input!$7:$7=$F$3)*(Data_Input!$8:$8=$B23), 0)),"")</f>
        <v/>
      </c>
      <c r="H23" s="20" t="str" cm="1">
        <f t="array" ref="H23">IFERROR(INDEX(Data_Input!$A$1:$ZZ$502, MATCH("매입금액", INDEX(Data_Input!$A$1:$ZZ$502, 0, MATCH(1, (Data_Input!$7:$7=$F$3)*(Data_Input!$8:$8=$B23), 0)), 0) + 1, MATCH(1, (Data_Input!$7:$7=$F$3)*(Data_Input!$8:$8=$B23), 0)),"")</f>
        <v/>
      </c>
      <c r="I23" s="20" t="str" cm="1">
        <f t="array" ref="I23">IFERROR(INDEX(Data_Input!$A$1:$ZZ$502, MATCH("평가금액", INDEX(Data_Input!$A$1:$ZZ$502, 0, MATCH(1, (Data_Input!$7:$7=$F$3)*(Data_Input!$8:$8=$B23), 0)), 0) + 1, MATCH(1, (Data_Input!$7:$7=$F$3)*(Data_Input!$8:$8=$B23), 0)),"")</f>
        <v/>
      </c>
      <c r="J23" s="20" t="str" cm="1">
        <f t="array" ref="J23">IFERROR(INDEX(Data_Input!$A$1:$ZZ$502, MATCH("평가손익", INDEX(Data_Input!$A$1:$ZZ$502, 0, MATCH(1, (Data_Input!$7:$7=$F$3)*(Data_Input!$8:$8=$B23), 0)), 0) + 1, MATCH(1, (Data_Input!$7:$7=$F$3)*(Data_Input!$8:$8=$B23), 0)),"")</f>
        <v/>
      </c>
      <c r="K23" s="14" t="str" cm="1">
        <f t="array" ref="K23">IFERROR(INDEX(Data_Input!$A$1:$ZZ$502, MATCH("총수익률", INDEX(Data_Input!$A$1:$ZZ$502, 0, MATCH(1, (Data_Input!$7:$7=$F$3)*(Data_Input!$8:$8=$B23), 0)), 0) + 1, MATCH(1, (Data_Input!$7:$7=$F$3)*(Data_Input!$8:$8=$B23), 0)),"")</f>
        <v/>
      </c>
      <c r="L23" t="str" cm="1">
        <f t="array" ref="L23">IFERROR(_xlfn.LET(
    _xlpm.targetDate, B23,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4" spans="1:12" x14ac:dyDescent="0.3">
      <c r="A24" s="16" t="str">
        <f t="shared" si="0"/>
        <v/>
      </c>
      <c r="B24" s="8"/>
      <c r="C24" s="17" t="str">
        <f t="shared" si="2"/>
        <v/>
      </c>
      <c r="D24" s="29" t="str" cm="1">
        <f t="array" ref="D24">IFERROR(INDEX(Data_Input!$1:$100, 10, MATCH(1, (Data_Input!$F$7:$ZZ$7=$F$3) * (Data_Input!$F$8:$ZZ$8=$B24), 0)),"")</f>
        <v/>
      </c>
      <c r="E24" s="29" t="str" cm="1">
        <f t="array" ref="E24">IFERROR(INDEX(Data_Input!$1:$100, 9, MATCH(1, (Data_Input!$7:$7=$F$3) * (Data_Input!$8:$8=$B24), 0)),"")</f>
        <v/>
      </c>
      <c r="F24" s="20" t="str" cm="1">
        <f t="array" ref="F24">IFERROR(INDEX(Data_Input!$A$1:$ZZ$502, MATCH("예수금", INDEX(Data_Input!$A$1:$ZZ$502, 0, MATCH(1, (Data_Input!$7:$7=$F$3)*(Data_Input!$8:$8=$B24), 0)), 0) + 1, MATCH(1, (Data_Input!$7:$7=$F$3)*(Data_Input!$8:$8=$B24), 0)),"")</f>
        <v/>
      </c>
      <c r="G24" s="20" t="str" cm="1">
        <f t="array" ref="G24">IFERROR(INDEX(Data_Input!$A$1:$ZZ$502, MATCH("총자산", INDEX(Data_Input!$A$1:$ZZ$502, 0, MATCH(1, (Data_Input!$7:$7=$F$3)*(Data_Input!$8:$8=$B24), 0)), 0) + 1, MATCH(1, (Data_Input!$7:$7=$F$3)*(Data_Input!$8:$8=$B24), 0)),"")</f>
        <v/>
      </c>
      <c r="H24" s="20" t="str" cm="1">
        <f t="array" ref="H24">IFERROR(INDEX(Data_Input!$A$1:$ZZ$502, MATCH("매입금액", INDEX(Data_Input!$A$1:$ZZ$502, 0, MATCH(1, (Data_Input!$7:$7=$F$3)*(Data_Input!$8:$8=$B24), 0)), 0) + 1, MATCH(1, (Data_Input!$7:$7=$F$3)*(Data_Input!$8:$8=$B24), 0)),"")</f>
        <v/>
      </c>
      <c r="I24" s="20" t="str" cm="1">
        <f t="array" ref="I24">IFERROR(INDEX(Data_Input!$A$1:$ZZ$502, MATCH("평가금액", INDEX(Data_Input!$A$1:$ZZ$502, 0, MATCH(1, (Data_Input!$7:$7=$F$3)*(Data_Input!$8:$8=$B24), 0)), 0) + 1, MATCH(1, (Data_Input!$7:$7=$F$3)*(Data_Input!$8:$8=$B24), 0)),"")</f>
        <v/>
      </c>
      <c r="J24" s="20" t="str" cm="1">
        <f t="array" ref="J24">IFERROR(INDEX(Data_Input!$A$1:$ZZ$502, MATCH("평가손익", INDEX(Data_Input!$A$1:$ZZ$502, 0, MATCH(1, (Data_Input!$7:$7=$F$3)*(Data_Input!$8:$8=$B24), 0)), 0) + 1, MATCH(1, (Data_Input!$7:$7=$F$3)*(Data_Input!$8:$8=$B24), 0)),"")</f>
        <v/>
      </c>
      <c r="K24" s="14" t="str" cm="1">
        <f t="array" ref="K24">IFERROR(INDEX(Data_Input!$A$1:$ZZ$502, MATCH("총수익률", INDEX(Data_Input!$A$1:$ZZ$502, 0, MATCH(1, (Data_Input!$7:$7=$F$3)*(Data_Input!$8:$8=$B24), 0)), 0) + 1, MATCH(1, (Data_Input!$7:$7=$F$3)*(Data_Input!$8:$8=$B24), 0)),"")</f>
        <v/>
      </c>
      <c r="L24" t="str" cm="1">
        <f t="array" ref="L24">IFERROR(_xlfn.LET(
    _xlpm.targetDate, B24,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5" spans="1:12" x14ac:dyDescent="0.3">
      <c r="A25" s="16" t="str">
        <f t="shared" si="0"/>
        <v/>
      </c>
      <c r="B25" s="8"/>
      <c r="C25" s="17" t="str">
        <f t="shared" si="2"/>
        <v/>
      </c>
      <c r="D25" s="29" t="str" cm="1">
        <f t="array" ref="D25">IFERROR(INDEX(Data_Input!$1:$100, 10, MATCH(1, (Data_Input!$F$7:$ZZ$7=$F$3) * (Data_Input!$F$8:$ZZ$8=$B25), 0)),"")</f>
        <v/>
      </c>
      <c r="E25" s="29" t="str" cm="1">
        <f t="array" ref="E25">IFERROR(INDEX(Data_Input!$1:$100, 9, MATCH(1, (Data_Input!$7:$7=$F$3) * (Data_Input!$8:$8=$B25), 0)),"")</f>
        <v/>
      </c>
      <c r="F25" s="20" t="str" cm="1">
        <f t="array" ref="F25">IFERROR(INDEX(Data_Input!$A$1:$ZZ$502, MATCH("예수금", INDEX(Data_Input!$A$1:$ZZ$502, 0, MATCH(1, (Data_Input!$7:$7=$F$3)*(Data_Input!$8:$8=$B25), 0)), 0) + 1, MATCH(1, (Data_Input!$7:$7=$F$3)*(Data_Input!$8:$8=$B25), 0)),"")</f>
        <v/>
      </c>
      <c r="G25" s="20" t="str" cm="1">
        <f t="array" ref="G25">IFERROR(INDEX(Data_Input!$A$1:$ZZ$502, MATCH("총자산", INDEX(Data_Input!$A$1:$ZZ$502, 0, MATCH(1, (Data_Input!$7:$7=$F$3)*(Data_Input!$8:$8=$B25), 0)), 0) + 1, MATCH(1, (Data_Input!$7:$7=$F$3)*(Data_Input!$8:$8=$B25), 0)),"")</f>
        <v/>
      </c>
      <c r="H25" s="20" t="str" cm="1">
        <f t="array" ref="H25">IFERROR(INDEX(Data_Input!$A$1:$ZZ$502, MATCH("매입금액", INDEX(Data_Input!$A$1:$ZZ$502, 0, MATCH(1, (Data_Input!$7:$7=$F$3)*(Data_Input!$8:$8=$B25), 0)), 0) + 1, MATCH(1, (Data_Input!$7:$7=$F$3)*(Data_Input!$8:$8=$B25), 0)),"")</f>
        <v/>
      </c>
      <c r="I25" s="20" t="str" cm="1">
        <f t="array" ref="I25">IFERROR(INDEX(Data_Input!$A$1:$ZZ$502, MATCH("평가금액", INDEX(Data_Input!$A$1:$ZZ$502, 0, MATCH(1, (Data_Input!$7:$7=$F$3)*(Data_Input!$8:$8=$B25), 0)), 0) + 1, MATCH(1, (Data_Input!$7:$7=$F$3)*(Data_Input!$8:$8=$B25), 0)),"")</f>
        <v/>
      </c>
      <c r="J25" s="20" t="str" cm="1">
        <f t="array" ref="J25">IFERROR(INDEX(Data_Input!$A$1:$ZZ$502, MATCH("평가손익", INDEX(Data_Input!$A$1:$ZZ$502, 0, MATCH(1, (Data_Input!$7:$7=$F$3)*(Data_Input!$8:$8=$B25), 0)), 0) + 1, MATCH(1, (Data_Input!$7:$7=$F$3)*(Data_Input!$8:$8=$B25), 0)),"")</f>
        <v/>
      </c>
      <c r="K25" s="14" t="str" cm="1">
        <f t="array" ref="K25">IFERROR(INDEX(Data_Input!$A$1:$ZZ$502, MATCH("총수익률", INDEX(Data_Input!$A$1:$ZZ$502, 0, MATCH(1, (Data_Input!$7:$7=$F$3)*(Data_Input!$8:$8=$B25), 0)), 0) + 1, MATCH(1, (Data_Input!$7:$7=$F$3)*(Data_Input!$8:$8=$B25), 0)),"")</f>
        <v/>
      </c>
      <c r="L25" t="str" cm="1">
        <f t="array" ref="L25">IFERROR(_xlfn.LET(
    _xlpm.targetDate, B25,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6" spans="1:12" x14ac:dyDescent="0.3">
      <c r="A26" s="16" t="str">
        <f t="shared" si="0"/>
        <v/>
      </c>
      <c r="B26" s="8"/>
      <c r="C26" s="17" t="str">
        <f t="shared" si="2"/>
        <v/>
      </c>
      <c r="D26" s="29" t="str" cm="1">
        <f t="array" ref="D26">IFERROR(INDEX(Data_Input!$1:$100, 10, MATCH(1, (Data_Input!$F$7:$ZZ$7=$F$3) * (Data_Input!$F$8:$ZZ$8=$B26), 0)),"")</f>
        <v/>
      </c>
      <c r="E26" s="29" t="str" cm="1">
        <f t="array" ref="E26">IFERROR(INDEX(Data_Input!$1:$100, 9, MATCH(1, (Data_Input!$7:$7=$F$3) * (Data_Input!$8:$8=$B26), 0)),"")</f>
        <v/>
      </c>
      <c r="F26" s="20" t="str" cm="1">
        <f t="array" ref="F26">IFERROR(INDEX(Data_Input!$A$1:$ZZ$502, MATCH("예수금", INDEX(Data_Input!$A$1:$ZZ$502, 0, MATCH(1, (Data_Input!$7:$7=$F$3)*(Data_Input!$8:$8=$B26), 0)), 0) + 1, MATCH(1, (Data_Input!$7:$7=$F$3)*(Data_Input!$8:$8=$B26), 0)),"")</f>
        <v/>
      </c>
      <c r="G26" s="20" t="str" cm="1">
        <f t="array" ref="G26">IFERROR(INDEX(Data_Input!$A$1:$ZZ$502, MATCH("총자산", INDEX(Data_Input!$A$1:$ZZ$502, 0, MATCH(1, (Data_Input!$7:$7=$F$3)*(Data_Input!$8:$8=$B26), 0)), 0) + 1, MATCH(1, (Data_Input!$7:$7=$F$3)*(Data_Input!$8:$8=$B26), 0)),"")</f>
        <v/>
      </c>
      <c r="H26" s="20" t="str" cm="1">
        <f t="array" ref="H26">IFERROR(INDEX(Data_Input!$A$1:$ZZ$502, MATCH("매입금액", INDEX(Data_Input!$A$1:$ZZ$502, 0, MATCH(1, (Data_Input!$7:$7=$F$3)*(Data_Input!$8:$8=$B26), 0)), 0) + 1, MATCH(1, (Data_Input!$7:$7=$F$3)*(Data_Input!$8:$8=$B26), 0)),"")</f>
        <v/>
      </c>
      <c r="I26" s="20" t="str" cm="1">
        <f t="array" ref="I26">IFERROR(INDEX(Data_Input!$A$1:$ZZ$502, MATCH("평가금액", INDEX(Data_Input!$A$1:$ZZ$502, 0, MATCH(1, (Data_Input!$7:$7=$F$3)*(Data_Input!$8:$8=$B26), 0)), 0) + 1, MATCH(1, (Data_Input!$7:$7=$F$3)*(Data_Input!$8:$8=$B26), 0)),"")</f>
        <v/>
      </c>
      <c r="J26" s="20" t="str" cm="1">
        <f t="array" ref="J26">IFERROR(INDEX(Data_Input!$A$1:$ZZ$502, MATCH("평가손익", INDEX(Data_Input!$A$1:$ZZ$502, 0, MATCH(1, (Data_Input!$7:$7=$F$3)*(Data_Input!$8:$8=$B26), 0)), 0) + 1, MATCH(1, (Data_Input!$7:$7=$F$3)*(Data_Input!$8:$8=$B26), 0)),"")</f>
        <v/>
      </c>
      <c r="K26" s="14" t="str" cm="1">
        <f t="array" ref="K26">IFERROR(INDEX(Data_Input!$A$1:$ZZ$502, MATCH("총수익률", INDEX(Data_Input!$A$1:$ZZ$502, 0, MATCH(1, (Data_Input!$7:$7=$F$3)*(Data_Input!$8:$8=$B26), 0)), 0) + 1, MATCH(1, (Data_Input!$7:$7=$F$3)*(Data_Input!$8:$8=$B26), 0)),"")</f>
        <v/>
      </c>
      <c r="L26" t="str" cm="1">
        <f t="array" ref="L26">IFERROR(_xlfn.LET(
    _xlpm.targetDate, B26,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7" spans="1:12" x14ac:dyDescent="0.3">
      <c r="A27" s="16" t="str">
        <f t="shared" si="0"/>
        <v/>
      </c>
      <c r="B27" s="8"/>
      <c r="C27" s="17" t="str">
        <f t="shared" si="2"/>
        <v/>
      </c>
      <c r="D27" s="29" t="str" cm="1">
        <f t="array" ref="D27">IFERROR(INDEX(Data_Input!$1:$100, 10, MATCH(1, (Data_Input!$F$7:$ZZ$7=$F$3) * (Data_Input!$F$8:$ZZ$8=$B27), 0)),"")</f>
        <v/>
      </c>
      <c r="E27" s="29" t="str" cm="1">
        <f t="array" ref="E27">IFERROR(INDEX(Data_Input!$1:$100, 9, MATCH(1, (Data_Input!$7:$7=$F$3) * (Data_Input!$8:$8=$B27), 0)),"")</f>
        <v/>
      </c>
      <c r="F27" s="20" t="str" cm="1">
        <f t="array" ref="F27">IFERROR(INDEX(Data_Input!$A$1:$ZZ$502, MATCH("예수금", INDEX(Data_Input!$A$1:$ZZ$502, 0, MATCH(1, (Data_Input!$7:$7=$F$3)*(Data_Input!$8:$8=$B27), 0)), 0) + 1, MATCH(1, (Data_Input!$7:$7=$F$3)*(Data_Input!$8:$8=$B27), 0)),"")</f>
        <v/>
      </c>
      <c r="G27" s="20" t="str" cm="1">
        <f t="array" ref="G27">IFERROR(INDEX(Data_Input!$A$1:$ZZ$502, MATCH("총자산", INDEX(Data_Input!$A$1:$ZZ$502, 0, MATCH(1, (Data_Input!$7:$7=$F$3)*(Data_Input!$8:$8=$B27), 0)), 0) + 1, MATCH(1, (Data_Input!$7:$7=$F$3)*(Data_Input!$8:$8=$B27), 0)),"")</f>
        <v/>
      </c>
      <c r="H27" s="20" t="str" cm="1">
        <f t="array" ref="H27">IFERROR(INDEX(Data_Input!$A$1:$ZZ$502, MATCH("매입금액", INDEX(Data_Input!$A$1:$ZZ$502, 0, MATCH(1, (Data_Input!$7:$7=$F$3)*(Data_Input!$8:$8=$B27), 0)), 0) + 1, MATCH(1, (Data_Input!$7:$7=$F$3)*(Data_Input!$8:$8=$B27), 0)),"")</f>
        <v/>
      </c>
      <c r="I27" s="20" t="str" cm="1">
        <f t="array" ref="I27">IFERROR(INDEX(Data_Input!$A$1:$ZZ$502, MATCH("평가금액", INDEX(Data_Input!$A$1:$ZZ$502, 0, MATCH(1, (Data_Input!$7:$7=$F$3)*(Data_Input!$8:$8=$B27), 0)), 0) + 1, MATCH(1, (Data_Input!$7:$7=$F$3)*(Data_Input!$8:$8=$B27), 0)),"")</f>
        <v/>
      </c>
      <c r="J27" s="20" t="str" cm="1">
        <f t="array" ref="J27">IFERROR(INDEX(Data_Input!$A$1:$ZZ$502, MATCH("평가손익", INDEX(Data_Input!$A$1:$ZZ$502, 0, MATCH(1, (Data_Input!$7:$7=$F$3)*(Data_Input!$8:$8=$B27), 0)), 0) + 1, MATCH(1, (Data_Input!$7:$7=$F$3)*(Data_Input!$8:$8=$B27), 0)),"")</f>
        <v/>
      </c>
      <c r="K27" s="14" t="str" cm="1">
        <f t="array" ref="K27">IFERROR(INDEX(Data_Input!$A$1:$ZZ$502, MATCH("총수익률", INDEX(Data_Input!$A$1:$ZZ$502, 0, MATCH(1, (Data_Input!$7:$7=$F$3)*(Data_Input!$8:$8=$B27), 0)), 0) + 1, MATCH(1, (Data_Input!$7:$7=$F$3)*(Data_Input!$8:$8=$B27), 0)),"")</f>
        <v/>
      </c>
      <c r="L27" t="str" cm="1">
        <f t="array" ref="L27">IFERROR(_xlfn.LET(
    _xlpm.targetDate, B27,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8" spans="1:12" x14ac:dyDescent="0.3">
      <c r="A28" s="16" t="str">
        <f t="shared" si="0"/>
        <v/>
      </c>
      <c r="B28" s="8"/>
      <c r="C28" s="17" t="str">
        <f t="shared" si="2"/>
        <v/>
      </c>
      <c r="D28" s="29" t="str" cm="1">
        <f t="array" ref="D28">IFERROR(INDEX(Data_Input!$1:$100, 10, MATCH(1, (Data_Input!$F$7:$ZZ$7=$F$3) * (Data_Input!$F$8:$ZZ$8=$B28), 0)),"")</f>
        <v/>
      </c>
      <c r="E28" s="29" t="str" cm="1">
        <f t="array" ref="E28">IFERROR(INDEX(Data_Input!$1:$100, 9, MATCH(1, (Data_Input!$7:$7=$F$3) * (Data_Input!$8:$8=$B28), 0)),"")</f>
        <v/>
      </c>
      <c r="F28" s="20" t="str" cm="1">
        <f t="array" ref="F28">IFERROR(INDEX(Data_Input!$A$1:$ZZ$502, MATCH("예수금", INDEX(Data_Input!$A$1:$ZZ$502, 0, MATCH(1, (Data_Input!$7:$7=$F$3)*(Data_Input!$8:$8=$B28), 0)), 0) + 1, MATCH(1, (Data_Input!$7:$7=$F$3)*(Data_Input!$8:$8=$B28), 0)),"")</f>
        <v/>
      </c>
      <c r="G28" s="20" t="str" cm="1">
        <f t="array" ref="G28">IFERROR(INDEX(Data_Input!$A$1:$ZZ$502, MATCH("총자산", INDEX(Data_Input!$A$1:$ZZ$502, 0, MATCH(1, (Data_Input!$7:$7=$F$3)*(Data_Input!$8:$8=$B28), 0)), 0) + 1, MATCH(1, (Data_Input!$7:$7=$F$3)*(Data_Input!$8:$8=$B28), 0)),"")</f>
        <v/>
      </c>
      <c r="H28" s="20" t="str" cm="1">
        <f t="array" ref="H28">IFERROR(INDEX(Data_Input!$A$1:$ZZ$502, MATCH("매입금액", INDEX(Data_Input!$A$1:$ZZ$502, 0, MATCH(1, (Data_Input!$7:$7=$F$3)*(Data_Input!$8:$8=$B28), 0)), 0) + 1, MATCH(1, (Data_Input!$7:$7=$F$3)*(Data_Input!$8:$8=$B28), 0)),"")</f>
        <v/>
      </c>
      <c r="I28" s="20" t="str" cm="1">
        <f t="array" ref="I28">IFERROR(INDEX(Data_Input!$A$1:$ZZ$502, MATCH("평가금액", INDEX(Data_Input!$A$1:$ZZ$502, 0, MATCH(1, (Data_Input!$7:$7=$F$3)*(Data_Input!$8:$8=$B28), 0)), 0) + 1, MATCH(1, (Data_Input!$7:$7=$F$3)*(Data_Input!$8:$8=$B28), 0)),"")</f>
        <v/>
      </c>
      <c r="J28" s="20" t="str" cm="1">
        <f t="array" ref="J28">IFERROR(INDEX(Data_Input!$A$1:$ZZ$502, MATCH("평가손익", INDEX(Data_Input!$A$1:$ZZ$502, 0, MATCH(1, (Data_Input!$7:$7=$F$3)*(Data_Input!$8:$8=$B28), 0)), 0) + 1, MATCH(1, (Data_Input!$7:$7=$F$3)*(Data_Input!$8:$8=$B28), 0)),"")</f>
        <v/>
      </c>
      <c r="K28" s="14" t="str" cm="1">
        <f t="array" ref="K28">IFERROR(INDEX(Data_Input!$A$1:$ZZ$502, MATCH("총수익률", INDEX(Data_Input!$A$1:$ZZ$502, 0, MATCH(1, (Data_Input!$7:$7=$F$3)*(Data_Input!$8:$8=$B28), 0)), 0) + 1, MATCH(1, (Data_Input!$7:$7=$F$3)*(Data_Input!$8:$8=$B28), 0)),"")</f>
        <v/>
      </c>
      <c r="L28" t="str" cm="1">
        <f t="array" ref="L28">IFERROR(_xlfn.LET(
    _xlpm.targetDate, B28,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9" spans="1:12" x14ac:dyDescent="0.3">
      <c r="A29" s="16" t="str">
        <f t="shared" si="0"/>
        <v/>
      </c>
      <c r="B29" s="8"/>
      <c r="C29" s="17" t="str">
        <f t="shared" si="2"/>
        <v/>
      </c>
      <c r="D29" s="29" t="str" cm="1">
        <f t="array" ref="D29">IFERROR(INDEX(Data_Input!$1:$100, 10, MATCH(1, (Data_Input!$F$7:$ZZ$7=$F$3) * (Data_Input!$F$8:$ZZ$8=$B29), 0)),"")</f>
        <v/>
      </c>
      <c r="E29" s="29" t="str" cm="1">
        <f t="array" ref="E29">IFERROR(INDEX(Data_Input!$1:$100, 9, MATCH(1, (Data_Input!$7:$7=$F$3) * (Data_Input!$8:$8=$B29), 0)),"")</f>
        <v/>
      </c>
      <c r="F29" s="20" t="str" cm="1">
        <f t="array" ref="F29">IFERROR(INDEX(Data_Input!$A$1:$ZZ$502, MATCH("예수금", INDEX(Data_Input!$A$1:$ZZ$502, 0, MATCH(1, (Data_Input!$7:$7=$F$3)*(Data_Input!$8:$8=$B29), 0)), 0) + 1, MATCH(1, (Data_Input!$7:$7=$F$3)*(Data_Input!$8:$8=$B29), 0)),"")</f>
        <v/>
      </c>
      <c r="G29" s="20" t="str" cm="1">
        <f t="array" ref="G29">IFERROR(INDEX(Data_Input!$A$1:$ZZ$502, MATCH("총자산", INDEX(Data_Input!$A$1:$ZZ$502, 0, MATCH(1, (Data_Input!$7:$7=$F$3)*(Data_Input!$8:$8=$B29), 0)), 0) + 1, MATCH(1, (Data_Input!$7:$7=$F$3)*(Data_Input!$8:$8=$B29), 0)),"")</f>
        <v/>
      </c>
      <c r="H29" s="20" t="str" cm="1">
        <f t="array" ref="H29">IFERROR(INDEX(Data_Input!$A$1:$ZZ$502, MATCH("매입금액", INDEX(Data_Input!$A$1:$ZZ$502, 0, MATCH(1, (Data_Input!$7:$7=$F$3)*(Data_Input!$8:$8=$B29), 0)), 0) + 1, MATCH(1, (Data_Input!$7:$7=$F$3)*(Data_Input!$8:$8=$B29), 0)),"")</f>
        <v/>
      </c>
      <c r="I29" s="20" t="str" cm="1">
        <f t="array" ref="I29">IFERROR(INDEX(Data_Input!$A$1:$ZZ$502, MATCH("평가금액", INDEX(Data_Input!$A$1:$ZZ$502, 0, MATCH(1, (Data_Input!$7:$7=$F$3)*(Data_Input!$8:$8=$B29), 0)), 0) + 1, MATCH(1, (Data_Input!$7:$7=$F$3)*(Data_Input!$8:$8=$B29), 0)),"")</f>
        <v/>
      </c>
      <c r="J29" s="20" t="str" cm="1">
        <f t="array" ref="J29">IFERROR(INDEX(Data_Input!$A$1:$ZZ$502, MATCH("평가손익", INDEX(Data_Input!$A$1:$ZZ$502, 0, MATCH(1, (Data_Input!$7:$7=$F$3)*(Data_Input!$8:$8=$B29), 0)), 0) + 1, MATCH(1, (Data_Input!$7:$7=$F$3)*(Data_Input!$8:$8=$B29), 0)),"")</f>
        <v/>
      </c>
      <c r="K29" s="14" t="str" cm="1">
        <f t="array" ref="K29">IFERROR(INDEX(Data_Input!$A$1:$ZZ$502, MATCH("총수익률", INDEX(Data_Input!$A$1:$ZZ$502, 0, MATCH(1, (Data_Input!$7:$7=$F$3)*(Data_Input!$8:$8=$B29), 0)), 0) + 1, MATCH(1, (Data_Input!$7:$7=$F$3)*(Data_Input!$8:$8=$B29), 0)),"")</f>
        <v/>
      </c>
      <c r="L29" t="str" cm="1">
        <f t="array" ref="L29">IFERROR(_xlfn.LET(
    _xlpm.targetDate, B29,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0" spans="1:12" x14ac:dyDescent="0.3">
      <c r="A30" s="16" t="str">
        <f t="shared" si="0"/>
        <v/>
      </c>
      <c r="B30" s="8"/>
      <c r="C30" s="17" t="str">
        <f t="shared" si="2"/>
        <v/>
      </c>
      <c r="D30" s="29" t="str" cm="1">
        <f t="array" ref="D30">IFERROR(INDEX(Data_Input!$1:$100, 10, MATCH(1, (Data_Input!$F$7:$ZZ$7=$F$3) * (Data_Input!$F$8:$ZZ$8=$B30), 0)),"")</f>
        <v/>
      </c>
      <c r="E30" s="29" t="str" cm="1">
        <f t="array" ref="E30">IFERROR(INDEX(Data_Input!$1:$100, 9, MATCH(1, (Data_Input!$7:$7=$F$3) * (Data_Input!$8:$8=$B30), 0)),"")</f>
        <v/>
      </c>
      <c r="F30" s="20" t="str" cm="1">
        <f t="array" ref="F30">IFERROR(INDEX(Data_Input!$A$1:$ZZ$502, MATCH("예수금", INDEX(Data_Input!$A$1:$ZZ$502, 0, MATCH(1, (Data_Input!$7:$7=$F$3)*(Data_Input!$8:$8=$B30), 0)), 0) + 1, MATCH(1, (Data_Input!$7:$7=$F$3)*(Data_Input!$8:$8=$B30), 0)),"")</f>
        <v/>
      </c>
      <c r="G30" s="20" t="str" cm="1">
        <f t="array" ref="G30">IFERROR(INDEX(Data_Input!$A$1:$ZZ$502, MATCH("총자산", INDEX(Data_Input!$A$1:$ZZ$502, 0, MATCH(1, (Data_Input!$7:$7=$F$3)*(Data_Input!$8:$8=$B30), 0)), 0) + 1, MATCH(1, (Data_Input!$7:$7=$F$3)*(Data_Input!$8:$8=$B30), 0)),"")</f>
        <v/>
      </c>
      <c r="H30" s="20" t="str" cm="1">
        <f t="array" ref="H30">IFERROR(INDEX(Data_Input!$A$1:$ZZ$502, MATCH("매입금액", INDEX(Data_Input!$A$1:$ZZ$502, 0, MATCH(1, (Data_Input!$7:$7=$F$3)*(Data_Input!$8:$8=$B30), 0)), 0) + 1, MATCH(1, (Data_Input!$7:$7=$F$3)*(Data_Input!$8:$8=$B30), 0)),"")</f>
        <v/>
      </c>
      <c r="I30" s="20" t="str" cm="1">
        <f t="array" ref="I30">IFERROR(INDEX(Data_Input!$A$1:$ZZ$502, MATCH("평가금액", INDEX(Data_Input!$A$1:$ZZ$502, 0, MATCH(1, (Data_Input!$7:$7=$F$3)*(Data_Input!$8:$8=$B30), 0)), 0) + 1, MATCH(1, (Data_Input!$7:$7=$F$3)*(Data_Input!$8:$8=$B30), 0)),"")</f>
        <v/>
      </c>
      <c r="J30" s="20" t="str" cm="1">
        <f t="array" ref="J30">IFERROR(INDEX(Data_Input!$A$1:$ZZ$502, MATCH("평가손익", INDEX(Data_Input!$A$1:$ZZ$502, 0, MATCH(1, (Data_Input!$7:$7=$F$3)*(Data_Input!$8:$8=$B30), 0)), 0) + 1, MATCH(1, (Data_Input!$7:$7=$F$3)*(Data_Input!$8:$8=$B30), 0)),"")</f>
        <v/>
      </c>
      <c r="K30" s="14" t="str" cm="1">
        <f t="array" ref="K30">IFERROR(INDEX(Data_Input!$A$1:$ZZ$502, MATCH("총수익률", INDEX(Data_Input!$A$1:$ZZ$502, 0, MATCH(1, (Data_Input!$7:$7=$F$3)*(Data_Input!$8:$8=$B30), 0)), 0) + 1, MATCH(1, (Data_Input!$7:$7=$F$3)*(Data_Input!$8:$8=$B30), 0)),"")</f>
        <v/>
      </c>
      <c r="L30" t="str" cm="1">
        <f t="array" ref="L30">IFERROR(_xlfn.LET(
    _xlpm.targetDate, B30,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1" spans="1:12" x14ac:dyDescent="0.3">
      <c r="A31" s="16" t="str">
        <f t="shared" si="0"/>
        <v/>
      </c>
      <c r="B31" s="8"/>
      <c r="C31" s="17" t="str">
        <f t="shared" si="2"/>
        <v/>
      </c>
      <c r="D31" s="29" t="str" cm="1">
        <f t="array" ref="D31">IFERROR(INDEX(Data_Input!$1:$100, 10, MATCH(1, (Data_Input!$F$7:$ZZ$7=$F$3) * (Data_Input!$F$8:$ZZ$8=$B31), 0)),"")</f>
        <v/>
      </c>
      <c r="E31" s="29" t="str" cm="1">
        <f t="array" ref="E31">IFERROR(INDEX(Data_Input!$1:$100, 9, MATCH(1, (Data_Input!$7:$7=$F$3) * (Data_Input!$8:$8=$B31), 0)),"")</f>
        <v/>
      </c>
      <c r="F31" s="20" t="str" cm="1">
        <f t="array" ref="F31">IFERROR(INDEX(Data_Input!$A$1:$ZZ$502, MATCH("예수금", INDEX(Data_Input!$A$1:$ZZ$502, 0, MATCH(1, (Data_Input!$7:$7=$F$3)*(Data_Input!$8:$8=$B31), 0)), 0) + 1, MATCH(1, (Data_Input!$7:$7=$F$3)*(Data_Input!$8:$8=$B31), 0)),"")</f>
        <v/>
      </c>
      <c r="G31" s="20" t="str" cm="1">
        <f t="array" ref="G31">IFERROR(INDEX(Data_Input!$A$1:$ZZ$502, MATCH("총자산", INDEX(Data_Input!$A$1:$ZZ$502, 0, MATCH(1, (Data_Input!$7:$7=$F$3)*(Data_Input!$8:$8=$B31), 0)), 0) + 1, MATCH(1, (Data_Input!$7:$7=$F$3)*(Data_Input!$8:$8=$B31), 0)),"")</f>
        <v/>
      </c>
      <c r="H31" s="20" t="str" cm="1">
        <f t="array" ref="H31">IFERROR(INDEX(Data_Input!$A$1:$ZZ$502, MATCH("매입금액", INDEX(Data_Input!$A$1:$ZZ$502, 0, MATCH(1, (Data_Input!$7:$7=$F$3)*(Data_Input!$8:$8=$B31), 0)), 0) + 1, MATCH(1, (Data_Input!$7:$7=$F$3)*(Data_Input!$8:$8=$B31), 0)),"")</f>
        <v/>
      </c>
      <c r="I31" s="20" t="str" cm="1">
        <f t="array" ref="I31">IFERROR(INDEX(Data_Input!$A$1:$ZZ$502, MATCH("평가금액", INDEX(Data_Input!$A$1:$ZZ$502, 0, MATCH(1, (Data_Input!$7:$7=$F$3)*(Data_Input!$8:$8=$B31), 0)), 0) + 1, MATCH(1, (Data_Input!$7:$7=$F$3)*(Data_Input!$8:$8=$B31), 0)),"")</f>
        <v/>
      </c>
      <c r="J31" s="20" t="str" cm="1">
        <f t="array" ref="J31">IFERROR(INDEX(Data_Input!$A$1:$ZZ$502, MATCH("평가손익", INDEX(Data_Input!$A$1:$ZZ$502, 0, MATCH(1, (Data_Input!$7:$7=$F$3)*(Data_Input!$8:$8=$B31), 0)), 0) + 1, MATCH(1, (Data_Input!$7:$7=$F$3)*(Data_Input!$8:$8=$B31), 0)),"")</f>
        <v/>
      </c>
      <c r="K31" s="14" t="str" cm="1">
        <f t="array" ref="K31">IFERROR(INDEX(Data_Input!$A$1:$ZZ$502, MATCH("총수익률", INDEX(Data_Input!$A$1:$ZZ$502, 0, MATCH(1, (Data_Input!$7:$7=$F$3)*(Data_Input!$8:$8=$B31), 0)), 0) + 1, MATCH(1, (Data_Input!$7:$7=$F$3)*(Data_Input!$8:$8=$B31), 0)),"")</f>
        <v/>
      </c>
      <c r="L31" t="str" cm="1">
        <f t="array" ref="L31">IFERROR(_xlfn.LET(
    _xlpm.targetDate, B31,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2" spans="1:12" x14ac:dyDescent="0.3">
      <c r="A32" s="16" t="str">
        <f t="shared" si="0"/>
        <v/>
      </c>
      <c r="B32" s="8"/>
      <c r="C32" s="17" t="str">
        <f t="shared" si="2"/>
        <v/>
      </c>
      <c r="D32" s="29" t="str" cm="1">
        <f t="array" ref="D32">IFERROR(INDEX(Data_Input!$1:$100, 10, MATCH(1, (Data_Input!$F$7:$ZZ$7=$F$3) * (Data_Input!$F$8:$ZZ$8=$B32), 0)),"")</f>
        <v/>
      </c>
      <c r="E32" s="29" t="str" cm="1">
        <f t="array" ref="E32">IFERROR(INDEX(Data_Input!$1:$100, 9, MATCH(1, (Data_Input!$7:$7=$F$3) * (Data_Input!$8:$8=$B32), 0)),"")</f>
        <v/>
      </c>
      <c r="F32" s="20" t="str" cm="1">
        <f t="array" ref="F32">IFERROR(INDEX(Data_Input!$A$1:$ZZ$502, MATCH("예수금", INDEX(Data_Input!$A$1:$ZZ$502, 0, MATCH(1, (Data_Input!$7:$7=$F$3)*(Data_Input!$8:$8=$B32), 0)), 0) + 1, MATCH(1, (Data_Input!$7:$7=$F$3)*(Data_Input!$8:$8=$B32), 0)),"")</f>
        <v/>
      </c>
      <c r="G32" s="20" t="str" cm="1">
        <f t="array" ref="G32">IFERROR(INDEX(Data_Input!$A$1:$ZZ$502, MATCH("총자산", INDEX(Data_Input!$A$1:$ZZ$502, 0, MATCH(1, (Data_Input!$7:$7=$F$3)*(Data_Input!$8:$8=$B32), 0)), 0) + 1, MATCH(1, (Data_Input!$7:$7=$F$3)*(Data_Input!$8:$8=$B32), 0)),"")</f>
        <v/>
      </c>
      <c r="H32" s="20" t="str" cm="1">
        <f t="array" ref="H32">IFERROR(INDEX(Data_Input!$A$1:$ZZ$502, MATCH("매입금액", INDEX(Data_Input!$A$1:$ZZ$502, 0, MATCH(1, (Data_Input!$7:$7=$F$3)*(Data_Input!$8:$8=$B32), 0)), 0) + 1, MATCH(1, (Data_Input!$7:$7=$F$3)*(Data_Input!$8:$8=$B32), 0)),"")</f>
        <v/>
      </c>
      <c r="I32" s="20" t="str" cm="1">
        <f t="array" ref="I32">IFERROR(INDEX(Data_Input!$A$1:$ZZ$502, MATCH("평가금액", INDEX(Data_Input!$A$1:$ZZ$502, 0, MATCH(1, (Data_Input!$7:$7=$F$3)*(Data_Input!$8:$8=$B32), 0)), 0) + 1, MATCH(1, (Data_Input!$7:$7=$F$3)*(Data_Input!$8:$8=$B32), 0)),"")</f>
        <v/>
      </c>
      <c r="J32" s="20" t="str" cm="1">
        <f t="array" ref="J32">IFERROR(INDEX(Data_Input!$A$1:$ZZ$502, MATCH("평가손익", INDEX(Data_Input!$A$1:$ZZ$502, 0, MATCH(1, (Data_Input!$7:$7=$F$3)*(Data_Input!$8:$8=$B32), 0)), 0) + 1, MATCH(1, (Data_Input!$7:$7=$F$3)*(Data_Input!$8:$8=$B32), 0)),"")</f>
        <v/>
      </c>
      <c r="K32" s="14" t="str" cm="1">
        <f t="array" ref="K32">IFERROR(INDEX(Data_Input!$A$1:$ZZ$502, MATCH("총수익률", INDEX(Data_Input!$A$1:$ZZ$502, 0, MATCH(1, (Data_Input!$7:$7=$F$3)*(Data_Input!$8:$8=$B32), 0)), 0) + 1, MATCH(1, (Data_Input!$7:$7=$F$3)*(Data_Input!$8:$8=$B32), 0)),"")</f>
        <v/>
      </c>
      <c r="L32" t="str" cm="1">
        <f t="array" ref="L32">IFERROR(_xlfn.LET(
    _xlpm.targetDate, B32,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3" spans="1:12" x14ac:dyDescent="0.3">
      <c r="A33" s="16" t="str">
        <f t="shared" si="0"/>
        <v/>
      </c>
      <c r="B33" s="8"/>
      <c r="C33" s="17" t="str">
        <f t="shared" si="2"/>
        <v/>
      </c>
      <c r="D33" s="29" t="str" cm="1">
        <f t="array" ref="D33">IFERROR(INDEX(Data_Input!$1:$100, 10, MATCH(1, (Data_Input!$F$7:$ZZ$7=$F$3) * (Data_Input!$F$8:$ZZ$8=$B33), 0)),"")</f>
        <v/>
      </c>
      <c r="E33" s="29" t="str" cm="1">
        <f t="array" ref="E33">IFERROR(INDEX(Data_Input!$1:$100, 9, MATCH(1, (Data_Input!$7:$7=$F$3) * (Data_Input!$8:$8=$B33), 0)),"")</f>
        <v/>
      </c>
      <c r="F33" s="20" t="str" cm="1">
        <f t="array" ref="F33">IFERROR(INDEX(Data_Input!$A$1:$ZZ$502, MATCH("예수금", INDEX(Data_Input!$A$1:$ZZ$502, 0, MATCH(1, (Data_Input!$7:$7=$F$3)*(Data_Input!$8:$8=$B33), 0)), 0) + 1, MATCH(1, (Data_Input!$7:$7=$F$3)*(Data_Input!$8:$8=$B33), 0)),"")</f>
        <v/>
      </c>
      <c r="G33" s="20" t="str" cm="1">
        <f t="array" ref="G33">IFERROR(INDEX(Data_Input!$A$1:$ZZ$502, MATCH("총자산", INDEX(Data_Input!$A$1:$ZZ$502, 0, MATCH(1, (Data_Input!$7:$7=$F$3)*(Data_Input!$8:$8=$B33), 0)), 0) + 1, MATCH(1, (Data_Input!$7:$7=$F$3)*(Data_Input!$8:$8=$B33), 0)),"")</f>
        <v/>
      </c>
      <c r="H33" s="20" t="str" cm="1">
        <f t="array" ref="H33">IFERROR(INDEX(Data_Input!$A$1:$ZZ$502, MATCH("매입금액", INDEX(Data_Input!$A$1:$ZZ$502, 0, MATCH(1, (Data_Input!$7:$7=$F$3)*(Data_Input!$8:$8=$B33), 0)), 0) + 1, MATCH(1, (Data_Input!$7:$7=$F$3)*(Data_Input!$8:$8=$B33), 0)),"")</f>
        <v/>
      </c>
      <c r="I33" s="20" t="str" cm="1">
        <f t="array" ref="I33">IFERROR(INDEX(Data_Input!$A$1:$ZZ$502, MATCH("평가금액", INDEX(Data_Input!$A$1:$ZZ$502, 0, MATCH(1, (Data_Input!$7:$7=$F$3)*(Data_Input!$8:$8=$B33), 0)), 0) + 1, MATCH(1, (Data_Input!$7:$7=$F$3)*(Data_Input!$8:$8=$B33), 0)),"")</f>
        <v/>
      </c>
      <c r="J33" s="20" t="str" cm="1">
        <f t="array" ref="J33">IFERROR(INDEX(Data_Input!$A$1:$ZZ$502, MATCH("평가손익", INDEX(Data_Input!$A$1:$ZZ$502, 0, MATCH(1, (Data_Input!$7:$7=$F$3)*(Data_Input!$8:$8=$B33), 0)), 0) + 1, MATCH(1, (Data_Input!$7:$7=$F$3)*(Data_Input!$8:$8=$B33), 0)),"")</f>
        <v/>
      </c>
      <c r="K33" s="14" t="str" cm="1">
        <f t="array" ref="K33">IFERROR(INDEX(Data_Input!$A$1:$ZZ$502, MATCH("총수익률", INDEX(Data_Input!$A$1:$ZZ$502, 0, MATCH(1, (Data_Input!$7:$7=$F$3)*(Data_Input!$8:$8=$B33), 0)), 0) + 1, MATCH(1, (Data_Input!$7:$7=$F$3)*(Data_Input!$8:$8=$B33), 0)),"")</f>
        <v/>
      </c>
      <c r="L33" t="str" cm="1">
        <f t="array" ref="L33">IFERROR(_xlfn.LET(
    _xlpm.targetDate, B33,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4" spans="1:12" x14ac:dyDescent="0.3">
      <c r="A34" s="16" t="str">
        <f t="shared" si="0"/>
        <v/>
      </c>
      <c r="B34" s="8"/>
      <c r="C34" s="17" t="str">
        <f t="shared" si="2"/>
        <v/>
      </c>
      <c r="D34" s="29" t="str" cm="1">
        <f t="array" ref="D34">IFERROR(INDEX(Data_Input!$1:$100, 10, MATCH(1, (Data_Input!$F$7:$ZZ$7=$F$3) * (Data_Input!$F$8:$ZZ$8=$B34), 0)),"")</f>
        <v/>
      </c>
      <c r="E34" s="29" t="str" cm="1">
        <f t="array" ref="E34">IFERROR(INDEX(Data_Input!$1:$100, 9, MATCH(1, (Data_Input!$7:$7=$F$3) * (Data_Input!$8:$8=$B34), 0)),"")</f>
        <v/>
      </c>
      <c r="F34" s="20" t="str" cm="1">
        <f t="array" ref="F34">IFERROR(INDEX(Data_Input!$A$1:$ZZ$502, MATCH("예수금", INDEX(Data_Input!$A$1:$ZZ$502, 0, MATCH(1, (Data_Input!$7:$7=$F$3)*(Data_Input!$8:$8=$B34), 0)), 0) + 1, MATCH(1, (Data_Input!$7:$7=$F$3)*(Data_Input!$8:$8=$B34), 0)),"")</f>
        <v/>
      </c>
      <c r="G34" s="20" t="str" cm="1">
        <f t="array" ref="G34">IFERROR(INDEX(Data_Input!$A$1:$ZZ$502, MATCH("총자산", INDEX(Data_Input!$A$1:$ZZ$502, 0, MATCH(1, (Data_Input!$7:$7=$F$3)*(Data_Input!$8:$8=$B34), 0)), 0) + 1, MATCH(1, (Data_Input!$7:$7=$F$3)*(Data_Input!$8:$8=$B34), 0)),"")</f>
        <v/>
      </c>
      <c r="H34" s="20" t="str" cm="1">
        <f t="array" ref="H34">IFERROR(INDEX(Data_Input!$A$1:$ZZ$502, MATCH("매입금액", INDEX(Data_Input!$A$1:$ZZ$502, 0, MATCH(1, (Data_Input!$7:$7=$F$3)*(Data_Input!$8:$8=$B34), 0)), 0) + 1, MATCH(1, (Data_Input!$7:$7=$F$3)*(Data_Input!$8:$8=$B34), 0)),"")</f>
        <v/>
      </c>
      <c r="I34" s="20" t="str" cm="1">
        <f t="array" ref="I34">IFERROR(INDEX(Data_Input!$A$1:$ZZ$502, MATCH("평가금액", INDEX(Data_Input!$A$1:$ZZ$502, 0, MATCH(1, (Data_Input!$7:$7=$F$3)*(Data_Input!$8:$8=$B34), 0)), 0) + 1, MATCH(1, (Data_Input!$7:$7=$F$3)*(Data_Input!$8:$8=$B34), 0)),"")</f>
        <v/>
      </c>
      <c r="J34" s="20" t="str" cm="1">
        <f t="array" ref="J34">IFERROR(INDEX(Data_Input!$A$1:$ZZ$502, MATCH("평가손익", INDEX(Data_Input!$A$1:$ZZ$502, 0, MATCH(1, (Data_Input!$7:$7=$F$3)*(Data_Input!$8:$8=$B34), 0)), 0) + 1, MATCH(1, (Data_Input!$7:$7=$F$3)*(Data_Input!$8:$8=$B34), 0)),"")</f>
        <v/>
      </c>
      <c r="K34" s="14" t="str" cm="1">
        <f t="array" ref="K34">IFERROR(INDEX(Data_Input!$A$1:$ZZ$502, MATCH("총수익률", INDEX(Data_Input!$A$1:$ZZ$502, 0, MATCH(1, (Data_Input!$7:$7=$F$3)*(Data_Input!$8:$8=$B34), 0)), 0) + 1, MATCH(1, (Data_Input!$7:$7=$F$3)*(Data_Input!$8:$8=$B34), 0)),"")</f>
        <v/>
      </c>
      <c r="L34" t="str" cm="1">
        <f t="array" ref="L34">IFERROR(_xlfn.LET(
    _xlpm.targetDate, B34,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5" spans="1:12" x14ac:dyDescent="0.3">
      <c r="A35" s="16" t="str">
        <f t="shared" si="0"/>
        <v/>
      </c>
      <c r="B35" s="8"/>
      <c r="C35" s="17" t="str">
        <f t="shared" si="2"/>
        <v/>
      </c>
      <c r="D35" s="29" t="str" cm="1">
        <f t="array" ref="D35">IFERROR(INDEX(Data_Input!$1:$100, 10, MATCH(1, (Data_Input!$F$7:$ZZ$7=$F$3) * (Data_Input!$F$8:$ZZ$8=$B35), 0)),"")</f>
        <v/>
      </c>
      <c r="E35" s="29" t="str" cm="1">
        <f t="array" ref="E35">IFERROR(INDEX(Data_Input!$1:$100, 9, MATCH(1, (Data_Input!$7:$7=$F$3) * (Data_Input!$8:$8=$B35), 0)),"")</f>
        <v/>
      </c>
      <c r="F35" s="20" t="str" cm="1">
        <f t="array" ref="F35">IFERROR(INDEX(Data_Input!$A$1:$ZZ$502, MATCH("예수금", INDEX(Data_Input!$A$1:$ZZ$502, 0, MATCH(1, (Data_Input!$7:$7=$F$3)*(Data_Input!$8:$8=$B35), 0)), 0) + 1, MATCH(1, (Data_Input!$7:$7=$F$3)*(Data_Input!$8:$8=$B35), 0)),"")</f>
        <v/>
      </c>
      <c r="G35" s="20" t="str" cm="1">
        <f t="array" ref="G35">IFERROR(INDEX(Data_Input!$A$1:$ZZ$502, MATCH("총자산", INDEX(Data_Input!$A$1:$ZZ$502, 0, MATCH(1, (Data_Input!$7:$7=$F$3)*(Data_Input!$8:$8=$B35), 0)), 0) + 1, MATCH(1, (Data_Input!$7:$7=$F$3)*(Data_Input!$8:$8=$B35), 0)),"")</f>
        <v/>
      </c>
      <c r="H35" s="20" t="str" cm="1">
        <f t="array" ref="H35">IFERROR(INDEX(Data_Input!$A$1:$ZZ$502, MATCH("매입금액", INDEX(Data_Input!$A$1:$ZZ$502, 0, MATCH(1, (Data_Input!$7:$7=$F$3)*(Data_Input!$8:$8=$B35), 0)), 0) + 1, MATCH(1, (Data_Input!$7:$7=$F$3)*(Data_Input!$8:$8=$B35), 0)),"")</f>
        <v/>
      </c>
      <c r="I35" s="20" t="str" cm="1">
        <f t="array" ref="I35">IFERROR(INDEX(Data_Input!$A$1:$ZZ$502, MATCH("평가금액", INDEX(Data_Input!$A$1:$ZZ$502, 0, MATCH(1, (Data_Input!$7:$7=$F$3)*(Data_Input!$8:$8=$B35), 0)), 0) + 1, MATCH(1, (Data_Input!$7:$7=$F$3)*(Data_Input!$8:$8=$B35), 0)),"")</f>
        <v/>
      </c>
      <c r="J35" s="20" t="str" cm="1">
        <f t="array" ref="J35">IFERROR(INDEX(Data_Input!$A$1:$ZZ$502, MATCH("평가손익", INDEX(Data_Input!$A$1:$ZZ$502, 0, MATCH(1, (Data_Input!$7:$7=$F$3)*(Data_Input!$8:$8=$B35), 0)), 0) + 1, MATCH(1, (Data_Input!$7:$7=$F$3)*(Data_Input!$8:$8=$B35), 0)),"")</f>
        <v/>
      </c>
      <c r="K35" s="14" t="str" cm="1">
        <f t="array" ref="K35">IFERROR(INDEX(Data_Input!$A$1:$ZZ$502, MATCH("총수익률", INDEX(Data_Input!$A$1:$ZZ$502, 0, MATCH(1, (Data_Input!$7:$7=$F$3)*(Data_Input!$8:$8=$B35), 0)), 0) + 1, MATCH(1, (Data_Input!$7:$7=$F$3)*(Data_Input!$8:$8=$B35), 0)),"")</f>
        <v/>
      </c>
      <c r="L35" t="str" cm="1">
        <f t="array" ref="L35">IFERROR(_xlfn.LET(
    _xlpm.targetDate, B35,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6" spans="1:12" x14ac:dyDescent="0.3">
      <c r="A36" s="16" t="str">
        <f t="shared" si="0"/>
        <v/>
      </c>
      <c r="B36" s="8"/>
      <c r="C36" s="17" t="str">
        <f t="shared" si="2"/>
        <v/>
      </c>
      <c r="D36" s="29" t="str" cm="1">
        <f t="array" ref="D36">IFERROR(INDEX(Data_Input!$1:$100, 10, MATCH(1, (Data_Input!$F$7:$ZZ$7=$F$3) * (Data_Input!$F$8:$ZZ$8=$B36), 0)),"")</f>
        <v/>
      </c>
      <c r="E36" s="29" t="str" cm="1">
        <f t="array" ref="E36">IFERROR(INDEX(Data_Input!$1:$100, 9, MATCH(1, (Data_Input!$7:$7=$F$3) * (Data_Input!$8:$8=$B36), 0)),"")</f>
        <v/>
      </c>
      <c r="F36" s="20" t="str" cm="1">
        <f t="array" ref="F36">IFERROR(INDEX(Data_Input!$A$1:$ZZ$502, MATCH("예수금", INDEX(Data_Input!$A$1:$ZZ$502, 0, MATCH(1, (Data_Input!$7:$7=$F$3)*(Data_Input!$8:$8=$B36), 0)), 0) + 1, MATCH(1, (Data_Input!$7:$7=$F$3)*(Data_Input!$8:$8=$B36), 0)),"")</f>
        <v/>
      </c>
      <c r="G36" s="20" t="str" cm="1">
        <f t="array" ref="G36">IFERROR(INDEX(Data_Input!$A$1:$ZZ$502, MATCH("총자산", INDEX(Data_Input!$A$1:$ZZ$502, 0, MATCH(1, (Data_Input!$7:$7=$F$3)*(Data_Input!$8:$8=$B36), 0)), 0) + 1, MATCH(1, (Data_Input!$7:$7=$F$3)*(Data_Input!$8:$8=$B36), 0)),"")</f>
        <v/>
      </c>
      <c r="H36" s="20" t="str" cm="1">
        <f t="array" ref="H36">IFERROR(INDEX(Data_Input!$A$1:$ZZ$502, MATCH("매입금액", INDEX(Data_Input!$A$1:$ZZ$502, 0, MATCH(1, (Data_Input!$7:$7=$F$3)*(Data_Input!$8:$8=$B36), 0)), 0) + 1, MATCH(1, (Data_Input!$7:$7=$F$3)*(Data_Input!$8:$8=$B36), 0)),"")</f>
        <v/>
      </c>
      <c r="I36" s="20" t="str" cm="1">
        <f t="array" ref="I36">IFERROR(INDEX(Data_Input!$A$1:$ZZ$502, MATCH("평가금액", INDEX(Data_Input!$A$1:$ZZ$502, 0, MATCH(1, (Data_Input!$7:$7=$F$3)*(Data_Input!$8:$8=$B36), 0)), 0) + 1, MATCH(1, (Data_Input!$7:$7=$F$3)*(Data_Input!$8:$8=$B36), 0)),"")</f>
        <v/>
      </c>
      <c r="J36" s="20" t="str" cm="1">
        <f t="array" ref="J36">IFERROR(INDEX(Data_Input!$A$1:$ZZ$502, MATCH("평가손익", INDEX(Data_Input!$A$1:$ZZ$502, 0, MATCH(1, (Data_Input!$7:$7=$F$3)*(Data_Input!$8:$8=$B36), 0)), 0) + 1, MATCH(1, (Data_Input!$7:$7=$F$3)*(Data_Input!$8:$8=$B36), 0)),"")</f>
        <v/>
      </c>
      <c r="K36" s="14" t="str" cm="1">
        <f t="array" ref="K36">IFERROR(INDEX(Data_Input!$A$1:$ZZ$502, MATCH("총수익률", INDEX(Data_Input!$A$1:$ZZ$502, 0, MATCH(1, (Data_Input!$7:$7=$F$3)*(Data_Input!$8:$8=$B36), 0)), 0) + 1, MATCH(1, (Data_Input!$7:$7=$F$3)*(Data_Input!$8:$8=$B36), 0)),"")</f>
        <v/>
      </c>
      <c r="L36" t="str" cm="1">
        <f t="array" ref="L36">IFERROR(_xlfn.LET(
    _xlpm.targetDate, B36,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7" spans="1:12" x14ac:dyDescent="0.3">
      <c r="A37" s="16" t="str">
        <f t="shared" si="0"/>
        <v/>
      </c>
      <c r="B37" s="8"/>
      <c r="C37" s="17" t="str">
        <f t="shared" si="2"/>
        <v/>
      </c>
      <c r="D37" s="29" t="str" cm="1">
        <f t="array" ref="D37">IFERROR(INDEX(Data_Input!$1:$100, 10, MATCH(1, (Data_Input!$F$7:$ZZ$7=$F$3) * (Data_Input!$F$8:$ZZ$8=$B37), 0)),"")</f>
        <v/>
      </c>
      <c r="E37" s="29" t="str" cm="1">
        <f t="array" ref="E37">IFERROR(INDEX(Data_Input!$1:$100, 9, MATCH(1, (Data_Input!$7:$7=$F$3) * (Data_Input!$8:$8=$B37), 0)),"")</f>
        <v/>
      </c>
      <c r="F37" s="20" t="str" cm="1">
        <f t="array" ref="F37">IFERROR(INDEX(Data_Input!$A$1:$ZZ$502, MATCH("예수금", INDEX(Data_Input!$A$1:$ZZ$502, 0, MATCH(1, (Data_Input!$7:$7=$F$3)*(Data_Input!$8:$8=$B37), 0)), 0) + 1, MATCH(1, (Data_Input!$7:$7=$F$3)*(Data_Input!$8:$8=$B37), 0)),"")</f>
        <v/>
      </c>
      <c r="G37" s="20" t="str" cm="1">
        <f t="array" ref="G37">IFERROR(INDEX(Data_Input!$A$1:$ZZ$502, MATCH("총자산", INDEX(Data_Input!$A$1:$ZZ$502, 0, MATCH(1, (Data_Input!$7:$7=$F$3)*(Data_Input!$8:$8=$B37), 0)), 0) + 1, MATCH(1, (Data_Input!$7:$7=$F$3)*(Data_Input!$8:$8=$B37), 0)),"")</f>
        <v/>
      </c>
      <c r="H37" s="20" t="str" cm="1">
        <f t="array" ref="H37">IFERROR(INDEX(Data_Input!$A$1:$ZZ$502, MATCH("매입금액", INDEX(Data_Input!$A$1:$ZZ$502, 0, MATCH(1, (Data_Input!$7:$7=$F$3)*(Data_Input!$8:$8=$B37), 0)), 0) + 1, MATCH(1, (Data_Input!$7:$7=$F$3)*(Data_Input!$8:$8=$B37), 0)),"")</f>
        <v/>
      </c>
      <c r="I37" s="20" t="str" cm="1">
        <f t="array" ref="I37">IFERROR(INDEX(Data_Input!$A$1:$ZZ$502, MATCH("평가금액", INDEX(Data_Input!$A$1:$ZZ$502, 0, MATCH(1, (Data_Input!$7:$7=$F$3)*(Data_Input!$8:$8=$B37), 0)), 0) + 1, MATCH(1, (Data_Input!$7:$7=$F$3)*(Data_Input!$8:$8=$B37), 0)),"")</f>
        <v/>
      </c>
      <c r="J37" s="20" t="str" cm="1">
        <f t="array" ref="J37">IFERROR(INDEX(Data_Input!$A$1:$ZZ$502, MATCH("평가손익", INDEX(Data_Input!$A$1:$ZZ$502, 0, MATCH(1, (Data_Input!$7:$7=$F$3)*(Data_Input!$8:$8=$B37), 0)), 0) + 1, MATCH(1, (Data_Input!$7:$7=$F$3)*(Data_Input!$8:$8=$B37), 0)),"")</f>
        <v/>
      </c>
      <c r="K37" s="14" t="str" cm="1">
        <f t="array" ref="K37">IFERROR(INDEX(Data_Input!$A$1:$ZZ$502, MATCH("총수익률", INDEX(Data_Input!$A$1:$ZZ$502, 0, MATCH(1, (Data_Input!$7:$7=$F$3)*(Data_Input!$8:$8=$B37), 0)), 0) + 1, MATCH(1, (Data_Input!$7:$7=$F$3)*(Data_Input!$8:$8=$B37), 0)),"")</f>
        <v/>
      </c>
      <c r="L37" t="str" cm="1">
        <f t="array" ref="L37">IFERROR(_xlfn.LET(
    _xlpm.targetDate, B37,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8" spans="1:12" x14ac:dyDescent="0.3">
      <c r="A38" s="16" t="str">
        <f t="shared" si="0"/>
        <v/>
      </c>
      <c r="B38" s="8"/>
      <c r="C38" s="17" t="str">
        <f t="shared" si="2"/>
        <v/>
      </c>
      <c r="D38" s="29" t="str" cm="1">
        <f t="array" ref="D38">IFERROR(INDEX(Data_Input!$1:$100, 10, MATCH(1, (Data_Input!$F$7:$ZZ$7=$F$3) * (Data_Input!$F$8:$ZZ$8=$B38), 0)),"")</f>
        <v/>
      </c>
      <c r="E38" s="29" t="str" cm="1">
        <f t="array" ref="E38">IFERROR(INDEX(Data_Input!$1:$100, 9, MATCH(1, (Data_Input!$7:$7=$F$3) * (Data_Input!$8:$8=$B38), 0)),"")</f>
        <v/>
      </c>
      <c r="F38" s="20" t="str" cm="1">
        <f t="array" ref="F38">IFERROR(INDEX(Data_Input!$A$1:$ZZ$502, MATCH("예수금", INDEX(Data_Input!$A$1:$ZZ$502, 0, MATCH(1, (Data_Input!$7:$7=$F$3)*(Data_Input!$8:$8=$B38), 0)), 0) + 1, MATCH(1, (Data_Input!$7:$7=$F$3)*(Data_Input!$8:$8=$B38), 0)),"")</f>
        <v/>
      </c>
      <c r="G38" s="20" t="str" cm="1">
        <f t="array" ref="G38">IFERROR(INDEX(Data_Input!$A$1:$ZZ$502, MATCH("총자산", INDEX(Data_Input!$A$1:$ZZ$502, 0, MATCH(1, (Data_Input!$7:$7=$F$3)*(Data_Input!$8:$8=$B38), 0)), 0) + 1, MATCH(1, (Data_Input!$7:$7=$F$3)*(Data_Input!$8:$8=$B38), 0)),"")</f>
        <v/>
      </c>
      <c r="H38" s="20" t="str" cm="1">
        <f t="array" ref="H38">IFERROR(INDEX(Data_Input!$A$1:$ZZ$502, MATCH("매입금액", INDEX(Data_Input!$A$1:$ZZ$502, 0, MATCH(1, (Data_Input!$7:$7=$F$3)*(Data_Input!$8:$8=$B38), 0)), 0) + 1, MATCH(1, (Data_Input!$7:$7=$F$3)*(Data_Input!$8:$8=$B38), 0)),"")</f>
        <v/>
      </c>
      <c r="I38" s="20" t="str" cm="1">
        <f t="array" ref="I38">IFERROR(INDEX(Data_Input!$A$1:$ZZ$502, MATCH("평가금액", INDEX(Data_Input!$A$1:$ZZ$502, 0, MATCH(1, (Data_Input!$7:$7=$F$3)*(Data_Input!$8:$8=$B38), 0)), 0) + 1, MATCH(1, (Data_Input!$7:$7=$F$3)*(Data_Input!$8:$8=$B38), 0)),"")</f>
        <v/>
      </c>
      <c r="J38" s="20" t="str" cm="1">
        <f t="array" ref="J38">IFERROR(INDEX(Data_Input!$A$1:$ZZ$502, MATCH("평가손익", INDEX(Data_Input!$A$1:$ZZ$502, 0, MATCH(1, (Data_Input!$7:$7=$F$3)*(Data_Input!$8:$8=$B38), 0)), 0) + 1, MATCH(1, (Data_Input!$7:$7=$F$3)*(Data_Input!$8:$8=$B38), 0)),"")</f>
        <v/>
      </c>
      <c r="K38" s="14" t="str" cm="1">
        <f t="array" ref="K38">IFERROR(INDEX(Data_Input!$A$1:$ZZ$502, MATCH("총수익률", INDEX(Data_Input!$A$1:$ZZ$502, 0, MATCH(1, (Data_Input!$7:$7=$F$3)*(Data_Input!$8:$8=$B38), 0)), 0) + 1, MATCH(1, (Data_Input!$7:$7=$F$3)*(Data_Input!$8:$8=$B38), 0)),"")</f>
        <v/>
      </c>
      <c r="L38" t="str" cm="1">
        <f t="array" ref="L38">IFERROR(_xlfn.LET(
    _xlpm.targetDate, B38,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9" spans="1:12" x14ac:dyDescent="0.3">
      <c r="A39" s="16" t="str">
        <f t="shared" si="0"/>
        <v/>
      </c>
      <c r="B39" s="8"/>
      <c r="C39" s="17" t="str">
        <f t="shared" si="2"/>
        <v/>
      </c>
      <c r="D39" s="29" t="str" cm="1">
        <f t="array" ref="D39">IFERROR(INDEX(Data_Input!$1:$100, 10, MATCH(1, (Data_Input!$F$7:$ZZ$7=$F$3) * (Data_Input!$F$8:$ZZ$8=$B39), 0)),"")</f>
        <v/>
      </c>
      <c r="E39" s="29" t="str" cm="1">
        <f t="array" ref="E39">IFERROR(INDEX(Data_Input!$1:$100, 9, MATCH(1, (Data_Input!$7:$7=$F$3) * (Data_Input!$8:$8=$B39), 0)),"")</f>
        <v/>
      </c>
      <c r="F39" s="20" t="str" cm="1">
        <f t="array" ref="F39">IFERROR(INDEX(Data_Input!$A$1:$ZZ$502, MATCH("예수금", INDEX(Data_Input!$A$1:$ZZ$502, 0, MATCH(1, (Data_Input!$7:$7=$F$3)*(Data_Input!$8:$8=$B39), 0)), 0) + 1, MATCH(1, (Data_Input!$7:$7=$F$3)*(Data_Input!$8:$8=$B39), 0)),"")</f>
        <v/>
      </c>
      <c r="G39" s="20" t="str" cm="1">
        <f t="array" ref="G39">IFERROR(INDEX(Data_Input!$A$1:$ZZ$502, MATCH("총자산", INDEX(Data_Input!$A$1:$ZZ$502, 0, MATCH(1, (Data_Input!$7:$7=$F$3)*(Data_Input!$8:$8=$B39), 0)), 0) + 1, MATCH(1, (Data_Input!$7:$7=$F$3)*(Data_Input!$8:$8=$B39), 0)),"")</f>
        <v/>
      </c>
      <c r="H39" s="20" t="str" cm="1">
        <f t="array" ref="H39">IFERROR(INDEX(Data_Input!$A$1:$ZZ$502, MATCH("매입금액", INDEX(Data_Input!$A$1:$ZZ$502, 0, MATCH(1, (Data_Input!$7:$7=$F$3)*(Data_Input!$8:$8=$B39), 0)), 0) + 1, MATCH(1, (Data_Input!$7:$7=$F$3)*(Data_Input!$8:$8=$B39), 0)),"")</f>
        <v/>
      </c>
      <c r="I39" s="20" t="str" cm="1">
        <f t="array" ref="I39">IFERROR(INDEX(Data_Input!$A$1:$ZZ$502, MATCH("평가금액", INDEX(Data_Input!$A$1:$ZZ$502, 0, MATCH(1, (Data_Input!$7:$7=$F$3)*(Data_Input!$8:$8=$B39), 0)), 0) + 1, MATCH(1, (Data_Input!$7:$7=$F$3)*(Data_Input!$8:$8=$B39), 0)),"")</f>
        <v/>
      </c>
      <c r="J39" s="20" t="str" cm="1">
        <f t="array" ref="J39">IFERROR(INDEX(Data_Input!$A$1:$ZZ$502, MATCH("평가손익", INDEX(Data_Input!$A$1:$ZZ$502, 0, MATCH(1, (Data_Input!$7:$7=$F$3)*(Data_Input!$8:$8=$B39), 0)), 0) + 1, MATCH(1, (Data_Input!$7:$7=$F$3)*(Data_Input!$8:$8=$B39), 0)),"")</f>
        <v/>
      </c>
      <c r="K39" s="14" t="str" cm="1">
        <f t="array" ref="K39">IFERROR(INDEX(Data_Input!$A$1:$ZZ$502, MATCH("총수익률", INDEX(Data_Input!$A$1:$ZZ$502, 0, MATCH(1, (Data_Input!$7:$7=$F$3)*(Data_Input!$8:$8=$B39), 0)), 0) + 1, MATCH(1, (Data_Input!$7:$7=$F$3)*(Data_Input!$8:$8=$B39), 0)),"")</f>
        <v/>
      </c>
      <c r="L39" t="str" cm="1">
        <f t="array" ref="L39">IFERROR(_xlfn.LET(
    _xlpm.targetDate, B39,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40" spans="1:12" x14ac:dyDescent="0.3">
      <c r="A40" s="16" t="str">
        <f t="shared" si="0"/>
        <v/>
      </c>
      <c r="B40" s="8"/>
      <c r="C40" s="17" t="str">
        <f t="shared" si="2"/>
        <v/>
      </c>
      <c r="D40" s="29" t="str" cm="1">
        <f t="array" ref="D40">IFERROR(INDEX(Data_Input!$1:$100, 10, MATCH(1, (Data_Input!$F$7:$ZZ$7=$F$3) * (Data_Input!$F$8:$ZZ$8=$B40), 0)),"")</f>
        <v/>
      </c>
      <c r="E40" s="29" t="str" cm="1">
        <f t="array" ref="E40">IFERROR(INDEX(Data_Input!$1:$100, 9, MATCH(1, (Data_Input!$7:$7=$F$3) * (Data_Input!$8:$8=$B40), 0)),"")</f>
        <v/>
      </c>
      <c r="F40" s="20" t="str" cm="1">
        <f t="array" ref="F40">IFERROR(INDEX(Data_Input!$A$1:$ZZ$502, MATCH("예수금", INDEX(Data_Input!$A$1:$ZZ$502, 0, MATCH(1, (Data_Input!$7:$7=$F$3)*(Data_Input!$8:$8=$B40), 0)), 0) + 1, MATCH(1, (Data_Input!$7:$7=$F$3)*(Data_Input!$8:$8=$B40), 0)),"")</f>
        <v/>
      </c>
      <c r="G40" s="20" t="str" cm="1">
        <f t="array" ref="G40">IFERROR(INDEX(Data_Input!$A$1:$ZZ$502, MATCH("총자산", INDEX(Data_Input!$A$1:$ZZ$502, 0, MATCH(1, (Data_Input!$7:$7=$F$3)*(Data_Input!$8:$8=$B40), 0)), 0) + 1, MATCH(1, (Data_Input!$7:$7=$F$3)*(Data_Input!$8:$8=$B40), 0)),"")</f>
        <v/>
      </c>
      <c r="H40" s="20" t="str" cm="1">
        <f t="array" ref="H40">IFERROR(INDEX(Data_Input!$A$1:$ZZ$502, MATCH("매입금액", INDEX(Data_Input!$A$1:$ZZ$502, 0, MATCH(1, (Data_Input!$7:$7=$F$3)*(Data_Input!$8:$8=$B40), 0)), 0) + 1, MATCH(1, (Data_Input!$7:$7=$F$3)*(Data_Input!$8:$8=$B40), 0)),"")</f>
        <v/>
      </c>
      <c r="I40" s="20" t="str" cm="1">
        <f t="array" ref="I40">IFERROR(INDEX(Data_Input!$A$1:$ZZ$502, MATCH("평가금액", INDEX(Data_Input!$A$1:$ZZ$502, 0, MATCH(1, (Data_Input!$7:$7=$F$3)*(Data_Input!$8:$8=$B40), 0)), 0) + 1, MATCH(1, (Data_Input!$7:$7=$F$3)*(Data_Input!$8:$8=$B40), 0)),"")</f>
        <v/>
      </c>
      <c r="J40" s="20" t="str" cm="1">
        <f t="array" ref="J40">IFERROR(INDEX(Data_Input!$A$1:$ZZ$502, MATCH("평가손익", INDEX(Data_Input!$A$1:$ZZ$502, 0, MATCH(1, (Data_Input!$7:$7=$F$3)*(Data_Input!$8:$8=$B40), 0)), 0) + 1, MATCH(1, (Data_Input!$7:$7=$F$3)*(Data_Input!$8:$8=$B40), 0)),"")</f>
        <v/>
      </c>
      <c r="K40" s="14" t="str" cm="1">
        <f t="array" ref="K40">IFERROR(INDEX(Data_Input!$A$1:$ZZ$502, MATCH("총수익률", INDEX(Data_Input!$A$1:$ZZ$502, 0, MATCH(1, (Data_Input!$7:$7=$F$3)*(Data_Input!$8:$8=$B40), 0)), 0) + 1, MATCH(1, (Data_Input!$7:$7=$F$3)*(Data_Input!$8:$8=$B40), 0)),"")</f>
        <v/>
      </c>
      <c r="L40" t="str" cm="1">
        <f t="array" ref="L40">IFERROR(_xlfn.LET(
    _xlpm.targetDate, B40,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41" spans="1:12" x14ac:dyDescent="0.3">
      <c r="A41" s="16" t="str">
        <f t="shared" si="0"/>
        <v/>
      </c>
      <c r="B41" s="8"/>
      <c r="C41" s="17" t="str">
        <f t="shared" si="2"/>
        <v/>
      </c>
      <c r="D41" s="29" t="str" cm="1">
        <f t="array" ref="D41">IFERROR(INDEX(Data_Input!$1:$100, 10, MATCH(1, (Data_Input!$F$7:$ZZ$7=$F$3) * (Data_Input!$F$8:$ZZ$8=$B41), 0)),"")</f>
        <v/>
      </c>
      <c r="E41" s="29" t="str" cm="1">
        <f t="array" ref="E41">IFERROR(INDEX(Data_Input!$1:$100, 9, MATCH(1, (Data_Input!$7:$7=$F$3) * (Data_Input!$8:$8=$B41), 0)),"")</f>
        <v/>
      </c>
      <c r="F41" s="20" t="str" cm="1">
        <f t="array" ref="F41">IFERROR(INDEX(Data_Input!$A$1:$ZZ$502, MATCH("예수금", INDEX(Data_Input!$A$1:$ZZ$502, 0, MATCH(1, (Data_Input!$7:$7=$F$3)*(Data_Input!$8:$8=$B41), 0)), 0) + 1, MATCH(1, (Data_Input!$7:$7=$F$3)*(Data_Input!$8:$8=$B41), 0)),"")</f>
        <v/>
      </c>
      <c r="G41" s="20" t="str" cm="1">
        <f t="array" ref="G41">IFERROR(INDEX(Data_Input!$A$1:$ZZ$502, MATCH("총자산", INDEX(Data_Input!$A$1:$ZZ$502, 0, MATCH(1, (Data_Input!$7:$7=$F$3)*(Data_Input!$8:$8=$B41), 0)), 0) + 1, MATCH(1, (Data_Input!$7:$7=$F$3)*(Data_Input!$8:$8=$B41), 0)),"")</f>
        <v/>
      </c>
      <c r="H41" s="20" t="str" cm="1">
        <f t="array" ref="H41">IFERROR(INDEX(Data_Input!$A$1:$ZZ$502, MATCH("매입금액", INDEX(Data_Input!$A$1:$ZZ$502, 0, MATCH(1, (Data_Input!$7:$7=$F$3)*(Data_Input!$8:$8=$B41), 0)), 0) + 1, MATCH(1, (Data_Input!$7:$7=$F$3)*(Data_Input!$8:$8=$B41), 0)),"")</f>
        <v/>
      </c>
      <c r="I41" s="20" t="str" cm="1">
        <f t="array" ref="I41">IFERROR(INDEX(Data_Input!$A$1:$ZZ$502, MATCH("평가금액", INDEX(Data_Input!$A$1:$ZZ$502, 0, MATCH(1, (Data_Input!$7:$7=$F$3)*(Data_Input!$8:$8=$B41), 0)), 0) + 1, MATCH(1, (Data_Input!$7:$7=$F$3)*(Data_Input!$8:$8=$B41), 0)),"")</f>
        <v/>
      </c>
      <c r="J41" s="20" t="str" cm="1">
        <f t="array" ref="J41">IFERROR(INDEX(Data_Input!$A$1:$ZZ$502, MATCH("평가손익", INDEX(Data_Input!$A$1:$ZZ$502, 0, MATCH(1, (Data_Input!$7:$7=$F$3)*(Data_Input!$8:$8=$B41), 0)), 0) + 1, MATCH(1, (Data_Input!$7:$7=$F$3)*(Data_Input!$8:$8=$B41), 0)),"")</f>
        <v/>
      </c>
      <c r="K41" s="14" t="str" cm="1">
        <f t="array" ref="K41">IFERROR(INDEX(Data_Input!$A$1:$ZZ$502, MATCH("총수익률", INDEX(Data_Input!$A$1:$ZZ$502, 0, MATCH(1, (Data_Input!$7:$7=$F$3)*(Data_Input!$8:$8=$B41), 0)), 0) + 1, MATCH(1, (Data_Input!$7:$7=$F$3)*(Data_Input!$8:$8=$B41), 0)),"")</f>
        <v/>
      </c>
      <c r="L41" t="str" cm="1">
        <f t="array" ref="L41">IFERROR(_xlfn.LET(
    _xlpm.targetDate, B41,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42" spans="1:12" x14ac:dyDescent="0.3">
      <c r="A42" s="16" t="str">
        <f t="shared" si="0"/>
        <v/>
      </c>
      <c r="B42" s="8"/>
      <c r="C42" s="17" t="str">
        <f t="shared" si="2"/>
        <v/>
      </c>
      <c r="D42" s="29" t="str" cm="1">
        <f t="array" ref="D42">IFERROR(INDEX(Data_Input!$1:$100, 10, MATCH(1, (Data_Input!$F$7:$ZZ$7=$F$3) * (Data_Input!$F$8:$ZZ$8=$B42), 0)),"")</f>
        <v/>
      </c>
      <c r="E42" s="29" t="str" cm="1">
        <f t="array" ref="E42">IFERROR(INDEX(Data_Input!$1:$100, 9, MATCH(1, (Data_Input!$7:$7=$F$3) * (Data_Input!$8:$8=$B42), 0)),"")</f>
        <v/>
      </c>
      <c r="F42" s="20" t="str" cm="1">
        <f t="array" ref="F42">IFERROR(INDEX(Data_Input!$A$1:$ZZ$502, MATCH("예수금", INDEX(Data_Input!$A$1:$ZZ$502, 0, MATCH(1, (Data_Input!$7:$7=$F$3)*(Data_Input!$8:$8=$B42), 0)), 0) + 1, MATCH(1, (Data_Input!$7:$7=$F$3)*(Data_Input!$8:$8=$B42), 0)),"")</f>
        <v/>
      </c>
      <c r="G42" s="20" t="str" cm="1">
        <f t="array" ref="G42">IFERROR(INDEX(Data_Input!$A$1:$ZZ$502, MATCH("총자산", INDEX(Data_Input!$A$1:$ZZ$502, 0, MATCH(1, (Data_Input!$7:$7=$F$3)*(Data_Input!$8:$8=$B42), 0)), 0) + 1, MATCH(1, (Data_Input!$7:$7=$F$3)*(Data_Input!$8:$8=$B42), 0)),"")</f>
        <v/>
      </c>
      <c r="H42" s="20" t="str" cm="1">
        <f t="array" ref="H42">IFERROR(INDEX(Data_Input!$A$1:$ZZ$502, MATCH("매입금액", INDEX(Data_Input!$A$1:$ZZ$502, 0, MATCH(1, (Data_Input!$7:$7=$F$3)*(Data_Input!$8:$8=$B42), 0)), 0) + 1, MATCH(1, (Data_Input!$7:$7=$F$3)*(Data_Input!$8:$8=$B42), 0)),"")</f>
        <v/>
      </c>
      <c r="I42" s="20" t="str" cm="1">
        <f t="array" ref="I42">IFERROR(INDEX(Data_Input!$A$1:$ZZ$502, MATCH("평가금액", INDEX(Data_Input!$A$1:$ZZ$502, 0, MATCH(1, (Data_Input!$7:$7=$F$3)*(Data_Input!$8:$8=$B42), 0)), 0) + 1, MATCH(1, (Data_Input!$7:$7=$F$3)*(Data_Input!$8:$8=$B42), 0)),"")</f>
        <v/>
      </c>
      <c r="J42" s="20" t="str" cm="1">
        <f t="array" ref="J42">IFERROR(INDEX(Data_Input!$A$1:$ZZ$502, MATCH("평가손익", INDEX(Data_Input!$A$1:$ZZ$502, 0, MATCH(1, (Data_Input!$7:$7=$F$3)*(Data_Input!$8:$8=$B42), 0)), 0) + 1, MATCH(1, (Data_Input!$7:$7=$F$3)*(Data_Input!$8:$8=$B42), 0)),"")</f>
        <v/>
      </c>
      <c r="K42" s="14" t="str" cm="1">
        <f t="array" ref="K42">IFERROR(INDEX(Data_Input!$A$1:$ZZ$502, MATCH("총수익률", INDEX(Data_Input!$A$1:$ZZ$502, 0, MATCH(1, (Data_Input!$7:$7=$F$3)*(Data_Input!$8:$8=$B42), 0)), 0) + 1, MATCH(1, (Data_Input!$7:$7=$F$3)*(Data_Input!$8:$8=$B42), 0)),"")</f>
        <v/>
      </c>
      <c r="L42" t="str" cm="1">
        <f t="array" ref="L42">IFERROR(_xlfn.LET(
    _xlpm.targetDate, B42,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43" spans="1:12" x14ac:dyDescent="0.3">
      <c r="A43" s="16" t="str">
        <f t="shared" si="0"/>
        <v/>
      </c>
      <c r="B43" s="8"/>
      <c r="C43" s="17" t="str">
        <f t="shared" si="2"/>
        <v/>
      </c>
      <c r="D43" s="29" t="str" cm="1">
        <f t="array" ref="D43">IFERROR(INDEX(Data_Input!$1:$100, 10, MATCH(1, (Data_Input!$F$7:$ZZ$7=$F$3) * (Data_Input!$F$8:$ZZ$8=$B43), 0)),"")</f>
        <v/>
      </c>
      <c r="E43" s="29" t="str" cm="1">
        <f t="array" ref="E43">IFERROR(INDEX(Data_Input!$1:$100, 9, MATCH(1, (Data_Input!$7:$7=$F$3) * (Data_Input!$8:$8=$B43), 0)),"")</f>
        <v/>
      </c>
      <c r="F43" s="20" t="str" cm="1">
        <f t="array" ref="F43">IFERROR(INDEX(Data_Input!$A$1:$ZZ$502, MATCH("예수금", INDEX(Data_Input!$A$1:$ZZ$502, 0, MATCH(1, (Data_Input!$7:$7=$F$3)*(Data_Input!$8:$8=$B43), 0)), 0) + 1, MATCH(1, (Data_Input!$7:$7=$F$3)*(Data_Input!$8:$8=$B43), 0)),"")</f>
        <v/>
      </c>
      <c r="G43" s="20" t="str" cm="1">
        <f t="array" ref="G43">IFERROR(INDEX(Data_Input!$A$1:$ZZ$502, MATCH("총자산", INDEX(Data_Input!$A$1:$ZZ$502, 0, MATCH(1, (Data_Input!$7:$7=$F$3)*(Data_Input!$8:$8=$B43), 0)), 0) + 1, MATCH(1, (Data_Input!$7:$7=$F$3)*(Data_Input!$8:$8=$B43), 0)),"")</f>
        <v/>
      </c>
      <c r="H43" s="20" t="str" cm="1">
        <f t="array" ref="H43">IFERROR(INDEX(Data_Input!$A$1:$ZZ$502, MATCH("매입금액", INDEX(Data_Input!$A$1:$ZZ$502, 0, MATCH(1, (Data_Input!$7:$7=$F$3)*(Data_Input!$8:$8=$B43), 0)), 0) + 1, MATCH(1, (Data_Input!$7:$7=$F$3)*(Data_Input!$8:$8=$B43), 0)),"")</f>
        <v/>
      </c>
      <c r="I43" s="20" t="str" cm="1">
        <f t="array" ref="I43">IFERROR(INDEX(Data_Input!$A$1:$ZZ$502, MATCH("평가금액", INDEX(Data_Input!$A$1:$ZZ$502, 0, MATCH(1, (Data_Input!$7:$7=$F$3)*(Data_Input!$8:$8=$B43), 0)), 0) + 1, MATCH(1, (Data_Input!$7:$7=$F$3)*(Data_Input!$8:$8=$B43), 0)),"")</f>
        <v/>
      </c>
      <c r="J43" s="20" t="str" cm="1">
        <f t="array" ref="J43">IFERROR(INDEX(Data_Input!$A$1:$ZZ$502, MATCH("평가손익", INDEX(Data_Input!$A$1:$ZZ$502, 0, MATCH(1, (Data_Input!$7:$7=$F$3)*(Data_Input!$8:$8=$B43), 0)), 0) + 1, MATCH(1, (Data_Input!$7:$7=$F$3)*(Data_Input!$8:$8=$B43), 0)),"")</f>
        <v/>
      </c>
      <c r="K43" s="14" t="str" cm="1">
        <f t="array" ref="K43">IFERROR(INDEX(Data_Input!$A$1:$ZZ$502, MATCH("총수익률", INDEX(Data_Input!$A$1:$ZZ$502, 0, MATCH(1, (Data_Input!$7:$7=$F$3)*(Data_Input!$8:$8=$B43), 0)), 0) + 1, MATCH(1, (Data_Input!$7:$7=$F$3)*(Data_Input!$8:$8=$B43), 0)),"")</f>
        <v/>
      </c>
      <c r="L43" t="str" cm="1">
        <f t="array" ref="L43">IFERROR(_xlfn.LET(
    _xlpm.targetDate, B43,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44" spans="1:12" x14ac:dyDescent="0.3">
      <c r="A44" s="16" t="str">
        <f t="shared" si="0"/>
        <v/>
      </c>
      <c r="B44" s="8"/>
      <c r="C44" s="17" t="str">
        <f t="shared" si="2"/>
        <v/>
      </c>
      <c r="D44" s="29" t="str" cm="1">
        <f t="array" ref="D44">IFERROR(INDEX(Data_Input!$1:$100, 10, MATCH(1, (Data_Input!$F$7:$ZZ$7=$F$3) * (Data_Input!$F$8:$ZZ$8=$B44), 0)),"")</f>
        <v/>
      </c>
      <c r="E44" s="29" t="str" cm="1">
        <f t="array" ref="E44">IFERROR(INDEX(Data_Input!$1:$100, 9, MATCH(1, (Data_Input!$7:$7=$F$3) * (Data_Input!$8:$8=$B44), 0)),"")</f>
        <v/>
      </c>
      <c r="F44" s="20" t="str" cm="1">
        <f t="array" ref="F44">IFERROR(INDEX(Data_Input!$A$1:$ZZ$502, MATCH("예수금", INDEX(Data_Input!$A$1:$ZZ$502, 0, MATCH(1, (Data_Input!$7:$7=$F$3)*(Data_Input!$8:$8=$B44), 0)), 0) + 1, MATCH(1, (Data_Input!$7:$7=$F$3)*(Data_Input!$8:$8=$B44), 0)),"")</f>
        <v/>
      </c>
      <c r="G44" s="20" t="str" cm="1">
        <f t="array" ref="G44">IFERROR(INDEX(Data_Input!$A$1:$ZZ$502, MATCH("총자산", INDEX(Data_Input!$A$1:$ZZ$502, 0, MATCH(1, (Data_Input!$7:$7=$F$3)*(Data_Input!$8:$8=$B44), 0)), 0) + 1, MATCH(1, (Data_Input!$7:$7=$F$3)*(Data_Input!$8:$8=$B44), 0)),"")</f>
        <v/>
      </c>
      <c r="H44" s="20" t="str" cm="1">
        <f t="array" ref="H44">IFERROR(INDEX(Data_Input!$A$1:$ZZ$502, MATCH("매입금액", INDEX(Data_Input!$A$1:$ZZ$502, 0, MATCH(1, (Data_Input!$7:$7=$F$3)*(Data_Input!$8:$8=$B44), 0)), 0) + 1, MATCH(1, (Data_Input!$7:$7=$F$3)*(Data_Input!$8:$8=$B44), 0)),"")</f>
        <v/>
      </c>
      <c r="I44" s="20" t="str" cm="1">
        <f t="array" ref="I44">IFERROR(INDEX(Data_Input!$A$1:$ZZ$502, MATCH("평가금액", INDEX(Data_Input!$A$1:$ZZ$502, 0, MATCH(1, (Data_Input!$7:$7=$F$3)*(Data_Input!$8:$8=$B44), 0)), 0) + 1, MATCH(1, (Data_Input!$7:$7=$F$3)*(Data_Input!$8:$8=$B44), 0)),"")</f>
        <v/>
      </c>
      <c r="J44" s="20" t="str" cm="1">
        <f t="array" ref="J44">IFERROR(INDEX(Data_Input!$A$1:$ZZ$502, MATCH("평가손익", INDEX(Data_Input!$A$1:$ZZ$502, 0, MATCH(1, (Data_Input!$7:$7=$F$3)*(Data_Input!$8:$8=$B44), 0)), 0) + 1, MATCH(1, (Data_Input!$7:$7=$F$3)*(Data_Input!$8:$8=$B44), 0)),"")</f>
        <v/>
      </c>
      <c r="K44" s="14" t="str" cm="1">
        <f t="array" ref="K44">IFERROR(INDEX(Data_Input!$A$1:$ZZ$502, MATCH("총수익률", INDEX(Data_Input!$A$1:$ZZ$502, 0, MATCH(1, (Data_Input!$7:$7=$F$3)*(Data_Input!$8:$8=$B44), 0)), 0) + 1, MATCH(1, (Data_Input!$7:$7=$F$3)*(Data_Input!$8:$8=$B44), 0)),"")</f>
        <v/>
      </c>
      <c r="L44" t="str" cm="1">
        <f t="array" ref="L44">IFERROR(_xlfn.LET(
    _xlpm.targetDate, B44,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45" spans="1:12" x14ac:dyDescent="0.3">
      <c r="A45" s="16" t="str">
        <f t="shared" si="0"/>
        <v/>
      </c>
      <c r="B45" s="8"/>
      <c r="C45" s="17" t="str">
        <f t="shared" si="2"/>
        <v/>
      </c>
      <c r="D45" s="29" t="str" cm="1">
        <f t="array" ref="D45">IFERROR(INDEX(Data_Input!$1:$100, 10, MATCH(1, (Data_Input!$F$7:$ZZ$7=$F$3) * (Data_Input!$F$8:$ZZ$8=$B45), 0)),"")</f>
        <v/>
      </c>
      <c r="E45" s="29" t="str" cm="1">
        <f t="array" ref="E45">IFERROR(INDEX(Data_Input!$1:$100, 9, MATCH(1, (Data_Input!$7:$7=$F$3) * (Data_Input!$8:$8=$B45), 0)),"")</f>
        <v/>
      </c>
      <c r="F45" s="20" t="str" cm="1">
        <f t="array" ref="F45">IFERROR(INDEX(Data_Input!$A$1:$ZZ$502, MATCH("예수금", INDEX(Data_Input!$A$1:$ZZ$502, 0, MATCH(1, (Data_Input!$7:$7=$F$3)*(Data_Input!$8:$8=$B45), 0)), 0) + 1, MATCH(1, (Data_Input!$7:$7=$F$3)*(Data_Input!$8:$8=$B45), 0)),"")</f>
        <v/>
      </c>
      <c r="G45" s="20" t="str" cm="1">
        <f t="array" ref="G45">IFERROR(INDEX(Data_Input!$A$1:$ZZ$502, MATCH("총자산", INDEX(Data_Input!$A$1:$ZZ$502, 0, MATCH(1, (Data_Input!$7:$7=$F$3)*(Data_Input!$8:$8=$B45), 0)), 0) + 1, MATCH(1, (Data_Input!$7:$7=$F$3)*(Data_Input!$8:$8=$B45), 0)),"")</f>
        <v/>
      </c>
      <c r="H45" s="20" t="str" cm="1">
        <f t="array" ref="H45">IFERROR(INDEX(Data_Input!$A$1:$ZZ$502, MATCH("매입금액", INDEX(Data_Input!$A$1:$ZZ$502, 0, MATCH(1, (Data_Input!$7:$7=$F$3)*(Data_Input!$8:$8=$B45), 0)), 0) + 1, MATCH(1, (Data_Input!$7:$7=$F$3)*(Data_Input!$8:$8=$B45), 0)),"")</f>
        <v/>
      </c>
      <c r="I45" s="20" t="str" cm="1">
        <f t="array" ref="I45">IFERROR(INDEX(Data_Input!$A$1:$ZZ$502, MATCH("평가금액", INDEX(Data_Input!$A$1:$ZZ$502, 0, MATCH(1, (Data_Input!$7:$7=$F$3)*(Data_Input!$8:$8=$B45), 0)), 0) + 1, MATCH(1, (Data_Input!$7:$7=$F$3)*(Data_Input!$8:$8=$B45), 0)),"")</f>
        <v/>
      </c>
      <c r="J45" s="20" t="str" cm="1">
        <f t="array" ref="J45">IFERROR(INDEX(Data_Input!$A$1:$ZZ$502, MATCH("평가손익", INDEX(Data_Input!$A$1:$ZZ$502, 0, MATCH(1, (Data_Input!$7:$7=$F$3)*(Data_Input!$8:$8=$B45), 0)), 0) + 1, MATCH(1, (Data_Input!$7:$7=$F$3)*(Data_Input!$8:$8=$B45), 0)),"")</f>
        <v/>
      </c>
      <c r="K45" s="14" t="str" cm="1">
        <f t="array" ref="K45">IFERROR(INDEX(Data_Input!$A$1:$ZZ$502, MATCH("총수익률", INDEX(Data_Input!$A$1:$ZZ$502, 0, MATCH(1, (Data_Input!$7:$7=$F$3)*(Data_Input!$8:$8=$B45), 0)), 0) + 1, MATCH(1, (Data_Input!$7:$7=$F$3)*(Data_Input!$8:$8=$B45), 0)),"")</f>
        <v/>
      </c>
      <c r="L45" t="str" cm="1">
        <f t="array" ref="L45">IFERROR(_xlfn.LET(
    _xlpm.targetDate, B45,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46" spans="1:12" x14ac:dyDescent="0.3">
      <c r="A46" s="16" t="str">
        <f t="shared" si="0"/>
        <v/>
      </c>
      <c r="B46" s="8"/>
      <c r="C46" s="17" t="str">
        <f t="shared" si="2"/>
        <v/>
      </c>
      <c r="D46" s="29" t="str" cm="1">
        <f t="array" ref="D46">IFERROR(INDEX(Data_Input!$1:$100, 10, MATCH(1, (Data_Input!$F$7:$ZZ$7=$F$3) * (Data_Input!$F$8:$ZZ$8=$B46), 0)),"")</f>
        <v/>
      </c>
      <c r="E46" s="29" t="str" cm="1">
        <f t="array" ref="E46">IFERROR(INDEX(Data_Input!$1:$100, 9, MATCH(1, (Data_Input!$7:$7=$F$3) * (Data_Input!$8:$8=$B46), 0)),"")</f>
        <v/>
      </c>
      <c r="F46" s="20" t="str" cm="1">
        <f t="array" ref="F46">IFERROR(INDEX(Data_Input!$A$1:$ZZ$502, MATCH("예수금", INDEX(Data_Input!$A$1:$ZZ$502, 0, MATCH(1, (Data_Input!$7:$7=$F$3)*(Data_Input!$8:$8=$B46), 0)), 0) + 1, MATCH(1, (Data_Input!$7:$7=$F$3)*(Data_Input!$8:$8=$B46), 0)),"")</f>
        <v/>
      </c>
      <c r="G46" s="20" t="str" cm="1">
        <f t="array" ref="G46">IFERROR(INDEX(Data_Input!$A$1:$ZZ$502, MATCH("총자산", INDEX(Data_Input!$A$1:$ZZ$502, 0, MATCH(1, (Data_Input!$7:$7=$F$3)*(Data_Input!$8:$8=$B46), 0)), 0) + 1, MATCH(1, (Data_Input!$7:$7=$F$3)*(Data_Input!$8:$8=$B46), 0)),"")</f>
        <v/>
      </c>
      <c r="H46" s="20" t="str" cm="1">
        <f t="array" ref="H46">IFERROR(INDEX(Data_Input!$A$1:$ZZ$502, MATCH("매입금액", INDEX(Data_Input!$A$1:$ZZ$502, 0, MATCH(1, (Data_Input!$7:$7=$F$3)*(Data_Input!$8:$8=$B46), 0)), 0) + 1, MATCH(1, (Data_Input!$7:$7=$F$3)*(Data_Input!$8:$8=$B46), 0)),"")</f>
        <v/>
      </c>
      <c r="I46" s="20" t="str" cm="1">
        <f t="array" ref="I46">IFERROR(INDEX(Data_Input!$A$1:$ZZ$502, MATCH("평가금액", INDEX(Data_Input!$A$1:$ZZ$502, 0, MATCH(1, (Data_Input!$7:$7=$F$3)*(Data_Input!$8:$8=$B46), 0)), 0) + 1, MATCH(1, (Data_Input!$7:$7=$F$3)*(Data_Input!$8:$8=$B46), 0)),"")</f>
        <v/>
      </c>
      <c r="J46" s="20" t="str" cm="1">
        <f t="array" ref="J46">IFERROR(INDEX(Data_Input!$A$1:$ZZ$502, MATCH("평가손익", INDEX(Data_Input!$A$1:$ZZ$502, 0, MATCH(1, (Data_Input!$7:$7=$F$3)*(Data_Input!$8:$8=$B46), 0)), 0) + 1, MATCH(1, (Data_Input!$7:$7=$F$3)*(Data_Input!$8:$8=$B46), 0)),"")</f>
        <v/>
      </c>
      <c r="K46" s="14" t="str" cm="1">
        <f t="array" ref="K46">IFERROR(INDEX(Data_Input!$A$1:$ZZ$502, MATCH("총수익률", INDEX(Data_Input!$A$1:$ZZ$502, 0, MATCH(1, (Data_Input!$7:$7=$F$3)*(Data_Input!$8:$8=$B46), 0)), 0) + 1, MATCH(1, (Data_Input!$7:$7=$F$3)*(Data_Input!$8:$8=$B46), 0)),"")</f>
        <v/>
      </c>
      <c r="L46" t="str" cm="1">
        <f t="array" ref="L46">IFERROR(_xlfn.LET(
    _xlpm.targetDate, B46,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47" spans="1:12" x14ac:dyDescent="0.3">
      <c r="A47" s="16" t="str">
        <f t="shared" si="0"/>
        <v/>
      </c>
      <c r="B47" s="8"/>
      <c r="C47" s="17" t="str">
        <f t="shared" si="2"/>
        <v/>
      </c>
      <c r="D47" s="29" t="str" cm="1">
        <f t="array" ref="D47">IFERROR(INDEX(Data_Input!$1:$100, 10, MATCH(1, (Data_Input!$F$7:$ZZ$7=$F$3) * (Data_Input!$F$8:$ZZ$8=$B47), 0)),"")</f>
        <v/>
      </c>
      <c r="E47" s="29" t="str" cm="1">
        <f t="array" ref="E47">IFERROR(INDEX(Data_Input!$1:$100, 9, MATCH(1, (Data_Input!$7:$7=$F$3) * (Data_Input!$8:$8=$B47), 0)),"")</f>
        <v/>
      </c>
      <c r="F47" s="20" t="str" cm="1">
        <f t="array" ref="F47">IFERROR(INDEX(Data_Input!$A$1:$ZZ$502, MATCH("예수금", INDEX(Data_Input!$A$1:$ZZ$502, 0, MATCH(1, (Data_Input!$7:$7=$F$3)*(Data_Input!$8:$8=$B47), 0)), 0) + 1, MATCH(1, (Data_Input!$7:$7=$F$3)*(Data_Input!$8:$8=$B47), 0)),"")</f>
        <v/>
      </c>
      <c r="G47" s="20" t="str" cm="1">
        <f t="array" ref="G47">IFERROR(INDEX(Data_Input!$A$1:$ZZ$502, MATCH("총자산", INDEX(Data_Input!$A$1:$ZZ$502, 0, MATCH(1, (Data_Input!$7:$7=$F$3)*(Data_Input!$8:$8=$B47), 0)), 0) + 1, MATCH(1, (Data_Input!$7:$7=$F$3)*(Data_Input!$8:$8=$B47), 0)),"")</f>
        <v/>
      </c>
      <c r="H47" s="20" t="str" cm="1">
        <f t="array" ref="H47">IFERROR(INDEX(Data_Input!$A$1:$ZZ$502, MATCH("매입금액", INDEX(Data_Input!$A$1:$ZZ$502, 0, MATCH(1, (Data_Input!$7:$7=$F$3)*(Data_Input!$8:$8=$B47), 0)), 0) + 1, MATCH(1, (Data_Input!$7:$7=$F$3)*(Data_Input!$8:$8=$B47), 0)),"")</f>
        <v/>
      </c>
      <c r="I47" s="20" t="str" cm="1">
        <f t="array" ref="I47">IFERROR(INDEX(Data_Input!$A$1:$ZZ$502, MATCH("평가금액", INDEX(Data_Input!$A$1:$ZZ$502, 0, MATCH(1, (Data_Input!$7:$7=$F$3)*(Data_Input!$8:$8=$B47), 0)), 0) + 1, MATCH(1, (Data_Input!$7:$7=$F$3)*(Data_Input!$8:$8=$B47), 0)),"")</f>
        <v/>
      </c>
      <c r="J47" s="20" t="str" cm="1">
        <f t="array" ref="J47">IFERROR(INDEX(Data_Input!$A$1:$ZZ$502, MATCH("평가손익", INDEX(Data_Input!$A$1:$ZZ$502, 0, MATCH(1, (Data_Input!$7:$7=$F$3)*(Data_Input!$8:$8=$B47), 0)), 0) + 1, MATCH(1, (Data_Input!$7:$7=$F$3)*(Data_Input!$8:$8=$B47), 0)),"")</f>
        <v/>
      </c>
      <c r="K47" s="14" t="str" cm="1">
        <f t="array" ref="K47">IFERROR(INDEX(Data_Input!$A$1:$ZZ$502, MATCH("총수익률", INDEX(Data_Input!$A$1:$ZZ$502, 0, MATCH(1, (Data_Input!$7:$7=$F$3)*(Data_Input!$8:$8=$B47), 0)), 0) + 1, MATCH(1, (Data_Input!$7:$7=$F$3)*(Data_Input!$8:$8=$B47), 0)),"")</f>
        <v/>
      </c>
      <c r="L47" t="str" cm="1">
        <f t="array" ref="L47">IFERROR(_xlfn.LET(
    _xlpm.targetDate, B47,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48" spans="1:12" x14ac:dyDescent="0.3">
      <c r="A48" s="16" t="str">
        <f t="shared" si="0"/>
        <v/>
      </c>
      <c r="B48" s="8"/>
      <c r="C48" s="17" t="str">
        <f t="shared" si="2"/>
        <v/>
      </c>
      <c r="D48" s="29" t="str" cm="1">
        <f t="array" ref="D48">IFERROR(INDEX(Data_Input!$1:$100, 10, MATCH(1, (Data_Input!$F$7:$ZZ$7=$F$3) * (Data_Input!$F$8:$ZZ$8=$B48), 0)),"")</f>
        <v/>
      </c>
      <c r="E48" s="29" t="str" cm="1">
        <f t="array" ref="E48">IFERROR(INDEX(Data_Input!$1:$100, 9, MATCH(1, (Data_Input!$7:$7=$F$3) * (Data_Input!$8:$8=$B48), 0)),"")</f>
        <v/>
      </c>
      <c r="F48" s="20" t="str" cm="1">
        <f t="array" ref="F48">IFERROR(INDEX(Data_Input!$A$1:$ZZ$502, MATCH("예수금", INDEX(Data_Input!$A$1:$ZZ$502, 0, MATCH(1, (Data_Input!$7:$7=$F$3)*(Data_Input!$8:$8=$B48), 0)), 0) + 1, MATCH(1, (Data_Input!$7:$7=$F$3)*(Data_Input!$8:$8=$B48), 0)),"")</f>
        <v/>
      </c>
      <c r="G48" s="20" t="str" cm="1">
        <f t="array" ref="G48">IFERROR(INDEX(Data_Input!$A$1:$ZZ$502, MATCH("총자산", INDEX(Data_Input!$A$1:$ZZ$502, 0, MATCH(1, (Data_Input!$7:$7=$F$3)*(Data_Input!$8:$8=$B48), 0)), 0) + 1, MATCH(1, (Data_Input!$7:$7=$F$3)*(Data_Input!$8:$8=$B48), 0)),"")</f>
        <v/>
      </c>
      <c r="H48" s="20" t="str" cm="1">
        <f t="array" ref="H48">IFERROR(INDEX(Data_Input!$A$1:$ZZ$502, MATCH("매입금액", INDEX(Data_Input!$A$1:$ZZ$502, 0, MATCH(1, (Data_Input!$7:$7=$F$3)*(Data_Input!$8:$8=$B48), 0)), 0) + 1, MATCH(1, (Data_Input!$7:$7=$F$3)*(Data_Input!$8:$8=$B48), 0)),"")</f>
        <v/>
      </c>
      <c r="I48" s="20" t="str" cm="1">
        <f t="array" ref="I48">IFERROR(INDEX(Data_Input!$A$1:$ZZ$502, MATCH("평가금액", INDEX(Data_Input!$A$1:$ZZ$502, 0, MATCH(1, (Data_Input!$7:$7=$F$3)*(Data_Input!$8:$8=$B48), 0)), 0) + 1, MATCH(1, (Data_Input!$7:$7=$F$3)*(Data_Input!$8:$8=$B48), 0)),"")</f>
        <v/>
      </c>
      <c r="J48" s="20" t="str" cm="1">
        <f t="array" ref="J48">IFERROR(INDEX(Data_Input!$A$1:$ZZ$502, MATCH("평가손익", INDEX(Data_Input!$A$1:$ZZ$502, 0, MATCH(1, (Data_Input!$7:$7=$F$3)*(Data_Input!$8:$8=$B48), 0)), 0) + 1, MATCH(1, (Data_Input!$7:$7=$F$3)*(Data_Input!$8:$8=$B48), 0)),"")</f>
        <v/>
      </c>
      <c r="K48" s="14" t="str" cm="1">
        <f t="array" ref="K48">IFERROR(INDEX(Data_Input!$A$1:$ZZ$502, MATCH("총수익률", INDEX(Data_Input!$A$1:$ZZ$502, 0, MATCH(1, (Data_Input!$7:$7=$F$3)*(Data_Input!$8:$8=$B48), 0)), 0) + 1, MATCH(1, (Data_Input!$7:$7=$F$3)*(Data_Input!$8:$8=$B48), 0)),"")</f>
        <v/>
      </c>
      <c r="L48" t="str" cm="1">
        <f t="array" ref="L48">IFERROR(_xlfn.LET(
    _xlpm.targetDate, B48,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49" spans="1:12" x14ac:dyDescent="0.3">
      <c r="A49" s="16" t="str">
        <f t="shared" si="0"/>
        <v/>
      </c>
      <c r="B49" s="8"/>
      <c r="C49" s="17" t="str">
        <f t="shared" si="2"/>
        <v/>
      </c>
      <c r="D49" s="29" t="str" cm="1">
        <f t="array" ref="D49">IFERROR(INDEX(Data_Input!$1:$100, 10, MATCH(1, (Data_Input!$F$7:$ZZ$7=$F$3) * (Data_Input!$F$8:$ZZ$8=$B49), 0)),"")</f>
        <v/>
      </c>
      <c r="E49" s="29" t="str" cm="1">
        <f t="array" ref="E49">IFERROR(INDEX(Data_Input!$1:$100, 9, MATCH(1, (Data_Input!$7:$7=$F$3) * (Data_Input!$8:$8=$B49), 0)),"")</f>
        <v/>
      </c>
      <c r="F49" s="20" t="str" cm="1">
        <f t="array" ref="F49">IFERROR(INDEX(Data_Input!$A$1:$ZZ$502, MATCH("예수금", INDEX(Data_Input!$A$1:$ZZ$502, 0, MATCH(1, (Data_Input!$7:$7=$F$3)*(Data_Input!$8:$8=$B49), 0)), 0) + 1, MATCH(1, (Data_Input!$7:$7=$F$3)*(Data_Input!$8:$8=$B49), 0)),"")</f>
        <v/>
      </c>
      <c r="G49" s="20" t="str" cm="1">
        <f t="array" ref="G49">IFERROR(INDEX(Data_Input!$A$1:$ZZ$502, MATCH("총자산", INDEX(Data_Input!$A$1:$ZZ$502, 0, MATCH(1, (Data_Input!$7:$7=$F$3)*(Data_Input!$8:$8=$B49), 0)), 0) + 1, MATCH(1, (Data_Input!$7:$7=$F$3)*(Data_Input!$8:$8=$B49), 0)),"")</f>
        <v/>
      </c>
      <c r="H49" s="20" t="str" cm="1">
        <f t="array" ref="H49">IFERROR(INDEX(Data_Input!$A$1:$ZZ$502, MATCH("매입금액", INDEX(Data_Input!$A$1:$ZZ$502, 0, MATCH(1, (Data_Input!$7:$7=$F$3)*(Data_Input!$8:$8=$B49), 0)), 0) + 1, MATCH(1, (Data_Input!$7:$7=$F$3)*(Data_Input!$8:$8=$B49), 0)),"")</f>
        <v/>
      </c>
      <c r="I49" s="20" t="str" cm="1">
        <f t="array" ref="I49">IFERROR(INDEX(Data_Input!$A$1:$ZZ$502, MATCH("평가금액", INDEX(Data_Input!$A$1:$ZZ$502, 0, MATCH(1, (Data_Input!$7:$7=$F$3)*(Data_Input!$8:$8=$B49), 0)), 0) + 1, MATCH(1, (Data_Input!$7:$7=$F$3)*(Data_Input!$8:$8=$B49), 0)),"")</f>
        <v/>
      </c>
      <c r="J49" s="20" t="str" cm="1">
        <f t="array" ref="J49">IFERROR(INDEX(Data_Input!$A$1:$ZZ$502, MATCH("평가손익", INDEX(Data_Input!$A$1:$ZZ$502, 0, MATCH(1, (Data_Input!$7:$7=$F$3)*(Data_Input!$8:$8=$B49), 0)), 0) + 1, MATCH(1, (Data_Input!$7:$7=$F$3)*(Data_Input!$8:$8=$B49), 0)),"")</f>
        <v/>
      </c>
      <c r="K49" s="14" t="str" cm="1">
        <f t="array" ref="K49">IFERROR(INDEX(Data_Input!$A$1:$ZZ$502, MATCH("총수익률", INDEX(Data_Input!$A$1:$ZZ$502, 0, MATCH(1, (Data_Input!$7:$7=$F$3)*(Data_Input!$8:$8=$B49), 0)), 0) + 1, MATCH(1, (Data_Input!$7:$7=$F$3)*(Data_Input!$8:$8=$B49), 0)),"")</f>
        <v/>
      </c>
      <c r="L49" t="str" cm="1">
        <f t="array" ref="L49">IFERROR(_xlfn.LET(
    _xlpm.targetDate, B49,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50" spans="1:12" x14ac:dyDescent="0.3">
      <c r="A50" s="16" t="str">
        <f t="shared" si="0"/>
        <v/>
      </c>
      <c r="B50" s="8"/>
      <c r="C50" s="17" t="str">
        <f t="shared" si="2"/>
        <v/>
      </c>
      <c r="D50" s="29" t="str" cm="1">
        <f t="array" ref="D50">IFERROR(INDEX(Data_Input!$1:$100, 10, MATCH(1, (Data_Input!$F$7:$ZZ$7=$F$3) * (Data_Input!$F$8:$ZZ$8=$B50), 0)),"")</f>
        <v/>
      </c>
      <c r="E50" s="29" t="str" cm="1">
        <f t="array" ref="E50">IFERROR(INDEX(Data_Input!$1:$100, 9, MATCH(1, (Data_Input!$7:$7=$F$3) * (Data_Input!$8:$8=$B50), 0)),"")</f>
        <v/>
      </c>
      <c r="F50" s="20" t="str" cm="1">
        <f t="array" ref="F50">IFERROR(INDEX(Data_Input!$A$1:$ZZ$502, MATCH("예수금", INDEX(Data_Input!$A$1:$ZZ$502, 0, MATCH(1, (Data_Input!$7:$7=$F$3)*(Data_Input!$8:$8=$B50), 0)), 0) + 1, MATCH(1, (Data_Input!$7:$7=$F$3)*(Data_Input!$8:$8=$B50), 0)),"")</f>
        <v/>
      </c>
      <c r="G50" s="20" t="str" cm="1">
        <f t="array" ref="G50">IFERROR(INDEX(Data_Input!$A$1:$ZZ$502, MATCH("총자산", INDEX(Data_Input!$A$1:$ZZ$502, 0, MATCH(1, (Data_Input!$7:$7=$F$3)*(Data_Input!$8:$8=$B50), 0)), 0) + 1, MATCH(1, (Data_Input!$7:$7=$F$3)*(Data_Input!$8:$8=$B50), 0)),"")</f>
        <v/>
      </c>
      <c r="H50" s="20" t="str" cm="1">
        <f t="array" ref="H50">IFERROR(INDEX(Data_Input!$A$1:$ZZ$502, MATCH("매입금액", INDEX(Data_Input!$A$1:$ZZ$502, 0, MATCH(1, (Data_Input!$7:$7=$F$3)*(Data_Input!$8:$8=$B50), 0)), 0) + 1, MATCH(1, (Data_Input!$7:$7=$F$3)*(Data_Input!$8:$8=$B50), 0)),"")</f>
        <v/>
      </c>
      <c r="I50" s="20" t="str" cm="1">
        <f t="array" ref="I50">IFERROR(INDEX(Data_Input!$A$1:$ZZ$502, MATCH("평가금액", INDEX(Data_Input!$A$1:$ZZ$502, 0, MATCH(1, (Data_Input!$7:$7=$F$3)*(Data_Input!$8:$8=$B50), 0)), 0) + 1, MATCH(1, (Data_Input!$7:$7=$F$3)*(Data_Input!$8:$8=$B50), 0)),"")</f>
        <v/>
      </c>
      <c r="J50" s="20" t="str" cm="1">
        <f t="array" ref="J50">IFERROR(INDEX(Data_Input!$A$1:$ZZ$502, MATCH("평가손익", INDEX(Data_Input!$A$1:$ZZ$502, 0, MATCH(1, (Data_Input!$7:$7=$F$3)*(Data_Input!$8:$8=$B50), 0)), 0) + 1, MATCH(1, (Data_Input!$7:$7=$F$3)*(Data_Input!$8:$8=$B50), 0)),"")</f>
        <v/>
      </c>
      <c r="K50" s="14" t="str" cm="1">
        <f t="array" ref="K50">IFERROR(INDEX(Data_Input!$A$1:$ZZ$502, MATCH("총수익률", INDEX(Data_Input!$A$1:$ZZ$502, 0, MATCH(1, (Data_Input!$7:$7=$F$3)*(Data_Input!$8:$8=$B50), 0)), 0) + 1, MATCH(1, (Data_Input!$7:$7=$F$3)*(Data_Input!$8:$8=$B50), 0)),"")</f>
        <v/>
      </c>
      <c r="L50" t="str" cm="1">
        <f t="array" ref="L50">IFERROR(_xlfn.LET(
    _xlpm.targetDate, B50,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51" spans="1:12" x14ac:dyDescent="0.3">
      <c r="A51" s="16" t="str">
        <f t="shared" si="0"/>
        <v/>
      </c>
      <c r="B51" s="8"/>
      <c r="C51" s="17" t="str">
        <f t="shared" si="2"/>
        <v/>
      </c>
      <c r="D51" s="29" t="str" cm="1">
        <f t="array" ref="D51">IFERROR(INDEX(Data_Input!$1:$100, 10, MATCH(1, (Data_Input!$F$7:$ZZ$7=$F$3) * (Data_Input!$F$8:$ZZ$8=$B51), 0)),"")</f>
        <v/>
      </c>
      <c r="E51" s="29" t="str" cm="1">
        <f t="array" ref="E51">IFERROR(INDEX(Data_Input!$1:$100, 9, MATCH(1, (Data_Input!$7:$7=$F$3) * (Data_Input!$8:$8=$B51), 0)),"")</f>
        <v/>
      </c>
      <c r="F51" s="20" t="str" cm="1">
        <f t="array" ref="F51">IFERROR(INDEX(Data_Input!$A$1:$ZZ$502, MATCH("예수금", INDEX(Data_Input!$A$1:$ZZ$502, 0, MATCH(1, (Data_Input!$7:$7=$F$3)*(Data_Input!$8:$8=$B51), 0)), 0) + 1, MATCH(1, (Data_Input!$7:$7=$F$3)*(Data_Input!$8:$8=$B51), 0)),"")</f>
        <v/>
      </c>
      <c r="G51" s="20" t="str" cm="1">
        <f t="array" ref="G51">IFERROR(INDEX(Data_Input!$A$1:$ZZ$502, MATCH("총자산", INDEX(Data_Input!$A$1:$ZZ$502, 0, MATCH(1, (Data_Input!$7:$7=$F$3)*(Data_Input!$8:$8=$B51), 0)), 0) + 1, MATCH(1, (Data_Input!$7:$7=$F$3)*(Data_Input!$8:$8=$B51), 0)),"")</f>
        <v/>
      </c>
      <c r="H51" s="20" t="str" cm="1">
        <f t="array" ref="H51">IFERROR(INDEX(Data_Input!$A$1:$ZZ$502, MATCH("매입금액", INDEX(Data_Input!$A$1:$ZZ$502, 0, MATCH(1, (Data_Input!$7:$7=$F$3)*(Data_Input!$8:$8=$B51), 0)), 0) + 1, MATCH(1, (Data_Input!$7:$7=$F$3)*(Data_Input!$8:$8=$B51), 0)),"")</f>
        <v/>
      </c>
      <c r="I51" s="20" t="str" cm="1">
        <f t="array" ref="I51">IFERROR(INDEX(Data_Input!$A$1:$ZZ$502, MATCH("평가금액", INDEX(Data_Input!$A$1:$ZZ$502, 0, MATCH(1, (Data_Input!$7:$7=$F$3)*(Data_Input!$8:$8=$B51), 0)), 0) + 1, MATCH(1, (Data_Input!$7:$7=$F$3)*(Data_Input!$8:$8=$B51), 0)),"")</f>
        <v/>
      </c>
      <c r="J51" s="20" t="str" cm="1">
        <f t="array" ref="J51">IFERROR(INDEX(Data_Input!$A$1:$ZZ$502, MATCH("평가손익", INDEX(Data_Input!$A$1:$ZZ$502, 0, MATCH(1, (Data_Input!$7:$7=$F$3)*(Data_Input!$8:$8=$B51), 0)), 0) + 1, MATCH(1, (Data_Input!$7:$7=$F$3)*(Data_Input!$8:$8=$B51), 0)),"")</f>
        <v/>
      </c>
      <c r="K51" s="14" t="str" cm="1">
        <f t="array" ref="K51">IFERROR(INDEX(Data_Input!$A$1:$ZZ$502, MATCH("총수익률", INDEX(Data_Input!$A$1:$ZZ$502, 0, MATCH(1, (Data_Input!$7:$7=$F$3)*(Data_Input!$8:$8=$B51), 0)), 0) + 1, MATCH(1, (Data_Input!$7:$7=$F$3)*(Data_Input!$8:$8=$B51), 0)),"")</f>
        <v/>
      </c>
      <c r="L51" t="str" cm="1">
        <f t="array" ref="L51">IFERROR(_xlfn.LET(
    _xlpm.targetDate, B51,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52" spans="1:12" x14ac:dyDescent="0.3">
      <c r="A52" s="16" t="str">
        <f t="shared" si="0"/>
        <v/>
      </c>
      <c r="B52" s="8"/>
      <c r="C52" s="17" t="str">
        <f t="shared" si="2"/>
        <v/>
      </c>
      <c r="D52" s="29" t="str" cm="1">
        <f t="array" ref="D52">IFERROR(INDEX(Data_Input!$1:$100, 10, MATCH(1, (Data_Input!$F$7:$ZZ$7=$F$3) * (Data_Input!$F$8:$ZZ$8=$B52), 0)),"")</f>
        <v/>
      </c>
      <c r="E52" s="29" t="str" cm="1">
        <f t="array" ref="E52">IFERROR(INDEX(Data_Input!$1:$100, 9, MATCH(1, (Data_Input!$7:$7=$F$3) * (Data_Input!$8:$8=$B52), 0)),"")</f>
        <v/>
      </c>
      <c r="F52" s="20" t="str" cm="1">
        <f t="array" ref="F52">IFERROR(INDEX(Data_Input!$A$1:$ZZ$502, MATCH("예수금", INDEX(Data_Input!$A$1:$ZZ$502, 0, MATCH(1, (Data_Input!$7:$7=$F$3)*(Data_Input!$8:$8=$B52), 0)), 0) + 1, MATCH(1, (Data_Input!$7:$7=$F$3)*(Data_Input!$8:$8=$B52), 0)),"")</f>
        <v/>
      </c>
      <c r="G52" s="20" t="str" cm="1">
        <f t="array" ref="G52">IFERROR(INDEX(Data_Input!$A$1:$ZZ$502, MATCH("총자산", INDEX(Data_Input!$A$1:$ZZ$502, 0, MATCH(1, (Data_Input!$7:$7=$F$3)*(Data_Input!$8:$8=$B52), 0)), 0) + 1, MATCH(1, (Data_Input!$7:$7=$F$3)*(Data_Input!$8:$8=$B52), 0)),"")</f>
        <v/>
      </c>
      <c r="H52" s="20" t="str" cm="1">
        <f t="array" ref="H52">IFERROR(INDEX(Data_Input!$A$1:$ZZ$502, MATCH("매입금액", INDEX(Data_Input!$A$1:$ZZ$502, 0, MATCH(1, (Data_Input!$7:$7=$F$3)*(Data_Input!$8:$8=$B52), 0)), 0) + 1, MATCH(1, (Data_Input!$7:$7=$F$3)*(Data_Input!$8:$8=$B52), 0)),"")</f>
        <v/>
      </c>
      <c r="I52" s="20" t="str" cm="1">
        <f t="array" ref="I52">IFERROR(INDEX(Data_Input!$A$1:$ZZ$502, MATCH("평가금액", INDEX(Data_Input!$A$1:$ZZ$502, 0, MATCH(1, (Data_Input!$7:$7=$F$3)*(Data_Input!$8:$8=$B52), 0)), 0) + 1, MATCH(1, (Data_Input!$7:$7=$F$3)*(Data_Input!$8:$8=$B52), 0)),"")</f>
        <v/>
      </c>
      <c r="J52" s="20" t="str" cm="1">
        <f t="array" ref="J52">IFERROR(INDEX(Data_Input!$A$1:$ZZ$502, MATCH("평가손익", INDEX(Data_Input!$A$1:$ZZ$502, 0, MATCH(1, (Data_Input!$7:$7=$F$3)*(Data_Input!$8:$8=$B52), 0)), 0) + 1, MATCH(1, (Data_Input!$7:$7=$F$3)*(Data_Input!$8:$8=$B52), 0)),"")</f>
        <v/>
      </c>
      <c r="K52" s="14" t="str" cm="1">
        <f t="array" ref="K52">IFERROR(INDEX(Data_Input!$A$1:$ZZ$502, MATCH("총수익률", INDEX(Data_Input!$A$1:$ZZ$502, 0, MATCH(1, (Data_Input!$7:$7=$F$3)*(Data_Input!$8:$8=$B52), 0)), 0) + 1, MATCH(1, (Data_Input!$7:$7=$F$3)*(Data_Input!$8:$8=$B52), 0)),"")</f>
        <v/>
      </c>
      <c r="L52" t="str" cm="1">
        <f t="array" ref="L52">IFERROR(_xlfn.LET(
    _xlpm.targetDate, B52,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53" spans="1:12" x14ac:dyDescent="0.3">
      <c r="A53" s="16" t="str">
        <f t="shared" si="0"/>
        <v/>
      </c>
      <c r="B53" s="8"/>
      <c r="C53" s="17" t="str">
        <f t="shared" si="2"/>
        <v/>
      </c>
      <c r="D53" s="29" t="str" cm="1">
        <f t="array" ref="D53">IFERROR(INDEX(Data_Input!$1:$100, 10, MATCH(1, (Data_Input!$F$7:$ZZ$7=$F$3) * (Data_Input!$F$8:$ZZ$8=$B53), 0)),"")</f>
        <v/>
      </c>
      <c r="E53" s="29" t="str" cm="1">
        <f t="array" ref="E53">IFERROR(INDEX(Data_Input!$1:$100, 9, MATCH(1, (Data_Input!$7:$7=$F$3) * (Data_Input!$8:$8=$B53), 0)),"")</f>
        <v/>
      </c>
      <c r="F53" s="20" t="str" cm="1">
        <f t="array" ref="F53">IFERROR(INDEX(Data_Input!$A$1:$ZZ$502, MATCH("예수금", INDEX(Data_Input!$A$1:$ZZ$502, 0, MATCH(1, (Data_Input!$7:$7=$F$3)*(Data_Input!$8:$8=$B53), 0)), 0) + 1, MATCH(1, (Data_Input!$7:$7=$F$3)*(Data_Input!$8:$8=$B53), 0)),"")</f>
        <v/>
      </c>
      <c r="G53" s="20" t="str" cm="1">
        <f t="array" ref="G53">IFERROR(INDEX(Data_Input!$A$1:$ZZ$502, MATCH("총자산", INDEX(Data_Input!$A$1:$ZZ$502, 0, MATCH(1, (Data_Input!$7:$7=$F$3)*(Data_Input!$8:$8=$B53), 0)), 0) + 1, MATCH(1, (Data_Input!$7:$7=$F$3)*(Data_Input!$8:$8=$B53), 0)),"")</f>
        <v/>
      </c>
      <c r="H53" s="20" t="str" cm="1">
        <f t="array" ref="H53">IFERROR(INDEX(Data_Input!$A$1:$ZZ$502, MATCH("매입금액", INDEX(Data_Input!$A$1:$ZZ$502, 0, MATCH(1, (Data_Input!$7:$7=$F$3)*(Data_Input!$8:$8=$B53), 0)), 0) + 1, MATCH(1, (Data_Input!$7:$7=$F$3)*(Data_Input!$8:$8=$B53), 0)),"")</f>
        <v/>
      </c>
      <c r="I53" s="20" t="str" cm="1">
        <f t="array" ref="I53">IFERROR(INDEX(Data_Input!$A$1:$ZZ$502, MATCH("평가금액", INDEX(Data_Input!$A$1:$ZZ$502, 0, MATCH(1, (Data_Input!$7:$7=$F$3)*(Data_Input!$8:$8=$B53), 0)), 0) + 1, MATCH(1, (Data_Input!$7:$7=$F$3)*(Data_Input!$8:$8=$B53), 0)),"")</f>
        <v/>
      </c>
      <c r="J53" s="20" t="str" cm="1">
        <f t="array" ref="J53">IFERROR(INDEX(Data_Input!$A$1:$ZZ$502, MATCH("평가손익", INDEX(Data_Input!$A$1:$ZZ$502, 0, MATCH(1, (Data_Input!$7:$7=$F$3)*(Data_Input!$8:$8=$B53), 0)), 0) + 1, MATCH(1, (Data_Input!$7:$7=$F$3)*(Data_Input!$8:$8=$B53), 0)),"")</f>
        <v/>
      </c>
      <c r="K53" s="14" t="str" cm="1">
        <f t="array" ref="K53">IFERROR(INDEX(Data_Input!$A$1:$ZZ$502, MATCH("총수익률", INDEX(Data_Input!$A$1:$ZZ$502, 0, MATCH(1, (Data_Input!$7:$7=$F$3)*(Data_Input!$8:$8=$B53), 0)), 0) + 1, MATCH(1, (Data_Input!$7:$7=$F$3)*(Data_Input!$8:$8=$B53), 0)),"")</f>
        <v/>
      </c>
      <c r="L53" t="str" cm="1">
        <f t="array" ref="L53">IFERROR(_xlfn.LET(
    _xlpm.targetDate, B53,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54" spans="1:12" x14ac:dyDescent="0.3">
      <c r="A54" s="16" t="str">
        <f t="shared" si="0"/>
        <v/>
      </c>
      <c r="B54" s="8"/>
      <c r="C54" s="17" t="str">
        <f t="shared" si="2"/>
        <v/>
      </c>
      <c r="D54" s="29" t="str" cm="1">
        <f t="array" ref="D54">IFERROR(INDEX(Data_Input!$1:$100, 10, MATCH(1, (Data_Input!$F$7:$ZZ$7=$F$3) * (Data_Input!$F$8:$ZZ$8=$B54), 0)),"")</f>
        <v/>
      </c>
      <c r="E54" s="29" t="str" cm="1">
        <f t="array" ref="E54">IFERROR(INDEX(Data_Input!$1:$100, 9, MATCH(1, (Data_Input!$7:$7=$F$3) * (Data_Input!$8:$8=$B54), 0)),"")</f>
        <v/>
      </c>
      <c r="F54" s="20" t="str" cm="1">
        <f t="array" ref="F54">IFERROR(INDEX(Data_Input!$A$1:$ZZ$502, MATCH("예수금", INDEX(Data_Input!$A$1:$ZZ$502, 0, MATCH(1, (Data_Input!$7:$7=$F$3)*(Data_Input!$8:$8=$B54), 0)), 0) + 1, MATCH(1, (Data_Input!$7:$7=$F$3)*(Data_Input!$8:$8=$B54), 0)),"")</f>
        <v/>
      </c>
      <c r="G54" s="20" t="str" cm="1">
        <f t="array" ref="G54">IFERROR(INDEX(Data_Input!$A$1:$ZZ$502, MATCH("총자산", INDEX(Data_Input!$A$1:$ZZ$502, 0, MATCH(1, (Data_Input!$7:$7=$F$3)*(Data_Input!$8:$8=$B54), 0)), 0) + 1, MATCH(1, (Data_Input!$7:$7=$F$3)*(Data_Input!$8:$8=$B54), 0)),"")</f>
        <v/>
      </c>
      <c r="H54" s="20" t="str" cm="1">
        <f t="array" ref="H54">IFERROR(INDEX(Data_Input!$A$1:$ZZ$502, MATCH("매입금액", INDEX(Data_Input!$A$1:$ZZ$502, 0, MATCH(1, (Data_Input!$7:$7=$F$3)*(Data_Input!$8:$8=$B54), 0)), 0) + 1, MATCH(1, (Data_Input!$7:$7=$F$3)*(Data_Input!$8:$8=$B54), 0)),"")</f>
        <v/>
      </c>
      <c r="I54" s="20" t="str" cm="1">
        <f t="array" ref="I54">IFERROR(INDEX(Data_Input!$A$1:$ZZ$502, MATCH("평가금액", INDEX(Data_Input!$A$1:$ZZ$502, 0, MATCH(1, (Data_Input!$7:$7=$F$3)*(Data_Input!$8:$8=$B54), 0)), 0) + 1, MATCH(1, (Data_Input!$7:$7=$F$3)*(Data_Input!$8:$8=$B54), 0)),"")</f>
        <v/>
      </c>
      <c r="J54" s="20" t="str" cm="1">
        <f t="array" ref="J54">IFERROR(INDEX(Data_Input!$A$1:$ZZ$502, MATCH("평가손익", INDEX(Data_Input!$A$1:$ZZ$502, 0, MATCH(1, (Data_Input!$7:$7=$F$3)*(Data_Input!$8:$8=$B54), 0)), 0) + 1, MATCH(1, (Data_Input!$7:$7=$F$3)*(Data_Input!$8:$8=$B54), 0)),"")</f>
        <v/>
      </c>
      <c r="K54" s="14" t="str" cm="1">
        <f t="array" ref="K54">IFERROR(INDEX(Data_Input!$A$1:$ZZ$502, MATCH("총수익률", INDEX(Data_Input!$A$1:$ZZ$502, 0, MATCH(1, (Data_Input!$7:$7=$F$3)*(Data_Input!$8:$8=$B54), 0)), 0) + 1, MATCH(1, (Data_Input!$7:$7=$F$3)*(Data_Input!$8:$8=$B54), 0)),"")</f>
        <v/>
      </c>
      <c r="L54" t="str" cm="1">
        <f t="array" ref="L54">IFERROR(_xlfn.LET(
    _xlpm.targetDate, B54,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55" spans="1:12" x14ac:dyDescent="0.3">
      <c r="A55" s="16" t="str">
        <f t="shared" si="0"/>
        <v/>
      </c>
      <c r="B55" s="8"/>
      <c r="C55" s="17" t="str">
        <f t="shared" si="2"/>
        <v/>
      </c>
      <c r="D55" s="29" t="str" cm="1">
        <f t="array" ref="D55">IFERROR(INDEX(Data_Input!$1:$100, 10, MATCH(1, (Data_Input!$F$7:$ZZ$7=$F$3) * (Data_Input!$F$8:$ZZ$8=$B55), 0)),"")</f>
        <v/>
      </c>
      <c r="E55" s="29" t="str" cm="1">
        <f t="array" ref="E55">IFERROR(INDEX(Data_Input!$1:$100, 9, MATCH(1, (Data_Input!$7:$7=$F$3) * (Data_Input!$8:$8=$B55), 0)),"")</f>
        <v/>
      </c>
      <c r="F55" s="20" t="str" cm="1">
        <f t="array" ref="F55">IFERROR(INDEX(Data_Input!$A$1:$ZZ$502, MATCH("예수금", INDEX(Data_Input!$A$1:$ZZ$502, 0, MATCH(1, (Data_Input!$7:$7=$F$3)*(Data_Input!$8:$8=$B55), 0)), 0) + 1, MATCH(1, (Data_Input!$7:$7=$F$3)*(Data_Input!$8:$8=$B55), 0)),"")</f>
        <v/>
      </c>
      <c r="G55" s="20" t="str" cm="1">
        <f t="array" ref="G55">IFERROR(INDEX(Data_Input!$A$1:$ZZ$502, MATCH("총자산", INDEX(Data_Input!$A$1:$ZZ$502, 0, MATCH(1, (Data_Input!$7:$7=$F$3)*(Data_Input!$8:$8=$B55), 0)), 0) + 1, MATCH(1, (Data_Input!$7:$7=$F$3)*(Data_Input!$8:$8=$B55), 0)),"")</f>
        <v/>
      </c>
      <c r="H55" s="20" t="str" cm="1">
        <f t="array" ref="H55">IFERROR(INDEX(Data_Input!$A$1:$ZZ$502, MATCH("매입금액", INDEX(Data_Input!$A$1:$ZZ$502, 0, MATCH(1, (Data_Input!$7:$7=$F$3)*(Data_Input!$8:$8=$B55), 0)), 0) + 1, MATCH(1, (Data_Input!$7:$7=$F$3)*(Data_Input!$8:$8=$B55), 0)),"")</f>
        <v/>
      </c>
      <c r="I55" s="20" t="str" cm="1">
        <f t="array" ref="I55">IFERROR(INDEX(Data_Input!$A$1:$ZZ$502, MATCH("평가금액", INDEX(Data_Input!$A$1:$ZZ$502, 0, MATCH(1, (Data_Input!$7:$7=$F$3)*(Data_Input!$8:$8=$B55), 0)), 0) + 1, MATCH(1, (Data_Input!$7:$7=$F$3)*(Data_Input!$8:$8=$B55), 0)),"")</f>
        <v/>
      </c>
      <c r="J55" s="20" t="str" cm="1">
        <f t="array" ref="J55">IFERROR(INDEX(Data_Input!$A$1:$ZZ$502, MATCH("평가손익", INDEX(Data_Input!$A$1:$ZZ$502, 0, MATCH(1, (Data_Input!$7:$7=$F$3)*(Data_Input!$8:$8=$B55), 0)), 0) + 1, MATCH(1, (Data_Input!$7:$7=$F$3)*(Data_Input!$8:$8=$B55), 0)),"")</f>
        <v/>
      </c>
      <c r="K55" s="14" t="str" cm="1">
        <f t="array" ref="K55">IFERROR(INDEX(Data_Input!$A$1:$ZZ$502, MATCH("총수익률", INDEX(Data_Input!$A$1:$ZZ$502, 0, MATCH(1, (Data_Input!$7:$7=$F$3)*(Data_Input!$8:$8=$B55), 0)), 0) + 1, MATCH(1, (Data_Input!$7:$7=$F$3)*(Data_Input!$8:$8=$B55), 0)),"")</f>
        <v/>
      </c>
      <c r="L55" t="str" cm="1">
        <f t="array" ref="L55">IFERROR(_xlfn.LET(
    _xlpm.targetDate, B55,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56" spans="1:12" x14ac:dyDescent="0.3">
      <c r="A56" s="16" t="str">
        <f t="shared" si="0"/>
        <v/>
      </c>
      <c r="B56" s="8"/>
      <c r="C56" s="17" t="str">
        <f t="shared" si="2"/>
        <v/>
      </c>
      <c r="D56" s="29" t="str" cm="1">
        <f t="array" ref="D56">IFERROR(INDEX(Data_Input!$1:$100, 10, MATCH(1, (Data_Input!$F$7:$ZZ$7=$F$3) * (Data_Input!$F$8:$ZZ$8=$B56), 0)),"")</f>
        <v/>
      </c>
      <c r="E56" s="29" t="str" cm="1">
        <f t="array" ref="E56">IFERROR(INDEX(Data_Input!$1:$100, 9, MATCH(1, (Data_Input!$7:$7=$F$3) * (Data_Input!$8:$8=$B56), 0)),"")</f>
        <v/>
      </c>
      <c r="F56" s="20" t="str" cm="1">
        <f t="array" ref="F56">IFERROR(INDEX(Data_Input!$A$1:$ZZ$502, MATCH("예수금", INDEX(Data_Input!$A$1:$ZZ$502, 0, MATCH(1, (Data_Input!$7:$7=$F$3)*(Data_Input!$8:$8=$B56), 0)), 0) + 1, MATCH(1, (Data_Input!$7:$7=$F$3)*(Data_Input!$8:$8=$B56), 0)),"")</f>
        <v/>
      </c>
      <c r="G56" s="20" t="str" cm="1">
        <f t="array" ref="G56">IFERROR(INDEX(Data_Input!$A$1:$ZZ$502, MATCH("총자산", INDEX(Data_Input!$A$1:$ZZ$502, 0, MATCH(1, (Data_Input!$7:$7=$F$3)*(Data_Input!$8:$8=$B56), 0)), 0) + 1, MATCH(1, (Data_Input!$7:$7=$F$3)*(Data_Input!$8:$8=$B56), 0)),"")</f>
        <v/>
      </c>
      <c r="H56" s="20" t="str" cm="1">
        <f t="array" ref="H56">IFERROR(INDEX(Data_Input!$A$1:$ZZ$502, MATCH("매입금액", INDEX(Data_Input!$A$1:$ZZ$502, 0, MATCH(1, (Data_Input!$7:$7=$F$3)*(Data_Input!$8:$8=$B56), 0)), 0) + 1, MATCH(1, (Data_Input!$7:$7=$F$3)*(Data_Input!$8:$8=$B56), 0)),"")</f>
        <v/>
      </c>
      <c r="I56" s="20" t="str" cm="1">
        <f t="array" ref="I56">IFERROR(INDEX(Data_Input!$A$1:$ZZ$502, MATCH("평가금액", INDEX(Data_Input!$A$1:$ZZ$502, 0, MATCH(1, (Data_Input!$7:$7=$F$3)*(Data_Input!$8:$8=$B56), 0)), 0) + 1, MATCH(1, (Data_Input!$7:$7=$F$3)*(Data_Input!$8:$8=$B56), 0)),"")</f>
        <v/>
      </c>
      <c r="J56" s="20" t="str" cm="1">
        <f t="array" ref="J56">IFERROR(INDEX(Data_Input!$A$1:$ZZ$502, MATCH("평가손익", INDEX(Data_Input!$A$1:$ZZ$502, 0, MATCH(1, (Data_Input!$7:$7=$F$3)*(Data_Input!$8:$8=$B56), 0)), 0) + 1, MATCH(1, (Data_Input!$7:$7=$F$3)*(Data_Input!$8:$8=$B56), 0)),"")</f>
        <v/>
      </c>
      <c r="K56" s="14" t="str" cm="1">
        <f t="array" ref="K56">IFERROR(INDEX(Data_Input!$A$1:$ZZ$502, MATCH("총수익률", INDEX(Data_Input!$A$1:$ZZ$502, 0, MATCH(1, (Data_Input!$7:$7=$F$3)*(Data_Input!$8:$8=$B56), 0)), 0) + 1, MATCH(1, (Data_Input!$7:$7=$F$3)*(Data_Input!$8:$8=$B56), 0)),"")</f>
        <v/>
      </c>
      <c r="L56" t="str" cm="1">
        <f t="array" ref="L56">IFERROR(_xlfn.LET(
    _xlpm.targetDate, B56,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57" spans="1:12" x14ac:dyDescent="0.3">
      <c r="A57" s="16" t="str">
        <f t="shared" si="0"/>
        <v/>
      </c>
      <c r="B57" s="8"/>
      <c r="C57" s="17" t="str">
        <f t="shared" si="2"/>
        <v/>
      </c>
      <c r="D57" s="29" t="str" cm="1">
        <f t="array" ref="D57">IFERROR(INDEX(Data_Input!$1:$100, 10, MATCH(1, (Data_Input!$F$7:$ZZ$7=$F$3) * (Data_Input!$F$8:$ZZ$8=$B57), 0)),"")</f>
        <v/>
      </c>
      <c r="E57" s="29" t="str" cm="1">
        <f t="array" ref="E57">IFERROR(INDEX(Data_Input!$1:$100, 9, MATCH(1, (Data_Input!$7:$7=$F$3) * (Data_Input!$8:$8=$B57), 0)),"")</f>
        <v/>
      </c>
      <c r="F57" s="20" t="str" cm="1">
        <f t="array" ref="F57">IFERROR(INDEX(Data_Input!$A$1:$ZZ$502, MATCH("예수금", INDEX(Data_Input!$A$1:$ZZ$502, 0, MATCH(1, (Data_Input!$7:$7=$F$3)*(Data_Input!$8:$8=$B57), 0)), 0) + 1, MATCH(1, (Data_Input!$7:$7=$F$3)*(Data_Input!$8:$8=$B57), 0)),"")</f>
        <v/>
      </c>
      <c r="G57" s="20" t="str" cm="1">
        <f t="array" ref="G57">IFERROR(INDEX(Data_Input!$A$1:$ZZ$502, MATCH("총자산", INDEX(Data_Input!$A$1:$ZZ$502, 0, MATCH(1, (Data_Input!$7:$7=$F$3)*(Data_Input!$8:$8=$B57), 0)), 0) + 1, MATCH(1, (Data_Input!$7:$7=$F$3)*(Data_Input!$8:$8=$B57), 0)),"")</f>
        <v/>
      </c>
      <c r="H57" s="20" t="str" cm="1">
        <f t="array" ref="H57">IFERROR(INDEX(Data_Input!$A$1:$ZZ$502, MATCH("매입금액", INDEX(Data_Input!$A$1:$ZZ$502, 0, MATCH(1, (Data_Input!$7:$7=$F$3)*(Data_Input!$8:$8=$B57), 0)), 0) + 1, MATCH(1, (Data_Input!$7:$7=$F$3)*(Data_Input!$8:$8=$B57), 0)),"")</f>
        <v/>
      </c>
      <c r="I57" s="20" t="str" cm="1">
        <f t="array" ref="I57">IFERROR(INDEX(Data_Input!$A$1:$ZZ$502, MATCH("평가금액", INDEX(Data_Input!$A$1:$ZZ$502, 0, MATCH(1, (Data_Input!$7:$7=$F$3)*(Data_Input!$8:$8=$B57), 0)), 0) + 1, MATCH(1, (Data_Input!$7:$7=$F$3)*(Data_Input!$8:$8=$B57), 0)),"")</f>
        <v/>
      </c>
      <c r="J57" s="20" t="str" cm="1">
        <f t="array" ref="J57">IFERROR(INDEX(Data_Input!$A$1:$ZZ$502, MATCH("평가손익", INDEX(Data_Input!$A$1:$ZZ$502, 0, MATCH(1, (Data_Input!$7:$7=$F$3)*(Data_Input!$8:$8=$B57), 0)), 0) + 1, MATCH(1, (Data_Input!$7:$7=$F$3)*(Data_Input!$8:$8=$B57), 0)),"")</f>
        <v/>
      </c>
      <c r="K57" s="14" t="str" cm="1">
        <f t="array" ref="K57">IFERROR(INDEX(Data_Input!$A$1:$ZZ$502, MATCH("총수익률", INDEX(Data_Input!$A$1:$ZZ$502, 0, MATCH(1, (Data_Input!$7:$7=$F$3)*(Data_Input!$8:$8=$B57), 0)), 0) + 1, MATCH(1, (Data_Input!$7:$7=$F$3)*(Data_Input!$8:$8=$B57), 0)),"")</f>
        <v/>
      </c>
      <c r="L57" t="str" cm="1">
        <f t="array" ref="L57">IFERROR(_xlfn.LET(
    _xlpm.targetDate, B57,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58" spans="1:12" x14ac:dyDescent="0.3">
      <c r="A58" s="16" t="str">
        <f t="shared" si="0"/>
        <v/>
      </c>
      <c r="B58" s="8"/>
      <c r="C58" s="17" t="str">
        <f t="shared" si="2"/>
        <v/>
      </c>
      <c r="D58" s="29" t="str" cm="1">
        <f t="array" ref="D58">IFERROR(INDEX(Data_Input!$1:$100, 10, MATCH(1, (Data_Input!$F$7:$ZZ$7=$F$3) * (Data_Input!$F$8:$ZZ$8=$B58), 0)),"")</f>
        <v/>
      </c>
      <c r="E58" s="29" t="str" cm="1">
        <f t="array" ref="E58">IFERROR(INDEX(Data_Input!$1:$100, 9, MATCH(1, (Data_Input!$7:$7=$F$3) * (Data_Input!$8:$8=$B58), 0)),"")</f>
        <v/>
      </c>
      <c r="F58" s="20" t="str" cm="1">
        <f t="array" ref="F58">IFERROR(INDEX(Data_Input!$A$1:$ZZ$502, MATCH("예수금", INDEX(Data_Input!$A$1:$ZZ$502, 0, MATCH(1, (Data_Input!$7:$7=$F$3)*(Data_Input!$8:$8=$B58), 0)), 0) + 1, MATCH(1, (Data_Input!$7:$7=$F$3)*(Data_Input!$8:$8=$B58), 0)),"")</f>
        <v/>
      </c>
      <c r="G58" s="20" t="str" cm="1">
        <f t="array" ref="G58">IFERROR(INDEX(Data_Input!$A$1:$ZZ$502, MATCH("총자산", INDEX(Data_Input!$A$1:$ZZ$502, 0, MATCH(1, (Data_Input!$7:$7=$F$3)*(Data_Input!$8:$8=$B58), 0)), 0) + 1, MATCH(1, (Data_Input!$7:$7=$F$3)*(Data_Input!$8:$8=$B58), 0)),"")</f>
        <v/>
      </c>
      <c r="H58" s="20" t="str" cm="1">
        <f t="array" ref="H58">IFERROR(INDEX(Data_Input!$A$1:$ZZ$502, MATCH("매입금액", INDEX(Data_Input!$A$1:$ZZ$502, 0, MATCH(1, (Data_Input!$7:$7=$F$3)*(Data_Input!$8:$8=$B58), 0)), 0) + 1, MATCH(1, (Data_Input!$7:$7=$F$3)*(Data_Input!$8:$8=$B58), 0)),"")</f>
        <v/>
      </c>
      <c r="I58" s="20" t="str" cm="1">
        <f t="array" ref="I58">IFERROR(INDEX(Data_Input!$A$1:$ZZ$502, MATCH("평가금액", INDEX(Data_Input!$A$1:$ZZ$502, 0, MATCH(1, (Data_Input!$7:$7=$F$3)*(Data_Input!$8:$8=$B58), 0)), 0) + 1, MATCH(1, (Data_Input!$7:$7=$F$3)*(Data_Input!$8:$8=$B58), 0)),"")</f>
        <v/>
      </c>
      <c r="J58" s="20" t="str" cm="1">
        <f t="array" ref="J58">IFERROR(INDEX(Data_Input!$A$1:$ZZ$502, MATCH("평가손익", INDEX(Data_Input!$A$1:$ZZ$502, 0, MATCH(1, (Data_Input!$7:$7=$F$3)*(Data_Input!$8:$8=$B58), 0)), 0) + 1, MATCH(1, (Data_Input!$7:$7=$F$3)*(Data_Input!$8:$8=$B58), 0)),"")</f>
        <v/>
      </c>
      <c r="K58" s="14" t="str" cm="1">
        <f t="array" ref="K58">IFERROR(INDEX(Data_Input!$A$1:$ZZ$502, MATCH("총수익률", INDEX(Data_Input!$A$1:$ZZ$502, 0, MATCH(1, (Data_Input!$7:$7=$F$3)*(Data_Input!$8:$8=$B58), 0)), 0) + 1, MATCH(1, (Data_Input!$7:$7=$F$3)*(Data_Input!$8:$8=$B58), 0)),"")</f>
        <v/>
      </c>
      <c r="L58" t="str" cm="1">
        <f t="array" ref="L58">IFERROR(_xlfn.LET(
    _xlpm.targetDate, B58,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59" spans="1:12" x14ac:dyDescent="0.3">
      <c r="A59" s="16" t="str">
        <f t="shared" si="0"/>
        <v/>
      </c>
      <c r="B59" s="8"/>
      <c r="C59" s="17" t="str">
        <f t="shared" si="2"/>
        <v/>
      </c>
      <c r="D59" s="29" t="str" cm="1">
        <f t="array" ref="D59">IFERROR(INDEX(Data_Input!$1:$100, 10, MATCH(1, (Data_Input!$F$7:$ZZ$7=$F$3) * (Data_Input!$F$8:$ZZ$8=$B59), 0)),"")</f>
        <v/>
      </c>
      <c r="E59" s="29" t="str" cm="1">
        <f t="array" ref="E59">IFERROR(INDEX(Data_Input!$1:$100, 9, MATCH(1, (Data_Input!$7:$7=$F$3) * (Data_Input!$8:$8=$B59), 0)),"")</f>
        <v/>
      </c>
      <c r="F59" s="20" t="str" cm="1">
        <f t="array" ref="F59">IFERROR(INDEX(Data_Input!$A$1:$ZZ$502, MATCH("예수금", INDEX(Data_Input!$A$1:$ZZ$502, 0, MATCH(1, (Data_Input!$7:$7=$F$3)*(Data_Input!$8:$8=$B59), 0)), 0) + 1, MATCH(1, (Data_Input!$7:$7=$F$3)*(Data_Input!$8:$8=$B59), 0)),"")</f>
        <v/>
      </c>
      <c r="G59" s="20" t="str" cm="1">
        <f t="array" ref="G59">IFERROR(INDEX(Data_Input!$A$1:$ZZ$502, MATCH("총자산", INDEX(Data_Input!$A$1:$ZZ$502, 0, MATCH(1, (Data_Input!$7:$7=$F$3)*(Data_Input!$8:$8=$B59), 0)), 0) + 1, MATCH(1, (Data_Input!$7:$7=$F$3)*(Data_Input!$8:$8=$B59), 0)),"")</f>
        <v/>
      </c>
      <c r="H59" s="20" t="str" cm="1">
        <f t="array" ref="H59">IFERROR(INDEX(Data_Input!$A$1:$ZZ$502, MATCH("매입금액", INDEX(Data_Input!$A$1:$ZZ$502, 0, MATCH(1, (Data_Input!$7:$7=$F$3)*(Data_Input!$8:$8=$B59), 0)), 0) + 1, MATCH(1, (Data_Input!$7:$7=$F$3)*(Data_Input!$8:$8=$B59), 0)),"")</f>
        <v/>
      </c>
      <c r="I59" s="20" t="str" cm="1">
        <f t="array" ref="I59">IFERROR(INDEX(Data_Input!$A$1:$ZZ$502, MATCH("평가금액", INDEX(Data_Input!$A$1:$ZZ$502, 0, MATCH(1, (Data_Input!$7:$7=$F$3)*(Data_Input!$8:$8=$B59), 0)), 0) + 1, MATCH(1, (Data_Input!$7:$7=$F$3)*(Data_Input!$8:$8=$B59), 0)),"")</f>
        <v/>
      </c>
      <c r="J59" s="20" t="str" cm="1">
        <f t="array" ref="J59">IFERROR(INDEX(Data_Input!$A$1:$ZZ$502, MATCH("평가손익", INDEX(Data_Input!$A$1:$ZZ$502, 0, MATCH(1, (Data_Input!$7:$7=$F$3)*(Data_Input!$8:$8=$B59), 0)), 0) + 1, MATCH(1, (Data_Input!$7:$7=$F$3)*(Data_Input!$8:$8=$B59), 0)),"")</f>
        <v/>
      </c>
      <c r="K59" s="14" t="str" cm="1">
        <f t="array" ref="K59">IFERROR(INDEX(Data_Input!$A$1:$ZZ$502, MATCH("총수익률", INDEX(Data_Input!$A$1:$ZZ$502, 0, MATCH(1, (Data_Input!$7:$7=$F$3)*(Data_Input!$8:$8=$B59), 0)), 0) + 1, MATCH(1, (Data_Input!$7:$7=$F$3)*(Data_Input!$8:$8=$B59), 0)),"")</f>
        <v/>
      </c>
      <c r="L59" t="str" cm="1">
        <f t="array" ref="L59">IFERROR(_xlfn.LET(
    _xlpm.targetDate, B59,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60" spans="1:12" x14ac:dyDescent="0.3">
      <c r="A60" s="16" t="str">
        <f t="shared" si="0"/>
        <v/>
      </c>
      <c r="B60" s="8"/>
      <c r="C60" s="17" t="str">
        <f t="shared" si="2"/>
        <v/>
      </c>
      <c r="D60" s="29" t="str" cm="1">
        <f t="array" ref="D60">IFERROR(INDEX(Data_Input!$1:$100, 10, MATCH(1, (Data_Input!$F$7:$ZZ$7=$F$3) * (Data_Input!$F$8:$ZZ$8=$B60), 0)),"")</f>
        <v/>
      </c>
      <c r="E60" s="29" t="str" cm="1">
        <f t="array" ref="E60">IFERROR(INDEX(Data_Input!$1:$100, 9, MATCH(1, (Data_Input!$7:$7=$F$3) * (Data_Input!$8:$8=$B60), 0)),"")</f>
        <v/>
      </c>
      <c r="F60" s="20" t="str" cm="1">
        <f t="array" ref="F60">IFERROR(INDEX(Data_Input!$A$1:$ZZ$502, MATCH("예수금", INDEX(Data_Input!$A$1:$ZZ$502, 0, MATCH(1, (Data_Input!$7:$7=$F$3)*(Data_Input!$8:$8=$B60), 0)), 0) + 1, MATCH(1, (Data_Input!$7:$7=$F$3)*(Data_Input!$8:$8=$B60), 0)),"")</f>
        <v/>
      </c>
      <c r="G60" s="20" t="str" cm="1">
        <f t="array" ref="G60">IFERROR(INDEX(Data_Input!$A$1:$ZZ$502, MATCH("총자산", INDEX(Data_Input!$A$1:$ZZ$502, 0, MATCH(1, (Data_Input!$7:$7=$F$3)*(Data_Input!$8:$8=$B60), 0)), 0) + 1, MATCH(1, (Data_Input!$7:$7=$F$3)*(Data_Input!$8:$8=$B60), 0)),"")</f>
        <v/>
      </c>
      <c r="H60" s="20" t="str" cm="1">
        <f t="array" ref="H60">IFERROR(INDEX(Data_Input!$A$1:$ZZ$502, MATCH("매입금액", INDEX(Data_Input!$A$1:$ZZ$502, 0, MATCH(1, (Data_Input!$7:$7=$F$3)*(Data_Input!$8:$8=$B60), 0)), 0) + 1, MATCH(1, (Data_Input!$7:$7=$F$3)*(Data_Input!$8:$8=$B60), 0)),"")</f>
        <v/>
      </c>
      <c r="I60" s="20" t="str" cm="1">
        <f t="array" ref="I60">IFERROR(INDEX(Data_Input!$A$1:$ZZ$502, MATCH("평가금액", INDEX(Data_Input!$A$1:$ZZ$502, 0, MATCH(1, (Data_Input!$7:$7=$F$3)*(Data_Input!$8:$8=$B60), 0)), 0) + 1, MATCH(1, (Data_Input!$7:$7=$F$3)*(Data_Input!$8:$8=$B60), 0)),"")</f>
        <v/>
      </c>
      <c r="J60" s="20" t="str" cm="1">
        <f t="array" ref="J60">IFERROR(INDEX(Data_Input!$A$1:$ZZ$502, MATCH("평가손익", INDEX(Data_Input!$A$1:$ZZ$502, 0, MATCH(1, (Data_Input!$7:$7=$F$3)*(Data_Input!$8:$8=$B60), 0)), 0) + 1, MATCH(1, (Data_Input!$7:$7=$F$3)*(Data_Input!$8:$8=$B60), 0)),"")</f>
        <v/>
      </c>
      <c r="K60" s="14" t="str" cm="1">
        <f t="array" ref="K60">IFERROR(INDEX(Data_Input!$A$1:$ZZ$502, MATCH("총수익률", INDEX(Data_Input!$A$1:$ZZ$502, 0, MATCH(1, (Data_Input!$7:$7=$F$3)*(Data_Input!$8:$8=$B60), 0)), 0) + 1, MATCH(1, (Data_Input!$7:$7=$F$3)*(Data_Input!$8:$8=$B60), 0)),"")</f>
        <v/>
      </c>
      <c r="L60" t="str" cm="1">
        <f t="array" ref="L60">IFERROR(_xlfn.LET(
    _xlpm.targetDate, B60,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61" spans="1:12" x14ac:dyDescent="0.3">
      <c r="A61" s="16" t="str">
        <f t="shared" si="0"/>
        <v/>
      </c>
      <c r="B61" s="8"/>
      <c r="C61" s="17" t="str">
        <f t="shared" si="2"/>
        <v/>
      </c>
      <c r="D61" s="29" t="str" cm="1">
        <f t="array" ref="D61">IFERROR(INDEX(Data_Input!$1:$100, 10, MATCH(1, (Data_Input!$F$7:$ZZ$7=$F$3) * (Data_Input!$F$8:$ZZ$8=$B61), 0)),"")</f>
        <v/>
      </c>
      <c r="E61" s="29" t="str" cm="1">
        <f t="array" ref="E61">IFERROR(INDEX(Data_Input!$1:$100, 9, MATCH(1, (Data_Input!$7:$7=$F$3) * (Data_Input!$8:$8=$B61), 0)),"")</f>
        <v/>
      </c>
      <c r="F61" s="20" t="str" cm="1">
        <f t="array" ref="F61">IFERROR(INDEX(Data_Input!$A$1:$ZZ$502, MATCH("예수금", INDEX(Data_Input!$A$1:$ZZ$502, 0, MATCH(1, (Data_Input!$7:$7=$F$3)*(Data_Input!$8:$8=$B61), 0)), 0) + 1, MATCH(1, (Data_Input!$7:$7=$F$3)*(Data_Input!$8:$8=$B61), 0)),"")</f>
        <v/>
      </c>
      <c r="G61" s="20" t="str" cm="1">
        <f t="array" ref="G61">IFERROR(INDEX(Data_Input!$A$1:$ZZ$502, MATCH("총자산", INDEX(Data_Input!$A$1:$ZZ$502, 0, MATCH(1, (Data_Input!$7:$7=$F$3)*(Data_Input!$8:$8=$B61), 0)), 0) + 1, MATCH(1, (Data_Input!$7:$7=$F$3)*(Data_Input!$8:$8=$B61), 0)),"")</f>
        <v/>
      </c>
      <c r="H61" s="20" t="str" cm="1">
        <f t="array" ref="H61">IFERROR(INDEX(Data_Input!$A$1:$ZZ$502, MATCH("매입금액", INDEX(Data_Input!$A$1:$ZZ$502, 0, MATCH(1, (Data_Input!$7:$7=$F$3)*(Data_Input!$8:$8=$B61), 0)), 0) + 1, MATCH(1, (Data_Input!$7:$7=$F$3)*(Data_Input!$8:$8=$B61), 0)),"")</f>
        <v/>
      </c>
      <c r="I61" s="20" t="str" cm="1">
        <f t="array" ref="I61">IFERROR(INDEX(Data_Input!$A$1:$ZZ$502, MATCH("평가금액", INDEX(Data_Input!$A$1:$ZZ$502, 0, MATCH(1, (Data_Input!$7:$7=$F$3)*(Data_Input!$8:$8=$B61), 0)), 0) + 1, MATCH(1, (Data_Input!$7:$7=$F$3)*(Data_Input!$8:$8=$B61), 0)),"")</f>
        <v/>
      </c>
      <c r="J61" s="20" t="str" cm="1">
        <f t="array" ref="J61">IFERROR(INDEX(Data_Input!$A$1:$ZZ$502, MATCH("평가손익", INDEX(Data_Input!$A$1:$ZZ$502, 0, MATCH(1, (Data_Input!$7:$7=$F$3)*(Data_Input!$8:$8=$B61), 0)), 0) + 1, MATCH(1, (Data_Input!$7:$7=$F$3)*(Data_Input!$8:$8=$B61), 0)),"")</f>
        <v/>
      </c>
      <c r="K61" s="14" t="str" cm="1">
        <f t="array" ref="K61">IFERROR(INDEX(Data_Input!$A$1:$ZZ$502, MATCH("총수익률", INDEX(Data_Input!$A$1:$ZZ$502, 0, MATCH(1, (Data_Input!$7:$7=$F$3)*(Data_Input!$8:$8=$B61), 0)), 0) + 1, MATCH(1, (Data_Input!$7:$7=$F$3)*(Data_Input!$8:$8=$B61), 0)),"")</f>
        <v/>
      </c>
      <c r="L61" t="str" cm="1">
        <f t="array" ref="L61">IFERROR(_xlfn.LET(
    _xlpm.targetDate, B61,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62" spans="1:12" x14ac:dyDescent="0.3">
      <c r="A62" s="16" t="str">
        <f t="shared" si="0"/>
        <v/>
      </c>
      <c r="B62" s="8"/>
      <c r="C62" s="17" t="str">
        <f t="shared" si="2"/>
        <v/>
      </c>
      <c r="D62" s="29" t="str" cm="1">
        <f t="array" ref="D62">IFERROR(INDEX(Data_Input!$1:$100, 10, MATCH(1, (Data_Input!$F$7:$ZZ$7=$F$3) * (Data_Input!$F$8:$ZZ$8=$B62), 0)),"")</f>
        <v/>
      </c>
      <c r="E62" s="29" t="str" cm="1">
        <f t="array" ref="E62">IFERROR(INDEX(Data_Input!$1:$100, 9, MATCH(1, (Data_Input!$7:$7=$F$3) * (Data_Input!$8:$8=$B62), 0)),"")</f>
        <v/>
      </c>
      <c r="F62" s="20" t="str" cm="1">
        <f t="array" ref="F62">IFERROR(INDEX(Data_Input!$A$1:$ZZ$502, MATCH("예수금", INDEX(Data_Input!$A$1:$ZZ$502, 0, MATCH(1, (Data_Input!$7:$7=$F$3)*(Data_Input!$8:$8=$B62), 0)), 0) + 1, MATCH(1, (Data_Input!$7:$7=$F$3)*(Data_Input!$8:$8=$B62), 0)),"")</f>
        <v/>
      </c>
      <c r="G62" s="20" t="str" cm="1">
        <f t="array" ref="G62">IFERROR(INDEX(Data_Input!$A$1:$ZZ$502, MATCH("총자산", INDEX(Data_Input!$A$1:$ZZ$502, 0, MATCH(1, (Data_Input!$7:$7=$F$3)*(Data_Input!$8:$8=$B62), 0)), 0) + 1, MATCH(1, (Data_Input!$7:$7=$F$3)*(Data_Input!$8:$8=$B62), 0)),"")</f>
        <v/>
      </c>
      <c r="H62" s="20" t="str" cm="1">
        <f t="array" ref="H62">IFERROR(INDEX(Data_Input!$A$1:$ZZ$502, MATCH("매입금액", INDEX(Data_Input!$A$1:$ZZ$502, 0, MATCH(1, (Data_Input!$7:$7=$F$3)*(Data_Input!$8:$8=$B62), 0)), 0) + 1, MATCH(1, (Data_Input!$7:$7=$F$3)*(Data_Input!$8:$8=$B62), 0)),"")</f>
        <v/>
      </c>
      <c r="I62" s="20" t="str" cm="1">
        <f t="array" ref="I62">IFERROR(INDEX(Data_Input!$A$1:$ZZ$502, MATCH("평가금액", INDEX(Data_Input!$A$1:$ZZ$502, 0, MATCH(1, (Data_Input!$7:$7=$F$3)*(Data_Input!$8:$8=$B62), 0)), 0) + 1, MATCH(1, (Data_Input!$7:$7=$F$3)*(Data_Input!$8:$8=$B62), 0)),"")</f>
        <v/>
      </c>
      <c r="J62" s="20" t="str" cm="1">
        <f t="array" ref="J62">IFERROR(INDEX(Data_Input!$A$1:$ZZ$502, MATCH("평가손익", INDEX(Data_Input!$A$1:$ZZ$502, 0, MATCH(1, (Data_Input!$7:$7=$F$3)*(Data_Input!$8:$8=$B62), 0)), 0) + 1, MATCH(1, (Data_Input!$7:$7=$F$3)*(Data_Input!$8:$8=$B62), 0)),"")</f>
        <v/>
      </c>
      <c r="K62" s="14" t="str" cm="1">
        <f t="array" ref="K62">IFERROR(INDEX(Data_Input!$A$1:$ZZ$502, MATCH("총수익률", INDEX(Data_Input!$A$1:$ZZ$502, 0, MATCH(1, (Data_Input!$7:$7=$F$3)*(Data_Input!$8:$8=$B62), 0)), 0) + 1, MATCH(1, (Data_Input!$7:$7=$F$3)*(Data_Input!$8:$8=$B62), 0)),"")</f>
        <v/>
      </c>
      <c r="L62" t="str" cm="1">
        <f t="array" ref="L62">IFERROR(_xlfn.LET(
    _xlpm.targetDate, B62,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63" spans="1:12" x14ac:dyDescent="0.3">
      <c r="A63" s="16" t="str">
        <f t="shared" si="0"/>
        <v/>
      </c>
      <c r="B63" s="8"/>
      <c r="C63" s="17" t="str">
        <f t="shared" si="2"/>
        <v/>
      </c>
      <c r="D63" s="29" t="str" cm="1">
        <f t="array" ref="D63">IFERROR(INDEX(Data_Input!$1:$100, 10, MATCH(1, (Data_Input!$F$7:$ZZ$7=$F$3) * (Data_Input!$F$8:$ZZ$8=$B63), 0)),"")</f>
        <v/>
      </c>
      <c r="E63" s="29" t="str" cm="1">
        <f t="array" ref="E63">IFERROR(INDEX(Data_Input!$1:$100, 9, MATCH(1, (Data_Input!$7:$7=$F$3) * (Data_Input!$8:$8=$B63), 0)),"")</f>
        <v/>
      </c>
      <c r="F63" s="20" t="str" cm="1">
        <f t="array" ref="F63">IFERROR(INDEX(Data_Input!$A$1:$ZZ$502, MATCH("예수금", INDEX(Data_Input!$A$1:$ZZ$502, 0, MATCH(1, (Data_Input!$7:$7=$F$3)*(Data_Input!$8:$8=$B63), 0)), 0) + 1, MATCH(1, (Data_Input!$7:$7=$F$3)*(Data_Input!$8:$8=$B63), 0)),"")</f>
        <v/>
      </c>
      <c r="G63" s="20" t="str" cm="1">
        <f t="array" ref="G63">IFERROR(INDEX(Data_Input!$A$1:$ZZ$502, MATCH("총자산", INDEX(Data_Input!$A$1:$ZZ$502, 0, MATCH(1, (Data_Input!$7:$7=$F$3)*(Data_Input!$8:$8=$B63), 0)), 0) + 1, MATCH(1, (Data_Input!$7:$7=$F$3)*(Data_Input!$8:$8=$B63), 0)),"")</f>
        <v/>
      </c>
      <c r="H63" s="20" t="str" cm="1">
        <f t="array" ref="H63">IFERROR(INDEX(Data_Input!$A$1:$ZZ$502, MATCH("매입금액", INDEX(Data_Input!$A$1:$ZZ$502, 0, MATCH(1, (Data_Input!$7:$7=$F$3)*(Data_Input!$8:$8=$B63), 0)), 0) + 1, MATCH(1, (Data_Input!$7:$7=$F$3)*(Data_Input!$8:$8=$B63), 0)),"")</f>
        <v/>
      </c>
      <c r="I63" s="20" t="str" cm="1">
        <f t="array" ref="I63">IFERROR(INDEX(Data_Input!$A$1:$ZZ$502, MATCH("평가금액", INDEX(Data_Input!$A$1:$ZZ$502, 0, MATCH(1, (Data_Input!$7:$7=$F$3)*(Data_Input!$8:$8=$B63), 0)), 0) + 1, MATCH(1, (Data_Input!$7:$7=$F$3)*(Data_Input!$8:$8=$B63), 0)),"")</f>
        <v/>
      </c>
      <c r="J63" s="20" t="str" cm="1">
        <f t="array" ref="J63">IFERROR(INDEX(Data_Input!$A$1:$ZZ$502, MATCH("평가손익", INDEX(Data_Input!$A$1:$ZZ$502, 0, MATCH(1, (Data_Input!$7:$7=$F$3)*(Data_Input!$8:$8=$B63), 0)), 0) + 1, MATCH(1, (Data_Input!$7:$7=$F$3)*(Data_Input!$8:$8=$B63), 0)),"")</f>
        <v/>
      </c>
      <c r="K63" s="14" t="str" cm="1">
        <f t="array" ref="K63">IFERROR(INDEX(Data_Input!$A$1:$ZZ$502, MATCH("총수익률", INDEX(Data_Input!$A$1:$ZZ$502, 0, MATCH(1, (Data_Input!$7:$7=$F$3)*(Data_Input!$8:$8=$B63), 0)), 0) + 1, MATCH(1, (Data_Input!$7:$7=$F$3)*(Data_Input!$8:$8=$B63), 0)),"")</f>
        <v/>
      </c>
      <c r="L63" t="str" cm="1">
        <f t="array" ref="L63">IFERROR(_xlfn.LET(
    _xlpm.targetDate, B63,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64" spans="1:12" x14ac:dyDescent="0.3">
      <c r="A64" s="16" t="str">
        <f t="shared" si="0"/>
        <v/>
      </c>
      <c r="B64" s="8"/>
      <c r="C64" s="17" t="str">
        <f t="shared" si="2"/>
        <v/>
      </c>
      <c r="D64" s="29" t="str" cm="1">
        <f t="array" ref="D64">IFERROR(INDEX(Data_Input!$1:$100, 10, MATCH(1, (Data_Input!$F$7:$ZZ$7=$F$3) * (Data_Input!$F$8:$ZZ$8=$B64), 0)),"")</f>
        <v/>
      </c>
      <c r="E64" s="29" t="str" cm="1">
        <f t="array" ref="E64">IFERROR(INDEX(Data_Input!$1:$100, 9, MATCH(1, (Data_Input!$7:$7=$F$3) * (Data_Input!$8:$8=$B64), 0)),"")</f>
        <v/>
      </c>
      <c r="F64" s="20" t="str" cm="1">
        <f t="array" ref="F64">IFERROR(INDEX(Data_Input!$A$1:$ZZ$502, MATCH("예수금", INDEX(Data_Input!$A$1:$ZZ$502, 0, MATCH(1, (Data_Input!$7:$7=$F$3)*(Data_Input!$8:$8=$B64), 0)), 0) + 1, MATCH(1, (Data_Input!$7:$7=$F$3)*(Data_Input!$8:$8=$B64), 0)),"")</f>
        <v/>
      </c>
      <c r="G64" s="20" t="str" cm="1">
        <f t="array" ref="G64">IFERROR(INDEX(Data_Input!$A$1:$ZZ$502, MATCH("총자산", INDEX(Data_Input!$A$1:$ZZ$502, 0, MATCH(1, (Data_Input!$7:$7=$F$3)*(Data_Input!$8:$8=$B64), 0)), 0) + 1, MATCH(1, (Data_Input!$7:$7=$F$3)*(Data_Input!$8:$8=$B64), 0)),"")</f>
        <v/>
      </c>
      <c r="H64" s="20" t="str" cm="1">
        <f t="array" ref="H64">IFERROR(INDEX(Data_Input!$A$1:$ZZ$502, MATCH("매입금액", INDEX(Data_Input!$A$1:$ZZ$502, 0, MATCH(1, (Data_Input!$7:$7=$F$3)*(Data_Input!$8:$8=$B64), 0)), 0) + 1, MATCH(1, (Data_Input!$7:$7=$F$3)*(Data_Input!$8:$8=$B64), 0)),"")</f>
        <v/>
      </c>
      <c r="I64" s="20" t="str" cm="1">
        <f t="array" ref="I64">IFERROR(INDEX(Data_Input!$A$1:$ZZ$502, MATCH("평가금액", INDEX(Data_Input!$A$1:$ZZ$502, 0, MATCH(1, (Data_Input!$7:$7=$F$3)*(Data_Input!$8:$8=$B64), 0)), 0) + 1, MATCH(1, (Data_Input!$7:$7=$F$3)*(Data_Input!$8:$8=$B64), 0)),"")</f>
        <v/>
      </c>
      <c r="J64" s="20" t="str" cm="1">
        <f t="array" ref="J64">IFERROR(INDEX(Data_Input!$A$1:$ZZ$502, MATCH("평가손익", INDEX(Data_Input!$A$1:$ZZ$502, 0, MATCH(1, (Data_Input!$7:$7=$F$3)*(Data_Input!$8:$8=$B64), 0)), 0) + 1, MATCH(1, (Data_Input!$7:$7=$F$3)*(Data_Input!$8:$8=$B64), 0)),"")</f>
        <v/>
      </c>
      <c r="K64" s="14" t="str" cm="1">
        <f t="array" ref="K64">IFERROR(INDEX(Data_Input!$A$1:$ZZ$502, MATCH("총수익률", INDEX(Data_Input!$A$1:$ZZ$502, 0, MATCH(1, (Data_Input!$7:$7=$F$3)*(Data_Input!$8:$8=$B64), 0)), 0) + 1, MATCH(1, (Data_Input!$7:$7=$F$3)*(Data_Input!$8:$8=$B64), 0)),"")</f>
        <v/>
      </c>
      <c r="L64" t="str" cm="1">
        <f t="array" ref="L64">IFERROR(_xlfn.LET(
    _xlpm.targetDate, B64,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65" spans="1:12" x14ac:dyDescent="0.3">
      <c r="A65" s="16" t="str">
        <f t="shared" si="0"/>
        <v/>
      </c>
      <c r="B65" s="8"/>
      <c r="C65" s="17" t="str">
        <f t="shared" si="2"/>
        <v/>
      </c>
      <c r="D65" s="29" t="str" cm="1">
        <f t="array" ref="D65">IFERROR(INDEX(Data_Input!$1:$100, 10, MATCH(1, (Data_Input!$F$7:$ZZ$7=$F$3) * (Data_Input!$F$8:$ZZ$8=$B65), 0)),"")</f>
        <v/>
      </c>
      <c r="E65" s="29" t="str" cm="1">
        <f t="array" ref="E65">IFERROR(INDEX(Data_Input!$1:$100, 9, MATCH(1, (Data_Input!$7:$7=$F$3) * (Data_Input!$8:$8=$B65), 0)),"")</f>
        <v/>
      </c>
      <c r="F65" s="20" t="str" cm="1">
        <f t="array" ref="F65">IFERROR(INDEX(Data_Input!$A$1:$ZZ$502, MATCH("예수금", INDEX(Data_Input!$A$1:$ZZ$502, 0, MATCH(1, (Data_Input!$7:$7=$F$3)*(Data_Input!$8:$8=$B65), 0)), 0) + 1, MATCH(1, (Data_Input!$7:$7=$F$3)*(Data_Input!$8:$8=$B65), 0)),"")</f>
        <v/>
      </c>
      <c r="G65" s="20" t="str" cm="1">
        <f t="array" ref="G65">IFERROR(INDEX(Data_Input!$A$1:$ZZ$502, MATCH("총자산", INDEX(Data_Input!$A$1:$ZZ$502, 0, MATCH(1, (Data_Input!$7:$7=$F$3)*(Data_Input!$8:$8=$B65), 0)), 0) + 1, MATCH(1, (Data_Input!$7:$7=$F$3)*(Data_Input!$8:$8=$B65), 0)),"")</f>
        <v/>
      </c>
      <c r="H65" s="20" t="str" cm="1">
        <f t="array" ref="H65">IFERROR(INDEX(Data_Input!$A$1:$ZZ$502, MATCH("매입금액", INDEX(Data_Input!$A$1:$ZZ$502, 0, MATCH(1, (Data_Input!$7:$7=$F$3)*(Data_Input!$8:$8=$B65), 0)), 0) + 1, MATCH(1, (Data_Input!$7:$7=$F$3)*(Data_Input!$8:$8=$B65), 0)),"")</f>
        <v/>
      </c>
      <c r="I65" s="20" t="str" cm="1">
        <f t="array" ref="I65">IFERROR(INDEX(Data_Input!$A$1:$ZZ$502, MATCH("평가금액", INDEX(Data_Input!$A$1:$ZZ$502, 0, MATCH(1, (Data_Input!$7:$7=$F$3)*(Data_Input!$8:$8=$B65), 0)), 0) + 1, MATCH(1, (Data_Input!$7:$7=$F$3)*(Data_Input!$8:$8=$B65), 0)),"")</f>
        <v/>
      </c>
      <c r="J65" s="20" t="str" cm="1">
        <f t="array" ref="J65">IFERROR(INDEX(Data_Input!$A$1:$ZZ$502, MATCH("평가손익", INDEX(Data_Input!$A$1:$ZZ$502, 0, MATCH(1, (Data_Input!$7:$7=$F$3)*(Data_Input!$8:$8=$B65), 0)), 0) + 1, MATCH(1, (Data_Input!$7:$7=$F$3)*(Data_Input!$8:$8=$B65), 0)),"")</f>
        <v/>
      </c>
      <c r="K65" s="14" t="str" cm="1">
        <f t="array" ref="K65">IFERROR(INDEX(Data_Input!$A$1:$ZZ$502, MATCH("총수익률", INDEX(Data_Input!$A$1:$ZZ$502, 0, MATCH(1, (Data_Input!$7:$7=$F$3)*(Data_Input!$8:$8=$B65), 0)), 0) + 1, MATCH(1, (Data_Input!$7:$7=$F$3)*(Data_Input!$8:$8=$B65), 0)),"")</f>
        <v/>
      </c>
      <c r="L65" t="str" cm="1">
        <f t="array" ref="L65">IFERROR(_xlfn.LET(
    _xlpm.targetDate, B65,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66" spans="1:12" x14ac:dyDescent="0.3">
      <c r="A66" s="16" t="str">
        <f t="shared" si="0"/>
        <v/>
      </c>
      <c r="B66" s="8"/>
      <c r="C66" s="17" t="str">
        <f t="shared" si="2"/>
        <v/>
      </c>
      <c r="D66" s="29" t="str" cm="1">
        <f t="array" ref="D66">IFERROR(INDEX(Data_Input!$1:$100, 10, MATCH(1, (Data_Input!$F$7:$ZZ$7=$F$3) * (Data_Input!$F$8:$ZZ$8=$B66), 0)),"")</f>
        <v/>
      </c>
      <c r="E66" s="29" t="str" cm="1">
        <f t="array" ref="E66">IFERROR(INDEX(Data_Input!$1:$100, 9, MATCH(1, (Data_Input!$7:$7=$F$3) * (Data_Input!$8:$8=$B66), 0)),"")</f>
        <v/>
      </c>
      <c r="F66" s="20" t="str" cm="1">
        <f t="array" ref="F66">IFERROR(INDEX(Data_Input!$A$1:$ZZ$502, MATCH("예수금", INDEX(Data_Input!$A$1:$ZZ$502, 0, MATCH(1, (Data_Input!$7:$7=$F$3)*(Data_Input!$8:$8=$B66), 0)), 0) + 1, MATCH(1, (Data_Input!$7:$7=$F$3)*(Data_Input!$8:$8=$B66), 0)),"")</f>
        <v/>
      </c>
      <c r="G66" s="20" t="str" cm="1">
        <f t="array" ref="G66">IFERROR(INDEX(Data_Input!$A$1:$ZZ$502, MATCH("총자산", INDEX(Data_Input!$A$1:$ZZ$502, 0, MATCH(1, (Data_Input!$7:$7=$F$3)*(Data_Input!$8:$8=$B66), 0)), 0) + 1, MATCH(1, (Data_Input!$7:$7=$F$3)*(Data_Input!$8:$8=$B66), 0)),"")</f>
        <v/>
      </c>
      <c r="H66" s="20" t="str" cm="1">
        <f t="array" ref="H66">IFERROR(INDEX(Data_Input!$A$1:$ZZ$502, MATCH("매입금액", INDEX(Data_Input!$A$1:$ZZ$502, 0, MATCH(1, (Data_Input!$7:$7=$F$3)*(Data_Input!$8:$8=$B66), 0)), 0) + 1, MATCH(1, (Data_Input!$7:$7=$F$3)*(Data_Input!$8:$8=$B66), 0)),"")</f>
        <v/>
      </c>
      <c r="I66" s="20" t="str" cm="1">
        <f t="array" ref="I66">IFERROR(INDEX(Data_Input!$A$1:$ZZ$502, MATCH("평가금액", INDEX(Data_Input!$A$1:$ZZ$502, 0, MATCH(1, (Data_Input!$7:$7=$F$3)*(Data_Input!$8:$8=$B66), 0)), 0) + 1, MATCH(1, (Data_Input!$7:$7=$F$3)*(Data_Input!$8:$8=$B66), 0)),"")</f>
        <v/>
      </c>
      <c r="J66" s="20" t="str" cm="1">
        <f t="array" ref="J66">IFERROR(INDEX(Data_Input!$A$1:$ZZ$502, MATCH("평가손익", INDEX(Data_Input!$A$1:$ZZ$502, 0, MATCH(1, (Data_Input!$7:$7=$F$3)*(Data_Input!$8:$8=$B66), 0)), 0) + 1, MATCH(1, (Data_Input!$7:$7=$F$3)*(Data_Input!$8:$8=$B66), 0)),"")</f>
        <v/>
      </c>
      <c r="K66" s="14" t="str" cm="1">
        <f t="array" ref="K66">IFERROR(INDEX(Data_Input!$A$1:$ZZ$502, MATCH("총수익률", INDEX(Data_Input!$A$1:$ZZ$502, 0, MATCH(1, (Data_Input!$7:$7=$F$3)*(Data_Input!$8:$8=$B66), 0)), 0) + 1, MATCH(1, (Data_Input!$7:$7=$F$3)*(Data_Input!$8:$8=$B66), 0)),"")</f>
        <v/>
      </c>
      <c r="L66" t="str" cm="1">
        <f t="array" ref="L66">IFERROR(_xlfn.LET(
    _xlpm.targetDate, B66,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67" spans="1:12" x14ac:dyDescent="0.3">
      <c r="A67" s="16" t="str">
        <f t="shared" si="0"/>
        <v/>
      </c>
      <c r="B67" s="8"/>
      <c r="C67" s="17" t="str">
        <f t="shared" si="2"/>
        <v/>
      </c>
      <c r="D67" s="29" t="str" cm="1">
        <f t="array" ref="D67">IFERROR(INDEX(Data_Input!$1:$100, 10, MATCH(1, (Data_Input!$F$7:$ZZ$7=$F$3) * (Data_Input!$F$8:$ZZ$8=$B67), 0)),"")</f>
        <v/>
      </c>
      <c r="E67" s="29" t="str" cm="1">
        <f t="array" ref="E67">IFERROR(INDEX(Data_Input!$1:$100, 9, MATCH(1, (Data_Input!$7:$7=$F$3) * (Data_Input!$8:$8=$B67), 0)),"")</f>
        <v/>
      </c>
      <c r="F67" s="20" t="str" cm="1">
        <f t="array" ref="F67">IFERROR(INDEX(Data_Input!$A$1:$ZZ$502, MATCH("예수금", INDEX(Data_Input!$A$1:$ZZ$502, 0, MATCH(1, (Data_Input!$7:$7=$F$3)*(Data_Input!$8:$8=$B67), 0)), 0) + 1, MATCH(1, (Data_Input!$7:$7=$F$3)*(Data_Input!$8:$8=$B67), 0)),"")</f>
        <v/>
      </c>
      <c r="G67" s="20" t="str" cm="1">
        <f t="array" ref="G67">IFERROR(INDEX(Data_Input!$A$1:$ZZ$502, MATCH("총자산", INDEX(Data_Input!$A$1:$ZZ$502, 0, MATCH(1, (Data_Input!$7:$7=$F$3)*(Data_Input!$8:$8=$B67), 0)), 0) + 1, MATCH(1, (Data_Input!$7:$7=$F$3)*(Data_Input!$8:$8=$B67), 0)),"")</f>
        <v/>
      </c>
      <c r="H67" s="20" t="str" cm="1">
        <f t="array" ref="H67">IFERROR(INDEX(Data_Input!$A$1:$ZZ$502, MATCH("매입금액", INDEX(Data_Input!$A$1:$ZZ$502, 0, MATCH(1, (Data_Input!$7:$7=$F$3)*(Data_Input!$8:$8=$B67), 0)), 0) + 1, MATCH(1, (Data_Input!$7:$7=$F$3)*(Data_Input!$8:$8=$B67), 0)),"")</f>
        <v/>
      </c>
      <c r="I67" s="20" t="str" cm="1">
        <f t="array" ref="I67">IFERROR(INDEX(Data_Input!$A$1:$ZZ$502, MATCH("평가금액", INDEX(Data_Input!$A$1:$ZZ$502, 0, MATCH(1, (Data_Input!$7:$7=$F$3)*(Data_Input!$8:$8=$B67), 0)), 0) + 1, MATCH(1, (Data_Input!$7:$7=$F$3)*(Data_Input!$8:$8=$B67), 0)),"")</f>
        <v/>
      </c>
      <c r="J67" s="20" t="str" cm="1">
        <f t="array" ref="J67">IFERROR(INDEX(Data_Input!$A$1:$ZZ$502, MATCH("평가손익", INDEX(Data_Input!$A$1:$ZZ$502, 0, MATCH(1, (Data_Input!$7:$7=$F$3)*(Data_Input!$8:$8=$B67), 0)), 0) + 1, MATCH(1, (Data_Input!$7:$7=$F$3)*(Data_Input!$8:$8=$B67), 0)),"")</f>
        <v/>
      </c>
      <c r="K67" s="14" t="str" cm="1">
        <f t="array" ref="K67">IFERROR(INDEX(Data_Input!$A$1:$ZZ$502, MATCH("총수익률", INDEX(Data_Input!$A$1:$ZZ$502, 0, MATCH(1, (Data_Input!$7:$7=$F$3)*(Data_Input!$8:$8=$B67), 0)), 0) + 1, MATCH(1, (Data_Input!$7:$7=$F$3)*(Data_Input!$8:$8=$B67), 0)),"")</f>
        <v/>
      </c>
      <c r="L67" t="str" cm="1">
        <f t="array" ref="L67">IFERROR(_xlfn.LET(
    _xlpm.targetDate, B67,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68" spans="1:12" x14ac:dyDescent="0.3">
      <c r="A68" s="16" t="str">
        <f t="shared" si="0"/>
        <v/>
      </c>
      <c r="B68" s="8"/>
      <c r="C68" s="17" t="str">
        <f t="shared" si="2"/>
        <v/>
      </c>
      <c r="D68" s="29" t="str" cm="1">
        <f t="array" ref="D68">IFERROR(INDEX(Data_Input!$1:$100, 10, MATCH(1, (Data_Input!$F$7:$ZZ$7=$F$3) * (Data_Input!$F$8:$ZZ$8=$B68), 0)),"")</f>
        <v/>
      </c>
      <c r="E68" s="29" t="str" cm="1">
        <f t="array" ref="E68">IFERROR(INDEX(Data_Input!$1:$100, 9, MATCH(1, (Data_Input!$7:$7=$F$3) * (Data_Input!$8:$8=$B68), 0)),"")</f>
        <v/>
      </c>
      <c r="F68" s="20" t="str" cm="1">
        <f t="array" ref="F68">IFERROR(INDEX(Data_Input!$A$1:$ZZ$502, MATCH("예수금", INDEX(Data_Input!$A$1:$ZZ$502, 0, MATCH(1, (Data_Input!$7:$7=$F$3)*(Data_Input!$8:$8=$B68), 0)), 0) + 1, MATCH(1, (Data_Input!$7:$7=$F$3)*(Data_Input!$8:$8=$B68), 0)),"")</f>
        <v/>
      </c>
      <c r="G68" s="20" t="str" cm="1">
        <f t="array" ref="G68">IFERROR(INDEX(Data_Input!$A$1:$ZZ$502, MATCH("총자산", INDEX(Data_Input!$A$1:$ZZ$502, 0, MATCH(1, (Data_Input!$7:$7=$F$3)*(Data_Input!$8:$8=$B68), 0)), 0) + 1, MATCH(1, (Data_Input!$7:$7=$F$3)*(Data_Input!$8:$8=$B68), 0)),"")</f>
        <v/>
      </c>
      <c r="H68" s="20" t="str" cm="1">
        <f t="array" ref="H68">IFERROR(INDEX(Data_Input!$A$1:$ZZ$502, MATCH("매입금액", INDEX(Data_Input!$A$1:$ZZ$502, 0, MATCH(1, (Data_Input!$7:$7=$F$3)*(Data_Input!$8:$8=$B68), 0)), 0) + 1, MATCH(1, (Data_Input!$7:$7=$F$3)*(Data_Input!$8:$8=$B68), 0)),"")</f>
        <v/>
      </c>
      <c r="I68" s="20" t="str" cm="1">
        <f t="array" ref="I68">IFERROR(INDEX(Data_Input!$A$1:$ZZ$502, MATCH("평가금액", INDEX(Data_Input!$A$1:$ZZ$502, 0, MATCH(1, (Data_Input!$7:$7=$F$3)*(Data_Input!$8:$8=$B68), 0)), 0) + 1, MATCH(1, (Data_Input!$7:$7=$F$3)*(Data_Input!$8:$8=$B68), 0)),"")</f>
        <v/>
      </c>
      <c r="J68" s="20" t="str" cm="1">
        <f t="array" ref="J68">IFERROR(INDEX(Data_Input!$A$1:$ZZ$502, MATCH("평가손익", INDEX(Data_Input!$A$1:$ZZ$502, 0, MATCH(1, (Data_Input!$7:$7=$F$3)*(Data_Input!$8:$8=$B68), 0)), 0) + 1, MATCH(1, (Data_Input!$7:$7=$F$3)*(Data_Input!$8:$8=$B68), 0)),"")</f>
        <v/>
      </c>
      <c r="K68" s="14" t="str" cm="1">
        <f t="array" ref="K68">IFERROR(INDEX(Data_Input!$A$1:$ZZ$502, MATCH("총수익률", INDEX(Data_Input!$A$1:$ZZ$502, 0, MATCH(1, (Data_Input!$7:$7=$F$3)*(Data_Input!$8:$8=$B68), 0)), 0) + 1, MATCH(1, (Data_Input!$7:$7=$F$3)*(Data_Input!$8:$8=$B68), 0)),"")</f>
        <v/>
      </c>
      <c r="L68" t="str" cm="1">
        <f t="array" ref="L68">IFERROR(_xlfn.LET(
    _xlpm.targetDate, B68,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69" spans="1:12" x14ac:dyDescent="0.3">
      <c r="A69" s="16" t="str">
        <f t="shared" si="0"/>
        <v/>
      </c>
      <c r="B69" s="8"/>
      <c r="C69" s="17" t="str">
        <f t="shared" si="2"/>
        <v/>
      </c>
      <c r="D69" s="29" t="str" cm="1">
        <f t="array" ref="D69">IFERROR(INDEX(Data_Input!$1:$100, 10, MATCH(1, (Data_Input!$F$7:$ZZ$7=$F$3) * (Data_Input!$F$8:$ZZ$8=$B69), 0)),"")</f>
        <v/>
      </c>
      <c r="E69" s="29" t="str" cm="1">
        <f t="array" ref="E69">IFERROR(INDEX(Data_Input!$1:$100, 9, MATCH(1, (Data_Input!$7:$7=$F$3) * (Data_Input!$8:$8=$B69), 0)),"")</f>
        <v/>
      </c>
      <c r="F69" s="20" t="str" cm="1">
        <f t="array" ref="F69">IFERROR(INDEX(Data_Input!$A$1:$ZZ$502, MATCH("예수금", INDEX(Data_Input!$A$1:$ZZ$502, 0, MATCH(1, (Data_Input!$7:$7=$F$3)*(Data_Input!$8:$8=$B69), 0)), 0) + 1, MATCH(1, (Data_Input!$7:$7=$F$3)*(Data_Input!$8:$8=$B69), 0)),"")</f>
        <v/>
      </c>
      <c r="G69" s="20" t="str" cm="1">
        <f t="array" ref="G69">IFERROR(INDEX(Data_Input!$A$1:$ZZ$502, MATCH("총자산", INDEX(Data_Input!$A$1:$ZZ$502, 0, MATCH(1, (Data_Input!$7:$7=$F$3)*(Data_Input!$8:$8=$B69), 0)), 0) + 1, MATCH(1, (Data_Input!$7:$7=$F$3)*(Data_Input!$8:$8=$B69), 0)),"")</f>
        <v/>
      </c>
      <c r="H69" s="20" t="str" cm="1">
        <f t="array" ref="H69">IFERROR(INDEX(Data_Input!$A$1:$ZZ$502, MATCH("매입금액", INDEX(Data_Input!$A$1:$ZZ$502, 0, MATCH(1, (Data_Input!$7:$7=$F$3)*(Data_Input!$8:$8=$B69), 0)), 0) + 1, MATCH(1, (Data_Input!$7:$7=$F$3)*(Data_Input!$8:$8=$B69), 0)),"")</f>
        <v/>
      </c>
      <c r="I69" s="20" t="str" cm="1">
        <f t="array" ref="I69">IFERROR(INDEX(Data_Input!$A$1:$ZZ$502, MATCH("평가금액", INDEX(Data_Input!$A$1:$ZZ$502, 0, MATCH(1, (Data_Input!$7:$7=$F$3)*(Data_Input!$8:$8=$B69), 0)), 0) + 1, MATCH(1, (Data_Input!$7:$7=$F$3)*(Data_Input!$8:$8=$B69), 0)),"")</f>
        <v/>
      </c>
      <c r="J69" s="20" t="str" cm="1">
        <f t="array" ref="J69">IFERROR(INDEX(Data_Input!$A$1:$ZZ$502, MATCH("평가손익", INDEX(Data_Input!$A$1:$ZZ$502, 0, MATCH(1, (Data_Input!$7:$7=$F$3)*(Data_Input!$8:$8=$B69), 0)), 0) + 1, MATCH(1, (Data_Input!$7:$7=$F$3)*(Data_Input!$8:$8=$B69), 0)),"")</f>
        <v/>
      </c>
      <c r="K69" s="14" t="str" cm="1">
        <f t="array" ref="K69">IFERROR(INDEX(Data_Input!$A$1:$ZZ$502, MATCH("총수익률", INDEX(Data_Input!$A$1:$ZZ$502, 0, MATCH(1, (Data_Input!$7:$7=$F$3)*(Data_Input!$8:$8=$B69), 0)), 0) + 1, MATCH(1, (Data_Input!$7:$7=$F$3)*(Data_Input!$8:$8=$B69), 0)),"")</f>
        <v/>
      </c>
      <c r="L69" t="str" cm="1">
        <f t="array" ref="L69">IFERROR(_xlfn.LET(
    _xlpm.targetDate, B69,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70" spans="1:12" x14ac:dyDescent="0.3">
      <c r="A70" s="16" t="str">
        <f t="shared" si="0"/>
        <v/>
      </c>
      <c r="B70" s="8"/>
      <c r="C70" s="17" t="str">
        <f t="shared" si="2"/>
        <v/>
      </c>
      <c r="D70" s="29" t="str" cm="1">
        <f t="array" ref="D70">IFERROR(INDEX(Data_Input!$1:$100, 10, MATCH(1, (Data_Input!$F$7:$ZZ$7=$F$3) * (Data_Input!$F$8:$ZZ$8=$B70), 0)),"")</f>
        <v/>
      </c>
      <c r="E70" s="29" t="str" cm="1">
        <f t="array" ref="E70">IFERROR(INDEX(Data_Input!$1:$100, 9, MATCH(1, (Data_Input!$7:$7=$F$3) * (Data_Input!$8:$8=$B70), 0)),"")</f>
        <v/>
      </c>
      <c r="F70" s="20" t="str" cm="1">
        <f t="array" ref="F70">IFERROR(INDEX(Data_Input!$A$1:$ZZ$502, MATCH("예수금", INDEX(Data_Input!$A$1:$ZZ$502, 0, MATCH(1, (Data_Input!$7:$7=$F$3)*(Data_Input!$8:$8=$B70), 0)), 0) + 1, MATCH(1, (Data_Input!$7:$7=$F$3)*(Data_Input!$8:$8=$B70), 0)),"")</f>
        <v/>
      </c>
      <c r="G70" s="20" t="str" cm="1">
        <f t="array" ref="G70">IFERROR(INDEX(Data_Input!$A$1:$ZZ$502, MATCH("총자산", INDEX(Data_Input!$A$1:$ZZ$502, 0, MATCH(1, (Data_Input!$7:$7=$F$3)*(Data_Input!$8:$8=$B70), 0)), 0) + 1, MATCH(1, (Data_Input!$7:$7=$F$3)*(Data_Input!$8:$8=$B70), 0)),"")</f>
        <v/>
      </c>
      <c r="H70" s="20" t="str" cm="1">
        <f t="array" ref="H70">IFERROR(INDEX(Data_Input!$A$1:$ZZ$502, MATCH("매입금액", INDEX(Data_Input!$A$1:$ZZ$502, 0, MATCH(1, (Data_Input!$7:$7=$F$3)*(Data_Input!$8:$8=$B70), 0)), 0) + 1, MATCH(1, (Data_Input!$7:$7=$F$3)*(Data_Input!$8:$8=$B70), 0)),"")</f>
        <v/>
      </c>
      <c r="I70" s="20" t="str" cm="1">
        <f t="array" ref="I70">IFERROR(INDEX(Data_Input!$A$1:$ZZ$502, MATCH("평가금액", INDEX(Data_Input!$A$1:$ZZ$502, 0, MATCH(1, (Data_Input!$7:$7=$F$3)*(Data_Input!$8:$8=$B70), 0)), 0) + 1, MATCH(1, (Data_Input!$7:$7=$F$3)*(Data_Input!$8:$8=$B70), 0)),"")</f>
        <v/>
      </c>
      <c r="J70" s="20" t="str" cm="1">
        <f t="array" ref="J70">IFERROR(INDEX(Data_Input!$A$1:$ZZ$502, MATCH("평가손익", INDEX(Data_Input!$A$1:$ZZ$502, 0, MATCH(1, (Data_Input!$7:$7=$F$3)*(Data_Input!$8:$8=$B70), 0)), 0) + 1, MATCH(1, (Data_Input!$7:$7=$F$3)*(Data_Input!$8:$8=$B70), 0)),"")</f>
        <v/>
      </c>
      <c r="K70" s="14" t="str" cm="1">
        <f t="array" ref="K70">IFERROR(INDEX(Data_Input!$A$1:$ZZ$502, MATCH("총수익률", INDEX(Data_Input!$A$1:$ZZ$502, 0, MATCH(1, (Data_Input!$7:$7=$F$3)*(Data_Input!$8:$8=$B70), 0)), 0) + 1, MATCH(1, (Data_Input!$7:$7=$F$3)*(Data_Input!$8:$8=$B70), 0)),"")</f>
        <v/>
      </c>
      <c r="L70" t="str" cm="1">
        <f t="array" ref="L70">IFERROR(_xlfn.LET(
    _xlpm.targetDate, B70,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71" spans="1:12" x14ac:dyDescent="0.3">
      <c r="A71" s="16" t="str">
        <f t="shared" ref="A71:A134" si="3">IF(B71&gt;0,A70+1,"")</f>
        <v/>
      </c>
      <c r="B71" s="8"/>
      <c r="C71" s="17" t="str">
        <f t="shared" si="2"/>
        <v/>
      </c>
      <c r="D71" s="29" t="str" cm="1">
        <f t="array" ref="D71">IFERROR(INDEX(Data_Input!$1:$100, 10, MATCH(1, (Data_Input!$F$7:$ZZ$7=$F$3) * (Data_Input!$F$8:$ZZ$8=$B71), 0)),"")</f>
        <v/>
      </c>
      <c r="E71" s="29" t="str" cm="1">
        <f t="array" ref="E71">IFERROR(INDEX(Data_Input!$1:$100, 9, MATCH(1, (Data_Input!$7:$7=$F$3) * (Data_Input!$8:$8=$B71), 0)),"")</f>
        <v/>
      </c>
      <c r="F71" s="20" t="str" cm="1">
        <f t="array" ref="F71">IFERROR(INDEX(Data_Input!$A$1:$ZZ$502, MATCH("예수금", INDEX(Data_Input!$A$1:$ZZ$502, 0, MATCH(1, (Data_Input!$7:$7=$F$3)*(Data_Input!$8:$8=$B71), 0)), 0) + 1, MATCH(1, (Data_Input!$7:$7=$F$3)*(Data_Input!$8:$8=$B71), 0)),"")</f>
        <v/>
      </c>
      <c r="G71" s="20" t="str" cm="1">
        <f t="array" ref="G71">IFERROR(INDEX(Data_Input!$A$1:$ZZ$502, MATCH("총자산", INDEX(Data_Input!$A$1:$ZZ$502, 0, MATCH(1, (Data_Input!$7:$7=$F$3)*(Data_Input!$8:$8=$B71), 0)), 0) + 1, MATCH(1, (Data_Input!$7:$7=$F$3)*(Data_Input!$8:$8=$B71), 0)),"")</f>
        <v/>
      </c>
      <c r="H71" s="20" t="str" cm="1">
        <f t="array" ref="H71">IFERROR(INDEX(Data_Input!$A$1:$ZZ$502, MATCH("매입금액", INDEX(Data_Input!$A$1:$ZZ$502, 0, MATCH(1, (Data_Input!$7:$7=$F$3)*(Data_Input!$8:$8=$B71), 0)), 0) + 1, MATCH(1, (Data_Input!$7:$7=$F$3)*(Data_Input!$8:$8=$B71), 0)),"")</f>
        <v/>
      </c>
      <c r="I71" s="20" t="str" cm="1">
        <f t="array" ref="I71">IFERROR(INDEX(Data_Input!$A$1:$ZZ$502, MATCH("평가금액", INDEX(Data_Input!$A$1:$ZZ$502, 0, MATCH(1, (Data_Input!$7:$7=$F$3)*(Data_Input!$8:$8=$B71), 0)), 0) + 1, MATCH(1, (Data_Input!$7:$7=$F$3)*(Data_Input!$8:$8=$B71), 0)),"")</f>
        <v/>
      </c>
      <c r="J71" s="20" t="str" cm="1">
        <f t="array" ref="J71">IFERROR(INDEX(Data_Input!$A$1:$ZZ$502, MATCH("평가손익", INDEX(Data_Input!$A$1:$ZZ$502, 0, MATCH(1, (Data_Input!$7:$7=$F$3)*(Data_Input!$8:$8=$B71), 0)), 0) + 1, MATCH(1, (Data_Input!$7:$7=$F$3)*(Data_Input!$8:$8=$B71), 0)),"")</f>
        <v/>
      </c>
      <c r="K71" s="14" t="str" cm="1">
        <f t="array" ref="K71">IFERROR(INDEX(Data_Input!$A$1:$ZZ$502, MATCH("총수익률", INDEX(Data_Input!$A$1:$ZZ$502, 0, MATCH(1, (Data_Input!$7:$7=$F$3)*(Data_Input!$8:$8=$B71), 0)), 0) + 1, MATCH(1, (Data_Input!$7:$7=$F$3)*(Data_Input!$8:$8=$B71), 0)),"")</f>
        <v/>
      </c>
      <c r="L71" t="str" cm="1">
        <f t="array" ref="L71">IFERROR(_xlfn.LET(
    _xlpm.targetDate, B71,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72" spans="1:12" x14ac:dyDescent="0.3">
      <c r="A72" s="16" t="str">
        <f t="shared" si="3"/>
        <v/>
      </c>
      <c r="B72" s="8"/>
      <c r="C72" s="17" t="str">
        <f t="shared" si="2"/>
        <v/>
      </c>
      <c r="D72" s="29" t="str" cm="1">
        <f t="array" ref="D72">IFERROR(INDEX(Data_Input!$1:$100, 10, MATCH(1, (Data_Input!$F$7:$ZZ$7=$F$3) * (Data_Input!$F$8:$ZZ$8=$B72), 0)),"")</f>
        <v/>
      </c>
      <c r="E72" s="29" t="str" cm="1">
        <f t="array" ref="E72">IFERROR(INDEX(Data_Input!$1:$100, 9, MATCH(1, (Data_Input!$7:$7=$F$3) * (Data_Input!$8:$8=$B72), 0)),"")</f>
        <v/>
      </c>
      <c r="F72" s="20" t="str" cm="1">
        <f t="array" ref="F72">IFERROR(INDEX(Data_Input!$A$1:$ZZ$502, MATCH("예수금", INDEX(Data_Input!$A$1:$ZZ$502, 0, MATCH(1, (Data_Input!$7:$7=$F$3)*(Data_Input!$8:$8=$B72), 0)), 0) + 1, MATCH(1, (Data_Input!$7:$7=$F$3)*(Data_Input!$8:$8=$B72), 0)),"")</f>
        <v/>
      </c>
      <c r="G72" s="20" t="str" cm="1">
        <f t="array" ref="G72">IFERROR(INDEX(Data_Input!$A$1:$ZZ$502, MATCH("총자산", INDEX(Data_Input!$A$1:$ZZ$502, 0, MATCH(1, (Data_Input!$7:$7=$F$3)*(Data_Input!$8:$8=$B72), 0)), 0) + 1, MATCH(1, (Data_Input!$7:$7=$F$3)*(Data_Input!$8:$8=$B72), 0)),"")</f>
        <v/>
      </c>
      <c r="H72" s="20" t="str" cm="1">
        <f t="array" ref="H72">IFERROR(INDEX(Data_Input!$A$1:$ZZ$502, MATCH("매입금액", INDEX(Data_Input!$A$1:$ZZ$502, 0, MATCH(1, (Data_Input!$7:$7=$F$3)*(Data_Input!$8:$8=$B72), 0)), 0) + 1, MATCH(1, (Data_Input!$7:$7=$F$3)*(Data_Input!$8:$8=$B72), 0)),"")</f>
        <v/>
      </c>
      <c r="I72" s="20" t="str" cm="1">
        <f t="array" ref="I72">IFERROR(INDEX(Data_Input!$A$1:$ZZ$502, MATCH("평가금액", INDEX(Data_Input!$A$1:$ZZ$502, 0, MATCH(1, (Data_Input!$7:$7=$F$3)*(Data_Input!$8:$8=$B72), 0)), 0) + 1, MATCH(1, (Data_Input!$7:$7=$F$3)*(Data_Input!$8:$8=$B72), 0)),"")</f>
        <v/>
      </c>
      <c r="J72" s="20" t="str" cm="1">
        <f t="array" ref="J72">IFERROR(INDEX(Data_Input!$A$1:$ZZ$502, MATCH("평가손익", INDEX(Data_Input!$A$1:$ZZ$502, 0, MATCH(1, (Data_Input!$7:$7=$F$3)*(Data_Input!$8:$8=$B72), 0)), 0) + 1, MATCH(1, (Data_Input!$7:$7=$F$3)*(Data_Input!$8:$8=$B72), 0)),"")</f>
        <v/>
      </c>
      <c r="K72" s="14" t="str" cm="1">
        <f t="array" ref="K72">IFERROR(INDEX(Data_Input!$A$1:$ZZ$502, MATCH("총수익률", INDEX(Data_Input!$A$1:$ZZ$502, 0, MATCH(1, (Data_Input!$7:$7=$F$3)*(Data_Input!$8:$8=$B72), 0)), 0) + 1, MATCH(1, (Data_Input!$7:$7=$F$3)*(Data_Input!$8:$8=$B72), 0)),"")</f>
        <v/>
      </c>
      <c r="L72" t="str" cm="1">
        <f t="array" ref="L72">IFERROR(_xlfn.LET(
    _xlpm.targetDate, B72,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73" spans="1:12" x14ac:dyDescent="0.3">
      <c r="A73" s="16" t="str">
        <f t="shared" si="3"/>
        <v/>
      </c>
      <c r="B73" s="8"/>
      <c r="C73" s="17" t="str">
        <f t="shared" si="2"/>
        <v/>
      </c>
      <c r="D73" s="29" t="str" cm="1">
        <f t="array" ref="D73">IFERROR(INDEX(Data_Input!$1:$100, 10, MATCH(1, (Data_Input!$F$7:$ZZ$7=$F$3) * (Data_Input!$F$8:$ZZ$8=$B73), 0)),"")</f>
        <v/>
      </c>
      <c r="E73" s="29" t="str" cm="1">
        <f t="array" ref="E73">IFERROR(INDEX(Data_Input!$1:$100, 9, MATCH(1, (Data_Input!$7:$7=$F$3) * (Data_Input!$8:$8=$B73), 0)),"")</f>
        <v/>
      </c>
      <c r="F73" s="20" t="str" cm="1">
        <f t="array" ref="F73">IFERROR(INDEX(Data_Input!$A$1:$ZZ$502, MATCH("예수금", INDEX(Data_Input!$A$1:$ZZ$502, 0, MATCH(1, (Data_Input!$7:$7=$F$3)*(Data_Input!$8:$8=$B73), 0)), 0) + 1, MATCH(1, (Data_Input!$7:$7=$F$3)*(Data_Input!$8:$8=$B73), 0)),"")</f>
        <v/>
      </c>
      <c r="G73" s="20" t="str" cm="1">
        <f t="array" ref="G73">IFERROR(INDEX(Data_Input!$A$1:$ZZ$502, MATCH("총자산", INDEX(Data_Input!$A$1:$ZZ$502, 0, MATCH(1, (Data_Input!$7:$7=$F$3)*(Data_Input!$8:$8=$B73), 0)), 0) + 1, MATCH(1, (Data_Input!$7:$7=$F$3)*(Data_Input!$8:$8=$B73), 0)),"")</f>
        <v/>
      </c>
      <c r="H73" s="20" t="str" cm="1">
        <f t="array" ref="H73">IFERROR(INDEX(Data_Input!$A$1:$ZZ$502, MATCH("매입금액", INDEX(Data_Input!$A$1:$ZZ$502, 0, MATCH(1, (Data_Input!$7:$7=$F$3)*(Data_Input!$8:$8=$B73), 0)), 0) + 1, MATCH(1, (Data_Input!$7:$7=$F$3)*(Data_Input!$8:$8=$B73), 0)),"")</f>
        <v/>
      </c>
      <c r="I73" s="20" t="str" cm="1">
        <f t="array" ref="I73">IFERROR(INDEX(Data_Input!$A$1:$ZZ$502, MATCH("평가금액", INDEX(Data_Input!$A$1:$ZZ$502, 0, MATCH(1, (Data_Input!$7:$7=$F$3)*(Data_Input!$8:$8=$B73), 0)), 0) + 1, MATCH(1, (Data_Input!$7:$7=$F$3)*(Data_Input!$8:$8=$B73), 0)),"")</f>
        <v/>
      </c>
      <c r="J73" s="20" t="str" cm="1">
        <f t="array" ref="J73">IFERROR(INDEX(Data_Input!$A$1:$ZZ$502, MATCH("평가손익", INDEX(Data_Input!$A$1:$ZZ$502, 0, MATCH(1, (Data_Input!$7:$7=$F$3)*(Data_Input!$8:$8=$B73), 0)), 0) + 1, MATCH(1, (Data_Input!$7:$7=$F$3)*(Data_Input!$8:$8=$B73), 0)),"")</f>
        <v/>
      </c>
      <c r="K73" s="14" t="str" cm="1">
        <f t="array" ref="K73">IFERROR(INDEX(Data_Input!$A$1:$ZZ$502, MATCH("총수익률", INDEX(Data_Input!$A$1:$ZZ$502, 0, MATCH(1, (Data_Input!$7:$7=$F$3)*(Data_Input!$8:$8=$B73), 0)), 0) + 1, MATCH(1, (Data_Input!$7:$7=$F$3)*(Data_Input!$8:$8=$B73), 0)),"")</f>
        <v/>
      </c>
      <c r="L73" t="str" cm="1">
        <f t="array" ref="L73">IFERROR(_xlfn.LET(
    _xlpm.targetDate, B73,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74" spans="1:12" x14ac:dyDescent="0.3">
      <c r="A74" s="16" t="str">
        <f t="shared" si="3"/>
        <v/>
      </c>
      <c r="B74" s="8"/>
      <c r="C74" s="17" t="str">
        <f t="shared" ref="C74:C137" si="4">IF(B74&gt;0,C73,"")</f>
        <v/>
      </c>
      <c r="D74" s="29" t="str" cm="1">
        <f t="array" ref="D74">IFERROR(INDEX(Data_Input!$1:$100, 10, MATCH(1, (Data_Input!$F$7:$ZZ$7=$F$3) * (Data_Input!$F$8:$ZZ$8=$B74), 0)),"")</f>
        <v/>
      </c>
      <c r="E74" s="29" t="str" cm="1">
        <f t="array" ref="E74">IFERROR(INDEX(Data_Input!$1:$100, 9, MATCH(1, (Data_Input!$7:$7=$F$3) * (Data_Input!$8:$8=$B74), 0)),"")</f>
        <v/>
      </c>
      <c r="F74" s="20" t="str" cm="1">
        <f t="array" ref="F74">IFERROR(INDEX(Data_Input!$A$1:$ZZ$502, MATCH("예수금", INDEX(Data_Input!$A$1:$ZZ$502, 0, MATCH(1, (Data_Input!$7:$7=$F$3)*(Data_Input!$8:$8=$B74), 0)), 0) + 1, MATCH(1, (Data_Input!$7:$7=$F$3)*(Data_Input!$8:$8=$B74), 0)),"")</f>
        <v/>
      </c>
      <c r="G74" s="20" t="str" cm="1">
        <f t="array" ref="G74">IFERROR(INDEX(Data_Input!$A$1:$ZZ$502, MATCH("총자산", INDEX(Data_Input!$A$1:$ZZ$502, 0, MATCH(1, (Data_Input!$7:$7=$F$3)*(Data_Input!$8:$8=$B74), 0)), 0) + 1, MATCH(1, (Data_Input!$7:$7=$F$3)*(Data_Input!$8:$8=$B74), 0)),"")</f>
        <v/>
      </c>
      <c r="H74" s="20" t="str" cm="1">
        <f t="array" ref="H74">IFERROR(INDEX(Data_Input!$A$1:$ZZ$502, MATCH("매입금액", INDEX(Data_Input!$A$1:$ZZ$502, 0, MATCH(1, (Data_Input!$7:$7=$F$3)*(Data_Input!$8:$8=$B74), 0)), 0) + 1, MATCH(1, (Data_Input!$7:$7=$F$3)*(Data_Input!$8:$8=$B74), 0)),"")</f>
        <v/>
      </c>
      <c r="I74" s="20" t="str" cm="1">
        <f t="array" ref="I74">IFERROR(INDEX(Data_Input!$A$1:$ZZ$502, MATCH("평가금액", INDEX(Data_Input!$A$1:$ZZ$502, 0, MATCH(1, (Data_Input!$7:$7=$F$3)*(Data_Input!$8:$8=$B74), 0)), 0) + 1, MATCH(1, (Data_Input!$7:$7=$F$3)*(Data_Input!$8:$8=$B74), 0)),"")</f>
        <v/>
      </c>
      <c r="J74" s="20" t="str" cm="1">
        <f t="array" ref="J74">IFERROR(INDEX(Data_Input!$A$1:$ZZ$502, MATCH("평가손익", INDEX(Data_Input!$A$1:$ZZ$502, 0, MATCH(1, (Data_Input!$7:$7=$F$3)*(Data_Input!$8:$8=$B74), 0)), 0) + 1, MATCH(1, (Data_Input!$7:$7=$F$3)*(Data_Input!$8:$8=$B74), 0)),"")</f>
        <v/>
      </c>
      <c r="K74" s="14" t="str" cm="1">
        <f t="array" ref="K74">IFERROR(INDEX(Data_Input!$A$1:$ZZ$502, MATCH("총수익률", INDEX(Data_Input!$A$1:$ZZ$502, 0, MATCH(1, (Data_Input!$7:$7=$F$3)*(Data_Input!$8:$8=$B74), 0)), 0) + 1, MATCH(1, (Data_Input!$7:$7=$F$3)*(Data_Input!$8:$8=$B74), 0)),"")</f>
        <v/>
      </c>
      <c r="L74" t="str" cm="1">
        <f t="array" ref="L74">IFERROR(_xlfn.LET(
    _xlpm.targetDate, B74,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75" spans="1:12" x14ac:dyDescent="0.3">
      <c r="A75" s="16" t="str">
        <f t="shared" si="3"/>
        <v/>
      </c>
      <c r="B75" s="8"/>
      <c r="C75" s="17" t="str">
        <f t="shared" si="4"/>
        <v/>
      </c>
      <c r="D75" s="29" t="str" cm="1">
        <f t="array" ref="D75">IFERROR(INDEX(Data_Input!$1:$100, 10, MATCH(1, (Data_Input!$F$7:$ZZ$7=$F$3) * (Data_Input!$F$8:$ZZ$8=$B75), 0)),"")</f>
        <v/>
      </c>
      <c r="E75" s="29" t="str" cm="1">
        <f t="array" ref="E75">IFERROR(INDEX(Data_Input!$1:$100, 9, MATCH(1, (Data_Input!$7:$7=$F$3) * (Data_Input!$8:$8=$B75), 0)),"")</f>
        <v/>
      </c>
      <c r="F75" s="20" t="str" cm="1">
        <f t="array" ref="F75">IFERROR(INDEX(Data_Input!$A$1:$ZZ$502, MATCH("예수금", INDEX(Data_Input!$A$1:$ZZ$502, 0, MATCH(1, (Data_Input!$7:$7=$F$3)*(Data_Input!$8:$8=$B75), 0)), 0) + 1, MATCH(1, (Data_Input!$7:$7=$F$3)*(Data_Input!$8:$8=$B75), 0)),"")</f>
        <v/>
      </c>
      <c r="G75" s="20" t="str" cm="1">
        <f t="array" ref="G75">IFERROR(INDEX(Data_Input!$A$1:$ZZ$502, MATCH("총자산", INDEX(Data_Input!$A$1:$ZZ$502, 0, MATCH(1, (Data_Input!$7:$7=$F$3)*(Data_Input!$8:$8=$B75), 0)), 0) + 1, MATCH(1, (Data_Input!$7:$7=$F$3)*(Data_Input!$8:$8=$B75), 0)),"")</f>
        <v/>
      </c>
      <c r="H75" s="20" t="str" cm="1">
        <f t="array" ref="H75">IFERROR(INDEX(Data_Input!$A$1:$ZZ$502, MATCH("매입금액", INDEX(Data_Input!$A$1:$ZZ$502, 0, MATCH(1, (Data_Input!$7:$7=$F$3)*(Data_Input!$8:$8=$B75), 0)), 0) + 1, MATCH(1, (Data_Input!$7:$7=$F$3)*(Data_Input!$8:$8=$B75), 0)),"")</f>
        <v/>
      </c>
      <c r="I75" s="20" t="str" cm="1">
        <f t="array" ref="I75">IFERROR(INDEX(Data_Input!$A$1:$ZZ$502, MATCH("평가금액", INDEX(Data_Input!$A$1:$ZZ$502, 0, MATCH(1, (Data_Input!$7:$7=$F$3)*(Data_Input!$8:$8=$B75), 0)), 0) + 1, MATCH(1, (Data_Input!$7:$7=$F$3)*(Data_Input!$8:$8=$B75), 0)),"")</f>
        <v/>
      </c>
      <c r="J75" s="20" t="str" cm="1">
        <f t="array" ref="J75">IFERROR(INDEX(Data_Input!$A$1:$ZZ$502, MATCH("평가손익", INDEX(Data_Input!$A$1:$ZZ$502, 0, MATCH(1, (Data_Input!$7:$7=$F$3)*(Data_Input!$8:$8=$B75), 0)), 0) + 1, MATCH(1, (Data_Input!$7:$7=$F$3)*(Data_Input!$8:$8=$B75), 0)),"")</f>
        <v/>
      </c>
      <c r="K75" s="14" t="str" cm="1">
        <f t="array" ref="K75">IFERROR(INDEX(Data_Input!$A$1:$ZZ$502, MATCH("총수익률", INDEX(Data_Input!$A$1:$ZZ$502, 0, MATCH(1, (Data_Input!$7:$7=$F$3)*(Data_Input!$8:$8=$B75), 0)), 0) + 1, MATCH(1, (Data_Input!$7:$7=$F$3)*(Data_Input!$8:$8=$B75), 0)),"")</f>
        <v/>
      </c>
      <c r="L75" t="str" cm="1">
        <f t="array" ref="L75">IFERROR(_xlfn.LET(
    _xlpm.targetDate, B75,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76" spans="1:12" x14ac:dyDescent="0.3">
      <c r="A76" s="16" t="str">
        <f t="shared" si="3"/>
        <v/>
      </c>
      <c r="B76" s="8"/>
      <c r="C76" s="17" t="str">
        <f t="shared" si="4"/>
        <v/>
      </c>
      <c r="D76" s="29" t="str" cm="1">
        <f t="array" ref="D76">IFERROR(INDEX(Data_Input!$1:$100, 10, MATCH(1, (Data_Input!$F$7:$ZZ$7=$F$3) * (Data_Input!$F$8:$ZZ$8=$B76), 0)),"")</f>
        <v/>
      </c>
      <c r="E76" s="29" t="str" cm="1">
        <f t="array" ref="E76">IFERROR(INDEX(Data_Input!$1:$100, 9, MATCH(1, (Data_Input!$7:$7=$F$3) * (Data_Input!$8:$8=$B76), 0)),"")</f>
        <v/>
      </c>
      <c r="F76" s="20" t="str" cm="1">
        <f t="array" ref="F76">IFERROR(INDEX(Data_Input!$A$1:$ZZ$502, MATCH("예수금", INDEX(Data_Input!$A$1:$ZZ$502, 0, MATCH(1, (Data_Input!$7:$7=$F$3)*(Data_Input!$8:$8=$B76), 0)), 0) + 1, MATCH(1, (Data_Input!$7:$7=$F$3)*(Data_Input!$8:$8=$B76), 0)),"")</f>
        <v/>
      </c>
      <c r="G76" s="20" t="str" cm="1">
        <f t="array" ref="G76">IFERROR(INDEX(Data_Input!$A$1:$ZZ$502, MATCH("총자산", INDEX(Data_Input!$A$1:$ZZ$502, 0, MATCH(1, (Data_Input!$7:$7=$F$3)*(Data_Input!$8:$8=$B76), 0)), 0) + 1, MATCH(1, (Data_Input!$7:$7=$F$3)*(Data_Input!$8:$8=$B76), 0)),"")</f>
        <v/>
      </c>
      <c r="H76" s="20" t="str" cm="1">
        <f t="array" ref="H76">IFERROR(INDEX(Data_Input!$A$1:$ZZ$502, MATCH("매입금액", INDEX(Data_Input!$A$1:$ZZ$502, 0, MATCH(1, (Data_Input!$7:$7=$F$3)*(Data_Input!$8:$8=$B76), 0)), 0) + 1, MATCH(1, (Data_Input!$7:$7=$F$3)*(Data_Input!$8:$8=$B76), 0)),"")</f>
        <v/>
      </c>
      <c r="I76" s="20" t="str" cm="1">
        <f t="array" ref="I76">IFERROR(INDEX(Data_Input!$A$1:$ZZ$502, MATCH("평가금액", INDEX(Data_Input!$A$1:$ZZ$502, 0, MATCH(1, (Data_Input!$7:$7=$F$3)*(Data_Input!$8:$8=$B76), 0)), 0) + 1, MATCH(1, (Data_Input!$7:$7=$F$3)*(Data_Input!$8:$8=$B76), 0)),"")</f>
        <v/>
      </c>
      <c r="J76" s="20" t="str" cm="1">
        <f t="array" ref="J76">IFERROR(INDEX(Data_Input!$A$1:$ZZ$502, MATCH("평가손익", INDEX(Data_Input!$A$1:$ZZ$502, 0, MATCH(1, (Data_Input!$7:$7=$F$3)*(Data_Input!$8:$8=$B76), 0)), 0) + 1, MATCH(1, (Data_Input!$7:$7=$F$3)*(Data_Input!$8:$8=$B76), 0)),"")</f>
        <v/>
      </c>
      <c r="K76" s="14" t="str" cm="1">
        <f t="array" ref="K76">IFERROR(INDEX(Data_Input!$A$1:$ZZ$502, MATCH("총수익률", INDEX(Data_Input!$A$1:$ZZ$502, 0, MATCH(1, (Data_Input!$7:$7=$F$3)*(Data_Input!$8:$8=$B76), 0)), 0) + 1, MATCH(1, (Data_Input!$7:$7=$F$3)*(Data_Input!$8:$8=$B76), 0)),"")</f>
        <v/>
      </c>
      <c r="L76" t="str" cm="1">
        <f t="array" ref="L76">IFERROR(_xlfn.LET(
    _xlpm.targetDate, B76,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77" spans="1:12" x14ac:dyDescent="0.3">
      <c r="A77" s="16" t="str">
        <f t="shared" si="3"/>
        <v/>
      </c>
      <c r="B77" s="8"/>
      <c r="C77" s="17" t="str">
        <f t="shared" si="4"/>
        <v/>
      </c>
      <c r="D77" s="29" t="str" cm="1">
        <f t="array" ref="D77">IFERROR(INDEX(Data_Input!$1:$100, 10, MATCH(1, (Data_Input!$F$7:$ZZ$7=$F$3) * (Data_Input!$F$8:$ZZ$8=$B77), 0)),"")</f>
        <v/>
      </c>
      <c r="E77" s="29" t="str" cm="1">
        <f t="array" ref="E77">IFERROR(INDEX(Data_Input!$1:$100, 9, MATCH(1, (Data_Input!$7:$7=$F$3) * (Data_Input!$8:$8=$B77), 0)),"")</f>
        <v/>
      </c>
      <c r="F77" s="20" t="str" cm="1">
        <f t="array" ref="F77">IFERROR(INDEX(Data_Input!$A$1:$ZZ$502, MATCH("예수금", INDEX(Data_Input!$A$1:$ZZ$502, 0, MATCH(1, (Data_Input!$7:$7=$F$3)*(Data_Input!$8:$8=$B77), 0)), 0) + 1, MATCH(1, (Data_Input!$7:$7=$F$3)*(Data_Input!$8:$8=$B77), 0)),"")</f>
        <v/>
      </c>
      <c r="G77" s="20" t="str" cm="1">
        <f t="array" ref="G77">IFERROR(INDEX(Data_Input!$A$1:$ZZ$502, MATCH("총자산", INDEX(Data_Input!$A$1:$ZZ$502, 0, MATCH(1, (Data_Input!$7:$7=$F$3)*(Data_Input!$8:$8=$B77), 0)), 0) + 1, MATCH(1, (Data_Input!$7:$7=$F$3)*(Data_Input!$8:$8=$B77), 0)),"")</f>
        <v/>
      </c>
      <c r="H77" s="20" t="str" cm="1">
        <f t="array" ref="H77">IFERROR(INDEX(Data_Input!$A$1:$ZZ$502, MATCH("매입금액", INDEX(Data_Input!$A$1:$ZZ$502, 0, MATCH(1, (Data_Input!$7:$7=$F$3)*(Data_Input!$8:$8=$B77), 0)), 0) + 1, MATCH(1, (Data_Input!$7:$7=$F$3)*(Data_Input!$8:$8=$B77), 0)),"")</f>
        <v/>
      </c>
      <c r="I77" s="20" t="str" cm="1">
        <f t="array" ref="I77">IFERROR(INDEX(Data_Input!$A$1:$ZZ$502, MATCH("평가금액", INDEX(Data_Input!$A$1:$ZZ$502, 0, MATCH(1, (Data_Input!$7:$7=$F$3)*(Data_Input!$8:$8=$B77), 0)), 0) + 1, MATCH(1, (Data_Input!$7:$7=$F$3)*(Data_Input!$8:$8=$B77), 0)),"")</f>
        <v/>
      </c>
      <c r="J77" s="20" t="str" cm="1">
        <f t="array" ref="J77">IFERROR(INDEX(Data_Input!$A$1:$ZZ$502, MATCH("평가손익", INDEX(Data_Input!$A$1:$ZZ$502, 0, MATCH(1, (Data_Input!$7:$7=$F$3)*(Data_Input!$8:$8=$B77), 0)), 0) + 1, MATCH(1, (Data_Input!$7:$7=$F$3)*(Data_Input!$8:$8=$B77), 0)),"")</f>
        <v/>
      </c>
      <c r="K77" s="14" t="str" cm="1">
        <f t="array" ref="K77">IFERROR(INDEX(Data_Input!$A$1:$ZZ$502, MATCH("총수익률", INDEX(Data_Input!$A$1:$ZZ$502, 0, MATCH(1, (Data_Input!$7:$7=$F$3)*(Data_Input!$8:$8=$B77), 0)), 0) + 1, MATCH(1, (Data_Input!$7:$7=$F$3)*(Data_Input!$8:$8=$B77), 0)),"")</f>
        <v/>
      </c>
      <c r="L77" t="str" cm="1">
        <f t="array" ref="L77">IFERROR(_xlfn.LET(
    _xlpm.targetDate, B77,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78" spans="1:12" x14ac:dyDescent="0.3">
      <c r="A78" s="16" t="str">
        <f t="shared" si="3"/>
        <v/>
      </c>
      <c r="B78" s="8"/>
      <c r="C78" s="17" t="str">
        <f t="shared" si="4"/>
        <v/>
      </c>
      <c r="D78" s="29" t="str" cm="1">
        <f t="array" ref="D78">IFERROR(INDEX(Data_Input!$1:$100, 10, MATCH(1, (Data_Input!$F$7:$ZZ$7=$F$3) * (Data_Input!$F$8:$ZZ$8=$B78), 0)),"")</f>
        <v/>
      </c>
      <c r="E78" s="29" t="str" cm="1">
        <f t="array" ref="E78">IFERROR(INDEX(Data_Input!$1:$100, 9, MATCH(1, (Data_Input!$7:$7=$F$3) * (Data_Input!$8:$8=$B78), 0)),"")</f>
        <v/>
      </c>
      <c r="F78" s="20" t="str" cm="1">
        <f t="array" ref="F78">IFERROR(INDEX(Data_Input!$A$1:$ZZ$502, MATCH("예수금", INDEX(Data_Input!$A$1:$ZZ$502, 0, MATCH(1, (Data_Input!$7:$7=$F$3)*(Data_Input!$8:$8=$B78), 0)), 0) + 1, MATCH(1, (Data_Input!$7:$7=$F$3)*(Data_Input!$8:$8=$B78), 0)),"")</f>
        <v/>
      </c>
      <c r="G78" s="20" t="str" cm="1">
        <f t="array" ref="G78">IFERROR(INDEX(Data_Input!$A$1:$ZZ$502, MATCH("총자산", INDEX(Data_Input!$A$1:$ZZ$502, 0, MATCH(1, (Data_Input!$7:$7=$F$3)*(Data_Input!$8:$8=$B78), 0)), 0) + 1, MATCH(1, (Data_Input!$7:$7=$F$3)*(Data_Input!$8:$8=$B78), 0)),"")</f>
        <v/>
      </c>
      <c r="H78" s="20" t="str" cm="1">
        <f t="array" ref="H78">IFERROR(INDEX(Data_Input!$A$1:$ZZ$502, MATCH("매입금액", INDEX(Data_Input!$A$1:$ZZ$502, 0, MATCH(1, (Data_Input!$7:$7=$F$3)*(Data_Input!$8:$8=$B78), 0)), 0) + 1, MATCH(1, (Data_Input!$7:$7=$F$3)*(Data_Input!$8:$8=$B78), 0)),"")</f>
        <v/>
      </c>
      <c r="I78" s="20" t="str" cm="1">
        <f t="array" ref="I78">IFERROR(INDEX(Data_Input!$A$1:$ZZ$502, MATCH("평가금액", INDEX(Data_Input!$A$1:$ZZ$502, 0, MATCH(1, (Data_Input!$7:$7=$F$3)*(Data_Input!$8:$8=$B78), 0)), 0) + 1, MATCH(1, (Data_Input!$7:$7=$F$3)*(Data_Input!$8:$8=$B78), 0)),"")</f>
        <v/>
      </c>
      <c r="J78" s="20" t="str" cm="1">
        <f t="array" ref="J78">IFERROR(INDEX(Data_Input!$A$1:$ZZ$502, MATCH("평가손익", INDEX(Data_Input!$A$1:$ZZ$502, 0, MATCH(1, (Data_Input!$7:$7=$F$3)*(Data_Input!$8:$8=$B78), 0)), 0) + 1, MATCH(1, (Data_Input!$7:$7=$F$3)*(Data_Input!$8:$8=$B78), 0)),"")</f>
        <v/>
      </c>
      <c r="K78" s="14" t="str" cm="1">
        <f t="array" ref="K78">IFERROR(INDEX(Data_Input!$A$1:$ZZ$502, MATCH("총수익률", INDEX(Data_Input!$A$1:$ZZ$502, 0, MATCH(1, (Data_Input!$7:$7=$F$3)*(Data_Input!$8:$8=$B78), 0)), 0) + 1, MATCH(1, (Data_Input!$7:$7=$F$3)*(Data_Input!$8:$8=$B78), 0)),"")</f>
        <v/>
      </c>
      <c r="L78" t="str" cm="1">
        <f t="array" ref="L78">IFERROR(_xlfn.LET(
    _xlpm.targetDate, B78,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79" spans="1:12" x14ac:dyDescent="0.3">
      <c r="A79" s="16" t="str">
        <f t="shared" si="3"/>
        <v/>
      </c>
      <c r="B79" s="8"/>
      <c r="C79" s="17" t="str">
        <f t="shared" si="4"/>
        <v/>
      </c>
      <c r="D79" s="29" t="str" cm="1">
        <f t="array" ref="D79">IFERROR(INDEX(Data_Input!$1:$100, 10, MATCH(1, (Data_Input!$F$7:$ZZ$7=$F$3) * (Data_Input!$F$8:$ZZ$8=$B79), 0)),"")</f>
        <v/>
      </c>
      <c r="E79" s="29" t="str" cm="1">
        <f t="array" ref="E79">IFERROR(INDEX(Data_Input!$1:$100, 9, MATCH(1, (Data_Input!$7:$7=$F$3) * (Data_Input!$8:$8=$B79), 0)),"")</f>
        <v/>
      </c>
      <c r="F79" s="20" t="str" cm="1">
        <f t="array" ref="F79">IFERROR(INDEX(Data_Input!$A$1:$ZZ$502, MATCH("예수금", INDEX(Data_Input!$A$1:$ZZ$502, 0, MATCH(1, (Data_Input!$7:$7=$F$3)*(Data_Input!$8:$8=$B79), 0)), 0) + 1, MATCH(1, (Data_Input!$7:$7=$F$3)*(Data_Input!$8:$8=$B79), 0)),"")</f>
        <v/>
      </c>
      <c r="G79" s="20" t="str" cm="1">
        <f t="array" ref="G79">IFERROR(INDEX(Data_Input!$A$1:$ZZ$502, MATCH("총자산", INDEX(Data_Input!$A$1:$ZZ$502, 0, MATCH(1, (Data_Input!$7:$7=$F$3)*(Data_Input!$8:$8=$B79), 0)), 0) + 1, MATCH(1, (Data_Input!$7:$7=$F$3)*(Data_Input!$8:$8=$B79), 0)),"")</f>
        <v/>
      </c>
      <c r="H79" s="20" t="str" cm="1">
        <f t="array" ref="H79">IFERROR(INDEX(Data_Input!$A$1:$ZZ$502, MATCH("매입금액", INDEX(Data_Input!$A$1:$ZZ$502, 0, MATCH(1, (Data_Input!$7:$7=$F$3)*(Data_Input!$8:$8=$B79), 0)), 0) + 1, MATCH(1, (Data_Input!$7:$7=$F$3)*(Data_Input!$8:$8=$B79), 0)),"")</f>
        <v/>
      </c>
      <c r="I79" s="20" t="str" cm="1">
        <f t="array" ref="I79">IFERROR(INDEX(Data_Input!$A$1:$ZZ$502, MATCH("평가금액", INDEX(Data_Input!$A$1:$ZZ$502, 0, MATCH(1, (Data_Input!$7:$7=$F$3)*(Data_Input!$8:$8=$B79), 0)), 0) + 1, MATCH(1, (Data_Input!$7:$7=$F$3)*(Data_Input!$8:$8=$B79), 0)),"")</f>
        <v/>
      </c>
      <c r="J79" s="20" t="str" cm="1">
        <f t="array" ref="J79">IFERROR(INDEX(Data_Input!$A$1:$ZZ$502, MATCH("평가손익", INDEX(Data_Input!$A$1:$ZZ$502, 0, MATCH(1, (Data_Input!$7:$7=$F$3)*(Data_Input!$8:$8=$B79), 0)), 0) + 1, MATCH(1, (Data_Input!$7:$7=$F$3)*(Data_Input!$8:$8=$B79), 0)),"")</f>
        <v/>
      </c>
      <c r="K79" s="14" t="str" cm="1">
        <f t="array" ref="K79">IFERROR(INDEX(Data_Input!$A$1:$ZZ$502, MATCH("총수익률", INDEX(Data_Input!$A$1:$ZZ$502, 0, MATCH(1, (Data_Input!$7:$7=$F$3)*(Data_Input!$8:$8=$B79), 0)), 0) + 1, MATCH(1, (Data_Input!$7:$7=$F$3)*(Data_Input!$8:$8=$B79), 0)),"")</f>
        <v/>
      </c>
      <c r="L79" t="str" cm="1">
        <f t="array" ref="L79">IFERROR(_xlfn.LET(
    _xlpm.targetDate, B79,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80" spans="1:12" x14ac:dyDescent="0.3">
      <c r="A80" s="16" t="str">
        <f t="shared" si="3"/>
        <v/>
      </c>
      <c r="B80" s="8"/>
      <c r="C80" s="17" t="str">
        <f t="shared" si="4"/>
        <v/>
      </c>
      <c r="D80" s="29" t="str" cm="1">
        <f t="array" ref="D80">IFERROR(INDEX(Data_Input!$1:$100, 10, MATCH(1, (Data_Input!$F$7:$ZZ$7=$F$3) * (Data_Input!$F$8:$ZZ$8=$B80), 0)),"")</f>
        <v/>
      </c>
      <c r="E80" s="29" t="str" cm="1">
        <f t="array" ref="E80">IFERROR(INDEX(Data_Input!$1:$100, 9, MATCH(1, (Data_Input!$7:$7=$F$3) * (Data_Input!$8:$8=$B80), 0)),"")</f>
        <v/>
      </c>
      <c r="F80" s="20" t="str" cm="1">
        <f t="array" ref="F80">IFERROR(INDEX(Data_Input!$A$1:$ZZ$502, MATCH("예수금", INDEX(Data_Input!$A$1:$ZZ$502, 0, MATCH(1, (Data_Input!$7:$7=$F$3)*(Data_Input!$8:$8=$B80), 0)), 0) + 1, MATCH(1, (Data_Input!$7:$7=$F$3)*(Data_Input!$8:$8=$B80), 0)),"")</f>
        <v/>
      </c>
      <c r="G80" s="20" t="str" cm="1">
        <f t="array" ref="G80">IFERROR(INDEX(Data_Input!$A$1:$ZZ$502, MATCH("총자산", INDEX(Data_Input!$A$1:$ZZ$502, 0, MATCH(1, (Data_Input!$7:$7=$F$3)*(Data_Input!$8:$8=$B80), 0)), 0) + 1, MATCH(1, (Data_Input!$7:$7=$F$3)*(Data_Input!$8:$8=$B80), 0)),"")</f>
        <v/>
      </c>
      <c r="H80" s="20" t="str" cm="1">
        <f t="array" ref="H80">IFERROR(INDEX(Data_Input!$A$1:$ZZ$502, MATCH("매입금액", INDEX(Data_Input!$A$1:$ZZ$502, 0, MATCH(1, (Data_Input!$7:$7=$F$3)*(Data_Input!$8:$8=$B80), 0)), 0) + 1, MATCH(1, (Data_Input!$7:$7=$F$3)*(Data_Input!$8:$8=$B80), 0)),"")</f>
        <v/>
      </c>
      <c r="I80" s="20" t="str" cm="1">
        <f t="array" ref="I80">IFERROR(INDEX(Data_Input!$A$1:$ZZ$502, MATCH("평가금액", INDEX(Data_Input!$A$1:$ZZ$502, 0, MATCH(1, (Data_Input!$7:$7=$F$3)*(Data_Input!$8:$8=$B80), 0)), 0) + 1, MATCH(1, (Data_Input!$7:$7=$F$3)*(Data_Input!$8:$8=$B80), 0)),"")</f>
        <v/>
      </c>
      <c r="J80" s="20" t="str" cm="1">
        <f t="array" ref="J80">IFERROR(INDEX(Data_Input!$A$1:$ZZ$502, MATCH("평가손익", INDEX(Data_Input!$A$1:$ZZ$502, 0, MATCH(1, (Data_Input!$7:$7=$F$3)*(Data_Input!$8:$8=$B80), 0)), 0) + 1, MATCH(1, (Data_Input!$7:$7=$F$3)*(Data_Input!$8:$8=$B80), 0)),"")</f>
        <v/>
      </c>
      <c r="K80" s="14" t="str" cm="1">
        <f t="array" ref="K80">IFERROR(INDEX(Data_Input!$A$1:$ZZ$502, MATCH("총수익률", INDEX(Data_Input!$A$1:$ZZ$502, 0, MATCH(1, (Data_Input!$7:$7=$F$3)*(Data_Input!$8:$8=$B80), 0)), 0) + 1, MATCH(1, (Data_Input!$7:$7=$F$3)*(Data_Input!$8:$8=$B80), 0)),"")</f>
        <v/>
      </c>
      <c r="L80" t="str" cm="1">
        <f t="array" ref="L80">IFERROR(_xlfn.LET(
    _xlpm.targetDate, B80,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81" spans="1:12" x14ac:dyDescent="0.3">
      <c r="A81" s="16" t="str">
        <f t="shared" si="3"/>
        <v/>
      </c>
      <c r="B81" s="8"/>
      <c r="C81" s="17" t="str">
        <f t="shared" si="4"/>
        <v/>
      </c>
      <c r="D81" s="29" t="str" cm="1">
        <f t="array" ref="D81">IFERROR(INDEX(Data_Input!$1:$100, 10, MATCH(1, (Data_Input!$F$7:$ZZ$7=$F$3) * (Data_Input!$F$8:$ZZ$8=$B81), 0)),"")</f>
        <v/>
      </c>
      <c r="E81" s="29" t="str" cm="1">
        <f t="array" ref="E81">IFERROR(INDEX(Data_Input!$1:$100, 9, MATCH(1, (Data_Input!$7:$7=$F$3) * (Data_Input!$8:$8=$B81), 0)),"")</f>
        <v/>
      </c>
      <c r="F81" s="20" t="str" cm="1">
        <f t="array" ref="F81">IFERROR(INDEX(Data_Input!$A$1:$ZZ$502, MATCH("예수금", INDEX(Data_Input!$A$1:$ZZ$502, 0, MATCH(1, (Data_Input!$7:$7=$F$3)*(Data_Input!$8:$8=$B81), 0)), 0) + 1, MATCH(1, (Data_Input!$7:$7=$F$3)*(Data_Input!$8:$8=$B81), 0)),"")</f>
        <v/>
      </c>
      <c r="G81" s="20" t="str" cm="1">
        <f t="array" ref="G81">IFERROR(INDEX(Data_Input!$A$1:$ZZ$502, MATCH("총자산", INDEX(Data_Input!$A$1:$ZZ$502, 0, MATCH(1, (Data_Input!$7:$7=$F$3)*(Data_Input!$8:$8=$B81), 0)), 0) + 1, MATCH(1, (Data_Input!$7:$7=$F$3)*(Data_Input!$8:$8=$B81), 0)),"")</f>
        <v/>
      </c>
      <c r="H81" s="20" t="str" cm="1">
        <f t="array" ref="H81">IFERROR(INDEX(Data_Input!$A$1:$ZZ$502, MATCH("매입금액", INDEX(Data_Input!$A$1:$ZZ$502, 0, MATCH(1, (Data_Input!$7:$7=$F$3)*(Data_Input!$8:$8=$B81), 0)), 0) + 1, MATCH(1, (Data_Input!$7:$7=$F$3)*(Data_Input!$8:$8=$B81), 0)),"")</f>
        <v/>
      </c>
      <c r="I81" s="20" t="str" cm="1">
        <f t="array" ref="I81">IFERROR(INDEX(Data_Input!$A$1:$ZZ$502, MATCH("평가금액", INDEX(Data_Input!$A$1:$ZZ$502, 0, MATCH(1, (Data_Input!$7:$7=$F$3)*(Data_Input!$8:$8=$B81), 0)), 0) + 1, MATCH(1, (Data_Input!$7:$7=$F$3)*(Data_Input!$8:$8=$B81), 0)),"")</f>
        <v/>
      </c>
      <c r="J81" s="20" t="str" cm="1">
        <f t="array" ref="J81">IFERROR(INDEX(Data_Input!$A$1:$ZZ$502, MATCH("평가손익", INDEX(Data_Input!$A$1:$ZZ$502, 0, MATCH(1, (Data_Input!$7:$7=$F$3)*(Data_Input!$8:$8=$B81), 0)), 0) + 1, MATCH(1, (Data_Input!$7:$7=$F$3)*(Data_Input!$8:$8=$B81), 0)),"")</f>
        <v/>
      </c>
      <c r="K81" s="14" t="str" cm="1">
        <f t="array" ref="K81">IFERROR(INDEX(Data_Input!$A$1:$ZZ$502, MATCH("총수익률", INDEX(Data_Input!$A$1:$ZZ$502, 0, MATCH(1, (Data_Input!$7:$7=$F$3)*(Data_Input!$8:$8=$B81), 0)), 0) + 1, MATCH(1, (Data_Input!$7:$7=$F$3)*(Data_Input!$8:$8=$B81), 0)),"")</f>
        <v/>
      </c>
      <c r="L81" t="str" cm="1">
        <f t="array" ref="L81">IFERROR(_xlfn.LET(
    _xlpm.targetDate, B81,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82" spans="1:12" x14ac:dyDescent="0.3">
      <c r="A82" s="16" t="str">
        <f t="shared" si="3"/>
        <v/>
      </c>
      <c r="B82" s="8"/>
      <c r="C82" s="17" t="str">
        <f t="shared" si="4"/>
        <v/>
      </c>
      <c r="D82" s="29" t="str" cm="1">
        <f t="array" ref="D82">IFERROR(INDEX(Data_Input!$1:$100, 10, MATCH(1, (Data_Input!$F$7:$ZZ$7=$F$3) * (Data_Input!$F$8:$ZZ$8=$B82), 0)),"")</f>
        <v/>
      </c>
      <c r="E82" s="29" t="str" cm="1">
        <f t="array" ref="E82">IFERROR(INDEX(Data_Input!$1:$100, 9, MATCH(1, (Data_Input!$7:$7=$F$3) * (Data_Input!$8:$8=$B82), 0)),"")</f>
        <v/>
      </c>
      <c r="F82" s="20" t="str" cm="1">
        <f t="array" ref="F82">IFERROR(INDEX(Data_Input!$A$1:$ZZ$502, MATCH("예수금", INDEX(Data_Input!$A$1:$ZZ$502, 0, MATCH(1, (Data_Input!$7:$7=$F$3)*(Data_Input!$8:$8=$B82), 0)), 0) + 1, MATCH(1, (Data_Input!$7:$7=$F$3)*(Data_Input!$8:$8=$B82), 0)),"")</f>
        <v/>
      </c>
      <c r="G82" s="20" t="str" cm="1">
        <f t="array" ref="G82">IFERROR(INDEX(Data_Input!$A$1:$ZZ$502, MATCH("총자산", INDEX(Data_Input!$A$1:$ZZ$502, 0, MATCH(1, (Data_Input!$7:$7=$F$3)*(Data_Input!$8:$8=$B82), 0)), 0) + 1, MATCH(1, (Data_Input!$7:$7=$F$3)*(Data_Input!$8:$8=$B82), 0)),"")</f>
        <v/>
      </c>
      <c r="H82" s="20" t="str" cm="1">
        <f t="array" ref="H82">IFERROR(INDEX(Data_Input!$A$1:$ZZ$502, MATCH("매입금액", INDEX(Data_Input!$A$1:$ZZ$502, 0, MATCH(1, (Data_Input!$7:$7=$F$3)*(Data_Input!$8:$8=$B82), 0)), 0) + 1, MATCH(1, (Data_Input!$7:$7=$F$3)*(Data_Input!$8:$8=$B82), 0)),"")</f>
        <v/>
      </c>
      <c r="I82" s="20" t="str" cm="1">
        <f t="array" ref="I82">IFERROR(INDEX(Data_Input!$A$1:$ZZ$502, MATCH("평가금액", INDEX(Data_Input!$A$1:$ZZ$502, 0, MATCH(1, (Data_Input!$7:$7=$F$3)*(Data_Input!$8:$8=$B82), 0)), 0) + 1, MATCH(1, (Data_Input!$7:$7=$F$3)*(Data_Input!$8:$8=$B82), 0)),"")</f>
        <v/>
      </c>
      <c r="J82" s="20" t="str" cm="1">
        <f t="array" ref="J82">IFERROR(INDEX(Data_Input!$A$1:$ZZ$502, MATCH("평가손익", INDEX(Data_Input!$A$1:$ZZ$502, 0, MATCH(1, (Data_Input!$7:$7=$F$3)*(Data_Input!$8:$8=$B82), 0)), 0) + 1, MATCH(1, (Data_Input!$7:$7=$F$3)*(Data_Input!$8:$8=$B82), 0)),"")</f>
        <v/>
      </c>
      <c r="K82" s="14" t="str" cm="1">
        <f t="array" ref="K82">IFERROR(INDEX(Data_Input!$A$1:$ZZ$502, MATCH("총수익률", INDEX(Data_Input!$A$1:$ZZ$502, 0, MATCH(1, (Data_Input!$7:$7=$F$3)*(Data_Input!$8:$8=$B82), 0)), 0) + 1, MATCH(1, (Data_Input!$7:$7=$F$3)*(Data_Input!$8:$8=$B82), 0)),"")</f>
        <v/>
      </c>
      <c r="L82" t="str" cm="1">
        <f t="array" ref="L82">IFERROR(_xlfn.LET(
    _xlpm.targetDate, B82,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83" spans="1:12" x14ac:dyDescent="0.3">
      <c r="A83" s="16" t="str">
        <f t="shared" si="3"/>
        <v/>
      </c>
      <c r="B83" s="8"/>
      <c r="C83" s="17" t="str">
        <f t="shared" si="4"/>
        <v/>
      </c>
      <c r="D83" s="29" t="str" cm="1">
        <f t="array" ref="D83">IFERROR(INDEX(Data_Input!$1:$100, 10, MATCH(1, (Data_Input!$F$7:$ZZ$7=$F$3) * (Data_Input!$F$8:$ZZ$8=$B83), 0)),"")</f>
        <v/>
      </c>
      <c r="E83" s="29" t="str" cm="1">
        <f t="array" ref="E83">IFERROR(INDEX(Data_Input!$1:$100, 9, MATCH(1, (Data_Input!$7:$7=$F$3) * (Data_Input!$8:$8=$B83), 0)),"")</f>
        <v/>
      </c>
      <c r="F83" s="20" t="str" cm="1">
        <f t="array" ref="F83">IFERROR(INDEX(Data_Input!$A$1:$ZZ$502, MATCH("예수금", INDEX(Data_Input!$A$1:$ZZ$502, 0, MATCH(1, (Data_Input!$7:$7=$F$3)*(Data_Input!$8:$8=$B83), 0)), 0) + 1, MATCH(1, (Data_Input!$7:$7=$F$3)*(Data_Input!$8:$8=$B83), 0)),"")</f>
        <v/>
      </c>
      <c r="G83" s="20" t="str" cm="1">
        <f t="array" ref="G83">IFERROR(INDEX(Data_Input!$A$1:$ZZ$502, MATCH("총자산", INDEX(Data_Input!$A$1:$ZZ$502, 0, MATCH(1, (Data_Input!$7:$7=$F$3)*(Data_Input!$8:$8=$B83), 0)), 0) + 1, MATCH(1, (Data_Input!$7:$7=$F$3)*(Data_Input!$8:$8=$B83), 0)),"")</f>
        <v/>
      </c>
      <c r="H83" s="20" t="str" cm="1">
        <f t="array" ref="H83">IFERROR(INDEX(Data_Input!$A$1:$ZZ$502, MATCH("매입금액", INDEX(Data_Input!$A$1:$ZZ$502, 0, MATCH(1, (Data_Input!$7:$7=$F$3)*(Data_Input!$8:$8=$B83), 0)), 0) + 1, MATCH(1, (Data_Input!$7:$7=$F$3)*(Data_Input!$8:$8=$B83), 0)),"")</f>
        <v/>
      </c>
      <c r="I83" s="20" t="str" cm="1">
        <f t="array" ref="I83">IFERROR(INDEX(Data_Input!$A$1:$ZZ$502, MATCH("평가금액", INDEX(Data_Input!$A$1:$ZZ$502, 0, MATCH(1, (Data_Input!$7:$7=$F$3)*(Data_Input!$8:$8=$B83), 0)), 0) + 1, MATCH(1, (Data_Input!$7:$7=$F$3)*(Data_Input!$8:$8=$B83), 0)),"")</f>
        <v/>
      </c>
      <c r="J83" s="20" t="str" cm="1">
        <f t="array" ref="J83">IFERROR(INDEX(Data_Input!$A$1:$ZZ$502, MATCH("평가손익", INDEX(Data_Input!$A$1:$ZZ$502, 0, MATCH(1, (Data_Input!$7:$7=$F$3)*(Data_Input!$8:$8=$B83), 0)), 0) + 1, MATCH(1, (Data_Input!$7:$7=$F$3)*(Data_Input!$8:$8=$B83), 0)),"")</f>
        <v/>
      </c>
      <c r="K83" s="14" t="str" cm="1">
        <f t="array" ref="K83">IFERROR(INDEX(Data_Input!$A$1:$ZZ$502, MATCH("총수익률", INDEX(Data_Input!$A$1:$ZZ$502, 0, MATCH(1, (Data_Input!$7:$7=$F$3)*(Data_Input!$8:$8=$B83), 0)), 0) + 1, MATCH(1, (Data_Input!$7:$7=$F$3)*(Data_Input!$8:$8=$B83), 0)),"")</f>
        <v/>
      </c>
      <c r="L83" t="str" cm="1">
        <f t="array" ref="L83">IFERROR(_xlfn.LET(
    _xlpm.targetDate, B83,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84" spans="1:12" x14ac:dyDescent="0.3">
      <c r="A84" s="16" t="str">
        <f t="shared" si="3"/>
        <v/>
      </c>
      <c r="B84" s="8"/>
      <c r="C84" s="17" t="str">
        <f t="shared" si="4"/>
        <v/>
      </c>
      <c r="D84" s="29" t="str" cm="1">
        <f t="array" ref="D84">IFERROR(INDEX(Data_Input!$1:$100, 10, MATCH(1, (Data_Input!$F$7:$ZZ$7=$F$3) * (Data_Input!$F$8:$ZZ$8=$B84), 0)),"")</f>
        <v/>
      </c>
      <c r="E84" s="29" t="str" cm="1">
        <f t="array" ref="E84">IFERROR(INDEX(Data_Input!$1:$100, 9, MATCH(1, (Data_Input!$7:$7=$F$3) * (Data_Input!$8:$8=$B84), 0)),"")</f>
        <v/>
      </c>
      <c r="F84" s="20" t="str" cm="1">
        <f t="array" ref="F84">IFERROR(INDEX(Data_Input!$A$1:$ZZ$502, MATCH("예수금", INDEX(Data_Input!$A$1:$ZZ$502, 0, MATCH(1, (Data_Input!$7:$7=$F$3)*(Data_Input!$8:$8=$B84), 0)), 0) + 1, MATCH(1, (Data_Input!$7:$7=$F$3)*(Data_Input!$8:$8=$B84), 0)),"")</f>
        <v/>
      </c>
      <c r="G84" s="20" t="str" cm="1">
        <f t="array" ref="G84">IFERROR(INDEX(Data_Input!$A$1:$ZZ$502, MATCH("총자산", INDEX(Data_Input!$A$1:$ZZ$502, 0, MATCH(1, (Data_Input!$7:$7=$F$3)*(Data_Input!$8:$8=$B84), 0)), 0) + 1, MATCH(1, (Data_Input!$7:$7=$F$3)*(Data_Input!$8:$8=$B84), 0)),"")</f>
        <v/>
      </c>
      <c r="H84" s="20" t="str" cm="1">
        <f t="array" ref="H84">IFERROR(INDEX(Data_Input!$A$1:$ZZ$502, MATCH("매입금액", INDEX(Data_Input!$A$1:$ZZ$502, 0, MATCH(1, (Data_Input!$7:$7=$F$3)*(Data_Input!$8:$8=$B84), 0)), 0) + 1, MATCH(1, (Data_Input!$7:$7=$F$3)*(Data_Input!$8:$8=$B84), 0)),"")</f>
        <v/>
      </c>
      <c r="I84" s="20" t="str" cm="1">
        <f t="array" ref="I84">IFERROR(INDEX(Data_Input!$A$1:$ZZ$502, MATCH("평가금액", INDEX(Data_Input!$A$1:$ZZ$502, 0, MATCH(1, (Data_Input!$7:$7=$F$3)*(Data_Input!$8:$8=$B84), 0)), 0) + 1, MATCH(1, (Data_Input!$7:$7=$F$3)*(Data_Input!$8:$8=$B84), 0)),"")</f>
        <v/>
      </c>
      <c r="J84" s="20" t="str" cm="1">
        <f t="array" ref="J84">IFERROR(INDEX(Data_Input!$A$1:$ZZ$502, MATCH("평가손익", INDEX(Data_Input!$A$1:$ZZ$502, 0, MATCH(1, (Data_Input!$7:$7=$F$3)*(Data_Input!$8:$8=$B84), 0)), 0) + 1, MATCH(1, (Data_Input!$7:$7=$F$3)*(Data_Input!$8:$8=$B84), 0)),"")</f>
        <v/>
      </c>
      <c r="K84" s="14" t="str" cm="1">
        <f t="array" ref="K84">IFERROR(INDEX(Data_Input!$A$1:$ZZ$502, MATCH("총수익률", INDEX(Data_Input!$A$1:$ZZ$502, 0, MATCH(1, (Data_Input!$7:$7=$F$3)*(Data_Input!$8:$8=$B84), 0)), 0) + 1, MATCH(1, (Data_Input!$7:$7=$F$3)*(Data_Input!$8:$8=$B84), 0)),"")</f>
        <v/>
      </c>
      <c r="L84" t="str" cm="1">
        <f t="array" ref="L84">IFERROR(_xlfn.LET(
    _xlpm.targetDate, B84,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85" spans="1:12" x14ac:dyDescent="0.3">
      <c r="A85" s="16" t="str">
        <f t="shared" si="3"/>
        <v/>
      </c>
      <c r="B85" s="8"/>
      <c r="C85" s="17" t="str">
        <f t="shared" si="4"/>
        <v/>
      </c>
      <c r="D85" s="29" t="str" cm="1">
        <f t="array" ref="D85">IFERROR(INDEX(Data_Input!$1:$100, 10, MATCH(1, (Data_Input!$F$7:$ZZ$7=$F$3) * (Data_Input!$F$8:$ZZ$8=$B85), 0)),"")</f>
        <v/>
      </c>
      <c r="E85" s="29" t="str" cm="1">
        <f t="array" ref="E85">IFERROR(INDEX(Data_Input!$1:$100, 9, MATCH(1, (Data_Input!$7:$7=$F$3) * (Data_Input!$8:$8=$B85), 0)),"")</f>
        <v/>
      </c>
      <c r="F85" s="20" t="str" cm="1">
        <f t="array" ref="F85">IFERROR(INDEX(Data_Input!$A$1:$ZZ$502, MATCH("예수금", INDEX(Data_Input!$A$1:$ZZ$502, 0, MATCH(1, (Data_Input!$7:$7=$F$3)*(Data_Input!$8:$8=$B85), 0)), 0) + 1, MATCH(1, (Data_Input!$7:$7=$F$3)*(Data_Input!$8:$8=$B85), 0)),"")</f>
        <v/>
      </c>
      <c r="G85" s="20" t="str" cm="1">
        <f t="array" ref="G85">IFERROR(INDEX(Data_Input!$A$1:$ZZ$502, MATCH("총자산", INDEX(Data_Input!$A$1:$ZZ$502, 0, MATCH(1, (Data_Input!$7:$7=$F$3)*(Data_Input!$8:$8=$B85), 0)), 0) + 1, MATCH(1, (Data_Input!$7:$7=$F$3)*(Data_Input!$8:$8=$B85), 0)),"")</f>
        <v/>
      </c>
      <c r="H85" s="20" t="str" cm="1">
        <f t="array" ref="H85">IFERROR(INDEX(Data_Input!$A$1:$ZZ$502, MATCH("매입금액", INDEX(Data_Input!$A$1:$ZZ$502, 0, MATCH(1, (Data_Input!$7:$7=$F$3)*(Data_Input!$8:$8=$B85), 0)), 0) + 1, MATCH(1, (Data_Input!$7:$7=$F$3)*(Data_Input!$8:$8=$B85), 0)),"")</f>
        <v/>
      </c>
      <c r="I85" s="20" t="str" cm="1">
        <f t="array" ref="I85">IFERROR(INDEX(Data_Input!$A$1:$ZZ$502, MATCH("평가금액", INDEX(Data_Input!$A$1:$ZZ$502, 0, MATCH(1, (Data_Input!$7:$7=$F$3)*(Data_Input!$8:$8=$B85), 0)), 0) + 1, MATCH(1, (Data_Input!$7:$7=$F$3)*(Data_Input!$8:$8=$B85), 0)),"")</f>
        <v/>
      </c>
      <c r="J85" s="20" t="str" cm="1">
        <f t="array" ref="J85">IFERROR(INDEX(Data_Input!$A$1:$ZZ$502, MATCH("평가손익", INDEX(Data_Input!$A$1:$ZZ$502, 0, MATCH(1, (Data_Input!$7:$7=$F$3)*(Data_Input!$8:$8=$B85), 0)), 0) + 1, MATCH(1, (Data_Input!$7:$7=$F$3)*(Data_Input!$8:$8=$B85), 0)),"")</f>
        <v/>
      </c>
      <c r="K85" s="14" t="str" cm="1">
        <f t="array" ref="K85">IFERROR(INDEX(Data_Input!$A$1:$ZZ$502, MATCH("총수익률", INDEX(Data_Input!$A$1:$ZZ$502, 0, MATCH(1, (Data_Input!$7:$7=$F$3)*(Data_Input!$8:$8=$B85), 0)), 0) + 1, MATCH(1, (Data_Input!$7:$7=$F$3)*(Data_Input!$8:$8=$B85), 0)),"")</f>
        <v/>
      </c>
      <c r="L85" t="str" cm="1">
        <f t="array" ref="L85">IFERROR(_xlfn.LET(
    _xlpm.targetDate, B85,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86" spans="1:12" x14ac:dyDescent="0.3">
      <c r="A86" s="16" t="str">
        <f t="shared" si="3"/>
        <v/>
      </c>
      <c r="B86" s="8"/>
      <c r="C86" s="17" t="str">
        <f t="shared" si="4"/>
        <v/>
      </c>
      <c r="D86" s="29" t="str" cm="1">
        <f t="array" ref="D86">IFERROR(INDEX(Data_Input!$1:$100, 10, MATCH(1, (Data_Input!$F$7:$ZZ$7=$F$3) * (Data_Input!$F$8:$ZZ$8=$B86), 0)),"")</f>
        <v/>
      </c>
      <c r="E86" s="29" t="str" cm="1">
        <f t="array" ref="E86">IFERROR(INDEX(Data_Input!$1:$100, 9, MATCH(1, (Data_Input!$7:$7=$F$3) * (Data_Input!$8:$8=$B86), 0)),"")</f>
        <v/>
      </c>
      <c r="F86" s="20" t="str" cm="1">
        <f t="array" ref="F86">IFERROR(INDEX(Data_Input!$A$1:$ZZ$502, MATCH("예수금", INDEX(Data_Input!$A$1:$ZZ$502, 0, MATCH(1, (Data_Input!$7:$7=$F$3)*(Data_Input!$8:$8=$B86), 0)), 0) + 1, MATCH(1, (Data_Input!$7:$7=$F$3)*(Data_Input!$8:$8=$B86), 0)),"")</f>
        <v/>
      </c>
      <c r="G86" s="20" t="str" cm="1">
        <f t="array" ref="G86">IFERROR(INDEX(Data_Input!$A$1:$ZZ$502, MATCH("총자산", INDEX(Data_Input!$A$1:$ZZ$502, 0, MATCH(1, (Data_Input!$7:$7=$F$3)*(Data_Input!$8:$8=$B86), 0)), 0) + 1, MATCH(1, (Data_Input!$7:$7=$F$3)*(Data_Input!$8:$8=$B86), 0)),"")</f>
        <v/>
      </c>
      <c r="H86" s="20" t="str" cm="1">
        <f t="array" ref="H86">IFERROR(INDEX(Data_Input!$A$1:$ZZ$502, MATCH("매입금액", INDEX(Data_Input!$A$1:$ZZ$502, 0, MATCH(1, (Data_Input!$7:$7=$F$3)*(Data_Input!$8:$8=$B86), 0)), 0) + 1, MATCH(1, (Data_Input!$7:$7=$F$3)*(Data_Input!$8:$8=$B86), 0)),"")</f>
        <v/>
      </c>
      <c r="I86" s="20" t="str" cm="1">
        <f t="array" ref="I86">IFERROR(INDEX(Data_Input!$A$1:$ZZ$502, MATCH("평가금액", INDEX(Data_Input!$A$1:$ZZ$502, 0, MATCH(1, (Data_Input!$7:$7=$F$3)*(Data_Input!$8:$8=$B86), 0)), 0) + 1, MATCH(1, (Data_Input!$7:$7=$F$3)*(Data_Input!$8:$8=$B86), 0)),"")</f>
        <v/>
      </c>
      <c r="J86" s="20" t="str" cm="1">
        <f t="array" ref="J86">IFERROR(INDEX(Data_Input!$A$1:$ZZ$502, MATCH("평가손익", INDEX(Data_Input!$A$1:$ZZ$502, 0, MATCH(1, (Data_Input!$7:$7=$F$3)*(Data_Input!$8:$8=$B86), 0)), 0) + 1, MATCH(1, (Data_Input!$7:$7=$F$3)*(Data_Input!$8:$8=$B86), 0)),"")</f>
        <v/>
      </c>
      <c r="K86" s="14" t="str" cm="1">
        <f t="array" ref="K86">IFERROR(INDEX(Data_Input!$A$1:$ZZ$502, MATCH("총수익률", INDEX(Data_Input!$A$1:$ZZ$502, 0, MATCH(1, (Data_Input!$7:$7=$F$3)*(Data_Input!$8:$8=$B86), 0)), 0) + 1, MATCH(1, (Data_Input!$7:$7=$F$3)*(Data_Input!$8:$8=$B86), 0)),"")</f>
        <v/>
      </c>
      <c r="L86" t="str" cm="1">
        <f t="array" ref="L86">IFERROR(_xlfn.LET(
    _xlpm.targetDate, B86,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87" spans="1:12" x14ac:dyDescent="0.3">
      <c r="A87" s="16" t="str">
        <f t="shared" si="3"/>
        <v/>
      </c>
      <c r="B87" s="8"/>
      <c r="C87" s="17" t="str">
        <f t="shared" si="4"/>
        <v/>
      </c>
      <c r="D87" s="29" t="str" cm="1">
        <f t="array" ref="D87">IFERROR(INDEX(Data_Input!$1:$100, 10, MATCH(1, (Data_Input!$F$7:$ZZ$7=$F$3) * (Data_Input!$F$8:$ZZ$8=$B87), 0)),"")</f>
        <v/>
      </c>
      <c r="E87" s="29" t="str" cm="1">
        <f t="array" ref="E87">IFERROR(INDEX(Data_Input!$1:$100, 9, MATCH(1, (Data_Input!$7:$7=$F$3) * (Data_Input!$8:$8=$B87), 0)),"")</f>
        <v/>
      </c>
      <c r="F87" s="20" t="str" cm="1">
        <f t="array" ref="F87">IFERROR(INDEX(Data_Input!$A$1:$ZZ$502, MATCH("예수금", INDEX(Data_Input!$A$1:$ZZ$502, 0, MATCH(1, (Data_Input!$7:$7=$F$3)*(Data_Input!$8:$8=$B87), 0)), 0) + 1, MATCH(1, (Data_Input!$7:$7=$F$3)*(Data_Input!$8:$8=$B87), 0)),"")</f>
        <v/>
      </c>
      <c r="G87" s="20" t="str" cm="1">
        <f t="array" ref="G87">IFERROR(INDEX(Data_Input!$A$1:$ZZ$502, MATCH("총자산", INDEX(Data_Input!$A$1:$ZZ$502, 0, MATCH(1, (Data_Input!$7:$7=$F$3)*(Data_Input!$8:$8=$B87), 0)), 0) + 1, MATCH(1, (Data_Input!$7:$7=$F$3)*(Data_Input!$8:$8=$B87), 0)),"")</f>
        <v/>
      </c>
      <c r="H87" s="20" t="str" cm="1">
        <f t="array" ref="H87">IFERROR(INDEX(Data_Input!$A$1:$ZZ$502, MATCH("매입금액", INDEX(Data_Input!$A$1:$ZZ$502, 0, MATCH(1, (Data_Input!$7:$7=$F$3)*(Data_Input!$8:$8=$B87), 0)), 0) + 1, MATCH(1, (Data_Input!$7:$7=$F$3)*(Data_Input!$8:$8=$B87), 0)),"")</f>
        <v/>
      </c>
      <c r="I87" s="20" t="str" cm="1">
        <f t="array" ref="I87">IFERROR(INDEX(Data_Input!$A$1:$ZZ$502, MATCH("평가금액", INDEX(Data_Input!$A$1:$ZZ$502, 0, MATCH(1, (Data_Input!$7:$7=$F$3)*(Data_Input!$8:$8=$B87), 0)), 0) + 1, MATCH(1, (Data_Input!$7:$7=$F$3)*(Data_Input!$8:$8=$B87), 0)),"")</f>
        <v/>
      </c>
      <c r="J87" s="20" t="str" cm="1">
        <f t="array" ref="J87">IFERROR(INDEX(Data_Input!$A$1:$ZZ$502, MATCH("평가손익", INDEX(Data_Input!$A$1:$ZZ$502, 0, MATCH(1, (Data_Input!$7:$7=$F$3)*(Data_Input!$8:$8=$B87), 0)), 0) + 1, MATCH(1, (Data_Input!$7:$7=$F$3)*(Data_Input!$8:$8=$B87), 0)),"")</f>
        <v/>
      </c>
      <c r="K87" s="14" t="str" cm="1">
        <f t="array" ref="K87">IFERROR(INDEX(Data_Input!$A$1:$ZZ$502, MATCH("총수익률", INDEX(Data_Input!$A$1:$ZZ$502, 0, MATCH(1, (Data_Input!$7:$7=$F$3)*(Data_Input!$8:$8=$B87), 0)), 0) + 1, MATCH(1, (Data_Input!$7:$7=$F$3)*(Data_Input!$8:$8=$B87), 0)),"")</f>
        <v/>
      </c>
      <c r="L87" t="str" cm="1">
        <f t="array" ref="L87">IFERROR(_xlfn.LET(
    _xlpm.targetDate, B87,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88" spans="1:12" x14ac:dyDescent="0.3">
      <c r="A88" s="16" t="str">
        <f t="shared" si="3"/>
        <v/>
      </c>
      <c r="B88" s="8"/>
      <c r="C88" s="17" t="str">
        <f t="shared" si="4"/>
        <v/>
      </c>
      <c r="D88" s="29" t="str" cm="1">
        <f t="array" ref="D88">IFERROR(INDEX(Data_Input!$1:$100, 10, MATCH(1, (Data_Input!$F$7:$ZZ$7=$F$3) * (Data_Input!$F$8:$ZZ$8=$B88), 0)),"")</f>
        <v/>
      </c>
      <c r="E88" s="29" t="str" cm="1">
        <f t="array" ref="E88">IFERROR(INDEX(Data_Input!$1:$100, 9, MATCH(1, (Data_Input!$7:$7=$F$3) * (Data_Input!$8:$8=$B88), 0)),"")</f>
        <v/>
      </c>
      <c r="F88" s="20" t="str" cm="1">
        <f t="array" ref="F88">IFERROR(INDEX(Data_Input!$A$1:$ZZ$502, MATCH("예수금", INDEX(Data_Input!$A$1:$ZZ$502, 0, MATCH(1, (Data_Input!$7:$7=$F$3)*(Data_Input!$8:$8=$B88), 0)), 0) + 1, MATCH(1, (Data_Input!$7:$7=$F$3)*(Data_Input!$8:$8=$B88), 0)),"")</f>
        <v/>
      </c>
      <c r="G88" s="20" t="str" cm="1">
        <f t="array" ref="G88">IFERROR(INDEX(Data_Input!$A$1:$ZZ$502, MATCH("총자산", INDEX(Data_Input!$A$1:$ZZ$502, 0, MATCH(1, (Data_Input!$7:$7=$F$3)*(Data_Input!$8:$8=$B88), 0)), 0) + 1, MATCH(1, (Data_Input!$7:$7=$F$3)*(Data_Input!$8:$8=$B88), 0)),"")</f>
        <v/>
      </c>
      <c r="H88" s="20" t="str" cm="1">
        <f t="array" ref="H88">IFERROR(INDEX(Data_Input!$A$1:$ZZ$502, MATCH("매입금액", INDEX(Data_Input!$A$1:$ZZ$502, 0, MATCH(1, (Data_Input!$7:$7=$F$3)*(Data_Input!$8:$8=$B88), 0)), 0) + 1, MATCH(1, (Data_Input!$7:$7=$F$3)*(Data_Input!$8:$8=$B88), 0)),"")</f>
        <v/>
      </c>
      <c r="I88" s="20" t="str" cm="1">
        <f t="array" ref="I88">IFERROR(INDEX(Data_Input!$A$1:$ZZ$502, MATCH("평가금액", INDEX(Data_Input!$A$1:$ZZ$502, 0, MATCH(1, (Data_Input!$7:$7=$F$3)*(Data_Input!$8:$8=$B88), 0)), 0) + 1, MATCH(1, (Data_Input!$7:$7=$F$3)*(Data_Input!$8:$8=$B88), 0)),"")</f>
        <v/>
      </c>
      <c r="J88" s="20" t="str" cm="1">
        <f t="array" ref="J88">IFERROR(INDEX(Data_Input!$A$1:$ZZ$502, MATCH("평가손익", INDEX(Data_Input!$A$1:$ZZ$502, 0, MATCH(1, (Data_Input!$7:$7=$F$3)*(Data_Input!$8:$8=$B88), 0)), 0) + 1, MATCH(1, (Data_Input!$7:$7=$F$3)*(Data_Input!$8:$8=$B88), 0)),"")</f>
        <v/>
      </c>
      <c r="K88" s="14" t="str" cm="1">
        <f t="array" ref="K88">IFERROR(INDEX(Data_Input!$A$1:$ZZ$502, MATCH("총수익률", INDEX(Data_Input!$A$1:$ZZ$502, 0, MATCH(1, (Data_Input!$7:$7=$F$3)*(Data_Input!$8:$8=$B88), 0)), 0) + 1, MATCH(1, (Data_Input!$7:$7=$F$3)*(Data_Input!$8:$8=$B88), 0)),"")</f>
        <v/>
      </c>
      <c r="L88" t="str" cm="1">
        <f t="array" ref="L88">IFERROR(_xlfn.LET(
    _xlpm.targetDate, B88,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89" spans="1:12" x14ac:dyDescent="0.3">
      <c r="A89" s="16" t="str">
        <f t="shared" si="3"/>
        <v/>
      </c>
      <c r="B89" s="8"/>
      <c r="C89" s="17" t="str">
        <f t="shared" si="4"/>
        <v/>
      </c>
      <c r="D89" s="29" t="str" cm="1">
        <f t="array" ref="D89">IFERROR(INDEX(Data_Input!$1:$100, 10, MATCH(1, (Data_Input!$F$7:$ZZ$7=$F$3) * (Data_Input!$F$8:$ZZ$8=$B89), 0)),"")</f>
        <v/>
      </c>
      <c r="E89" s="29" t="str" cm="1">
        <f t="array" ref="E89">IFERROR(INDEX(Data_Input!$1:$100, 9, MATCH(1, (Data_Input!$7:$7=$F$3) * (Data_Input!$8:$8=$B89), 0)),"")</f>
        <v/>
      </c>
      <c r="F89" s="20" t="str" cm="1">
        <f t="array" ref="F89">IFERROR(INDEX(Data_Input!$A$1:$ZZ$502, MATCH("예수금", INDEX(Data_Input!$A$1:$ZZ$502, 0, MATCH(1, (Data_Input!$7:$7=$F$3)*(Data_Input!$8:$8=$B89), 0)), 0) + 1, MATCH(1, (Data_Input!$7:$7=$F$3)*(Data_Input!$8:$8=$B89), 0)),"")</f>
        <v/>
      </c>
      <c r="G89" s="20" t="str" cm="1">
        <f t="array" ref="G89">IFERROR(INDEX(Data_Input!$A$1:$ZZ$502, MATCH("총자산", INDEX(Data_Input!$A$1:$ZZ$502, 0, MATCH(1, (Data_Input!$7:$7=$F$3)*(Data_Input!$8:$8=$B89), 0)), 0) + 1, MATCH(1, (Data_Input!$7:$7=$F$3)*(Data_Input!$8:$8=$B89), 0)),"")</f>
        <v/>
      </c>
      <c r="H89" s="20" t="str" cm="1">
        <f t="array" ref="H89">IFERROR(INDEX(Data_Input!$A$1:$ZZ$502, MATCH("매입금액", INDEX(Data_Input!$A$1:$ZZ$502, 0, MATCH(1, (Data_Input!$7:$7=$F$3)*(Data_Input!$8:$8=$B89), 0)), 0) + 1, MATCH(1, (Data_Input!$7:$7=$F$3)*(Data_Input!$8:$8=$B89), 0)),"")</f>
        <v/>
      </c>
      <c r="I89" s="20" t="str" cm="1">
        <f t="array" ref="I89">IFERROR(INDEX(Data_Input!$A$1:$ZZ$502, MATCH("평가금액", INDEX(Data_Input!$A$1:$ZZ$502, 0, MATCH(1, (Data_Input!$7:$7=$F$3)*(Data_Input!$8:$8=$B89), 0)), 0) + 1, MATCH(1, (Data_Input!$7:$7=$F$3)*(Data_Input!$8:$8=$B89), 0)),"")</f>
        <v/>
      </c>
      <c r="J89" s="20" t="str" cm="1">
        <f t="array" ref="J89">IFERROR(INDEX(Data_Input!$A$1:$ZZ$502, MATCH("평가손익", INDEX(Data_Input!$A$1:$ZZ$502, 0, MATCH(1, (Data_Input!$7:$7=$F$3)*(Data_Input!$8:$8=$B89), 0)), 0) + 1, MATCH(1, (Data_Input!$7:$7=$F$3)*(Data_Input!$8:$8=$B89), 0)),"")</f>
        <v/>
      </c>
      <c r="K89" s="14" t="str" cm="1">
        <f t="array" ref="K89">IFERROR(INDEX(Data_Input!$A$1:$ZZ$502, MATCH("총수익률", INDEX(Data_Input!$A$1:$ZZ$502, 0, MATCH(1, (Data_Input!$7:$7=$F$3)*(Data_Input!$8:$8=$B89), 0)), 0) + 1, MATCH(1, (Data_Input!$7:$7=$F$3)*(Data_Input!$8:$8=$B89), 0)),"")</f>
        <v/>
      </c>
      <c r="L89" t="str" cm="1">
        <f t="array" ref="L89">IFERROR(_xlfn.LET(
    _xlpm.targetDate, B89,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90" spans="1:12" x14ac:dyDescent="0.3">
      <c r="A90" s="16" t="str">
        <f t="shared" si="3"/>
        <v/>
      </c>
      <c r="B90" s="8"/>
      <c r="C90" s="17" t="str">
        <f t="shared" si="4"/>
        <v/>
      </c>
      <c r="D90" s="29" t="str" cm="1">
        <f t="array" ref="D90">IFERROR(INDEX(Data_Input!$1:$100, 10, MATCH(1, (Data_Input!$F$7:$ZZ$7=$F$3) * (Data_Input!$F$8:$ZZ$8=$B90), 0)),"")</f>
        <v/>
      </c>
      <c r="E90" s="29" t="str" cm="1">
        <f t="array" ref="E90">IFERROR(INDEX(Data_Input!$1:$100, 9, MATCH(1, (Data_Input!$7:$7=$F$3) * (Data_Input!$8:$8=$B90), 0)),"")</f>
        <v/>
      </c>
      <c r="F90" s="20" t="str" cm="1">
        <f t="array" ref="F90">IFERROR(INDEX(Data_Input!$A$1:$ZZ$502, MATCH("예수금", INDEX(Data_Input!$A$1:$ZZ$502, 0, MATCH(1, (Data_Input!$7:$7=$F$3)*(Data_Input!$8:$8=$B90), 0)), 0) + 1, MATCH(1, (Data_Input!$7:$7=$F$3)*(Data_Input!$8:$8=$B90), 0)),"")</f>
        <v/>
      </c>
      <c r="G90" s="20" t="str" cm="1">
        <f t="array" ref="G90">IFERROR(INDEX(Data_Input!$A$1:$ZZ$502, MATCH("총자산", INDEX(Data_Input!$A$1:$ZZ$502, 0, MATCH(1, (Data_Input!$7:$7=$F$3)*(Data_Input!$8:$8=$B90), 0)), 0) + 1, MATCH(1, (Data_Input!$7:$7=$F$3)*(Data_Input!$8:$8=$B90), 0)),"")</f>
        <v/>
      </c>
      <c r="H90" s="20" t="str" cm="1">
        <f t="array" ref="H90">IFERROR(INDEX(Data_Input!$A$1:$ZZ$502, MATCH("매입금액", INDEX(Data_Input!$A$1:$ZZ$502, 0, MATCH(1, (Data_Input!$7:$7=$F$3)*(Data_Input!$8:$8=$B90), 0)), 0) + 1, MATCH(1, (Data_Input!$7:$7=$F$3)*(Data_Input!$8:$8=$B90), 0)),"")</f>
        <v/>
      </c>
      <c r="I90" s="20" t="str" cm="1">
        <f t="array" ref="I90">IFERROR(INDEX(Data_Input!$A$1:$ZZ$502, MATCH("평가금액", INDEX(Data_Input!$A$1:$ZZ$502, 0, MATCH(1, (Data_Input!$7:$7=$F$3)*(Data_Input!$8:$8=$B90), 0)), 0) + 1, MATCH(1, (Data_Input!$7:$7=$F$3)*(Data_Input!$8:$8=$B90), 0)),"")</f>
        <v/>
      </c>
      <c r="J90" s="20" t="str" cm="1">
        <f t="array" ref="J90">IFERROR(INDEX(Data_Input!$A$1:$ZZ$502, MATCH("평가손익", INDEX(Data_Input!$A$1:$ZZ$502, 0, MATCH(1, (Data_Input!$7:$7=$F$3)*(Data_Input!$8:$8=$B90), 0)), 0) + 1, MATCH(1, (Data_Input!$7:$7=$F$3)*(Data_Input!$8:$8=$B90), 0)),"")</f>
        <v/>
      </c>
      <c r="K90" s="14" t="str" cm="1">
        <f t="array" ref="K90">IFERROR(INDEX(Data_Input!$A$1:$ZZ$502, MATCH("총수익률", INDEX(Data_Input!$A$1:$ZZ$502, 0, MATCH(1, (Data_Input!$7:$7=$F$3)*(Data_Input!$8:$8=$B90), 0)), 0) + 1, MATCH(1, (Data_Input!$7:$7=$F$3)*(Data_Input!$8:$8=$B90), 0)),"")</f>
        <v/>
      </c>
      <c r="L90" t="str" cm="1">
        <f t="array" ref="L90">IFERROR(_xlfn.LET(
    _xlpm.targetDate, B90,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91" spans="1:12" x14ac:dyDescent="0.3">
      <c r="A91" s="16" t="str">
        <f t="shared" si="3"/>
        <v/>
      </c>
      <c r="B91" s="8"/>
      <c r="C91" s="17" t="str">
        <f t="shared" si="4"/>
        <v/>
      </c>
      <c r="D91" s="29" t="str" cm="1">
        <f t="array" ref="D91">IFERROR(INDEX(Data_Input!$1:$100, 10, MATCH(1, (Data_Input!$F$7:$ZZ$7=$F$3) * (Data_Input!$F$8:$ZZ$8=$B91), 0)),"")</f>
        <v/>
      </c>
      <c r="E91" s="29" t="str" cm="1">
        <f t="array" ref="E91">IFERROR(INDEX(Data_Input!$1:$100, 9, MATCH(1, (Data_Input!$7:$7=$F$3) * (Data_Input!$8:$8=$B91), 0)),"")</f>
        <v/>
      </c>
      <c r="F91" s="20" t="str" cm="1">
        <f t="array" ref="F91">IFERROR(INDEX(Data_Input!$A$1:$ZZ$502, MATCH("예수금", INDEX(Data_Input!$A$1:$ZZ$502, 0, MATCH(1, (Data_Input!$7:$7=$F$3)*(Data_Input!$8:$8=$B91), 0)), 0) + 1, MATCH(1, (Data_Input!$7:$7=$F$3)*(Data_Input!$8:$8=$B91), 0)),"")</f>
        <v/>
      </c>
      <c r="G91" s="20" t="str" cm="1">
        <f t="array" ref="G91">IFERROR(INDEX(Data_Input!$A$1:$ZZ$502, MATCH("총자산", INDEX(Data_Input!$A$1:$ZZ$502, 0, MATCH(1, (Data_Input!$7:$7=$F$3)*(Data_Input!$8:$8=$B91), 0)), 0) + 1, MATCH(1, (Data_Input!$7:$7=$F$3)*(Data_Input!$8:$8=$B91), 0)),"")</f>
        <v/>
      </c>
      <c r="H91" s="20" t="str" cm="1">
        <f t="array" ref="H91">IFERROR(INDEX(Data_Input!$A$1:$ZZ$502, MATCH("매입금액", INDEX(Data_Input!$A$1:$ZZ$502, 0, MATCH(1, (Data_Input!$7:$7=$F$3)*(Data_Input!$8:$8=$B91), 0)), 0) + 1, MATCH(1, (Data_Input!$7:$7=$F$3)*(Data_Input!$8:$8=$B91), 0)),"")</f>
        <v/>
      </c>
      <c r="I91" s="20" t="str" cm="1">
        <f t="array" ref="I91">IFERROR(INDEX(Data_Input!$A$1:$ZZ$502, MATCH("평가금액", INDEX(Data_Input!$A$1:$ZZ$502, 0, MATCH(1, (Data_Input!$7:$7=$F$3)*(Data_Input!$8:$8=$B91), 0)), 0) + 1, MATCH(1, (Data_Input!$7:$7=$F$3)*(Data_Input!$8:$8=$B91), 0)),"")</f>
        <v/>
      </c>
      <c r="J91" s="20" t="str" cm="1">
        <f t="array" ref="J91">IFERROR(INDEX(Data_Input!$A$1:$ZZ$502, MATCH("평가손익", INDEX(Data_Input!$A$1:$ZZ$502, 0, MATCH(1, (Data_Input!$7:$7=$F$3)*(Data_Input!$8:$8=$B91), 0)), 0) + 1, MATCH(1, (Data_Input!$7:$7=$F$3)*(Data_Input!$8:$8=$B91), 0)),"")</f>
        <v/>
      </c>
      <c r="K91" s="14" t="str" cm="1">
        <f t="array" ref="K91">IFERROR(INDEX(Data_Input!$A$1:$ZZ$502, MATCH("총수익률", INDEX(Data_Input!$A$1:$ZZ$502, 0, MATCH(1, (Data_Input!$7:$7=$F$3)*(Data_Input!$8:$8=$B91), 0)), 0) + 1, MATCH(1, (Data_Input!$7:$7=$F$3)*(Data_Input!$8:$8=$B91), 0)),"")</f>
        <v/>
      </c>
      <c r="L91" t="str" cm="1">
        <f t="array" ref="L91">IFERROR(_xlfn.LET(
    _xlpm.targetDate, B91,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92" spans="1:12" x14ac:dyDescent="0.3">
      <c r="A92" s="16" t="str">
        <f t="shared" si="3"/>
        <v/>
      </c>
      <c r="B92" s="8"/>
      <c r="C92" s="17" t="str">
        <f t="shared" si="4"/>
        <v/>
      </c>
      <c r="D92" s="29" t="str" cm="1">
        <f t="array" ref="D92">IFERROR(INDEX(Data_Input!$1:$100, 10, MATCH(1, (Data_Input!$F$7:$ZZ$7=$F$3) * (Data_Input!$F$8:$ZZ$8=$B92), 0)),"")</f>
        <v/>
      </c>
      <c r="E92" s="29" t="str" cm="1">
        <f t="array" ref="E92">IFERROR(INDEX(Data_Input!$1:$100, 9, MATCH(1, (Data_Input!$7:$7=$F$3) * (Data_Input!$8:$8=$B92), 0)),"")</f>
        <v/>
      </c>
      <c r="F92" s="20" t="str" cm="1">
        <f t="array" ref="F92">IFERROR(INDEX(Data_Input!$A$1:$ZZ$502, MATCH("예수금", INDEX(Data_Input!$A$1:$ZZ$502, 0, MATCH(1, (Data_Input!$7:$7=$F$3)*(Data_Input!$8:$8=$B92), 0)), 0) + 1, MATCH(1, (Data_Input!$7:$7=$F$3)*(Data_Input!$8:$8=$B92), 0)),"")</f>
        <v/>
      </c>
      <c r="G92" s="20" t="str" cm="1">
        <f t="array" ref="G92">IFERROR(INDEX(Data_Input!$A$1:$ZZ$502, MATCH("총자산", INDEX(Data_Input!$A$1:$ZZ$502, 0, MATCH(1, (Data_Input!$7:$7=$F$3)*(Data_Input!$8:$8=$B92), 0)), 0) + 1, MATCH(1, (Data_Input!$7:$7=$F$3)*(Data_Input!$8:$8=$B92), 0)),"")</f>
        <v/>
      </c>
      <c r="H92" s="20" t="str" cm="1">
        <f t="array" ref="H92">IFERROR(INDEX(Data_Input!$A$1:$ZZ$502, MATCH("매입금액", INDEX(Data_Input!$A$1:$ZZ$502, 0, MATCH(1, (Data_Input!$7:$7=$F$3)*(Data_Input!$8:$8=$B92), 0)), 0) + 1, MATCH(1, (Data_Input!$7:$7=$F$3)*(Data_Input!$8:$8=$B92), 0)),"")</f>
        <v/>
      </c>
      <c r="I92" s="20" t="str" cm="1">
        <f t="array" ref="I92">IFERROR(INDEX(Data_Input!$A$1:$ZZ$502, MATCH("평가금액", INDEX(Data_Input!$A$1:$ZZ$502, 0, MATCH(1, (Data_Input!$7:$7=$F$3)*(Data_Input!$8:$8=$B92), 0)), 0) + 1, MATCH(1, (Data_Input!$7:$7=$F$3)*(Data_Input!$8:$8=$B92), 0)),"")</f>
        <v/>
      </c>
      <c r="J92" s="20" t="str" cm="1">
        <f t="array" ref="J92">IFERROR(INDEX(Data_Input!$A$1:$ZZ$502, MATCH("평가손익", INDEX(Data_Input!$A$1:$ZZ$502, 0, MATCH(1, (Data_Input!$7:$7=$F$3)*(Data_Input!$8:$8=$B92), 0)), 0) + 1, MATCH(1, (Data_Input!$7:$7=$F$3)*(Data_Input!$8:$8=$B92), 0)),"")</f>
        <v/>
      </c>
      <c r="K92" s="14" t="str" cm="1">
        <f t="array" ref="K92">IFERROR(INDEX(Data_Input!$A$1:$ZZ$502, MATCH("총수익률", INDEX(Data_Input!$A$1:$ZZ$502, 0, MATCH(1, (Data_Input!$7:$7=$F$3)*(Data_Input!$8:$8=$B92), 0)), 0) + 1, MATCH(1, (Data_Input!$7:$7=$F$3)*(Data_Input!$8:$8=$B92), 0)),"")</f>
        <v/>
      </c>
      <c r="L92" t="str" cm="1">
        <f t="array" ref="L92">IFERROR(_xlfn.LET(
    _xlpm.targetDate, B92,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93" spans="1:12" x14ac:dyDescent="0.3">
      <c r="A93" s="16" t="str">
        <f t="shared" si="3"/>
        <v/>
      </c>
      <c r="B93" s="8"/>
      <c r="C93" s="17" t="str">
        <f t="shared" si="4"/>
        <v/>
      </c>
      <c r="D93" s="29" t="str" cm="1">
        <f t="array" ref="D93">IFERROR(INDEX(Data_Input!$1:$100, 10, MATCH(1, (Data_Input!$F$7:$ZZ$7=$F$3) * (Data_Input!$F$8:$ZZ$8=$B93), 0)),"")</f>
        <v/>
      </c>
      <c r="E93" s="29" t="str" cm="1">
        <f t="array" ref="E93">IFERROR(INDEX(Data_Input!$1:$100, 9, MATCH(1, (Data_Input!$7:$7=$F$3) * (Data_Input!$8:$8=$B93), 0)),"")</f>
        <v/>
      </c>
      <c r="F93" s="20" t="str" cm="1">
        <f t="array" ref="F93">IFERROR(INDEX(Data_Input!$A$1:$ZZ$502, MATCH("예수금", INDEX(Data_Input!$A$1:$ZZ$502, 0, MATCH(1, (Data_Input!$7:$7=$F$3)*(Data_Input!$8:$8=$B93), 0)), 0) + 1, MATCH(1, (Data_Input!$7:$7=$F$3)*(Data_Input!$8:$8=$B93), 0)),"")</f>
        <v/>
      </c>
      <c r="G93" s="20" t="str" cm="1">
        <f t="array" ref="G93">IFERROR(INDEX(Data_Input!$A$1:$ZZ$502, MATCH("총자산", INDEX(Data_Input!$A$1:$ZZ$502, 0, MATCH(1, (Data_Input!$7:$7=$F$3)*(Data_Input!$8:$8=$B93), 0)), 0) + 1, MATCH(1, (Data_Input!$7:$7=$F$3)*(Data_Input!$8:$8=$B93), 0)),"")</f>
        <v/>
      </c>
      <c r="H93" s="20" t="str" cm="1">
        <f t="array" ref="H93">IFERROR(INDEX(Data_Input!$A$1:$ZZ$502, MATCH("매입금액", INDEX(Data_Input!$A$1:$ZZ$502, 0, MATCH(1, (Data_Input!$7:$7=$F$3)*(Data_Input!$8:$8=$B93), 0)), 0) + 1, MATCH(1, (Data_Input!$7:$7=$F$3)*(Data_Input!$8:$8=$B93), 0)),"")</f>
        <v/>
      </c>
      <c r="I93" s="20" t="str" cm="1">
        <f t="array" ref="I93">IFERROR(INDEX(Data_Input!$A$1:$ZZ$502, MATCH("평가금액", INDEX(Data_Input!$A$1:$ZZ$502, 0, MATCH(1, (Data_Input!$7:$7=$F$3)*(Data_Input!$8:$8=$B93), 0)), 0) + 1, MATCH(1, (Data_Input!$7:$7=$F$3)*(Data_Input!$8:$8=$B93), 0)),"")</f>
        <v/>
      </c>
      <c r="J93" s="20" t="str" cm="1">
        <f t="array" ref="J93">IFERROR(INDEX(Data_Input!$A$1:$ZZ$502, MATCH("평가손익", INDEX(Data_Input!$A$1:$ZZ$502, 0, MATCH(1, (Data_Input!$7:$7=$F$3)*(Data_Input!$8:$8=$B93), 0)), 0) + 1, MATCH(1, (Data_Input!$7:$7=$F$3)*(Data_Input!$8:$8=$B93), 0)),"")</f>
        <v/>
      </c>
      <c r="K93" s="14" t="str" cm="1">
        <f t="array" ref="K93">IFERROR(INDEX(Data_Input!$A$1:$ZZ$502, MATCH("총수익률", INDEX(Data_Input!$A$1:$ZZ$502, 0, MATCH(1, (Data_Input!$7:$7=$F$3)*(Data_Input!$8:$8=$B93), 0)), 0) + 1, MATCH(1, (Data_Input!$7:$7=$F$3)*(Data_Input!$8:$8=$B93), 0)),"")</f>
        <v/>
      </c>
      <c r="L93" t="str" cm="1">
        <f t="array" ref="L93">IFERROR(_xlfn.LET(
    _xlpm.targetDate, B93,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94" spans="1:12" x14ac:dyDescent="0.3">
      <c r="A94" s="16" t="str">
        <f t="shared" si="3"/>
        <v/>
      </c>
      <c r="B94" s="8"/>
      <c r="C94" s="17" t="str">
        <f t="shared" si="4"/>
        <v/>
      </c>
      <c r="D94" s="29" t="str" cm="1">
        <f t="array" ref="D94">IFERROR(INDEX(Data_Input!$1:$100, 10, MATCH(1, (Data_Input!$F$7:$ZZ$7=$F$3) * (Data_Input!$F$8:$ZZ$8=$B94), 0)),"")</f>
        <v/>
      </c>
      <c r="E94" s="29" t="str" cm="1">
        <f t="array" ref="E94">IFERROR(INDEX(Data_Input!$1:$100, 9, MATCH(1, (Data_Input!$7:$7=$F$3) * (Data_Input!$8:$8=$B94), 0)),"")</f>
        <v/>
      </c>
      <c r="F94" s="20" t="str" cm="1">
        <f t="array" ref="F94">IFERROR(INDEX(Data_Input!$A$1:$ZZ$502, MATCH("예수금", INDEX(Data_Input!$A$1:$ZZ$502, 0, MATCH(1, (Data_Input!$7:$7=$F$3)*(Data_Input!$8:$8=$B94), 0)), 0) + 1, MATCH(1, (Data_Input!$7:$7=$F$3)*(Data_Input!$8:$8=$B94), 0)),"")</f>
        <v/>
      </c>
      <c r="G94" s="20" t="str" cm="1">
        <f t="array" ref="G94">IFERROR(INDEX(Data_Input!$A$1:$ZZ$502, MATCH("총자산", INDEX(Data_Input!$A$1:$ZZ$502, 0, MATCH(1, (Data_Input!$7:$7=$F$3)*(Data_Input!$8:$8=$B94), 0)), 0) + 1, MATCH(1, (Data_Input!$7:$7=$F$3)*(Data_Input!$8:$8=$B94), 0)),"")</f>
        <v/>
      </c>
      <c r="H94" s="20" t="str" cm="1">
        <f t="array" ref="H94">IFERROR(INDEX(Data_Input!$A$1:$ZZ$502, MATCH("매입금액", INDEX(Data_Input!$A$1:$ZZ$502, 0, MATCH(1, (Data_Input!$7:$7=$F$3)*(Data_Input!$8:$8=$B94), 0)), 0) + 1, MATCH(1, (Data_Input!$7:$7=$F$3)*(Data_Input!$8:$8=$B94), 0)),"")</f>
        <v/>
      </c>
      <c r="I94" s="20" t="str" cm="1">
        <f t="array" ref="I94">IFERROR(INDEX(Data_Input!$A$1:$ZZ$502, MATCH("평가금액", INDEX(Data_Input!$A$1:$ZZ$502, 0, MATCH(1, (Data_Input!$7:$7=$F$3)*(Data_Input!$8:$8=$B94), 0)), 0) + 1, MATCH(1, (Data_Input!$7:$7=$F$3)*(Data_Input!$8:$8=$B94), 0)),"")</f>
        <v/>
      </c>
      <c r="J94" s="20" t="str" cm="1">
        <f t="array" ref="J94">IFERROR(INDEX(Data_Input!$A$1:$ZZ$502, MATCH("평가손익", INDEX(Data_Input!$A$1:$ZZ$502, 0, MATCH(1, (Data_Input!$7:$7=$F$3)*(Data_Input!$8:$8=$B94), 0)), 0) + 1, MATCH(1, (Data_Input!$7:$7=$F$3)*(Data_Input!$8:$8=$B94), 0)),"")</f>
        <v/>
      </c>
      <c r="K94" s="14" t="str" cm="1">
        <f t="array" ref="K94">IFERROR(INDEX(Data_Input!$A$1:$ZZ$502, MATCH("총수익률", INDEX(Data_Input!$A$1:$ZZ$502, 0, MATCH(1, (Data_Input!$7:$7=$F$3)*(Data_Input!$8:$8=$B94), 0)), 0) + 1, MATCH(1, (Data_Input!$7:$7=$F$3)*(Data_Input!$8:$8=$B94), 0)),"")</f>
        <v/>
      </c>
      <c r="L94" t="str" cm="1">
        <f t="array" ref="L94">IFERROR(_xlfn.LET(
    _xlpm.targetDate, B94,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95" spans="1:12" x14ac:dyDescent="0.3">
      <c r="A95" s="16" t="str">
        <f t="shared" si="3"/>
        <v/>
      </c>
      <c r="B95" s="8"/>
      <c r="C95" s="17" t="str">
        <f t="shared" si="4"/>
        <v/>
      </c>
      <c r="D95" s="29" t="str" cm="1">
        <f t="array" ref="D95">IFERROR(INDEX(Data_Input!$1:$100, 10, MATCH(1, (Data_Input!$F$7:$ZZ$7=$F$3) * (Data_Input!$F$8:$ZZ$8=$B95), 0)),"")</f>
        <v/>
      </c>
      <c r="E95" s="29" t="str" cm="1">
        <f t="array" ref="E95">IFERROR(INDEX(Data_Input!$1:$100, 9, MATCH(1, (Data_Input!$7:$7=$F$3) * (Data_Input!$8:$8=$B95), 0)),"")</f>
        <v/>
      </c>
      <c r="F95" s="20" t="str" cm="1">
        <f t="array" ref="F95">IFERROR(INDEX(Data_Input!$A$1:$ZZ$502, MATCH("예수금", INDEX(Data_Input!$A$1:$ZZ$502, 0, MATCH(1, (Data_Input!$7:$7=$F$3)*(Data_Input!$8:$8=$B95), 0)), 0) + 1, MATCH(1, (Data_Input!$7:$7=$F$3)*(Data_Input!$8:$8=$B95), 0)),"")</f>
        <v/>
      </c>
      <c r="G95" s="20" t="str" cm="1">
        <f t="array" ref="G95">IFERROR(INDEX(Data_Input!$A$1:$ZZ$502, MATCH("총자산", INDEX(Data_Input!$A$1:$ZZ$502, 0, MATCH(1, (Data_Input!$7:$7=$F$3)*(Data_Input!$8:$8=$B95), 0)), 0) + 1, MATCH(1, (Data_Input!$7:$7=$F$3)*(Data_Input!$8:$8=$B95), 0)),"")</f>
        <v/>
      </c>
      <c r="H95" s="20" t="str" cm="1">
        <f t="array" ref="H95">IFERROR(INDEX(Data_Input!$A$1:$ZZ$502, MATCH("매입금액", INDEX(Data_Input!$A$1:$ZZ$502, 0, MATCH(1, (Data_Input!$7:$7=$F$3)*(Data_Input!$8:$8=$B95), 0)), 0) + 1, MATCH(1, (Data_Input!$7:$7=$F$3)*(Data_Input!$8:$8=$B95), 0)),"")</f>
        <v/>
      </c>
      <c r="I95" s="20" t="str" cm="1">
        <f t="array" ref="I95">IFERROR(INDEX(Data_Input!$A$1:$ZZ$502, MATCH("평가금액", INDEX(Data_Input!$A$1:$ZZ$502, 0, MATCH(1, (Data_Input!$7:$7=$F$3)*(Data_Input!$8:$8=$B95), 0)), 0) + 1, MATCH(1, (Data_Input!$7:$7=$F$3)*(Data_Input!$8:$8=$B95), 0)),"")</f>
        <v/>
      </c>
      <c r="J95" s="20" t="str" cm="1">
        <f t="array" ref="J95">IFERROR(INDEX(Data_Input!$A$1:$ZZ$502, MATCH("평가손익", INDEX(Data_Input!$A$1:$ZZ$502, 0, MATCH(1, (Data_Input!$7:$7=$F$3)*(Data_Input!$8:$8=$B95), 0)), 0) + 1, MATCH(1, (Data_Input!$7:$7=$F$3)*(Data_Input!$8:$8=$B95), 0)),"")</f>
        <v/>
      </c>
      <c r="K95" s="14" t="str" cm="1">
        <f t="array" ref="K95">IFERROR(INDEX(Data_Input!$A$1:$ZZ$502, MATCH("총수익률", INDEX(Data_Input!$A$1:$ZZ$502, 0, MATCH(1, (Data_Input!$7:$7=$F$3)*(Data_Input!$8:$8=$B95), 0)), 0) + 1, MATCH(1, (Data_Input!$7:$7=$F$3)*(Data_Input!$8:$8=$B95), 0)),"")</f>
        <v/>
      </c>
      <c r="L95" t="str" cm="1">
        <f t="array" ref="L95">IFERROR(_xlfn.LET(
    _xlpm.targetDate, B95,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96" spans="1:12" x14ac:dyDescent="0.3">
      <c r="A96" s="16" t="str">
        <f t="shared" si="3"/>
        <v/>
      </c>
      <c r="B96" s="8"/>
      <c r="C96" s="17" t="str">
        <f t="shared" si="4"/>
        <v/>
      </c>
      <c r="D96" s="29" t="str" cm="1">
        <f t="array" ref="D96">IFERROR(INDEX(Data_Input!$1:$100, 10, MATCH(1, (Data_Input!$F$7:$ZZ$7=$F$3) * (Data_Input!$F$8:$ZZ$8=$B96), 0)),"")</f>
        <v/>
      </c>
      <c r="E96" s="29" t="str" cm="1">
        <f t="array" ref="E96">IFERROR(INDEX(Data_Input!$1:$100, 9, MATCH(1, (Data_Input!$7:$7=$F$3) * (Data_Input!$8:$8=$B96), 0)),"")</f>
        <v/>
      </c>
      <c r="F96" s="20" t="str" cm="1">
        <f t="array" ref="F96">IFERROR(INDEX(Data_Input!$A$1:$ZZ$502, MATCH("예수금", INDEX(Data_Input!$A$1:$ZZ$502, 0, MATCH(1, (Data_Input!$7:$7=$F$3)*(Data_Input!$8:$8=$B96), 0)), 0) + 1, MATCH(1, (Data_Input!$7:$7=$F$3)*(Data_Input!$8:$8=$B96), 0)),"")</f>
        <v/>
      </c>
      <c r="G96" s="20" t="str" cm="1">
        <f t="array" ref="G96">IFERROR(INDEX(Data_Input!$A$1:$ZZ$502, MATCH("총자산", INDEX(Data_Input!$A$1:$ZZ$502, 0, MATCH(1, (Data_Input!$7:$7=$F$3)*(Data_Input!$8:$8=$B96), 0)), 0) + 1, MATCH(1, (Data_Input!$7:$7=$F$3)*(Data_Input!$8:$8=$B96), 0)),"")</f>
        <v/>
      </c>
      <c r="H96" s="20" t="str" cm="1">
        <f t="array" ref="H96">IFERROR(INDEX(Data_Input!$A$1:$ZZ$502, MATCH("매입금액", INDEX(Data_Input!$A$1:$ZZ$502, 0, MATCH(1, (Data_Input!$7:$7=$F$3)*(Data_Input!$8:$8=$B96), 0)), 0) + 1, MATCH(1, (Data_Input!$7:$7=$F$3)*(Data_Input!$8:$8=$B96), 0)),"")</f>
        <v/>
      </c>
      <c r="I96" s="20" t="str" cm="1">
        <f t="array" ref="I96">IFERROR(INDEX(Data_Input!$A$1:$ZZ$502, MATCH("평가금액", INDEX(Data_Input!$A$1:$ZZ$502, 0, MATCH(1, (Data_Input!$7:$7=$F$3)*(Data_Input!$8:$8=$B96), 0)), 0) + 1, MATCH(1, (Data_Input!$7:$7=$F$3)*(Data_Input!$8:$8=$B96), 0)),"")</f>
        <v/>
      </c>
      <c r="J96" s="20" t="str" cm="1">
        <f t="array" ref="J96">IFERROR(INDEX(Data_Input!$A$1:$ZZ$502, MATCH("평가손익", INDEX(Data_Input!$A$1:$ZZ$502, 0, MATCH(1, (Data_Input!$7:$7=$F$3)*(Data_Input!$8:$8=$B96), 0)), 0) + 1, MATCH(1, (Data_Input!$7:$7=$F$3)*(Data_Input!$8:$8=$B96), 0)),"")</f>
        <v/>
      </c>
      <c r="K96" s="14" t="str" cm="1">
        <f t="array" ref="K96">IFERROR(INDEX(Data_Input!$A$1:$ZZ$502, MATCH("총수익률", INDEX(Data_Input!$A$1:$ZZ$502, 0, MATCH(1, (Data_Input!$7:$7=$F$3)*(Data_Input!$8:$8=$B96), 0)), 0) + 1, MATCH(1, (Data_Input!$7:$7=$F$3)*(Data_Input!$8:$8=$B96), 0)),"")</f>
        <v/>
      </c>
      <c r="L96" t="str" cm="1">
        <f t="array" ref="L96">IFERROR(_xlfn.LET(
    _xlpm.targetDate, B96,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97" spans="1:12" x14ac:dyDescent="0.3">
      <c r="A97" s="16" t="str">
        <f t="shared" si="3"/>
        <v/>
      </c>
      <c r="B97" s="8"/>
      <c r="C97" s="17" t="str">
        <f t="shared" si="4"/>
        <v/>
      </c>
      <c r="D97" s="29" t="str" cm="1">
        <f t="array" ref="D97">IFERROR(INDEX(Data_Input!$1:$100, 10, MATCH(1, (Data_Input!$F$7:$ZZ$7=$F$3) * (Data_Input!$F$8:$ZZ$8=$B97), 0)),"")</f>
        <v/>
      </c>
      <c r="E97" s="29" t="str" cm="1">
        <f t="array" ref="E97">IFERROR(INDEX(Data_Input!$1:$100, 9, MATCH(1, (Data_Input!$7:$7=$F$3) * (Data_Input!$8:$8=$B97), 0)),"")</f>
        <v/>
      </c>
      <c r="F97" s="20" t="str" cm="1">
        <f t="array" ref="F97">IFERROR(INDEX(Data_Input!$A$1:$ZZ$502, MATCH("예수금", INDEX(Data_Input!$A$1:$ZZ$502, 0, MATCH(1, (Data_Input!$7:$7=$F$3)*(Data_Input!$8:$8=$B97), 0)), 0) + 1, MATCH(1, (Data_Input!$7:$7=$F$3)*(Data_Input!$8:$8=$B97), 0)),"")</f>
        <v/>
      </c>
      <c r="G97" s="20" t="str" cm="1">
        <f t="array" ref="G97">IFERROR(INDEX(Data_Input!$A$1:$ZZ$502, MATCH("총자산", INDEX(Data_Input!$A$1:$ZZ$502, 0, MATCH(1, (Data_Input!$7:$7=$F$3)*(Data_Input!$8:$8=$B97), 0)), 0) + 1, MATCH(1, (Data_Input!$7:$7=$F$3)*(Data_Input!$8:$8=$B97), 0)),"")</f>
        <v/>
      </c>
      <c r="H97" s="20" t="str" cm="1">
        <f t="array" ref="H97">IFERROR(INDEX(Data_Input!$A$1:$ZZ$502, MATCH("매입금액", INDEX(Data_Input!$A$1:$ZZ$502, 0, MATCH(1, (Data_Input!$7:$7=$F$3)*(Data_Input!$8:$8=$B97), 0)), 0) + 1, MATCH(1, (Data_Input!$7:$7=$F$3)*(Data_Input!$8:$8=$B97), 0)),"")</f>
        <v/>
      </c>
      <c r="I97" s="20" t="str" cm="1">
        <f t="array" ref="I97">IFERROR(INDEX(Data_Input!$A$1:$ZZ$502, MATCH("평가금액", INDEX(Data_Input!$A$1:$ZZ$502, 0, MATCH(1, (Data_Input!$7:$7=$F$3)*(Data_Input!$8:$8=$B97), 0)), 0) + 1, MATCH(1, (Data_Input!$7:$7=$F$3)*(Data_Input!$8:$8=$B97), 0)),"")</f>
        <v/>
      </c>
      <c r="J97" s="20" t="str" cm="1">
        <f t="array" ref="J97">IFERROR(INDEX(Data_Input!$A$1:$ZZ$502, MATCH("평가손익", INDEX(Data_Input!$A$1:$ZZ$502, 0, MATCH(1, (Data_Input!$7:$7=$F$3)*(Data_Input!$8:$8=$B97), 0)), 0) + 1, MATCH(1, (Data_Input!$7:$7=$F$3)*(Data_Input!$8:$8=$B97), 0)),"")</f>
        <v/>
      </c>
      <c r="K97" s="14" t="str" cm="1">
        <f t="array" ref="K97">IFERROR(INDEX(Data_Input!$A$1:$ZZ$502, MATCH("총수익률", INDEX(Data_Input!$A$1:$ZZ$502, 0, MATCH(1, (Data_Input!$7:$7=$F$3)*(Data_Input!$8:$8=$B97), 0)), 0) + 1, MATCH(1, (Data_Input!$7:$7=$F$3)*(Data_Input!$8:$8=$B97), 0)),"")</f>
        <v/>
      </c>
      <c r="L97" t="str" cm="1">
        <f t="array" ref="L97">IFERROR(_xlfn.LET(
    _xlpm.targetDate, B97,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98" spans="1:12" x14ac:dyDescent="0.3">
      <c r="A98" s="16" t="str">
        <f t="shared" si="3"/>
        <v/>
      </c>
      <c r="B98" s="8"/>
      <c r="C98" s="17" t="str">
        <f t="shared" si="4"/>
        <v/>
      </c>
      <c r="D98" s="29" t="str" cm="1">
        <f t="array" ref="D98">IFERROR(INDEX(Data_Input!$1:$100, 10, MATCH(1, (Data_Input!$F$7:$ZZ$7=$F$3) * (Data_Input!$F$8:$ZZ$8=$B98), 0)),"")</f>
        <v/>
      </c>
      <c r="E98" s="29" t="str" cm="1">
        <f t="array" ref="E98">IFERROR(INDEX(Data_Input!$1:$100, 9, MATCH(1, (Data_Input!$7:$7=$F$3) * (Data_Input!$8:$8=$B98), 0)),"")</f>
        <v/>
      </c>
      <c r="F98" s="20" t="str" cm="1">
        <f t="array" ref="F98">IFERROR(INDEX(Data_Input!$A$1:$ZZ$502, MATCH("예수금", INDEX(Data_Input!$A$1:$ZZ$502, 0, MATCH(1, (Data_Input!$7:$7=$F$3)*(Data_Input!$8:$8=$B98), 0)), 0) + 1, MATCH(1, (Data_Input!$7:$7=$F$3)*(Data_Input!$8:$8=$B98), 0)),"")</f>
        <v/>
      </c>
      <c r="G98" s="20" t="str" cm="1">
        <f t="array" ref="G98">IFERROR(INDEX(Data_Input!$A$1:$ZZ$502, MATCH("총자산", INDEX(Data_Input!$A$1:$ZZ$502, 0, MATCH(1, (Data_Input!$7:$7=$F$3)*(Data_Input!$8:$8=$B98), 0)), 0) + 1, MATCH(1, (Data_Input!$7:$7=$F$3)*(Data_Input!$8:$8=$B98), 0)),"")</f>
        <v/>
      </c>
      <c r="H98" s="20" t="str" cm="1">
        <f t="array" ref="H98">IFERROR(INDEX(Data_Input!$A$1:$ZZ$502, MATCH("매입금액", INDEX(Data_Input!$A$1:$ZZ$502, 0, MATCH(1, (Data_Input!$7:$7=$F$3)*(Data_Input!$8:$8=$B98), 0)), 0) + 1, MATCH(1, (Data_Input!$7:$7=$F$3)*(Data_Input!$8:$8=$B98), 0)),"")</f>
        <v/>
      </c>
      <c r="I98" s="20" t="str" cm="1">
        <f t="array" ref="I98">IFERROR(INDEX(Data_Input!$A$1:$ZZ$502, MATCH("평가금액", INDEX(Data_Input!$A$1:$ZZ$502, 0, MATCH(1, (Data_Input!$7:$7=$F$3)*(Data_Input!$8:$8=$B98), 0)), 0) + 1, MATCH(1, (Data_Input!$7:$7=$F$3)*(Data_Input!$8:$8=$B98), 0)),"")</f>
        <v/>
      </c>
      <c r="J98" s="20" t="str" cm="1">
        <f t="array" ref="J98">IFERROR(INDEX(Data_Input!$A$1:$ZZ$502, MATCH("평가손익", INDEX(Data_Input!$A$1:$ZZ$502, 0, MATCH(1, (Data_Input!$7:$7=$F$3)*(Data_Input!$8:$8=$B98), 0)), 0) + 1, MATCH(1, (Data_Input!$7:$7=$F$3)*(Data_Input!$8:$8=$B98), 0)),"")</f>
        <v/>
      </c>
      <c r="K98" s="14" t="str" cm="1">
        <f t="array" ref="K98">IFERROR(INDEX(Data_Input!$A$1:$ZZ$502, MATCH("총수익률", INDEX(Data_Input!$A$1:$ZZ$502, 0, MATCH(1, (Data_Input!$7:$7=$F$3)*(Data_Input!$8:$8=$B98), 0)), 0) + 1, MATCH(1, (Data_Input!$7:$7=$F$3)*(Data_Input!$8:$8=$B98), 0)),"")</f>
        <v/>
      </c>
      <c r="L98" t="str" cm="1">
        <f t="array" ref="L98">IFERROR(_xlfn.LET(
    _xlpm.targetDate, B98,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99" spans="1:12" x14ac:dyDescent="0.3">
      <c r="A99" s="16" t="str">
        <f t="shared" si="3"/>
        <v/>
      </c>
      <c r="B99" s="8"/>
      <c r="C99" s="17" t="str">
        <f t="shared" si="4"/>
        <v/>
      </c>
      <c r="D99" s="29" t="str" cm="1">
        <f t="array" ref="D99">IFERROR(INDEX(Data_Input!$1:$100, 10, MATCH(1, (Data_Input!$F$7:$ZZ$7=$F$3) * (Data_Input!$F$8:$ZZ$8=$B99), 0)),"")</f>
        <v/>
      </c>
      <c r="E99" s="29" t="str" cm="1">
        <f t="array" ref="E99">IFERROR(INDEX(Data_Input!$1:$100, 9, MATCH(1, (Data_Input!$7:$7=$F$3) * (Data_Input!$8:$8=$B99), 0)),"")</f>
        <v/>
      </c>
      <c r="F99" s="20" t="str" cm="1">
        <f t="array" ref="F99">IFERROR(INDEX(Data_Input!$A$1:$ZZ$502, MATCH("예수금", INDEX(Data_Input!$A$1:$ZZ$502, 0, MATCH(1, (Data_Input!$7:$7=$F$3)*(Data_Input!$8:$8=$B99), 0)), 0) + 1, MATCH(1, (Data_Input!$7:$7=$F$3)*(Data_Input!$8:$8=$B99), 0)),"")</f>
        <v/>
      </c>
      <c r="G99" s="20" t="str" cm="1">
        <f t="array" ref="G99">IFERROR(INDEX(Data_Input!$A$1:$ZZ$502, MATCH("총자산", INDEX(Data_Input!$A$1:$ZZ$502, 0, MATCH(1, (Data_Input!$7:$7=$F$3)*(Data_Input!$8:$8=$B99), 0)), 0) + 1, MATCH(1, (Data_Input!$7:$7=$F$3)*(Data_Input!$8:$8=$B99), 0)),"")</f>
        <v/>
      </c>
      <c r="H99" s="20" t="str" cm="1">
        <f t="array" ref="H99">IFERROR(INDEX(Data_Input!$A$1:$ZZ$502, MATCH("매입금액", INDEX(Data_Input!$A$1:$ZZ$502, 0, MATCH(1, (Data_Input!$7:$7=$F$3)*(Data_Input!$8:$8=$B99), 0)), 0) + 1, MATCH(1, (Data_Input!$7:$7=$F$3)*(Data_Input!$8:$8=$B99), 0)),"")</f>
        <v/>
      </c>
      <c r="I99" s="20" t="str" cm="1">
        <f t="array" ref="I99">IFERROR(INDEX(Data_Input!$A$1:$ZZ$502, MATCH("평가금액", INDEX(Data_Input!$A$1:$ZZ$502, 0, MATCH(1, (Data_Input!$7:$7=$F$3)*(Data_Input!$8:$8=$B99), 0)), 0) + 1, MATCH(1, (Data_Input!$7:$7=$F$3)*(Data_Input!$8:$8=$B99), 0)),"")</f>
        <v/>
      </c>
      <c r="J99" s="20" t="str" cm="1">
        <f t="array" ref="J99">IFERROR(INDEX(Data_Input!$A$1:$ZZ$502, MATCH("평가손익", INDEX(Data_Input!$A$1:$ZZ$502, 0, MATCH(1, (Data_Input!$7:$7=$F$3)*(Data_Input!$8:$8=$B99), 0)), 0) + 1, MATCH(1, (Data_Input!$7:$7=$F$3)*(Data_Input!$8:$8=$B99), 0)),"")</f>
        <v/>
      </c>
      <c r="K99" s="14" t="str" cm="1">
        <f t="array" ref="K99">IFERROR(INDEX(Data_Input!$A$1:$ZZ$502, MATCH("총수익률", INDEX(Data_Input!$A$1:$ZZ$502, 0, MATCH(1, (Data_Input!$7:$7=$F$3)*(Data_Input!$8:$8=$B99), 0)), 0) + 1, MATCH(1, (Data_Input!$7:$7=$F$3)*(Data_Input!$8:$8=$B99), 0)),"")</f>
        <v/>
      </c>
      <c r="L99" t="str" cm="1">
        <f t="array" ref="L99">IFERROR(_xlfn.LET(
    _xlpm.targetDate, B99,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00" spans="1:12" x14ac:dyDescent="0.3">
      <c r="A100" s="16" t="str">
        <f t="shared" si="3"/>
        <v/>
      </c>
      <c r="B100" s="8"/>
      <c r="C100" s="17" t="str">
        <f t="shared" si="4"/>
        <v/>
      </c>
      <c r="D100" s="29" t="str" cm="1">
        <f t="array" ref="D100">IFERROR(INDEX(Data_Input!$1:$100, 10, MATCH(1, (Data_Input!$F$7:$ZZ$7=$F$3) * (Data_Input!$F$8:$ZZ$8=$B100), 0)),"")</f>
        <v/>
      </c>
      <c r="E100" s="29" t="str" cm="1">
        <f t="array" ref="E100">IFERROR(INDEX(Data_Input!$1:$100, 9, MATCH(1, (Data_Input!$7:$7=$F$3) * (Data_Input!$8:$8=$B100), 0)),"")</f>
        <v/>
      </c>
      <c r="F100" s="20" t="str" cm="1">
        <f t="array" ref="F100">IFERROR(INDEX(Data_Input!$A$1:$ZZ$502, MATCH("예수금", INDEX(Data_Input!$A$1:$ZZ$502, 0, MATCH(1, (Data_Input!$7:$7=$F$3)*(Data_Input!$8:$8=$B100), 0)), 0) + 1, MATCH(1, (Data_Input!$7:$7=$F$3)*(Data_Input!$8:$8=$B100), 0)),"")</f>
        <v/>
      </c>
      <c r="G100" s="20" t="str" cm="1">
        <f t="array" ref="G100">IFERROR(INDEX(Data_Input!$A$1:$ZZ$502, MATCH("총자산", INDEX(Data_Input!$A$1:$ZZ$502, 0, MATCH(1, (Data_Input!$7:$7=$F$3)*(Data_Input!$8:$8=$B100), 0)), 0) + 1, MATCH(1, (Data_Input!$7:$7=$F$3)*(Data_Input!$8:$8=$B100), 0)),"")</f>
        <v/>
      </c>
      <c r="H100" s="20" t="str" cm="1">
        <f t="array" ref="H100">IFERROR(INDEX(Data_Input!$A$1:$ZZ$502, MATCH("매입금액", INDEX(Data_Input!$A$1:$ZZ$502, 0, MATCH(1, (Data_Input!$7:$7=$F$3)*(Data_Input!$8:$8=$B100), 0)), 0) + 1, MATCH(1, (Data_Input!$7:$7=$F$3)*(Data_Input!$8:$8=$B100), 0)),"")</f>
        <v/>
      </c>
      <c r="I100" s="20" t="str" cm="1">
        <f t="array" ref="I100">IFERROR(INDEX(Data_Input!$A$1:$ZZ$502, MATCH("평가금액", INDEX(Data_Input!$A$1:$ZZ$502, 0, MATCH(1, (Data_Input!$7:$7=$F$3)*(Data_Input!$8:$8=$B100), 0)), 0) + 1, MATCH(1, (Data_Input!$7:$7=$F$3)*(Data_Input!$8:$8=$B100), 0)),"")</f>
        <v/>
      </c>
      <c r="J100" s="20" t="str" cm="1">
        <f t="array" ref="J100">IFERROR(INDEX(Data_Input!$A$1:$ZZ$502, MATCH("평가손익", INDEX(Data_Input!$A$1:$ZZ$502, 0, MATCH(1, (Data_Input!$7:$7=$F$3)*(Data_Input!$8:$8=$B100), 0)), 0) + 1, MATCH(1, (Data_Input!$7:$7=$F$3)*(Data_Input!$8:$8=$B100), 0)),"")</f>
        <v/>
      </c>
      <c r="K100" s="14" t="str" cm="1">
        <f t="array" ref="K100">IFERROR(INDEX(Data_Input!$A$1:$ZZ$502, MATCH("총수익률", INDEX(Data_Input!$A$1:$ZZ$502, 0, MATCH(1, (Data_Input!$7:$7=$F$3)*(Data_Input!$8:$8=$B100), 0)), 0) + 1, MATCH(1, (Data_Input!$7:$7=$F$3)*(Data_Input!$8:$8=$B100), 0)),"")</f>
        <v/>
      </c>
      <c r="L100" t="str" cm="1">
        <f t="array" ref="L100">IFERROR(_xlfn.LET(
    _xlpm.targetDate, B100,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01" spans="1:12" x14ac:dyDescent="0.3">
      <c r="A101" s="16" t="str">
        <f t="shared" si="3"/>
        <v/>
      </c>
      <c r="B101" s="8"/>
      <c r="C101" s="17" t="str">
        <f t="shared" si="4"/>
        <v/>
      </c>
      <c r="D101" s="29" t="str" cm="1">
        <f t="array" ref="D101">IFERROR(INDEX(Data_Input!$1:$100, 10, MATCH(1, (Data_Input!$F$7:$ZZ$7=$F$3) * (Data_Input!$F$8:$ZZ$8=$B101), 0)),"")</f>
        <v/>
      </c>
      <c r="E101" s="29" t="str" cm="1">
        <f t="array" ref="E101">IFERROR(INDEX(Data_Input!$1:$100, 9, MATCH(1, (Data_Input!$7:$7=$F$3) * (Data_Input!$8:$8=$B101), 0)),"")</f>
        <v/>
      </c>
      <c r="F101" s="20" t="str" cm="1">
        <f t="array" ref="F101">IFERROR(INDEX(Data_Input!$A$1:$ZZ$502, MATCH("예수금", INDEX(Data_Input!$A$1:$ZZ$502, 0, MATCH(1, (Data_Input!$7:$7=$F$3)*(Data_Input!$8:$8=$B101), 0)), 0) + 1, MATCH(1, (Data_Input!$7:$7=$F$3)*(Data_Input!$8:$8=$B101), 0)),"")</f>
        <v/>
      </c>
      <c r="G101" s="20" t="str" cm="1">
        <f t="array" ref="G101">IFERROR(INDEX(Data_Input!$A$1:$ZZ$502, MATCH("총자산", INDEX(Data_Input!$A$1:$ZZ$502, 0, MATCH(1, (Data_Input!$7:$7=$F$3)*(Data_Input!$8:$8=$B101), 0)), 0) + 1, MATCH(1, (Data_Input!$7:$7=$F$3)*(Data_Input!$8:$8=$B101), 0)),"")</f>
        <v/>
      </c>
      <c r="H101" s="20" t="str" cm="1">
        <f t="array" ref="H101">IFERROR(INDEX(Data_Input!$A$1:$ZZ$502, MATCH("매입금액", INDEX(Data_Input!$A$1:$ZZ$502, 0, MATCH(1, (Data_Input!$7:$7=$F$3)*(Data_Input!$8:$8=$B101), 0)), 0) + 1, MATCH(1, (Data_Input!$7:$7=$F$3)*(Data_Input!$8:$8=$B101), 0)),"")</f>
        <v/>
      </c>
      <c r="I101" s="20" t="str" cm="1">
        <f t="array" ref="I101">IFERROR(INDEX(Data_Input!$A$1:$ZZ$502, MATCH("평가금액", INDEX(Data_Input!$A$1:$ZZ$502, 0, MATCH(1, (Data_Input!$7:$7=$F$3)*(Data_Input!$8:$8=$B101), 0)), 0) + 1, MATCH(1, (Data_Input!$7:$7=$F$3)*(Data_Input!$8:$8=$B101), 0)),"")</f>
        <v/>
      </c>
      <c r="J101" s="20" t="str" cm="1">
        <f t="array" ref="J101">IFERROR(INDEX(Data_Input!$A$1:$ZZ$502, MATCH("평가손익", INDEX(Data_Input!$A$1:$ZZ$502, 0, MATCH(1, (Data_Input!$7:$7=$F$3)*(Data_Input!$8:$8=$B101), 0)), 0) + 1, MATCH(1, (Data_Input!$7:$7=$F$3)*(Data_Input!$8:$8=$B101), 0)),"")</f>
        <v/>
      </c>
      <c r="K101" s="14" t="str" cm="1">
        <f t="array" ref="K101">IFERROR(INDEX(Data_Input!$A$1:$ZZ$502, MATCH("총수익률", INDEX(Data_Input!$A$1:$ZZ$502, 0, MATCH(1, (Data_Input!$7:$7=$F$3)*(Data_Input!$8:$8=$B101), 0)), 0) + 1, MATCH(1, (Data_Input!$7:$7=$F$3)*(Data_Input!$8:$8=$B101), 0)),"")</f>
        <v/>
      </c>
      <c r="L101" t="str" cm="1">
        <f t="array" ref="L101">IFERROR(_xlfn.LET(
    _xlpm.targetDate, B101,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02" spans="1:12" x14ac:dyDescent="0.3">
      <c r="A102" s="16" t="str">
        <f t="shared" si="3"/>
        <v/>
      </c>
      <c r="B102" s="8"/>
      <c r="C102" s="17" t="str">
        <f t="shared" si="4"/>
        <v/>
      </c>
      <c r="D102" s="29" t="str" cm="1">
        <f t="array" ref="D102">IFERROR(INDEX(Data_Input!$1:$100, 10, MATCH(1, (Data_Input!$F$7:$ZZ$7=$F$3) * (Data_Input!$F$8:$ZZ$8=$B102), 0)),"")</f>
        <v/>
      </c>
      <c r="E102" s="29" t="str" cm="1">
        <f t="array" ref="E102">IFERROR(INDEX(Data_Input!$1:$100, 9, MATCH(1, (Data_Input!$7:$7=$F$3) * (Data_Input!$8:$8=$B102), 0)),"")</f>
        <v/>
      </c>
      <c r="F102" s="20" t="str" cm="1">
        <f t="array" ref="F102">IFERROR(INDEX(Data_Input!$A$1:$ZZ$502, MATCH("예수금", INDEX(Data_Input!$A$1:$ZZ$502, 0, MATCH(1, (Data_Input!$7:$7=$F$3)*(Data_Input!$8:$8=$B102), 0)), 0) + 1, MATCH(1, (Data_Input!$7:$7=$F$3)*(Data_Input!$8:$8=$B102), 0)),"")</f>
        <v/>
      </c>
      <c r="G102" s="20" t="str" cm="1">
        <f t="array" ref="G102">IFERROR(INDEX(Data_Input!$A$1:$ZZ$502, MATCH("총자산", INDEX(Data_Input!$A$1:$ZZ$502, 0, MATCH(1, (Data_Input!$7:$7=$F$3)*(Data_Input!$8:$8=$B102), 0)), 0) + 1, MATCH(1, (Data_Input!$7:$7=$F$3)*(Data_Input!$8:$8=$B102), 0)),"")</f>
        <v/>
      </c>
      <c r="H102" s="20" t="str" cm="1">
        <f t="array" ref="H102">IFERROR(INDEX(Data_Input!$A$1:$ZZ$502, MATCH("매입금액", INDEX(Data_Input!$A$1:$ZZ$502, 0, MATCH(1, (Data_Input!$7:$7=$F$3)*(Data_Input!$8:$8=$B102), 0)), 0) + 1, MATCH(1, (Data_Input!$7:$7=$F$3)*(Data_Input!$8:$8=$B102), 0)),"")</f>
        <v/>
      </c>
      <c r="I102" s="20" t="str" cm="1">
        <f t="array" ref="I102">IFERROR(INDEX(Data_Input!$A$1:$ZZ$502, MATCH("평가금액", INDEX(Data_Input!$A$1:$ZZ$502, 0, MATCH(1, (Data_Input!$7:$7=$F$3)*(Data_Input!$8:$8=$B102), 0)), 0) + 1, MATCH(1, (Data_Input!$7:$7=$F$3)*(Data_Input!$8:$8=$B102), 0)),"")</f>
        <v/>
      </c>
      <c r="J102" s="20" t="str" cm="1">
        <f t="array" ref="J102">IFERROR(INDEX(Data_Input!$A$1:$ZZ$502, MATCH("평가손익", INDEX(Data_Input!$A$1:$ZZ$502, 0, MATCH(1, (Data_Input!$7:$7=$F$3)*(Data_Input!$8:$8=$B102), 0)), 0) + 1, MATCH(1, (Data_Input!$7:$7=$F$3)*(Data_Input!$8:$8=$B102), 0)),"")</f>
        <v/>
      </c>
      <c r="K102" s="14" t="str" cm="1">
        <f t="array" ref="K102">IFERROR(INDEX(Data_Input!$A$1:$ZZ$502, MATCH("총수익률", INDEX(Data_Input!$A$1:$ZZ$502, 0, MATCH(1, (Data_Input!$7:$7=$F$3)*(Data_Input!$8:$8=$B102), 0)), 0) + 1, MATCH(1, (Data_Input!$7:$7=$F$3)*(Data_Input!$8:$8=$B102), 0)),"")</f>
        <v/>
      </c>
      <c r="L102" t="str" cm="1">
        <f t="array" ref="L102">IFERROR(_xlfn.LET(
    _xlpm.targetDate, B102,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03" spans="1:12" x14ac:dyDescent="0.3">
      <c r="A103" s="16" t="str">
        <f t="shared" si="3"/>
        <v/>
      </c>
      <c r="B103" s="8"/>
      <c r="C103" s="17" t="str">
        <f t="shared" si="4"/>
        <v/>
      </c>
      <c r="D103" s="29" t="str" cm="1">
        <f t="array" ref="D103">IFERROR(INDEX(Data_Input!$1:$100, 10, MATCH(1, (Data_Input!$F$7:$ZZ$7=$F$3) * (Data_Input!$F$8:$ZZ$8=$B103), 0)),"")</f>
        <v/>
      </c>
      <c r="E103" s="29" t="str" cm="1">
        <f t="array" ref="E103">IFERROR(INDEX(Data_Input!$1:$100, 9, MATCH(1, (Data_Input!$7:$7=$F$3) * (Data_Input!$8:$8=$B103), 0)),"")</f>
        <v/>
      </c>
      <c r="F103" s="20" t="str" cm="1">
        <f t="array" ref="F103">IFERROR(INDEX(Data_Input!$A$1:$ZZ$502, MATCH("예수금", INDEX(Data_Input!$A$1:$ZZ$502, 0, MATCH(1, (Data_Input!$7:$7=$F$3)*(Data_Input!$8:$8=$B103), 0)), 0) + 1, MATCH(1, (Data_Input!$7:$7=$F$3)*(Data_Input!$8:$8=$B103), 0)),"")</f>
        <v/>
      </c>
      <c r="G103" s="20" t="str" cm="1">
        <f t="array" ref="G103">IFERROR(INDEX(Data_Input!$A$1:$ZZ$502, MATCH("총자산", INDEX(Data_Input!$A$1:$ZZ$502, 0, MATCH(1, (Data_Input!$7:$7=$F$3)*(Data_Input!$8:$8=$B103), 0)), 0) + 1, MATCH(1, (Data_Input!$7:$7=$F$3)*(Data_Input!$8:$8=$B103), 0)),"")</f>
        <v/>
      </c>
      <c r="H103" s="20" t="str" cm="1">
        <f t="array" ref="H103">IFERROR(INDEX(Data_Input!$A$1:$ZZ$502, MATCH("매입금액", INDEX(Data_Input!$A$1:$ZZ$502, 0, MATCH(1, (Data_Input!$7:$7=$F$3)*(Data_Input!$8:$8=$B103), 0)), 0) + 1, MATCH(1, (Data_Input!$7:$7=$F$3)*(Data_Input!$8:$8=$B103), 0)),"")</f>
        <v/>
      </c>
      <c r="I103" s="20" t="str" cm="1">
        <f t="array" ref="I103">IFERROR(INDEX(Data_Input!$A$1:$ZZ$502, MATCH("평가금액", INDEX(Data_Input!$A$1:$ZZ$502, 0, MATCH(1, (Data_Input!$7:$7=$F$3)*(Data_Input!$8:$8=$B103), 0)), 0) + 1, MATCH(1, (Data_Input!$7:$7=$F$3)*(Data_Input!$8:$8=$B103), 0)),"")</f>
        <v/>
      </c>
      <c r="J103" s="20" t="str" cm="1">
        <f t="array" ref="J103">IFERROR(INDEX(Data_Input!$A$1:$ZZ$502, MATCH("평가손익", INDEX(Data_Input!$A$1:$ZZ$502, 0, MATCH(1, (Data_Input!$7:$7=$F$3)*(Data_Input!$8:$8=$B103), 0)), 0) + 1, MATCH(1, (Data_Input!$7:$7=$F$3)*(Data_Input!$8:$8=$B103), 0)),"")</f>
        <v/>
      </c>
      <c r="K103" s="14" t="str" cm="1">
        <f t="array" ref="K103">IFERROR(INDEX(Data_Input!$A$1:$ZZ$502, MATCH("총수익률", INDEX(Data_Input!$A$1:$ZZ$502, 0, MATCH(1, (Data_Input!$7:$7=$F$3)*(Data_Input!$8:$8=$B103), 0)), 0) + 1, MATCH(1, (Data_Input!$7:$7=$F$3)*(Data_Input!$8:$8=$B103), 0)),"")</f>
        <v/>
      </c>
      <c r="L103" t="str" cm="1">
        <f t="array" ref="L103">IFERROR(_xlfn.LET(
    _xlpm.targetDate, B103,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04" spans="1:12" x14ac:dyDescent="0.3">
      <c r="A104" s="16" t="str">
        <f t="shared" si="3"/>
        <v/>
      </c>
      <c r="B104" s="8"/>
      <c r="C104" s="17" t="str">
        <f t="shared" si="4"/>
        <v/>
      </c>
      <c r="D104" s="29" t="str" cm="1">
        <f t="array" ref="D104">IFERROR(INDEX(Data_Input!$1:$100, 10, MATCH(1, (Data_Input!$F$7:$ZZ$7=$F$3) * (Data_Input!$F$8:$ZZ$8=$B104), 0)),"")</f>
        <v/>
      </c>
      <c r="E104" s="29" t="str" cm="1">
        <f t="array" ref="E104">IFERROR(INDEX(Data_Input!$1:$100, 9, MATCH(1, (Data_Input!$7:$7=$F$3) * (Data_Input!$8:$8=$B104), 0)),"")</f>
        <v/>
      </c>
      <c r="F104" s="20" t="str" cm="1">
        <f t="array" ref="F104">IFERROR(INDEX(Data_Input!$A$1:$ZZ$502, MATCH("예수금", INDEX(Data_Input!$A$1:$ZZ$502, 0, MATCH(1, (Data_Input!$7:$7=$F$3)*(Data_Input!$8:$8=$B104), 0)), 0) + 1, MATCH(1, (Data_Input!$7:$7=$F$3)*(Data_Input!$8:$8=$B104), 0)),"")</f>
        <v/>
      </c>
      <c r="G104" s="20" t="str" cm="1">
        <f t="array" ref="G104">IFERROR(INDEX(Data_Input!$A$1:$ZZ$502, MATCH("총자산", INDEX(Data_Input!$A$1:$ZZ$502, 0, MATCH(1, (Data_Input!$7:$7=$F$3)*(Data_Input!$8:$8=$B104), 0)), 0) + 1, MATCH(1, (Data_Input!$7:$7=$F$3)*(Data_Input!$8:$8=$B104), 0)),"")</f>
        <v/>
      </c>
      <c r="H104" s="20" t="str" cm="1">
        <f t="array" ref="H104">IFERROR(INDEX(Data_Input!$A$1:$ZZ$502, MATCH("매입금액", INDEX(Data_Input!$A$1:$ZZ$502, 0, MATCH(1, (Data_Input!$7:$7=$F$3)*(Data_Input!$8:$8=$B104), 0)), 0) + 1, MATCH(1, (Data_Input!$7:$7=$F$3)*(Data_Input!$8:$8=$B104), 0)),"")</f>
        <v/>
      </c>
      <c r="I104" s="20" t="str" cm="1">
        <f t="array" ref="I104">IFERROR(INDEX(Data_Input!$A$1:$ZZ$502, MATCH("평가금액", INDEX(Data_Input!$A$1:$ZZ$502, 0, MATCH(1, (Data_Input!$7:$7=$F$3)*(Data_Input!$8:$8=$B104), 0)), 0) + 1, MATCH(1, (Data_Input!$7:$7=$F$3)*(Data_Input!$8:$8=$B104), 0)),"")</f>
        <v/>
      </c>
      <c r="J104" s="20" t="str" cm="1">
        <f t="array" ref="J104">IFERROR(INDEX(Data_Input!$A$1:$ZZ$502, MATCH("평가손익", INDEX(Data_Input!$A$1:$ZZ$502, 0, MATCH(1, (Data_Input!$7:$7=$F$3)*(Data_Input!$8:$8=$B104), 0)), 0) + 1, MATCH(1, (Data_Input!$7:$7=$F$3)*(Data_Input!$8:$8=$B104), 0)),"")</f>
        <v/>
      </c>
      <c r="K104" s="14" t="str" cm="1">
        <f t="array" ref="K104">IFERROR(INDEX(Data_Input!$A$1:$ZZ$502, MATCH("총수익률", INDEX(Data_Input!$A$1:$ZZ$502, 0, MATCH(1, (Data_Input!$7:$7=$F$3)*(Data_Input!$8:$8=$B104), 0)), 0) + 1, MATCH(1, (Data_Input!$7:$7=$F$3)*(Data_Input!$8:$8=$B104), 0)),"")</f>
        <v/>
      </c>
      <c r="L104" t="str" cm="1">
        <f t="array" ref="L104">IFERROR(_xlfn.LET(
    _xlpm.targetDate, B104,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05" spans="1:12" x14ac:dyDescent="0.3">
      <c r="A105" s="16" t="str">
        <f t="shared" si="3"/>
        <v/>
      </c>
      <c r="B105" s="8"/>
      <c r="C105" s="17" t="str">
        <f t="shared" si="4"/>
        <v/>
      </c>
      <c r="D105" s="29" t="str" cm="1">
        <f t="array" ref="D105">IFERROR(INDEX(Data_Input!$1:$100, 10, MATCH(1, (Data_Input!$F$7:$ZZ$7=$F$3) * (Data_Input!$F$8:$ZZ$8=$B105), 0)),"")</f>
        <v/>
      </c>
      <c r="E105" s="29" t="str" cm="1">
        <f t="array" ref="E105">IFERROR(INDEX(Data_Input!$1:$100, 9, MATCH(1, (Data_Input!$7:$7=$F$3) * (Data_Input!$8:$8=$B105), 0)),"")</f>
        <v/>
      </c>
      <c r="F105" s="20" t="str" cm="1">
        <f t="array" ref="F105">IFERROR(INDEX(Data_Input!$A$1:$ZZ$502, MATCH("예수금", INDEX(Data_Input!$A$1:$ZZ$502, 0, MATCH(1, (Data_Input!$7:$7=$F$3)*(Data_Input!$8:$8=$B105), 0)), 0) + 1, MATCH(1, (Data_Input!$7:$7=$F$3)*(Data_Input!$8:$8=$B105), 0)),"")</f>
        <v/>
      </c>
      <c r="G105" s="20" t="str" cm="1">
        <f t="array" ref="G105">IFERROR(INDEX(Data_Input!$A$1:$ZZ$502, MATCH("총자산", INDEX(Data_Input!$A$1:$ZZ$502, 0, MATCH(1, (Data_Input!$7:$7=$F$3)*(Data_Input!$8:$8=$B105), 0)), 0) + 1, MATCH(1, (Data_Input!$7:$7=$F$3)*(Data_Input!$8:$8=$B105), 0)),"")</f>
        <v/>
      </c>
      <c r="H105" s="20" t="str" cm="1">
        <f t="array" ref="H105">IFERROR(INDEX(Data_Input!$A$1:$ZZ$502, MATCH("매입금액", INDEX(Data_Input!$A$1:$ZZ$502, 0, MATCH(1, (Data_Input!$7:$7=$F$3)*(Data_Input!$8:$8=$B105), 0)), 0) + 1, MATCH(1, (Data_Input!$7:$7=$F$3)*(Data_Input!$8:$8=$B105), 0)),"")</f>
        <v/>
      </c>
      <c r="I105" s="20" t="str" cm="1">
        <f t="array" ref="I105">IFERROR(INDEX(Data_Input!$A$1:$ZZ$502, MATCH("평가금액", INDEX(Data_Input!$A$1:$ZZ$502, 0, MATCH(1, (Data_Input!$7:$7=$F$3)*(Data_Input!$8:$8=$B105), 0)), 0) + 1, MATCH(1, (Data_Input!$7:$7=$F$3)*(Data_Input!$8:$8=$B105), 0)),"")</f>
        <v/>
      </c>
      <c r="J105" s="20" t="str" cm="1">
        <f t="array" ref="J105">IFERROR(INDEX(Data_Input!$A$1:$ZZ$502, MATCH("평가손익", INDEX(Data_Input!$A$1:$ZZ$502, 0, MATCH(1, (Data_Input!$7:$7=$F$3)*(Data_Input!$8:$8=$B105), 0)), 0) + 1, MATCH(1, (Data_Input!$7:$7=$F$3)*(Data_Input!$8:$8=$B105), 0)),"")</f>
        <v/>
      </c>
      <c r="K105" s="14" t="str" cm="1">
        <f t="array" ref="K105">IFERROR(INDEX(Data_Input!$A$1:$ZZ$502, MATCH("총수익률", INDEX(Data_Input!$A$1:$ZZ$502, 0, MATCH(1, (Data_Input!$7:$7=$F$3)*(Data_Input!$8:$8=$B105), 0)), 0) + 1, MATCH(1, (Data_Input!$7:$7=$F$3)*(Data_Input!$8:$8=$B105), 0)),"")</f>
        <v/>
      </c>
      <c r="L105" t="str" cm="1">
        <f t="array" ref="L105">IFERROR(_xlfn.LET(
    _xlpm.targetDate, B105,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06" spans="1:12" x14ac:dyDescent="0.3">
      <c r="A106" s="16" t="str">
        <f t="shared" si="3"/>
        <v/>
      </c>
      <c r="B106" s="8"/>
      <c r="C106" s="17" t="str">
        <f t="shared" si="4"/>
        <v/>
      </c>
      <c r="D106" s="29" t="str" cm="1">
        <f t="array" ref="D106">IFERROR(INDEX(Data_Input!$1:$100, 10, MATCH(1, (Data_Input!$F$7:$ZZ$7=$F$3) * (Data_Input!$F$8:$ZZ$8=$B106), 0)),"")</f>
        <v/>
      </c>
      <c r="E106" s="29" t="str" cm="1">
        <f t="array" ref="E106">IFERROR(INDEX(Data_Input!$1:$100, 9, MATCH(1, (Data_Input!$7:$7=$F$3) * (Data_Input!$8:$8=$B106), 0)),"")</f>
        <v/>
      </c>
      <c r="F106" s="20" t="str" cm="1">
        <f t="array" ref="F106">IFERROR(INDEX(Data_Input!$A$1:$ZZ$502, MATCH("예수금", INDEX(Data_Input!$A$1:$ZZ$502, 0, MATCH(1, (Data_Input!$7:$7=$F$3)*(Data_Input!$8:$8=$B106), 0)), 0) + 1, MATCH(1, (Data_Input!$7:$7=$F$3)*(Data_Input!$8:$8=$B106), 0)),"")</f>
        <v/>
      </c>
      <c r="G106" s="20" t="str" cm="1">
        <f t="array" ref="G106">IFERROR(INDEX(Data_Input!$A$1:$ZZ$502, MATCH("총자산", INDEX(Data_Input!$A$1:$ZZ$502, 0, MATCH(1, (Data_Input!$7:$7=$F$3)*(Data_Input!$8:$8=$B106), 0)), 0) + 1, MATCH(1, (Data_Input!$7:$7=$F$3)*(Data_Input!$8:$8=$B106), 0)),"")</f>
        <v/>
      </c>
      <c r="H106" s="20" t="str" cm="1">
        <f t="array" ref="H106">IFERROR(INDEX(Data_Input!$A$1:$ZZ$502, MATCH("매입금액", INDEX(Data_Input!$A$1:$ZZ$502, 0, MATCH(1, (Data_Input!$7:$7=$F$3)*(Data_Input!$8:$8=$B106), 0)), 0) + 1, MATCH(1, (Data_Input!$7:$7=$F$3)*(Data_Input!$8:$8=$B106), 0)),"")</f>
        <v/>
      </c>
      <c r="I106" s="20" t="str" cm="1">
        <f t="array" ref="I106">IFERROR(INDEX(Data_Input!$A$1:$ZZ$502, MATCH("평가금액", INDEX(Data_Input!$A$1:$ZZ$502, 0, MATCH(1, (Data_Input!$7:$7=$F$3)*(Data_Input!$8:$8=$B106), 0)), 0) + 1, MATCH(1, (Data_Input!$7:$7=$F$3)*(Data_Input!$8:$8=$B106), 0)),"")</f>
        <v/>
      </c>
      <c r="J106" s="20" t="str" cm="1">
        <f t="array" ref="J106">IFERROR(INDEX(Data_Input!$A$1:$ZZ$502, MATCH("평가손익", INDEX(Data_Input!$A$1:$ZZ$502, 0, MATCH(1, (Data_Input!$7:$7=$F$3)*(Data_Input!$8:$8=$B106), 0)), 0) + 1, MATCH(1, (Data_Input!$7:$7=$F$3)*(Data_Input!$8:$8=$B106), 0)),"")</f>
        <v/>
      </c>
      <c r="K106" s="14" t="str" cm="1">
        <f t="array" ref="K106">IFERROR(INDEX(Data_Input!$A$1:$ZZ$502, MATCH("총수익률", INDEX(Data_Input!$A$1:$ZZ$502, 0, MATCH(1, (Data_Input!$7:$7=$F$3)*(Data_Input!$8:$8=$B106), 0)), 0) + 1, MATCH(1, (Data_Input!$7:$7=$F$3)*(Data_Input!$8:$8=$B106), 0)),"")</f>
        <v/>
      </c>
      <c r="L106" t="str" cm="1">
        <f t="array" ref="L106">IFERROR(_xlfn.LET(
    _xlpm.targetDate, B106,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07" spans="1:12" x14ac:dyDescent="0.3">
      <c r="A107" s="16" t="str">
        <f t="shared" si="3"/>
        <v/>
      </c>
      <c r="B107" s="8"/>
      <c r="C107" s="17" t="str">
        <f t="shared" si="4"/>
        <v/>
      </c>
      <c r="D107" s="29" t="str" cm="1">
        <f t="array" ref="D107">IFERROR(INDEX(Data_Input!$1:$100, 10, MATCH(1, (Data_Input!$F$7:$ZZ$7=$F$3) * (Data_Input!$F$8:$ZZ$8=$B107), 0)),"")</f>
        <v/>
      </c>
      <c r="E107" s="29" t="str" cm="1">
        <f t="array" ref="E107">IFERROR(INDEX(Data_Input!$1:$100, 9, MATCH(1, (Data_Input!$7:$7=$F$3) * (Data_Input!$8:$8=$B107), 0)),"")</f>
        <v/>
      </c>
      <c r="F107" s="20" t="str" cm="1">
        <f t="array" ref="F107">IFERROR(INDEX(Data_Input!$A$1:$ZZ$502, MATCH("예수금", INDEX(Data_Input!$A$1:$ZZ$502, 0, MATCH(1, (Data_Input!$7:$7=$F$3)*(Data_Input!$8:$8=$B107), 0)), 0) + 1, MATCH(1, (Data_Input!$7:$7=$F$3)*(Data_Input!$8:$8=$B107), 0)),"")</f>
        <v/>
      </c>
      <c r="G107" s="20" t="str" cm="1">
        <f t="array" ref="G107">IFERROR(INDEX(Data_Input!$A$1:$ZZ$502, MATCH("총자산", INDEX(Data_Input!$A$1:$ZZ$502, 0, MATCH(1, (Data_Input!$7:$7=$F$3)*(Data_Input!$8:$8=$B107), 0)), 0) + 1, MATCH(1, (Data_Input!$7:$7=$F$3)*(Data_Input!$8:$8=$B107), 0)),"")</f>
        <v/>
      </c>
      <c r="H107" s="20" t="str" cm="1">
        <f t="array" ref="H107">IFERROR(INDEX(Data_Input!$A$1:$ZZ$502, MATCH("매입금액", INDEX(Data_Input!$A$1:$ZZ$502, 0, MATCH(1, (Data_Input!$7:$7=$F$3)*(Data_Input!$8:$8=$B107), 0)), 0) + 1, MATCH(1, (Data_Input!$7:$7=$F$3)*(Data_Input!$8:$8=$B107), 0)),"")</f>
        <v/>
      </c>
      <c r="I107" s="20" t="str" cm="1">
        <f t="array" ref="I107">IFERROR(INDEX(Data_Input!$A$1:$ZZ$502, MATCH("평가금액", INDEX(Data_Input!$A$1:$ZZ$502, 0, MATCH(1, (Data_Input!$7:$7=$F$3)*(Data_Input!$8:$8=$B107), 0)), 0) + 1, MATCH(1, (Data_Input!$7:$7=$F$3)*(Data_Input!$8:$8=$B107), 0)),"")</f>
        <v/>
      </c>
      <c r="J107" s="20" t="str" cm="1">
        <f t="array" ref="J107">IFERROR(INDEX(Data_Input!$A$1:$ZZ$502, MATCH("평가손익", INDEX(Data_Input!$A$1:$ZZ$502, 0, MATCH(1, (Data_Input!$7:$7=$F$3)*(Data_Input!$8:$8=$B107), 0)), 0) + 1, MATCH(1, (Data_Input!$7:$7=$F$3)*(Data_Input!$8:$8=$B107), 0)),"")</f>
        <v/>
      </c>
      <c r="K107" s="14" t="str" cm="1">
        <f t="array" ref="K107">IFERROR(INDEX(Data_Input!$A$1:$ZZ$502, MATCH("총수익률", INDEX(Data_Input!$A$1:$ZZ$502, 0, MATCH(1, (Data_Input!$7:$7=$F$3)*(Data_Input!$8:$8=$B107), 0)), 0) + 1, MATCH(1, (Data_Input!$7:$7=$F$3)*(Data_Input!$8:$8=$B107), 0)),"")</f>
        <v/>
      </c>
      <c r="L107" t="str" cm="1">
        <f t="array" ref="L107">IFERROR(_xlfn.LET(
    _xlpm.targetDate, B107,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08" spans="1:12" x14ac:dyDescent="0.3">
      <c r="A108" s="16" t="str">
        <f t="shared" si="3"/>
        <v/>
      </c>
      <c r="B108" s="8"/>
      <c r="C108" s="17" t="str">
        <f t="shared" si="4"/>
        <v/>
      </c>
      <c r="D108" s="29" t="str" cm="1">
        <f t="array" ref="D108">IFERROR(INDEX(Data_Input!$1:$100, 10, MATCH(1, (Data_Input!$F$7:$ZZ$7=$F$3) * (Data_Input!$F$8:$ZZ$8=$B108), 0)),"")</f>
        <v/>
      </c>
      <c r="E108" s="29" t="str" cm="1">
        <f t="array" ref="E108">IFERROR(INDEX(Data_Input!$1:$100, 9, MATCH(1, (Data_Input!$7:$7=$F$3) * (Data_Input!$8:$8=$B108), 0)),"")</f>
        <v/>
      </c>
      <c r="F108" s="20" t="str" cm="1">
        <f t="array" ref="F108">IFERROR(INDEX(Data_Input!$A$1:$ZZ$502, MATCH("예수금", INDEX(Data_Input!$A$1:$ZZ$502, 0, MATCH(1, (Data_Input!$7:$7=$F$3)*(Data_Input!$8:$8=$B108), 0)), 0) + 1, MATCH(1, (Data_Input!$7:$7=$F$3)*(Data_Input!$8:$8=$B108), 0)),"")</f>
        <v/>
      </c>
      <c r="G108" s="20" t="str" cm="1">
        <f t="array" ref="G108">IFERROR(INDEX(Data_Input!$A$1:$ZZ$502, MATCH("총자산", INDEX(Data_Input!$A$1:$ZZ$502, 0, MATCH(1, (Data_Input!$7:$7=$F$3)*(Data_Input!$8:$8=$B108), 0)), 0) + 1, MATCH(1, (Data_Input!$7:$7=$F$3)*(Data_Input!$8:$8=$B108), 0)),"")</f>
        <v/>
      </c>
      <c r="H108" s="20" t="str" cm="1">
        <f t="array" ref="H108">IFERROR(INDEX(Data_Input!$A$1:$ZZ$502, MATCH("매입금액", INDEX(Data_Input!$A$1:$ZZ$502, 0, MATCH(1, (Data_Input!$7:$7=$F$3)*(Data_Input!$8:$8=$B108), 0)), 0) + 1, MATCH(1, (Data_Input!$7:$7=$F$3)*(Data_Input!$8:$8=$B108), 0)),"")</f>
        <v/>
      </c>
      <c r="I108" s="20" t="str" cm="1">
        <f t="array" ref="I108">IFERROR(INDEX(Data_Input!$A$1:$ZZ$502, MATCH("평가금액", INDEX(Data_Input!$A$1:$ZZ$502, 0, MATCH(1, (Data_Input!$7:$7=$F$3)*(Data_Input!$8:$8=$B108), 0)), 0) + 1, MATCH(1, (Data_Input!$7:$7=$F$3)*(Data_Input!$8:$8=$B108), 0)),"")</f>
        <v/>
      </c>
      <c r="J108" s="20" t="str" cm="1">
        <f t="array" ref="J108">IFERROR(INDEX(Data_Input!$A$1:$ZZ$502, MATCH("평가손익", INDEX(Data_Input!$A$1:$ZZ$502, 0, MATCH(1, (Data_Input!$7:$7=$F$3)*(Data_Input!$8:$8=$B108), 0)), 0) + 1, MATCH(1, (Data_Input!$7:$7=$F$3)*(Data_Input!$8:$8=$B108), 0)),"")</f>
        <v/>
      </c>
      <c r="K108" s="14" t="str" cm="1">
        <f t="array" ref="K108">IFERROR(INDEX(Data_Input!$A$1:$ZZ$502, MATCH("총수익률", INDEX(Data_Input!$A$1:$ZZ$502, 0, MATCH(1, (Data_Input!$7:$7=$F$3)*(Data_Input!$8:$8=$B108), 0)), 0) + 1, MATCH(1, (Data_Input!$7:$7=$F$3)*(Data_Input!$8:$8=$B108), 0)),"")</f>
        <v/>
      </c>
      <c r="L108" t="str" cm="1">
        <f t="array" ref="L108">IFERROR(_xlfn.LET(
    _xlpm.targetDate, B108,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09" spans="1:12" x14ac:dyDescent="0.3">
      <c r="A109" s="16" t="str">
        <f t="shared" si="3"/>
        <v/>
      </c>
      <c r="B109" s="8"/>
      <c r="C109" s="17" t="str">
        <f t="shared" si="4"/>
        <v/>
      </c>
      <c r="D109" s="29" t="str" cm="1">
        <f t="array" ref="D109">IFERROR(INDEX(Data_Input!$1:$100, 10, MATCH(1, (Data_Input!$F$7:$ZZ$7=$F$3) * (Data_Input!$F$8:$ZZ$8=$B109), 0)),"")</f>
        <v/>
      </c>
      <c r="E109" s="29" t="str" cm="1">
        <f t="array" ref="E109">IFERROR(INDEX(Data_Input!$1:$100, 9, MATCH(1, (Data_Input!$7:$7=$F$3) * (Data_Input!$8:$8=$B109), 0)),"")</f>
        <v/>
      </c>
      <c r="F109" s="20" t="str" cm="1">
        <f t="array" ref="F109">IFERROR(INDEX(Data_Input!$A$1:$ZZ$502, MATCH("예수금", INDEX(Data_Input!$A$1:$ZZ$502, 0, MATCH(1, (Data_Input!$7:$7=$F$3)*(Data_Input!$8:$8=$B109), 0)), 0) + 1, MATCH(1, (Data_Input!$7:$7=$F$3)*(Data_Input!$8:$8=$B109), 0)),"")</f>
        <v/>
      </c>
      <c r="G109" s="20" t="str" cm="1">
        <f t="array" ref="G109">IFERROR(INDEX(Data_Input!$A$1:$ZZ$502, MATCH("총자산", INDEX(Data_Input!$A$1:$ZZ$502, 0, MATCH(1, (Data_Input!$7:$7=$F$3)*(Data_Input!$8:$8=$B109), 0)), 0) + 1, MATCH(1, (Data_Input!$7:$7=$F$3)*(Data_Input!$8:$8=$B109), 0)),"")</f>
        <v/>
      </c>
      <c r="H109" s="20" t="str" cm="1">
        <f t="array" ref="H109">IFERROR(INDEX(Data_Input!$A$1:$ZZ$502, MATCH("매입금액", INDEX(Data_Input!$A$1:$ZZ$502, 0, MATCH(1, (Data_Input!$7:$7=$F$3)*(Data_Input!$8:$8=$B109), 0)), 0) + 1, MATCH(1, (Data_Input!$7:$7=$F$3)*(Data_Input!$8:$8=$B109), 0)),"")</f>
        <v/>
      </c>
      <c r="I109" s="20" t="str" cm="1">
        <f t="array" ref="I109">IFERROR(INDEX(Data_Input!$A$1:$ZZ$502, MATCH("평가금액", INDEX(Data_Input!$A$1:$ZZ$502, 0, MATCH(1, (Data_Input!$7:$7=$F$3)*(Data_Input!$8:$8=$B109), 0)), 0) + 1, MATCH(1, (Data_Input!$7:$7=$F$3)*(Data_Input!$8:$8=$B109), 0)),"")</f>
        <v/>
      </c>
      <c r="J109" s="20" t="str" cm="1">
        <f t="array" ref="J109">IFERROR(INDEX(Data_Input!$A$1:$ZZ$502, MATCH("평가손익", INDEX(Data_Input!$A$1:$ZZ$502, 0, MATCH(1, (Data_Input!$7:$7=$F$3)*(Data_Input!$8:$8=$B109), 0)), 0) + 1, MATCH(1, (Data_Input!$7:$7=$F$3)*(Data_Input!$8:$8=$B109), 0)),"")</f>
        <v/>
      </c>
      <c r="K109" s="14" t="str" cm="1">
        <f t="array" ref="K109">IFERROR(INDEX(Data_Input!$A$1:$ZZ$502, MATCH("총수익률", INDEX(Data_Input!$A$1:$ZZ$502, 0, MATCH(1, (Data_Input!$7:$7=$F$3)*(Data_Input!$8:$8=$B109), 0)), 0) + 1, MATCH(1, (Data_Input!$7:$7=$F$3)*(Data_Input!$8:$8=$B109), 0)),"")</f>
        <v/>
      </c>
      <c r="L109" t="str" cm="1">
        <f t="array" ref="L109">IFERROR(_xlfn.LET(
    _xlpm.targetDate, B109,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10" spans="1:12" x14ac:dyDescent="0.3">
      <c r="A110" s="16" t="str">
        <f t="shared" si="3"/>
        <v/>
      </c>
      <c r="B110" s="8"/>
      <c r="C110" s="17" t="str">
        <f t="shared" si="4"/>
        <v/>
      </c>
      <c r="D110" s="29" t="str" cm="1">
        <f t="array" ref="D110">IFERROR(INDEX(Data_Input!$1:$100, 10, MATCH(1, (Data_Input!$F$7:$ZZ$7=$F$3) * (Data_Input!$F$8:$ZZ$8=$B110), 0)),"")</f>
        <v/>
      </c>
      <c r="E110" s="29" t="str" cm="1">
        <f t="array" ref="E110">IFERROR(INDEX(Data_Input!$1:$100, 9, MATCH(1, (Data_Input!$7:$7=$F$3) * (Data_Input!$8:$8=$B110), 0)),"")</f>
        <v/>
      </c>
      <c r="F110" s="20" t="str" cm="1">
        <f t="array" ref="F110">IFERROR(INDEX(Data_Input!$A$1:$ZZ$502, MATCH("예수금", INDEX(Data_Input!$A$1:$ZZ$502, 0, MATCH(1, (Data_Input!$7:$7=$F$3)*(Data_Input!$8:$8=$B110), 0)), 0) + 1, MATCH(1, (Data_Input!$7:$7=$F$3)*(Data_Input!$8:$8=$B110), 0)),"")</f>
        <v/>
      </c>
      <c r="G110" s="20" t="str" cm="1">
        <f t="array" ref="G110">IFERROR(INDEX(Data_Input!$A$1:$ZZ$502, MATCH("총자산", INDEX(Data_Input!$A$1:$ZZ$502, 0, MATCH(1, (Data_Input!$7:$7=$F$3)*(Data_Input!$8:$8=$B110), 0)), 0) + 1, MATCH(1, (Data_Input!$7:$7=$F$3)*(Data_Input!$8:$8=$B110), 0)),"")</f>
        <v/>
      </c>
      <c r="H110" s="20" t="str" cm="1">
        <f t="array" ref="H110">IFERROR(INDEX(Data_Input!$A$1:$ZZ$502, MATCH("매입금액", INDEX(Data_Input!$A$1:$ZZ$502, 0, MATCH(1, (Data_Input!$7:$7=$F$3)*(Data_Input!$8:$8=$B110), 0)), 0) + 1, MATCH(1, (Data_Input!$7:$7=$F$3)*(Data_Input!$8:$8=$B110), 0)),"")</f>
        <v/>
      </c>
      <c r="I110" s="20" t="str" cm="1">
        <f t="array" ref="I110">IFERROR(INDEX(Data_Input!$A$1:$ZZ$502, MATCH("평가금액", INDEX(Data_Input!$A$1:$ZZ$502, 0, MATCH(1, (Data_Input!$7:$7=$F$3)*(Data_Input!$8:$8=$B110), 0)), 0) + 1, MATCH(1, (Data_Input!$7:$7=$F$3)*(Data_Input!$8:$8=$B110), 0)),"")</f>
        <v/>
      </c>
      <c r="J110" s="20" t="str" cm="1">
        <f t="array" ref="J110">IFERROR(INDEX(Data_Input!$A$1:$ZZ$502, MATCH("평가손익", INDEX(Data_Input!$A$1:$ZZ$502, 0, MATCH(1, (Data_Input!$7:$7=$F$3)*(Data_Input!$8:$8=$B110), 0)), 0) + 1, MATCH(1, (Data_Input!$7:$7=$F$3)*(Data_Input!$8:$8=$B110), 0)),"")</f>
        <v/>
      </c>
      <c r="K110" s="14" t="str" cm="1">
        <f t="array" ref="K110">IFERROR(INDEX(Data_Input!$A$1:$ZZ$502, MATCH("총수익률", INDEX(Data_Input!$A$1:$ZZ$502, 0, MATCH(1, (Data_Input!$7:$7=$F$3)*(Data_Input!$8:$8=$B110), 0)), 0) + 1, MATCH(1, (Data_Input!$7:$7=$F$3)*(Data_Input!$8:$8=$B110), 0)),"")</f>
        <v/>
      </c>
      <c r="L110" t="str" cm="1">
        <f t="array" ref="L110">IFERROR(_xlfn.LET(
    _xlpm.targetDate, B110,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11" spans="1:12" x14ac:dyDescent="0.3">
      <c r="A111" s="16" t="str">
        <f t="shared" si="3"/>
        <v/>
      </c>
      <c r="B111" s="8"/>
      <c r="C111" s="17" t="str">
        <f t="shared" si="4"/>
        <v/>
      </c>
      <c r="D111" s="29" t="str" cm="1">
        <f t="array" ref="D111">IFERROR(INDEX(Data_Input!$1:$100, 10, MATCH(1, (Data_Input!$F$7:$ZZ$7=$F$3) * (Data_Input!$F$8:$ZZ$8=$B111), 0)),"")</f>
        <v/>
      </c>
      <c r="E111" s="29" t="str" cm="1">
        <f t="array" ref="E111">IFERROR(INDEX(Data_Input!$1:$100, 9, MATCH(1, (Data_Input!$7:$7=$F$3) * (Data_Input!$8:$8=$B111), 0)),"")</f>
        <v/>
      </c>
      <c r="F111" s="20" t="str" cm="1">
        <f t="array" ref="F111">IFERROR(INDEX(Data_Input!$A$1:$ZZ$502, MATCH("예수금", INDEX(Data_Input!$A$1:$ZZ$502, 0, MATCH(1, (Data_Input!$7:$7=$F$3)*(Data_Input!$8:$8=$B111), 0)), 0) + 1, MATCH(1, (Data_Input!$7:$7=$F$3)*(Data_Input!$8:$8=$B111), 0)),"")</f>
        <v/>
      </c>
      <c r="G111" s="20" t="str" cm="1">
        <f t="array" ref="G111">IFERROR(INDEX(Data_Input!$A$1:$ZZ$502, MATCH("총자산", INDEX(Data_Input!$A$1:$ZZ$502, 0, MATCH(1, (Data_Input!$7:$7=$F$3)*(Data_Input!$8:$8=$B111), 0)), 0) + 1, MATCH(1, (Data_Input!$7:$7=$F$3)*(Data_Input!$8:$8=$B111), 0)),"")</f>
        <v/>
      </c>
      <c r="H111" s="20" t="str" cm="1">
        <f t="array" ref="H111">IFERROR(INDEX(Data_Input!$A$1:$ZZ$502, MATCH("매입금액", INDEX(Data_Input!$A$1:$ZZ$502, 0, MATCH(1, (Data_Input!$7:$7=$F$3)*(Data_Input!$8:$8=$B111), 0)), 0) + 1, MATCH(1, (Data_Input!$7:$7=$F$3)*(Data_Input!$8:$8=$B111), 0)),"")</f>
        <v/>
      </c>
      <c r="I111" s="20" t="str" cm="1">
        <f t="array" ref="I111">IFERROR(INDEX(Data_Input!$A$1:$ZZ$502, MATCH("평가금액", INDEX(Data_Input!$A$1:$ZZ$502, 0, MATCH(1, (Data_Input!$7:$7=$F$3)*(Data_Input!$8:$8=$B111), 0)), 0) + 1, MATCH(1, (Data_Input!$7:$7=$F$3)*(Data_Input!$8:$8=$B111), 0)),"")</f>
        <v/>
      </c>
      <c r="J111" s="20" t="str" cm="1">
        <f t="array" ref="J111">IFERROR(INDEX(Data_Input!$A$1:$ZZ$502, MATCH("평가손익", INDEX(Data_Input!$A$1:$ZZ$502, 0, MATCH(1, (Data_Input!$7:$7=$F$3)*(Data_Input!$8:$8=$B111), 0)), 0) + 1, MATCH(1, (Data_Input!$7:$7=$F$3)*(Data_Input!$8:$8=$B111), 0)),"")</f>
        <v/>
      </c>
      <c r="K111" s="14" t="str" cm="1">
        <f t="array" ref="K111">IFERROR(INDEX(Data_Input!$A$1:$ZZ$502, MATCH("총수익률", INDEX(Data_Input!$A$1:$ZZ$502, 0, MATCH(1, (Data_Input!$7:$7=$F$3)*(Data_Input!$8:$8=$B111), 0)), 0) + 1, MATCH(1, (Data_Input!$7:$7=$F$3)*(Data_Input!$8:$8=$B111), 0)),"")</f>
        <v/>
      </c>
      <c r="L111" t="str" cm="1">
        <f t="array" ref="L111">IFERROR(_xlfn.LET(
    _xlpm.targetDate, B111,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12" spans="1:12" x14ac:dyDescent="0.3">
      <c r="A112" s="16" t="str">
        <f t="shared" si="3"/>
        <v/>
      </c>
      <c r="B112" s="8"/>
      <c r="C112" s="17" t="str">
        <f t="shared" si="4"/>
        <v/>
      </c>
      <c r="D112" s="29" t="str" cm="1">
        <f t="array" ref="D112">IFERROR(INDEX(Data_Input!$1:$100, 10, MATCH(1, (Data_Input!$F$7:$ZZ$7=$F$3) * (Data_Input!$F$8:$ZZ$8=$B112), 0)),"")</f>
        <v/>
      </c>
      <c r="E112" s="29" t="str" cm="1">
        <f t="array" ref="E112">IFERROR(INDEX(Data_Input!$1:$100, 9, MATCH(1, (Data_Input!$7:$7=$F$3) * (Data_Input!$8:$8=$B112), 0)),"")</f>
        <v/>
      </c>
      <c r="F112" s="20" t="str" cm="1">
        <f t="array" ref="F112">IFERROR(INDEX(Data_Input!$A$1:$ZZ$502, MATCH("예수금", INDEX(Data_Input!$A$1:$ZZ$502, 0, MATCH(1, (Data_Input!$7:$7=$F$3)*(Data_Input!$8:$8=$B112), 0)), 0) + 1, MATCH(1, (Data_Input!$7:$7=$F$3)*(Data_Input!$8:$8=$B112), 0)),"")</f>
        <v/>
      </c>
      <c r="G112" s="20" t="str" cm="1">
        <f t="array" ref="G112">IFERROR(INDEX(Data_Input!$A$1:$ZZ$502, MATCH("총자산", INDEX(Data_Input!$A$1:$ZZ$502, 0, MATCH(1, (Data_Input!$7:$7=$F$3)*(Data_Input!$8:$8=$B112), 0)), 0) + 1, MATCH(1, (Data_Input!$7:$7=$F$3)*(Data_Input!$8:$8=$B112), 0)),"")</f>
        <v/>
      </c>
      <c r="H112" s="20" t="str" cm="1">
        <f t="array" ref="H112">IFERROR(INDEX(Data_Input!$A$1:$ZZ$502, MATCH("매입금액", INDEX(Data_Input!$A$1:$ZZ$502, 0, MATCH(1, (Data_Input!$7:$7=$F$3)*(Data_Input!$8:$8=$B112), 0)), 0) + 1, MATCH(1, (Data_Input!$7:$7=$F$3)*(Data_Input!$8:$8=$B112), 0)),"")</f>
        <v/>
      </c>
      <c r="I112" s="20" t="str" cm="1">
        <f t="array" ref="I112">IFERROR(INDEX(Data_Input!$A$1:$ZZ$502, MATCH("평가금액", INDEX(Data_Input!$A$1:$ZZ$502, 0, MATCH(1, (Data_Input!$7:$7=$F$3)*(Data_Input!$8:$8=$B112), 0)), 0) + 1, MATCH(1, (Data_Input!$7:$7=$F$3)*(Data_Input!$8:$8=$B112), 0)),"")</f>
        <v/>
      </c>
      <c r="J112" s="20" t="str" cm="1">
        <f t="array" ref="J112">IFERROR(INDEX(Data_Input!$A$1:$ZZ$502, MATCH("평가손익", INDEX(Data_Input!$A$1:$ZZ$502, 0, MATCH(1, (Data_Input!$7:$7=$F$3)*(Data_Input!$8:$8=$B112), 0)), 0) + 1, MATCH(1, (Data_Input!$7:$7=$F$3)*(Data_Input!$8:$8=$B112), 0)),"")</f>
        <v/>
      </c>
      <c r="K112" s="14" t="str" cm="1">
        <f t="array" ref="K112">IFERROR(INDEX(Data_Input!$A$1:$ZZ$502, MATCH("총수익률", INDEX(Data_Input!$A$1:$ZZ$502, 0, MATCH(1, (Data_Input!$7:$7=$F$3)*(Data_Input!$8:$8=$B112), 0)), 0) + 1, MATCH(1, (Data_Input!$7:$7=$F$3)*(Data_Input!$8:$8=$B112), 0)),"")</f>
        <v/>
      </c>
      <c r="L112" t="str" cm="1">
        <f t="array" ref="L112">IFERROR(_xlfn.LET(
    _xlpm.targetDate, B112,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13" spans="1:12" x14ac:dyDescent="0.3">
      <c r="A113" s="16" t="str">
        <f t="shared" si="3"/>
        <v/>
      </c>
      <c r="B113" s="8"/>
      <c r="C113" s="17" t="str">
        <f t="shared" si="4"/>
        <v/>
      </c>
      <c r="D113" s="29" t="str" cm="1">
        <f t="array" ref="D113">IFERROR(INDEX(Data_Input!$1:$100, 10, MATCH(1, (Data_Input!$F$7:$ZZ$7=$F$3) * (Data_Input!$F$8:$ZZ$8=$B113), 0)),"")</f>
        <v/>
      </c>
      <c r="E113" s="29" t="str" cm="1">
        <f t="array" ref="E113">IFERROR(INDEX(Data_Input!$1:$100, 9, MATCH(1, (Data_Input!$7:$7=$F$3) * (Data_Input!$8:$8=$B113), 0)),"")</f>
        <v/>
      </c>
      <c r="F113" s="20" t="str" cm="1">
        <f t="array" ref="F113">IFERROR(INDEX(Data_Input!$A$1:$ZZ$502, MATCH("예수금", INDEX(Data_Input!$A$1:$ZZ$502, 0, MATCH(1, (Data_Input!$7:$7=$F$3)*(Data_Input!$8:$8=$B113), 0)), 0) + 1, MATCH(1, (Data_Input!$7:$7=$F$3)*(Data_Input!$8:$8=$B113), 0)),"")</f>
        <v/>
      </c>
      <c r="G113" s="20" t="str" cm="1">
        <f t="array" ref="G113">IFERROR(INDEX(Data_Input!$A$1:$ZZ$502, MATCH("총자산", INDEX(Data_Input!$A$1:$ZZ$502, 0, MATCH(1, (Data_Input!$7:$7=$F$3)*(Data_Input!$8:$8=$B113), 0)), 0) + 1, MATCH(1, (Data_Input!$7:$7=$F$3)*(Data_Input!$8:$8=$B113), 0)),"")</f>
        <v/>
      </c>
      <c r="H113" s="20" t="str" cm="1">
        <f t="array" ref="H113">IFERROR(INDEX(Data_Input!$A$1:$ZZ$502, MATCH("매입금액", INDEX(Data_Input!$A$1:$ZZ$502, 0, MATCH(1, (Data_Input!$7:$7=$F$3)*(Data_Input!$8:$8=$B113), 0)), 0) + 1, MATCH(1, (Data_Input!$7:$7=$F$3)*(Data_Input!$8:$8=$B113), 0)),"")</f>
        <v/>
      </c>
      <c r="I113" s="20" t="str" cm="1">
        <f t="array" ref="I113">IFERROR(INDEX(Data_Input!$A$1:$ZZ$502, MATCH("평가금액", INDEX(Data_Input!$A$1:$ZZ$502, 0, MATCH(1, (Data_Input!$7:$7=$F$3)*(Data_Input!$8:$8=$B113), 0)), 0) + 1, MATCH(1, (Data_Input!$7:$7=$F$3)*(Data_Input!$8:$8=$B113), 0)),"")</f>
        <v/>
      </c>
      <c r="J113" s="20" t="str" cm="1">
        <f t="array" ref="J113">IFERROR(INDEX(Data_Input!$A$1:$ZZ$502, MATCH("평가손익", INDEX(Data_Input!$A$1:$ZZ$502, 0, MATCH(1, (Data_Input!$7:$7=$F$3)*(Data_Input!$8:$8=$B113), 0)), 0) + 1, MATCH(1, (Data_Input!$7:$7=$F$3)*(Data_Input!$8:$8=$B113), 0)),"")</f>
        <v/>
      </c>
      <c r="K113" s="14" t="str" cm="1">
        <f t="array" ref="K113">IFERROR(INDEX(Data_Input!$A$1:$ZZ$502, MATCH("총수익률", INDEX(Data_Input!$A$1:$ZZ$502, 0, MATCH(1, (Data_Input!$7:$7=$F$3)*(Data_Input!$8:$8=$B113), 0)), 0) + 1, MATCH(1, (Data_Input!$7:$7=$F$3)*(Data_Input!$8:$8=$B113), 0)),"")</f>
        <v/>
      </c>
      <c r="L113" t="str" cm="1">
        <f t="array" ref="L113">IFERROR(_xlfn.LET(
    _xlpm.targetDate, B113,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14" spans="1:12" x14ac:dyDescent="0.3">
      <c r="A114" s="16" t="str">
        <f t="shared" si="3"/>
        <v/>
      </c>
      <c r="B114" s="8"/>
      <c r="C114" s="17" t="str">
        <f t="shared" si="4"/>
        <v/>
      </c>
      <c r="D114" s="29" t="str" cm="1">
        <f t="array" ref="D114">IFERROR(INDEX(Data_Input!$1:$100, 10, MATCH(1, (Data_Input!$F$7:$ZZ$7=$F$3) * (Data_Input!$F$8:$ZZ$8=$B114), 0)),"")</f>
        <v/>
      </c>
      <c r="E114" s="29" t="str" cm="1">
        <f t="array" ref="E114">IFERROR(INDEX(Data_Input!$1:$100, 9, MATCH(1, (Data_Input!$7:$7=$F$3) * (Data_Input!$8:$8=$B114), 0)),"")</f>
        <v/>
      </c>
      <c r="F114" s="20" t="str" cm="1">
        <f t="array" ref="F114">IFERROR(INDEX(Data_Input!$A$1:$ZZ$502, MATCH("예수금", INDEX(Data_Input!$A$1:$ZZ$502, 0, MATCH(1, (Data_Input!$7:$7=$F$3)*(Data_Input!$8:$8=$B114), 0)), 0) + 1, MATCH(1, (Data_Input!$7:$7=$F$3)*(Data_Input!$8:$8=$B114), 0)),"")</f>
        <v/>
      </c>
      <c r="G114" s="20" t="str" cm="1">
        <f t="array" ref="G114">IFERROR(INDEX(Data_Input!$A$1:$ZZ$502, MATCH("총자산", INDEX(Data_Input!$A$1:$ZZ$502, 0, MATCH(1, (Data_Input!$7:$7=$F$3)*(Data_Input!$8:$8=$B114), 0)), 0) + 1, MATCH(1, (Data_Input!$7:$7=$F$3)*(Data_Input!$8:$8=$B114), 0)),"")</f>
        <v/>
      </c>
      <c r="H114" s="20" t="str" cm="1">
        <f t="array" ref="H114">IFERROR(INDEX(Data_Input!$A$1:$ZZ$502, MATCH("매입금액", INDEX(Data_Input!$A$1:$ZZ$502, 0, MATCH(1, (Data_Input!$7:$7=$F$3)*(Data_Input!$8:$8=$B114), 0)), 0) + 1, MATCH(1, (Data_Input!$7:$7=$F$3)*(Data_Input!$8:$8=$B114), 0)),"")</f>
        <v/>
      </c>
      <c r="I114" s="20" t="str" cm="1">
        <f t="array" ref="I114">IFERROR(INDEX(Data_Input!$A$1:$ZZ$502, MATCH("평가금액", INDEX(Data_Input!$A$1:$ZZ$502, 0, MATCH(1, (Data_Input!$7:$7=$F$3)*(Data_Input!$8:$8=$B114), 0)), 0) + 1, MATCH(1, (Data_Input!$7:$7=$F$3)*(Data_Input!$8:$8=$B114), 0)),"")</f>
        <v/>
      </c>
      <c r="J114" s="20" t="str" cm="1">
        <f t="array" ref="J114">IFERROR(INDEX(Data_Input!$A$1:$ZZ$502, MATCH("평가손익", INDEX(Data_Input!$A$1:$ZZ$502, 0, MATCH(1, (Data_Input!$7:$7=$F$3)*(Data_Input!$8:$8=$B114), 0)), 0) + 1, MATCH(1, (Data_Input!$7:$7=$F$3)*(Data_Input!$8:$8=$B114), 0)),"")</f>
        <v/>
      </c>
      <c r="K114" s="14" t="str" cm="1">
        <f t="array" ref="K114">IFERROR(INDEX(Data_Input!$A$1:$ZZ$502, MATCH("총수익률", INDEX(Data_Input!$A$1:$ZZ$502, 0, MATCH(1, (Data_Input!$7:$7=$F$3)*(Data_Input!$8:$8=$B114), 0)), 0) + 1, MATCH(1, (Data_Input!$7:$7=$F$3)*(Data_Input!$8:$8=$B114), 0)),"")</f>
        <v/>
      </c>
      <c r="L114" t="str" cm="1">
        <f t="array" ref="L114">IFERROR(_xlfn.LET(
    _xlpm.targetDate, B114,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15" spans="1:12" x14ac:dyDescent="0.3">
      <c r="A115" s="16" t="str">
        <f t="shared" si="3"/>
        <v/>
      </c>
      <c r="B115" s="8"/>
      <c r="C115" s="17" t="str">
        <f t="shared" si="4"/>
        <v/>
      </c>
      <c r="D115" s="29" t="str" cm="1">
        <f t="array" ref="D115">IFERROR(INDEX(Data_Input!$1:$100, 10, MATCH(1, (Data_Input!$F$7:$ZZ$7=$F$3) * (Data_Input!$F$8:$ZZ$8=$B115), 0)),"")</f>
        <v/>
      </c>
      <c r="E115" s="29" t="str" cm="1">
        <f t="array" ref="E115">IFERROR(INDEX(Data_Input!$1:$100, 9, MATCH(1, (Data_Input!$7:$7=$F$3) * (Data_Input!$8:$8=$B115), 0)),"")</f>
        <v/>
      </c>
      <c r="F115" s="20" t="str" cm="1">
        <f t="array" ref="F115">IFERROR(INDEX(Data_Input!$A$1:$ZZ$502, MATCH("예수금", INDEX(Data_Input!$A$1:$ZZ$502, 0, MATCH(1, (Data_Input!$7:$7=$F$3)*(Data_Input!$8:$8=$B115), 0)), 0) + 1, MATCH(1, (Data_Input!$7:$7=$F$3)*(Data_Input!$8:$8=$B115), 0)),"")</f>
        <v/>
      </c>
      <c r="G115" s="20" t="str" cm="1">
        <f t="array" ref="G115">IFERROR(INDEX(Data_Input!$A$1:$ZZ$502, MATCH("총자산", INDEX(Data_Input!$A$1:$ZZ$502, 0, MATCH(1, (Data_Input!$7:$7=$F$3)*(Data_Input!$8:$8=$B115), 0)), 0) + 1, MATCH(1, (Data_Input!$7:$7=$F$3)*(Data_Input!$8:$8=$B115), 0)),"")</f>
        <v/>
      </c>
      <c r="H115" s="20" t="str" cm="1">
        <f t="array" ref="H115">IFERROR(INDEX(Data_Input!$A$1:$ZZ$502, MATCH("매입금액", INDEX(Data_Input!$A$1:$ZZ$502, 0, MATCH(1, (Data_Input!$7:$7=$F$3)*(Data_Input!$8:$8=$B115), 0)), 0) + 1, MATCH(1, (Data_Input!$7:$7=$F$3)*(Data_Input!$8:$8=$B115), 0)),"")</f>
        <v/>
      </c>
      <c r="I115" s="20" t="str" cm="1">
        <f t="array" ref="I115">IFERROR(INDEX(Data_Input!$A$1:$ZZ$502, MATCH("평가금액", INDEX(Data_Input!$A$1:$ZZ$502, 0, MATCH(1, (Data_Input!$7:$7=$F$3)*(Data_Input!$8:$8=$B115), 0)), 0) + 1, MATCH(1, (Data_Input!$7:$7=$F$3)*(Data_Input!$8:$8=$B115), 0)),"")</f>
        <v/>
      </c>
      <c r="J115" s="20" t="str" cm="1">
        <f t="array" ref="J115">IFERROR(INDEX(Data_Input!$A$1:$ZZ$502, MATCH("평가손익", INDEX(Data_Input!$A$1:$ZZ$502, 0, MATCH(1, (Data_Input!$7:$7=$F$3)*(Data_Input!$8:$8=$B115), 0)), 0) + 1, MATCH(1, (Data_Input!$7:$7=$F$3)*(Data_Input!$8:$8=$B115), 0)),"")</f>
        <v/>
      </c>
      <c r="K115" s="14" t="str" cm="1">
        <f t="array" ref="K115">IFERROR(INDEX(Data_Input!$A$1:$ZZ$502, MATCH("총수익률", INDEX(Data_Input!$A$1:$ZZ$502, 0, MATCH(1, (Data_Input!$7:$7=$F$3)*(Data_Input!$8:$8=$B115), 0)), 0) + 1, MATCH(1, (Data_Input!$7:$7=$F$3)*(Data_Input!$8:$8=$B115), 0)),"")</f>
        <v/>
      </c>
      <c r="L115" t="str" cm="1">
        <f t="array" ref="L115">IFERROR(_xlfn.LET(
    _xlpm.targetDate, B115,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16" spans="1:12" x14ac:dyDescent="0.3">
      <c r="A116" s="16" t="str">
        <f t="shared" si="3"/>
        <v/>
      </c>
      <c r="B116" s="8"/>
      <c r="C116" s="17" t="str">
        <f t="shared" si="4"/>
        <v/>
      </c>
      <c r="D116" s="29" t="str" cm="1">
        <f t="array" ref="D116">IFERROR(INDEX(Data_Input!$1:$100, 10, MATCH(1, (Data_Input!$F$7:$ZZ$7=$F$3) * (Data_Input!$F$8:$ZZ$8=$B116), 0)),"")</f>
        <v/>
      </c>
      <c r="E116" s="29" t="str" cm="1">
        <f t="array" ref="E116">IFERROR(INDEX(Data_Input!$1:$100, 9, MATCH(1, (Data_Input!$7:$7=$F$3) * (Data_Input!$8:$8=$B116), 0)),"")</f>
        <v/>
      </c>
      <c r="F116" s="20" t="str" cm="1">
        <f t="array" ref="F116">IFERROR(INDEX(Data_Input!$A$1:$ZZ$502, MATCH("예수금", INDEX(Data_Input!$A$1:$ZZ$502, 0, MATCH(1, (Data_Input!$7:$7=$F$3)*(Data_Input!$8:$8=$B116), 0)), 0) + 1, MATCH(1, (Data_Input!$7:$7=$F$3)*(Data_Input!$8:$8=$B116), 0)),"")</f>
        <v/>
      </c>
      <c r="G116" s="20" t="str" cm="1">
        <f t="array" ref="G116">IFERROR(INDEX(Data_Input!$A$1:$ZZ$502, MATCH("총자산", INDEX(Data_Input!$A$1:$ZZ$502, 0, MATCH(1, (Data_Input!$7:$7=$F$3)*(Data_Input!$8:$8=$B116), 0)), 0) + 1, MATCH(1, (Data_Input!$7:$7=$F$3)*(Data_Input!$8:$8=$B116), 0)),"")</f>
        <v/>
      </c>
      <c r="H116" s="20" t="str" cm="1">
        <f t="array" ref="H116">IFERROR(INDEX(Data_Input!$A$1:$ZZ$502, MATCH("매입금액", INDEX(Data_Input!$A$1:$ZZ$502, 0, MATCH(1, (Data_Input!$7:$7=$F$3)*(Data_Input!$8:$8=$B116), 0)), 0) + 1, MATCH(1, (Data_Input!$7:$7=$F$3)*(Data_Input!$8:$8=$B116), 0)),"")</f>
        <v/>
      </c>
      <c r="I116" s="20" t="str" cm="1">
        <f t="array" ref="I116">IFERROR(INDEX(Data_Input!$A$1:$ZZ$502, MATCH("평가금액", INDEX(Data_Input!$A$1:$ZZ$502, 0, MATCH(1, (Data_Input!$7:$7=$F$3)*(Data_Input!$8:$8=$B116), 0)), 0) + 1, MATCH(1, (Data_Input!$7:$7=$F$3)*(Data_Input!$8:$8=$B116), 0)),"")</f>
        <v/>
      </c>
      <c r="J116" s="20" t="str" cm="1">
        <f t="array" ref="J116">IFERROR(INDEX(Data_Input!$A$1:$ZZ$502, MATCH("평가손익", INDEX(Data_Input!$A$1:$ZZ$502, 0, MATCH(1, (Data_Input!$7:$7=$F$3)*(Data_Input!$8:$8=$B116), 0)), 0) + 1, MATCH(1, (Data_Input!$7:$7=$F$3)*(Data_Input!$8:$8=$B116), 0)),"")</f>
        <v/>
      </c>
      <c r="K116" s="14" t="str" cm="1">
        <f t="array" ref="K116">IFERROR(INDEX(Data_Input!$A$1:$ZZ$502, MATCH("총수익률", INDEX(Data_Input!$A$1:$ZZ$502, 0, MATCH(1, (Data_Input!$7:$7=$F$3)*(Data_Input!$8:$8=$B116), 0)), 0) + 1, MATCH(1, (Data_Input!$7:$7=$F$3)*(Data_Input!$8:$8=$B116), 0)),"")</f>
        <v/>
      </c>
      <c r="L116" t="str" cm="1">
        <f t="array" ref="L116">IFERROR(_xlfn.LET(
    _xlpm.targetDate, B116,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17" spans="1:12" x14ac:dyDescent="0.3">
      <c r="A117" s="16" t="str">
        <f t="shared" si="3"/>
        <v/>
      </c>
      <c r="B117" s="8"/>
      <c r="C117" s="17" t="str">
        <f t="shared" si="4"/>
        <v/>
      </c>
      <c r="D117" s="29" t="str" cm="1">
        <f t="array" ref="D117">IFERROR(INDEX(Data_Input!$1:$100, 10, MATCH(1, (Data_Input!$F$7:$ZZ$7=$F$3) * (Data_Input!$F$8:$ZZ$8=$B117), 0)),"")</f>
        <v/>
      </c>
      <c r="E117" s="29" t="str" cm="1">
        <f t="array" ref="E117">IFERROR(INDEX(Data_Input!$1:$100, 9, MATCH(1, (Data_Input!$7:$7=$F$3) * (Data_Input!$8:$8=$B117), 0)),"")</f>
        <v/>
      </c>
      <c r="F117" s="20" t="str" cm="1">
        <f t="array" ref="F117">IFERROR(INDEX(Data_Input!$A$1:$ZZ$502, MATCH("예수금", INDEX(Data_Input!$A$1:$ZZ$502, 0, MATCH(1, (Data_Input!$7:$7=$F$3)*(Data_Input!$8:$8=$B117), 0)), 0) + 1, MATCH(1, (Data_Input!$7:$7=$F$3)*(Data_Input!$8:$8=$B117), 0)),"")</f>
        <v/>
      </c>
      <c r="G117" s="20" t="str" cm="1">
        <f t="array" ref="G117">IFERROR(INDEX(Data_Input!$A$1:$ZZ$502, MATCH("총자산", INDEX(Data_Input!$A$1:$ZZ$502, 0, MATCH(1, (Data_Input!$7:$7=$F$3)*(Data_Input!$8:$8=$B117), 0)), 0) + 1, MATCH(1, (Data_Input!$7:$7=$F$3)*(Data_Input!$8:$8=$B117), 0)),"")</f>
        <v/>
      </c>
      <c r="H117" s="20" t="str" cm="1">
        <f t="array" ref="H117">IFERROR(INDEX(Data_Input!$A$1:$ZZ$502, MATCH("매입금액", INDEX(Data_Input!$A$1:$ZZ$502, 0, MATCH(1, (Data_Input!$7:$7=$F$3)*(Data_Input!$8:$8=$B117), 0)), 0) + 1, MATCH(1, (Data_Input!$7:$7=$F$3)*(Data_Input!$8:$8=$B117), 0)),"")</f>
        <v/>
      </c>
      <c r="I117" s="20" t="str" cm="1">
        <f t="array" ref="I117">IFERROR(INDEX(Data_Input!$A$1:$ZZ$502, MATCH("평가금액", INDEX(Data_Input!$A$1:$ZZ$502, 0, MATCH(1, (Data_Input!$7:$7=$F$3)*(Data_Input!$8:$8=$B117), 0)), 0) + 1, MATCH(1, (Data_Input!$7:$7=$F$3)*(Data_Input!$8:$8=$B117), 0)),"")</f>
        <v/>
      </c>
      <c r="J117" s="20" t="str" cm="1">
        <f t="array" ref="J117">IFERROR(INDEX(Data_Input!$A$1:$ZZ$502, MATCH("평가손익", INDEX(Data_Input!$A$1:$ZZ$502, 0, MATCH(1, (Data_Input!$7:$7=$F$3)*(Data_Input!$8:$8=$B117), 0)), 0) + 1, MATCH(1, (Data_Input!$7:$7=$F$3)*(Data_Input!$8:$8=$B117), 0)),"")</f>
        <v/>
      </c>
      <c r="K117" s="14" t="str" cm="1">
        <f t="array" ref="K117">IFERROR(INDEX(Data_Input!$A$1:$ZZ$502, MATCH("총수익률", INDEX(Data_Input!$A$1:$ZZ$502, 0, MATCH(1, (Data_Input!$7:$7=$F$3)*(Data_Input!$8:$8=$B117), 0)), 0) + 1, MATCH(1, (Data_Input!$7:$7=$F$3)*(Data_Input!$8:$8=$B117), 0)),"")</f>
        <v/>
      </c>
      <c r="L117" t="str" cm="1">
        <f t="array" ref="L117">IFERROR(_xlfn.LET(
    _xlpm.targetDate, B117,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18" spans="1:12" x14ac:dyDescent="0.3">
      <c r="A118" s="16" t="str">
        <f t="shared" si="3"/>
        <v/>
      </c>
      <c r="B118" s="8"/>
      <c r="C118" s="17" t="str">
        <f t="shared" si="4"/>
        <v/>
      </c>
      <c r="D118" s="29" t="str" cm="1">
        <f t="array" ref="D118">IFERROR(INDEX(Data_Input!$1:$100, 10, MATCH(1, (Data_Input!$F$7:$ZZ$7=$F$3) * (Data_Input!$F$8:$ZZ$8=$B118), 0)),"")</f>
        <v/>
      </c>
      <c r="E118" s="29" t="str" cm="1">
        <f t="array" ref="E118">IFERROR(INDEX(Data_Input!$1:$100, 9, MATCH(1, (Data_Input!$7:$7=$F$3) * (Data_Input!$8:$8=$B118), 0)),"")</f>
        <v/>
      </c>
      <c r="F118" s="20" t="str" cm="1">
        <f t="array" ref="F118">IFERROR(INDEX(Data_Input!$A$1:$ZZ$502, MATCH("예수금", INDEX(Data_Input!$A$1:$ZZ$502, 0, MATCH(1, (Data_Input!$7:$7=$F$3)*(Data_Input!$8:$8=$B118), 0)), 0) + 1, MATCH(1, (Data_Input!$7:$7=$F$3)*(Data_Input!$8:$8=$B118), 0)),"")</f>
        <v/>
      </c>
      <c r="G118" s="20" t="str" cm="1">
        <f t="array" ref="G118">IFERROR(INDEX(Data_Input!$A$1:$ZZ$502, MATCH("총자산", INDEX(Data_Input!$A$1:$ZZ$502, 0, MATCH(1, (Data_Input!$7:$7=$F$3)*(Data_Input!$8:$8=$B118), 0)), 0) + 1, MATCH(1, (Data_Input!$7:$7=$F$3)*(Data_Input!$8:$8=$B118), 0)),"")</f>
        <v/>
      </c>
      <c r="H118" s="20" t="str" cm="1">
        <f t="array" ref="H118">IFERROR(INDEX(Data_Input!$A$1:$ZZ$502, MATCH("매입금액", INDEX(Data_Input!$A$1:$ZZ$502, 0, MATCH(1, (Data_Input!$7:$7=$F$3)*(Data_Input!$8:$8=$B118), 0)), 0) + 1, MATCH(1, (Data_Input!$7:$7=$F$3)*(Data_Input!$8:$8=$B118), 0)),"")</f>
        <v/>
      </c>
      <c r="I118" s="20" t="str" cm="1">
        <f t="array" ref="I118">IFERROR(INDEX(Data_Input!$A$1:$ZZ$502, MATCH("평가금액", INDEX(Data_Input!$A$1:$ZZ$502, 0, MATCH(1, (Data_Input!$7:$7=$F$3)*(Data_Input!$8:$8=$B118), 0)), 0) + 1, MATCH(1, (Data_Input!$7:$7=$F$3)*(Data_Input!$8:$8=$B118), 0)),"")</f>
        <v/>
      </c>
      <c r="J118" s="20" t="str" cm="1">
        <f t="array" ref="J118">IFERROR(INDEX(Data_Input!$A$1:$ZZ$502, MATCH("평가손익", INDEX(Data_Input!$A$1:$ZZ$502, 0, MATCH(1, (Data_Input!$7:$7=$F$3)*(Data_Input!$8:$8=$B118), 0)), 0) + 1, MATCH(1, (Data_Input!$7:$7=$F$3)*(Data_Input!$8:$8=$B118), 0)),"")</f>
        <v/>
      </c>
      <c r="K118" s="14" t="str" cm="1">
        <f t="array" ref="K118">IFERROR(INDEX(Data_Input!$A$1:$ZZ$502, MATCH("총수익률", INDEX(Data_Input!$A$1:$ZZ$502, 0, MATCH(1, (Data_Input!$7:$7=$F$3)*(Data_Input!$8:$8=$B118), 0)), 0) + 1, MATCH(1, (Data_Input!$7:$7=$F$3)*(Data_Input!$8:$8=$B118), 0)),"")</f>
        <v/>
      </c>
      <c r="L118" t="str" cm="1">
        <f t="array" ref="L118">IFERROR(_xlfn.LET(
    _xlpm.targetDate, B118,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19" spans="1:12" x14ac:dyDescent="0.3">
      <c r="A119" s="16" t="str">
        <f t="shared" si="3"/>
        <v/>
      </c>
      <c r="B119" s="8"/>
      <c r="C119" s="17" t="str">
        <f t="shared" si="4"/>
        <v/>
      </c>
      <c r="D119" s="29" t="str" cm="1">
        <f t="array" ref="D119">IFERROR(INDEX(Data_Input!$1:$100, 10, MATCH(1, (Data_Input!$F$7:$ZZ$7=$F$3) * (Data_Input!$F$8:$ZZ$8=$B119), 0)),"")</f>
        <v/>
      </c>
      <c r="E119" s="29" t="str" cm="1">
        <f t="array" ref="E119">IFERROR(INDEX(Data_Input!$1:$100, 9, MATCH(1, (Data_Input!$7:$7=$F$3) * (Data_Input!$8:$8=$B119), 0)),"")</f>
        <v/>
      </c>
      <c r="F119" s="20" t="str" cm="1">
        <f t="array" ref="F119">IFERROR(INDEX(Data_Input!$A$1:$ZZ$502, MATCH("예수금", INDEX(Data_Input!$A$1:$ZZ$502, 0, MATCH(1, (Data_Input!$7:$7=$F$3)*(Data_Input!$8:$8=$B119), 0)), 0) + 1, MATCH(1, (Data_Input!$7:$7=$F$3)*(Data_Input!$8:$8=$B119), 0)),"")</f>
        <v/>
      </c>
      <c r="G119" s="20" t="str" cm="1">
        <f t="array" ref="G119">IFERROR(INDEX(Data_Input!$A$1:$ZZ$502, MATCH("총자산", INDEX(Data_Input!$A$1:$ZZ$502, 0, MATCH(1, (Data_Input!$7:$7=$F$3)*(Data_Input!$8:$8=$B119), 0)), 0) + 1, MATCH(1, (Data_Input!$7:$7=$F$3)*(Data_Input!$8:$8=$B119), 0)),"")</f>
        <v/>
      </c>
      <c r="H119" s="20" t="str" cm="1">
        <f t="array" ref="H119">IFERROR(INDEX(Data_Input!$A$1:$ZZ$502, MATCH("매입금액", INDEX(Data_Input!$A$1:$ZZ$502, 0, MATCH(1, (Data_Input!$7:$7=$F$3)*(Data_Input!$8:$8=$B119), 0)), 0) + 1, MATCH(1, (Data_Input!$7:$7=$F$3)*(Data_Input!$8:$8=$B119), 0)),"")</f>
        <v/>
      </c>
      <c r="I119" s="20" t="str" cm="1">
        <f t="array" ref="I119">IFERROR(INDEX(Data_Input!$A$1:$ZZ$502, MATCH("평가금액", INDEX(Data_Input!$A$1:$ZZ$502, 0, MATCH(1, (Data_Input!$7:$7=$F$3)*(Data_Input!$8:$8=$B119), 0)), 0) + 1, MATCH(1, (Data_Input!$7:$7=$F$3)*(Data_Input!$8:$8=$B119), 0)),"")</f>
        <v/>
      </c>
      <c r="J119" s="20" t="str" cm="1">
        <f t="array" ref="J119">IFERROR(INDEX(Data_Input!$A$1:$ZZ$502, MATCH("평가손익", INDEX(Data_Input!$A$1:$ZZ$502, 0, MATCH(1, (Data_Input!$7:$7=$F$3)*(Data_Input!$8:$8=$B119), 0)), 0) + 1, MATCH(1, (Data_Input!$7:$7=$F$3)*(Data_Input!$8:$8=$B119), 0)),"")</f>
        <v/>
      </c>
      <c r="K119" s="14" t="str" cm="1">
        <f t="array" ref="K119">IFERROR(INDEX(Data_Input!$A$1:$ZZ$502, MATCH("총수익률", INDEX(Data_Input!$A$1:$ZZ$502, 0, MATCH(1, (Data_Input!$7:$7=$F$3)*(Data_Input!$8:$8=$B119), 0)), 0) + 1, MATCH(1, (Data_Input!$7:$7=$F$3)*(Data_Input!$8:$8=$B119), 0)),"")</f>
        <v/>
      </c>
      <c r="L119" t="str" cm="1">
        <f t="array" ref="L119">IFERROR(_xlfn.LET(
    _xlpm.targetDate, B119,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20" spans="1:12" x14ac:dyDescent="0.3">
      <c r="A120" s="16" t="str">
        <f t="shared" si="3"/>
        <v/>
      </c>
      <c r="B120" s="8"/>
      <c r="C120" s="17" t="str">
        <f t="shared" si="4"/>
        <v/>
      </c>
      <c r="D120" s="29" t="str" cm="1">
        <f t="array" ref="D120">IFERROR(INDEX(Data_Input!$1:$100, 10, MATCH(1, (Data_Input!$F$7:$ZZ$7=$F$3) * (Data_Input!$F$8:$ZZ$8=$B120), 0)),"")</f>
        <v/>
      </c>
      <c r="E120" s="29" t="str" cm="1">
        <f t="array" ref="E120">IFERROR(INDEX(Data_Input!$1:$100, 9, MATCH(1, (Data_Input!$7:$7=$F$3) * (Data_Input!$8:$8=$B120), 0)),"")</f>
        <v/>
      </c>
      <c r="F120" s="20" t="str" cm="1">
        <f t="array" ref="F120">IFERROR(INDEX(Data_Input!$A$1:$ZZ$502, MATCH("예수금", INDEX(Data_Input!$A$1:$ZZ$502, 0, MATCH(1, (Data_Input!$7:$7=$F$3)*(Data_Input!$8:$8=$B120), 0)), 0) + 1, MATCH(1, (Data_Input!$7:$7=$F$3)*(Data_Input!$8:$8=$B120), 0)),"")</f>
        <v/>
      </c>
      <c r="G120" s="20" t="str" cm="1">
        <f t="array" ref="G120">IFERROR(INDEX(Data_Input!$A$1:$ZZ$502, MATCH("총자산", INDEX(Data_Input!$A$1:$ZZ$502, 0, MATCH(1, (Data_Input!$7:$7=$F$3)*(Data_Input!$8:$8=$B120), 0)), 0) + 1, MATCH(1, (Data_Input!$7:$7=$F$3)*(Data_Input!$8:$8=$B120), 0)),"")</f>
        <v/>
      </c>
      <c r="H120" s="20" t="str" cm="1">
        <f t="array" ref="H120">IFERROR(INDEX(Data_Input!$A$1:$ZZ$502, MATCH("매입금액", INDEX(Data_Input!$A$1:$ZZ$502, 0, MATCH(1, (Data_Input!$7:$7=$F$3)*(Data_Input!$8:$8=$B120), 0)), 0) + 1, MATCH(1, (Data_Input!$7:$7=$F$3)*(Data_Input!$8:$8=$B120), 0)),"")</f>
        <v/>
      </c>
      <c r="I120" s="20" t="str" cm="1">
        <f t="array" ref="I120">IFERROR(INDEX(Data_Input!$A$1:$ZZ$502, MATCH("평가금액", INDEX(Data_Input!$A$1:$ZZ$502, 0, MATCH(1, (Data_Input!$7:$7=$F$3)*(Data_Input!$8:$8=$B120), 0)), 0) + 1, MATCH(1, (Data_Input!$7:$7=$F$3)*(Data_Input!$8:$8=$B120), 0)),"")</f>
        <v/>
      </c>
      <c r="J120" s="20" t="str" cm="1">
        <f t="array" ref="J120">IFERROR(INDEX(Data_Input!$A$1:$ZZ$502, MATCH("평가손익", INDEX(Data_Input!$A$1:$ZZ$502, 0, MATCH(1, (Data_Input!$7:$7=$F$3)*(Data_Input!$8:$8=$B120), 0)), 0) + 1, MATCH(1, (Data_Input!$7:$7=$F$3)*(Data_Input!$8:$8=$B120), 0)),"")</f>
        <v/>
      </c>
      <c r="K120" s="14" t="str" cm="1">
        <f t="array" ref="K120">IFERROR(INDEX(Data_Input!$A$1:$ZZ$502, MATCH("총수익률", INDEX(Data_Input!$A$1:$ZZ$502, 0, MATCH(1, (Data_Input!$7:$7=$F$3)*(Data_Input!$8:$8=$B120), 0)), 0) + 1, MATCH(1, (Data_Input!$7:$7=$F$3)*(Data_Input!$8:$8=$B120), 0)),"")</f>
        <v/>
      </c>
      <c r="L120" t="str" cm="1">
        <f t="array" ref="L120">IFERROR(_xlfn.LET(
    _xlpm.targetDate, B120,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21" spans="1:12" x14ac:dyDescent="0.3">
      <c r="A121" s="16" t="str">
        <f t="shared" si="3"/>
        <v/>
      </c>
      <c r="B121" s="8"/>
      <c r="C121" s="17" t="str">
        <f t="shared" si="4"/>
        <v/>
      </c>
      <c r="D121" s="29" t="str" cm="1">
        <f t="array" ref="D121">IFERROR(INDEX(Data_Input!$1:$100, 10, MATCH(1, (Data_Input!$F$7:$ZZ$7=$F$3) * (Data_Input!$F$8:$ZZ$8=$B121), 0)),"")</f>
        <v/>
      </c>
      <c r="E121" s="29" t="str" cm="1">
        <f t="array" ref="E121">IFERROR(INDEX(Data_Input!$1:$100, 9, MATCH(1, (Data_Input!$7:$7=$F$3) * (Data_Input!$8:$8=$B121), 0)),"")</f>
        <v/>
      </c>
      <c r="F121" s="20" t="str" cm="1">
        <f t="array" ref="F121">IFERROR(INDEX(Data_Input!$A$1:$ZZ$502, MATCH("예수금", INDEX(Data_Input!$A$1:$ZZ$502, 0, MATCH(1, (Data_Input!$7:$7=$F$3)*(Data_Input!$8:$8=$B121), 0)), 0) + 1, MATCH(1, (Data_Input!$7:$7=$F$3)*(Data_Input!$8:$8=$B121), 0)),"")</f>
        <v/>
      </c>
      <c r="G121" s="20" t="str" cm="1">
        <f t="array" ref="G121">IFERROR(INDEX(Data_Input!$A$1:$ZZ$502, MATCH("총자산", INDEX(Data_Input!$A$1:$ZZ$502, 0, MATCH(1, (Data_Input!$7:$7=$F$3)*(Data_Input!$8:$8=$B121), 0)), 0) + 1, MATCH(1, (Data_Input!$7:$7=$F$3)*(Data_Input!$8:$8=$B121), 0)),"")</f>
        <v/>
      </c>
      <c r="H121" s="20" t="str" cm="1">
        <f t="array" ref="H121">IFERROR(INDEX(Data_Input!$A$1:$ZZ$502, MATCH("매입금액", INDEX(Data_Input!$A$1:$ZZ$502, 0, MATCH(1, (Data_Input!$7:$7=$F$3)*(Data_Input!$8:$8=$B121), 0)), 0) + 1, MATCH(1, (Data_Input!$7:$7=$F$3)*(Data_Input!$8:$8=$B121), 0)),"")</f>
        <v/>
      </c>
      <c r="I121" s="20" t="str" cm="1">
        <f t="array" ref="I121">IFERROR(INDEX(Data_Input!$A$1:$ZZ$502, MATCH("평가금액", INDEX(Data_Input!$A$1:$ZZ$502, 0, MATCH(1, (Data_Input!$7:$7=$F$3)*(Data_Input!$8:$8=$B121), 0)), 0) + 1, MATCH(1, (Data_Input!$7:$7=$F$3)*(Data_Input!$8:$8=$B121), 0)),"")</f>
        <v/>
      </c>
      <c r="J121" s="20" t="str" cm="1">
        <f t="array" ref="J121">IFERROR(INDEX(Data_Input!$A$1:$ZZ$502, MATCH("평가손익", INDEX(Data_Input!$A$1:$ZZ$502, 0, MATCH(1, (Data_Input!$7:$7=$F$3)*(Data_Input!$8:$8=$B121), 0)), 0) + 1, MATCH(1, (Data_Input!$7:$7=$F$3)*(Data_Input!$8:$8=$B121), 0)),"")</f>
        <v/>
      </c>
      <c r="K121" s="14" t="str" cm="1">
        <f t="array" ref="K121">IFERROR(INDEX(Data_Input!$A$1:$ZZ$502, MATCH("총수익률", INDEX(Data_Input!$A$1:$ZZ$502, 0, MATCH(1, (Data_Input!$7:$7=$F$3)*(Data_Input!$8:$8=$B121), 0)), 0) + 1, MATCH(1, (Data_Input!$7:$7=$F$3)*(Data_Input!$8:$8=$B121), 0)),"")</f>
        <v/>
      </c>
      <c r="L121" t="str" cm="1">
        <f t="array" ref="L121">IFERROR(_xlfn.LET(
    _xlpm.targetDate, B121,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22" spans="1:12" x14ac:dyDescent="0.3">
      <c r="A122" s="16" t="str">
        <f t="shared" si="3"/>
        <v/>
      </c>
      <c r="B122" s="8"/>
      <c r="C122" s="17" t="str">
        <f t="shared" si="4"/>
        <v/>
      </c>
      <c r="D122" s="29" t="str" cm="1">
        <f t="array" ref="D122">IFERROR(INDEX(Data_Input!$1:$100, 10, MATCH(1, (Data_Input!$F$7:$ZZ$7=$F$3) * (Data_Input!$F$8:$ZZ$8=$B122), 0)),"")</f>
        <v/>
      </c>
      <c r="E122" s="29" t="str" cm="1">
        <f t="array" ref="E122">IFERROR(INDEX(Data_Input!$1:$100, 9, MATCH(1, (Data_Input!$7:$7=$F$3) * (Data_Input!$8:$8=$B122), 0)),"")</f>
        <v/>
      </c>
      <c r="F122" s="20" t="str" cm="1">
        <f t="array" ref="F122">IFERROR(INDEX(Data_Input!$A$1:$ZZ$502, MATCH("예수금", INDEX(Data_Input!$A$1:$ZZ$502, 0, MATCH(1, (Data_Input!$7:$7=$F$3)*(Data_Input!$8:$8=$B122), 0)), 0) + 1, MATCH(1, (Data_Input!$7:$7=$F$3)*(Data_Input!$8:$8=$B122), 0)),"")</f>
        <v/>
      </c>
      <c r="G122" s="20" t="str" cm="1">
        <f t="array" ref="G122">IFERROR(INDEX(Data_Input!$A$1:$ZZ$502, MATCH("총자산", INDEX(Data_Input!$A$1:$ZZ$502, 0, MATCH(1, (Data_Input!$7:$7=$F$3)*(Data_Input!$8:$8=$B122), 0)), 0) + 1, MATCH(1, (Data_Input!$7:$7=$F$3)*(Data_Input!$8:$8=$B122), 0)),"")</f>
        <v/>
      </c>
      <c r="H122" s="20" t="str" cm="1">
        <f t="array" ref="H122">IFERROR(INDEX(Data_Input!$A$1:$ZZ$502, MATCH("매입금액", INDEX(Data_Input!$A$1:$ZZ$502, 0, MATCH(1, (Data_Input!$7:$7=$F$3)*(Data_Input!$8:$8=$B122), 0)), 0) + 1, MATCH(1, (Data_Input!$7:$7=$F$3)*(Data_Input!$8:$8=$B122), 0)),"")</f>
        <v/>
      </c>
      <c r="I122" s="20" t="str" cm="1">
        <f t="array" ref="I122">IFERROR(INDEX(Data_Input!$A$1:$ZZ$502, MATCH("평가금액", INDEX(Data_Input!$A$1:$ZZ$502, 0, MATCH(1, (Data_Input!$7:$7=$F$3)*(Data_Input!$8:$8=$B122), 0)), 0) + 1, MATCH(1, (Data_Input!$7:$7=$F$3)*(Data_Input!$8:$8=$B122), 0)),"")</f>
        <v/>
      </c>
      <c r="J122" s="20" t="str" cm="1">
        <f t="array" ref="J122">IFERROR(INDEX(Data_Input!$A$1:$ZZ$502, MATCH("평가손익", INDEX(Data_Input!$A$1:$ZZ$502, 0, MATCH(1, (Data_Input!$7:$7=$F$3)*(Data_Input!$8:$8=$B122), 0)), 0) + 1, MATCH(1, (Data_Input!$7:$7=$F$3)*(Data_Input!$8:$8=$B122), 0)),"")</f>
        <v/>
      </c>
      <c r="K122" s="14" t="str" cm="1">
        <f t="array" ref="K122">IFERROR(INDEX(Data_Input!$A$1:$ZZ$502, MATCH("총수익률", INDEX(Data_Input!$A$1:$ZZ$502, 0, MATCH(1, (Data_Input!$7:$7=$F$3)*(Data_Input!$8:$8=$B122), 0)), 0) + 1, MATCH(1, (Data_Input!$7:$7=$F$3)*(Data_Input!$8:$8=$B122), 0)),"")</f>
        <v/>
      </c>
      <c r="L122" t="str" cm="1">
        <f t="array" ref="L122">IFERROR(_xlfn.LET(
    _xlpm.targetDate, B122,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23" spans="1:12" x14ac:dyDescent="0.3">
      <c r="A123" s="16" t="str">
        <f t="shared" si="3"/>
        <v/>
      </c>
      <c r="B123" s="8"/>
      <c r="C123" s="17" t="str">
        <f t="shared" si="4"/>
        <v/>
      </c>
      <c r="D123" s="29" t="str" cm="1">
        <f t="array" ref="D123">IFERROR(INDEX(Data_Input!$1:$100, 10, MATCH(1, (Data_Input!$F$7:$ZZ$7=$F$3) * (Data_Input!$F$8:$ZZ$8=$B123), 0)),"")</f>
        <v/>
      </c>
      <c r="E123" s="29" t="str" cm="1">
        <f t="array" ref="E123">IFERROR(INDEX(Data_Input!$1:$100, 9, MATCH(1, (Data_Input!$7:$7=$F$3) * (Data_Input!$8:$8=$B123), 0)),"")</f>
        <v/>
      </c>
      <c r="F123" s="20" t="str" cm="1">
        <f t="array" ref="F123">IFERROR(INDEX(Data_Input!$A$1:$ZZ$502, MATCH("예수금", INDEX(Data_Input!$A$1:$ZZ$502, 0, MATCH(1, (Data_Input!$7:$7=$F$3)*(Data_Input!$8:$8=$B123), 0)), 0) + 1, MATCH(1, (Data_Input!$7:$7=$F$3)*(Data_Input!$8:$8=$B123), 0)),"")</f>
        <v/>
      </c>
      <c r="G123" s="20" t="str" cm="1">
        <f t="array" ref="G123">IFERROR(INDEX(Data_Input!$A$1:$ZZ$502, MATCH("총자산", INDEX(Data_Input!$A$1:$ZZ$502, 0, MATCH(1, (Data_Input!$7:$7=$F$3)*(Data_Input!$8:$8=$B123), 0)), 0) + 1, MATCH(1, (Data_Input!$7:$7=$F$3)*(Data_Input!$8:$8=$B123), 0)),"")</f>
        <v/>
      </c>
      <c r="H123" s="20" t="str" cm="1">
        <f t="array" ref="H123">IFERROR(INDEX(Data_Input!$A$1:$ZZ$502, MATCH("매입금액", INDEX(Data_Input!$A$1:$ZZ$502, 0, MATCH(1, (Data_Input!$7:$7=$F$3)*(Data_Input!$8:$8=$B123), 0)), 0) + 1, MATCH(1, (Data_Input!$7:$7=$F$3)*(Data_Input!$8:$8=$B123), 0)),"")</f>
        <v/>
      </c>
      <c r="I123" s="20" t="str" cm="1">
        <f t="array" ref="I123">IFERROR(INDEX(Data_Input!$A$1:$ZZ$502, MATCH("평가금액", INDEX(Data_Input!$A$1:$ZZ$502, 0, MATCH(1, (Data_Input!$7:$7=$F$3)*(Data_Input!$8:$8=$B123), 0)), 0) + 1, MATCH(1, (Data_Input!$7:$7=$F$3)*(Data_Input!$8:$8=$B123), 0)),"")</f>
        <v/>
      </c>
      <c r="J123" s="20" t="str" cm="1">
        <f t="array" ref="J123">IFERROR(INDEX(Data_Input!$A$1:$ZZ$502, MATCH("평가손익", INDEX(Data_Input!$A$1:$ZZ$502, 0, MATCH(1, (Data_Input!$7:$7=$F$3)*(Data_Input!$8:$8=$B123), 0)), 0) + 1, MATCH(1, (Data_Input!$7:$7=$F$3)*(Data_Input!$8:$8=$B123), 0)),"")</f>
        <v/>
      </c>
      <c r="K123" s="14" t="str" cm="1">
        <f t="array" ref="K123">IFERROR(INDEX(Data_Input!$A$1:$ZZ$502, MATCH("총수익률", INDEX(Data_Input!$A$1:$ZZ$502, 0, MATCH(1, (Data_Input!$7:$7=$F$3)*(Data_Input!$8:$8=$B123), 0)), 0) + 1, MATCH(1, (Data_Input!$7:$7=$F$3)*(Data_Input!$8:$8=$B123), 0)),"")</f>
        <v/>
      </c>
      <c r="L123" t="str" cm="1">
        <f t="array" ref="L123">IFERROR(_xlfn.LET(
    _xlpm.targetDate, B123,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24" spans="1:12" x14ac:dyDescent="0.3">
      <c r="A124" s="16" t="str">
        <f t="shared" si="3"/>
        <v/>
      </c>
      <c r="B124" s="8"/>
      <c r="C124" s="17" t="str">
        <f t="shared" si="4"/>
        <v/>
      </c>
      <c r="D124" s="29" t="str" cm="1">
        <f t="array" ref="D124">IFERROR(INDEX(Data_Input!$1:$100, 10, MATCH(1, (Data_Input!$F$7:$ZZ$7=$F$3) * (Data_Input!$F$8:$ZZ$8=$B124), 0)),"")</f>
        <v/>
      </c>
      <c r="E124" s="29" t="str" cm="1">
        <f t="array" ref="E124">IFERROR(INDEX(Data_Input!$1:$100, 9, MATCH(1, (Data_Input!$7:$7=$F$3) * (Data_Input!$8:$8=$B124), 0)),"")</f>
        <v/>
      </c>
      <c r="F124" s="20" t="str" cm="1">
        <f t="array" ref="F124">IFERROR(INDEX(Data_Input!$A$1:$ZZ$502, MATCH("예수금", INDEX(Data_Input!$A$1:$ZZ$502, 0, MATCH(1, (Data_Input!$7:$7=$F$3)*(Data_Input!$8:$8=$B124), 0)), 0) + 1, MATCH(1, (Data_Input!$7:$7=$F$3)*(Data_Input!$8:$8=$B124), 0)),"")</f>
        <v/>
      </c>
      <c r="G124" s="20" t="str" cm="1">
        <f t="array" ref="G124">IFERROR(INDEX(Data_Input!$A$1:$ZZ$502, MATCH("총자산", INDEX(Data_Input!$A$1:$ZZ$502, 0, MATCH(1, (Data_Input!$7:$7=$F$3)*(Data_Input!$8:$8=$B124), 0)), 0) + 1, MATCH(1, (Data_Input!$7:$7=$F$3)*(Data_Input!$8:$8=$B124), 0)),"")</f>
        <v/>
      </c>
      <c r="H124" s="20" t="str" cm="1">
        <f t="array" ref="H124">IFERROR(INDEX(Data_Input!$A$1:$ZZ$502, MATCH("매입금액", INDEX(Data_Input!$A$1:$ZZ$502, 0, MATCH(1, (Data_Input!$7:$7=$F$3)*(Data_Input!$8:$8=$B124), 0)), 0) + 1, MATCH(1, (Data_Input!$7:$7=$F$3)*(Data_Input!$8:$8=$B124), 0)),"")</f>
        <v/>
      </c>
      <c r="I124" s="20" t="str" cm="1">
        <f t="array" ref="I124">IFERROR(INDEX(Data_Input!$A$1:$ZZ$502, MATCH("평가금액", INDEX(Data_Input!$A$1:$ZZ$502, 0, MATCH(1, (Data_Input!$7:$7=$F$3)*(Data_Input!$8:$8=$B124), 0)), 0) + 1, MATCH(1, (Data_Input!$7:$7=$F$3)*(Data_Input!$8:$8=$B124), 0)),"")</f>
        <v/>
      </c>
      <c r="J124" s="20" t="str" cm="1">
        <f t="array" ref="J124">IFERROR(INDEX(Data_Input!$A$1:$ZZ$502, MATCH("평가손익", INDEX(Data_Input!$A$1:$ZZ$502, 0, MATCH(1, (Data_Input!$7:$7=$F$3)*(Data_Input!$8:$8=$B124), 0)), 0) + 1, MATCH(1, (Data_Input!$7:$7=$F$3)*(Data_Input!$8:$8=$B124), 0)),"")</f>
        <v/>
      </c>
      <c r="K124" s="14" t="str" cm="1">
        <f t="array" ref="K124">IFERROR(INDEX(Data_Input!$A$1:$ZZ$502, MATCH("총수익률", INDEX(Data_Input!$A$1:$ZZ$502, 0, MATCH(1, (Data_Input!$7:$7=$F$3)*(Data_Input!$8:$8=$B124), 0)), 0) + 1, MATCH(1, (Data_Input!$7:$7=$F$3)*(Data_Input!$8:$8=$B124), 0)),"")</f>
        <v/>
      </c>
      <c r="L124" t="str" cm="1">
        <f t="array" ref="L124">IFERROR(_xlfn.LET(
    _xlpm.targetDate, B124,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25" spans="1:12" x14ac:dyDescent="0.3">
      <c r="A125" s="16" t="str">
        <f t="shared" si="3"/>
        <v/>
      </c>
      <c r="B125" s="8"/>
      <c r="C125" s="17" t="str">
        <f t="shared" si="4"/>
        <v/>
      </c>
      <c r="D125" s="29" t="str" cm="1">
        <f t="array" ref="D125">IFERROR(INDEX(Data_Input!$1:$100, 10, MATCH(1, (Data_Input!$F$7:$ZZ$7=$F$3) * (Data_Input!$F$8:$ZZ$8=$B125), 0)),"")</f>
        <v/>
      </c>
      <c r="E125" s="29" t="str" cm="1">
        <f t="array" ref="E125">IFERROR(INDEX(Data_Input!$1:$100, 9, MATCH(1, (Data_Input!$7:$7=$F$3) * (Data_Input!$8:$8=$B125), 0)),"")</f>
        <v/>
      </c>
      <c r="F125" s="20" t="str" cm="1">
        <f t="array" ref="F125">IFERROR(INDEX(Data_Input!$A$1:$ZZ$502, MATCH("예수금", INDEX(Data_Input!$A$1:$ZZ$502, 0, MATCH(1, (Data_Input!$7:$7=$F$3)*(Data_Input!$8:$8=$B125), 0)), 0) + 1, MATCH(1, (Data_Input!$7:$7=$F$3)*(Data_Input!$8:$8=$B125), 0)),"")</f>
        <v/>
      </c>
      <c r="G125" s="20" t="str" cm="1">
        <f t="array" ref="G125">IFERROR(INDEX(Data_Input!$A$1:$ZZ$502, MATCH("총자산", INDEX(Data_Input!$A$1:$ZZ$502, 0, MATCH(1, (Data_Input!$7:$7=$F$3)*(Data_Input!$8:$8=$B125), 0)), 0) + 1, MATCH(1, (Data_Input!$7:$7=$F$3)*(Data_Input!$8:$8=$B125), 0)),"")</f>
        <v/>
      </c>
      <c r="H125" s="20" t="str" cm="1">
        <f t="array" ref="H125">IFERROR(INDEX(Data_Input!$A$1:$ZZ$502, MATCH("매입금액", INDEX(Data_Input!$A$1:$ZZ$502, 0, MATCH(1, (Data_Input!$7:$7=$F$3)*(Data_Input!$8:$8=$B125), 0)), 0) + 1, MATCH(1, (Data_Input!$7:$7=$F$3)*(Data_Input!$8:$8=$B125), 0)),"")</f>
        <v/>
      </c>
      <c r="I125" s="20" t="str" cm="1">
        <f t="array" ref="I125">IFERROR(INDEX(Data_Input!$A$1:$ZZ$502, MATCH("평가금액", INDEX(Data_Input!$A$1:$ZZ$502, 0, MATCH(1, (Data_Input!$7:$7=$F$3)*(Data_Input!$8:$8=$B125), 0)), 0) + 1, MATCH(1, (Data_Input!$7:$7=$F$3)*(Data_Input!$8:$8=$B125), 0)),"")</f>
        <v/>
      </c>
      <c r="J125" s="20" t="str" cm="1">
        <f t="array" ref="J125">IFERROR(INDEX(Data_Input!$A$1:$ZZ$502, MATCH("평가손익", INDEX(Data_Input!$A$1:$ZZ$502, 0, MATCH(1, (Data_Input!$7:$7=$F$3)*(Data_Input!$8:$8=$B125), 0)), 0) + 1, MATCH(1, (Data_Input!$7:$7=$F$3)*(Data_Input!$8:$8=$B125), 0)),"")</f>
        <v/>
      </c>
      <c r="K125" s="14" t="str" cm="1">
        <f t="array" ref="K125">IFERROR(INDEX(Data_Input!$A$1:$ZZ$502, MATCH("총수익률", INDEX(Data_Input!$A$1:$ZZ$502, 0, MATCH(1, (Data_Input!$7:$7=$F$3)*(Data_Input!$8:$8=$B125), 0)), 0) + 1, MATCH(1, (Data_Input!$7:$7=$F$3)*(Data_Input!$8:$8=$B125), 0)),"")</f>
        <v/>
      </c>
      <c r="L125" t="str" cm="1">
        <f t="array" ref="L125">IFERROR(_xlfn.LET(
    _xlpm.targetDate, B125,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26" spans="1:12" x14ac:dyDescent="0.3">
      <c r="A126" s="16" t="str">
        <f t="shared" si="3"/>
        <v/>
      </c>
      <c r="B126" s="8"/>
      <c r="C126" s="17" t="str">
        <f t="shared" si="4"/>
        <v/>
      </c>
      <c r="D126" s="29" t="str" cm="1">
        <f t="array" ref="D126">IFERROR(INDEX(Data_Input!$1:$100, 10, MATCH(1, (Data_Input!$F$7:$ZZ$7=$F$3) * (Data_Input!$F$8:$ZZ$8=$B126), 0)),"")</f>
        <v/>
      </c>
      <c r="E126" s="29" t="str" cm="1">
        <f t="array" ref="E126">IFERROR(INDEX(Data_Input!$1:$100, 9, MATCH(1, (Data_Input!$7:$7=$F$3) * (Data_Input!$8:$8=$B126), 0)),"")</f>
        <v/>
      </c>
      <c r="F126" s="20" t="str" cm="1">
        <f t="array" ref="F126">IFERROR(INDEX(Data_Input!$A$1:$ZZ$502, MATCH("예수금", INDEX(Data_Input!$A$1:$ZZ$502, 0, MATCH(1, (Data_Input!$7:$7=$F$3)*(Data_Input!$8:$8=$B126), 0)), 0) + 1, MATCH(1, (Data_Input!$7:$7=$F$3)*(Data_Input!$8:$8=$B126), 0)),"")</f>
        <v/>
      </c>
      <c r="G126" s="20" t="str" cm="1">
        <f t="array" ref="G126">IFERROR(INDEX(Data_Input!$A$1:$ZZ$502, MATCH("총자산", INDEX(Data_Input!$A$1:$ZZ$502, 0, MATCH(1, (Data_Input!$7:$7=$F$3)*(Data_Input!$8:$8=$B126), 0)), 0) + 1, MATCH(1, (Data_Input!$7:$7=$F$3)*(Data_Input!$8:$8=$B126), 0)),"")</f>
        <v/>
      </c>
      <c r="H126" s="20" t="str" cm="1">
        <f t="array" ref="H126">IFERROR(INDEX(Data_Input!$A$1:$ZZ$502, MATCH("매입금액", INDEX(Data_Input!$A$1:$ZZ$502, 0, MATCH(1, (Data_Input!$7:$7=$F$3)*(Data_Input!$8:$8=$B126), 0)), 0) + 1, MATCH(1, (Data_Input!$7:$7=$F$3)*(Data_Input!$8:$8=$B126), 0)),"")</f>
        <v/>
      </c>
      <c r="I126" s="20" t="str" cm="1">
        <f t="array" ref="I126">IFERROR(INDEX(Data_Input!$A$1:$ZZ$502, MATCH("평가금액", INDEX(Data_Input!$A$1:$ZZ$502, 0, MATCH(1, (Data_Input!$7:$7=$F$3)*(Data_Input!$8:$8=$B126), 0)), 0) + 1, MATCH(1, (Data_Input!$7:$7=$F$3)*(Data_Input!$8:$8=$B126), 0)),"")</f>
        <v/>
      </c>
      <c r="J126" s="20" t="str" cm="1">
        <f t="array" ref="J126">IFERROR(INDEX(Data_Input!$A$1:$ZZ$502, MATCH("평가손익", INDEX(Data_Input!$A$1:$ZZ$502, 0, MATCH(1, (Data_Input!$7:$7=$F$3)*(Data_Input!$8:$8=$B126), 0)), 0) + 1, MATCH(1, (Data_Input!$7:$7=$F$3)*(Data_Input!$8:$8=$B126), 0)),"")</f>
        <v/>
      </c>
      <c r="K126" s="14" t="str" cm="1">
        <f t="array" ref="K126">IFERROR(INDEX(Data_Input!$A$1:$ZZ$502, MATCH("총수익률", INDEX(Data_Input!$A$1:$ZZ$502, 0, MATCH(1, (Data_Input!$7:$7=$F$3)*(Data_Input!$8:$8=$B126), 0)), 0) + 1, MATCH(1, (Data_Input!$7:$7=$F$3)*(Data_Input!$8:$8=$B126), 0)),"")</f>
        <v/>
      </c>
      <c r="L126" t="str" cm="1">
        <f t="array" ref="L126">IFERROR(_xlfn.LET(
    _xlpm.targetDate, B126,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27" spans="1:12" x14ac:dyDescent="0.3">
      <c r="A127" s="16" t="str">
        <f t="shared" si="3"/>
        <v/>
      </c>
      <c r="B127" s="8"/>
      <c r="C127" s="17" t="str">
        <f t="shared" si="4"/>
        <v/>
      </c>
      <c r="D127" s="29" t="str" cm="1">
        <f t="array" ref="D127">IFERROR(INDEX(Data_Input!$1:$100, 10, MATCH(1, (Data_Input!$F$7:$ZZ$7=$F$3) * (Data_Input!$F$8:$ZZ$8=$B127), 0)),"")</f>
        <v/>
      </c>
      <c r="E127" s="29" t="str" cm="1">
        <f t="array" ref="E127">IFERROR(INDEX(Data_Input!$1:$100, 9, MATCH(1, (Data_Input!$7:$7=$F$3) * (Data_Input!$8:$8=$B127), 0)),"")</f>
        <v/>
      </c>
      <c r="F127" s="20" t="str" cm="1">
        <f t="array" ref="F127">IFERROR(INDEX(Data_Input!$A$1:$ZZ$502, MATCH("예수금", INDEX(Data_Input!$A$1:$ZZ$502, 0, MATCH(1, (Data_Input!$7:$7=$F$3)*(Data_Input!$8:$8=$B127), 0)), 0) + 1, MATCH(1, (Data_Input!$7:$7=$F$3)*(Data_Input!$8:$8=$B127), 0)),"")</f>
        <v/>
      </c>
      <c r="G127" s="20" t="str" cm="1">
        <f t="array" ref="G127">IFERROR(INDEX(Data_Input!$A$1:$ZZ$502, MATCH("총자산", INDEX(Data_Input!$A$1:$ZZ$502, 0, MATCH(1, (Data_Input!$7:$7=$F$3)*(Data_Input!$8:$8=$B127), 0)), 0) + 1, MATCH(1, (Data_Input!$7:$7=$F$3)*(Data_Input!$8:$8=$B127), 0)),"")</f>
        <v/>
      </c>
      <c r="H127" s="20" t="str" cm="1">
        <f t="array" ref="H127">IFERROR(INDEX(Data_Input!$A$1:$ZZ$502, MATCH("매입금액", INDEX(Data_Input!$A$1:$ZZ$502, 0, MATCH(1, (Data_Input!$7:$7=$F$3)*(Data_Input!$8:$8=$B127), 0)), 0) + 1, MATCH(1, (Data_Input!$7:$7=$F$3)*(Data_Input!$8:$8=$B127), 0)),"")</f>
        <v/>
      </c>
      <c r="I127" s="20" t="str" cm="1">
        <f t="array" ref="I127">IFERROR(INDEX(Data_Input!$A$1:$ZZ$502, MATCH("평가금액", INDEX(Data_Input!$A$1:$ZZ$502, 0, MATCH(1, (Data_Input!$7:$7=$F$3)*(Data_Input!$8:$8=$B127), 0)), 0) + 1, MATCH(1, (Data_Input!$7:$7=$F$3)*(Data_Input!$8:$8=$B127), 0)),"")</f>
        <v/>
      </c>
      <c r="J127" s="20" t="str" cm="1">
        <f t="array" ref="J127">IFERROR(INDEX(Data_Input!$A$1:$ZZ$502, MATCH("평가손익", INDEX(Data_Input!$A$1:$ZZ$502, 0, MATCH(1, (Data_Input!$7:$7=$F$3)*(Data_Input!$8:$8=$B127), 0)), 0) + 1, MATCH(1, (Data_Input!$7:$7=$F$3)*(Data_Input!$8:$8=$B127), 0)),"")</f>
        <v/>
      </c>
      <c r="K127" s="14" t="str" cm="1">
        <f t="array" ref="K127">IFERROR(INDEX(Data_Input!$A$1:$ZZ$502, MATCH("총수익률", INDEX(Data_Input!$A$1:$ZZ$502, 0, MATCH(1, (Data_Input!$7:$7=$F$3)*(Data_Input!$8:$8=$B127), 0)), 0) + 1, MATCH(1, (Data_Input!$7:$7=$F$3)*(Data_Input!$8:$8=$B127), 0)),"")</f>
        <v/>
      </c>
      <c r="L127" t="str" cm="1">
        <f t="array" ref="L127">IFERROR(_xlfn.LET(
    _xlpm.targetDate, B127,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28" spans="1:12" x14ac:dyDescent="0.3">
      <c r="A128" s="16" t="str">
        <f t="shared" si="3"/>
        <v/>
      </c>
      <c r="B128" s="8"/>
      <c r="C128" s="17" t="str">
        <f t="shared" si="4"/>
        <v/>
      </c>
      <c r="D128" s="29" t="str" cm="1">
        <f t="array" ref="D128">IFERROR(INDEX(Data_Input!$1:$100, 10, MATCH(1, (Data_Input!$F$7:$ZZ$7=$F$3) * (Data_Input!$F$8:$ZZ$8=$B128), 0)),"")</f>
        <v/>
      </c>
      <c r="E128" s="29" t="str" cm="1">
        <f t="array" ref="E128">IFERROR(INDEX(Data_Input!$1:$100, 9, MATCH(1, (Data_Input!$7:$7=$F$3) * (Data_Input!$8:$8=$B128), 0)),"")</f>
        <v/>
      </c>
      <c r="F128" s="20" t="str" cm="1">
        <f t="array" ref="F128">IFERROR(INDEX(Data_Input!$A$1:$ZZ$502, MATCH("예수금", INDEX(Data_Input!$A$1:$ZZ$502, 0, MATCH(1, (Data_Input!$7:$7=$F$3)*(Data_Input!$8:$8=$B128), 0)), 0) + 1, MATCH(1, (Data_Input!$7:$7=$F$3)*(Data_Input!$8:$8=$B128), 0)),"")</f>
        <v/>
      </c>
      <c r="G128" s="20" t="str" cm="1">
        <f t="array" ref="G128">IFERROR(INDEX(Data_Input!$A$1:$ZZ$502, MATCH("총자산", INDEX(Data_Input!$A$1:$ZZ$502, 0, MATCH(1, (Data_Input!$7:$7=$F$3)*(Data_Input!$8:$8=$B128), 0)), 0) + 1, MATCH(1, (Data_Input!$7:$7=$F$3)*(Data_Input!$8:$8=$B128), 0)),"")</f>
        <v/>
      </c>
      <c r="H128" s="20" t="str" cm="1">
        <f t="array" ref="H128">IFERROR(INDEX(Data_Input!$A$1:$ZZ$502, MATCH("매입금액", INDEX(Data_Input!$A$1:$ZZ$502, 0, MATCH(1, (Data_Input!$7:$7=$F$3)*(Data_Input!$8:$8=$B128), 0)), 0) + 1, MATCH(1, (Data_Input!$7:$7=$F$3)*(Data_Input!$8:$8=$B128), 0)),"")</f>
        <v/>
      </c>
      <c r="I128" s="20" t="str" cm="1">
        <f t="array" ref="I128">IFERROR(INDEX(Data_Input!$A$1:$ZZ$502, MATCH("평가금액", INDEX(Data_Input!$A$1:$ZZ$502, 0, MATCH(1, (Data_Input!$7:$7=$F$3)*(Data_Input!$8:$8=$B128), 0)), 0) + 1, MATCH(1, (Data_Input!$7:$7=$F$3)*(Data_Input!$8:$8=$B128), 0)),"")</f>
        <v/>
      </c>
      <c r="J128" s="20" t="str" cm="1">
        <f t="array" ref="J128">IFERROR(INDEX(Data_Input!$A$1:$ZZ$502, MATCH("평가손익", INDEX(Data_Input!$A$1:$ZZ$502, 0, MATCH(1, (Data_Input!$7:$7=$F$3)*(Data_Input!$8:$8=$B128), 0)), 0) + 1, MATCH(1, (Data_Input!$7:$7=$F$3)*(Data_Input!$8:$8=$B128), 0)),"")</f>
        <v/>
      </c>
      <c r="K128" s="14" t="str" cm="1">
        <f t="array" ref="K128">IFERROR(INDEX(Data_Input!$A$1:$ZZ$502, MATCH("총수익률", INDEX(Data_Input!$A$1:$ZZ$502, 0, MATCH(1, (Data_Input!$7:$7=$F$3)*(Data_Input!$8:$8=$B128), 0)), 0) + 1, MATCH(1, (Data_Input!$7:$7=$F$3)*(Data_Input!$8:$8=$B128), 0)),"")</f>
        <v/>
      </c>
      <c r="L128" t="str" cm="1">
        <f t="array" ref="L128">IFERROR(_xlfn.LET(
    _xlpm.targetDate, B128,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29" spans="1:12" x14ac:dyDescent="0.3">
      <c r="A129" s="16" t="str">
        <f t="shared" si="3"/>
        <v/>
      </c>
      <c r="B129" s="8"/>
      <c r="C129" s="17" t="str">
        <f t="shared" si="4"/>
        <v/>
      </c>
      <c r="D129" s="29" t="str" cm="1">
        <f t="array" ref="D129">IFERROR(INDEX(Data_Input!$1:$100, 10, MATCH(1, (Data_Input!$F$7:$ZZ$7=$F$3) * (Data_Input!$F$8:$ZZ$8=$B129), 0)),"")</f>
        <v/>
      </c>
      <c r="E129" s="29" t="str" cm="1">
        <f t="array" ref="E129">IFERROR(INDEX(Data_Input!$1:$100, 9, MATCH(1, (Data_Input!$7:$7=$F$3) * (Data_Input!$8:$8=$B129), 0)),"")</f>
        <v/>
      </c>
      <c r="F129" s="20" t="str" cm="1">
        <f t="array" ref="F129">IFERROR(INDEX(Data_Input!$A$1:$ZZ$502, MATCH("예수금", INDEX(Data_Input!$A$1:$ZZ$502, 0, MATCH(1, (Data_Input!$7:$7=$F$3)*(Data_Input!$8:$8=$B129), 0)), 0) + 1, MATCH(1, (Data_Input!$7:$7=$F$3)*(Data_Input!$8:$8=$B129), 0)),"")</f>
        <v/>
      </c>
      <c r="G129" s="20" t="str" cm="1">
        <f t="array" ref="G129">IFERROR(INDEX(Data_Input!$A$1:$ZZ$502, MATCH("총자산", INDEX(Data_Input!$A$1:$ZZ$502, 0, MATCH(1, (Data_Input!$7:$7=$F$3)*(Data_Input!$8:$8=$B129), 0)), 0) + 1, MATCH(1, (Data_Input!$7:$7=$F$3)*(Data_Input!$8:$8=$B129), 0)),"")</f>
        <v/>
      </c>
      <c r="H129" s="20" t="str" cm="1">
        <f t="array" ref="H129">IFERROR(INDEX(Data_Input!$A$1:$ZZ$502, MATCH("매입금액", INDEX(Data_Input!$A$1:$ZZ$502, 0, MATCH(1, (Data_Input!$7:$7=$F$3)*(Data_Input!$8:$8=$B129), 0)), 0) + 1, MATCH(1, (Data_Input!$7:$7=$F$3)*(Data_Input!$8:$8=$B129), 0)),"")</f>
        <v/>
      </c>
      <c r="I129" s="20" t="str" cm="1">
        <f t="array" ref="I129">IFERROR(INDEX(Data_Input!$A$1:$ZZ$502, MATCH("평가금액", INDEX(Data_Input!$A$1:$ZZ$502, 0, MATCH(1, (Data_Input!$7:$7=$F$3)*(Data_Input!$8:$8=$B129), 0)), 0) + 1, MATCH(1, (Data_Input!$7:$7=$F$3)*(Data_Input!$8:$8=$B129), 0)),"")</f>
        <v/>
      </c>
      <c r="J129" s="20" t="str" cm="1">
        <f t="array" ref="J129">IFERROR(INDEX(Data_Input!$A$1:$ZZ$502, MATCH("평가손익", INDEX(Data_Input!$A$1:$ZZ$502, 0, MATCH(1, (Data_Input!$7:$7=$F$3)*(Data_Input!$8:$8=$B129), 0)), 0) + 1, MATCH(1, (Data_Input!$7:$7=$F$3)*(Data_Input!$8:$8=$B129), 0)),"")</f>
        <v/>
      </c>
      <c r="K129" s="14" t="str" cm="1">
        <f t="array" ref="K129">IFERROR(INDEX(Data_Input!$A$1:$ZZ$502, MATCH("총수익률", INDEX(Data_Input!$A$1:$ZZ$502, 0, MATCH(1, (Data_Input!$7:$7=$F$3)*(Data_Input!$8:$8=$B129), 0)), 0) + 1, MATCH(1, (Data_Input!$7:$7=$F$3)*(Data_Input!$8:$8=$B129), 0)),"")</f>
        <v/>
      </c>
      <c r="L129" t="str" cm="1">
        <f t="array" ref="L129">IFERROR(_xlfn.LET(
    _xlpm.targetDate, B129,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30" spans="1:12" x14ac:dyDescent="0.3">
      <c r="A130" s="16" t="str">
        <f t="shared" si="3"/>
        <v/>
      </c>
      <c r="B130" s="8"/>
      <c r="C130" s="17" t="str">
        <f t="shared" si="4"/>
        <v/>
      </c>
      <c r="D130" s="29" t="str" cm="1">
        <f t="array" ref="D130">IFERROR(INDEX(Data_Input!$1:$100, 10, MATCH(1, (Data_Input!$F$7:$ZZ$7=$F$3) * (Data_Input!$F$8:$ZZ$8=$B130), 0)),"")</f>
        <v/>
      </c>
      <c r="E130" s="29" t="str" cm="1">
        <f t="array" ref="E130">IFERROR(INDEX(Data_Input!$1:$100, 9, MATCH(1, (Data_Input!$7:$7=$F$3) * (Data_Input!$8:$8=$B130), 0)),"")</f>
        <v/>
      </c>
      <c r="F130" s="20" t="str" cm="1">
        <f t="array" ref="F130">IFERROR(INDEX(Data_Input!$A$1:$ZZ$502, MATCH("예수금", INDEX(Data_Input!$A$1:$ZZ$502, 0, MATCH(1, (Data_Input!$7:$7=$F$3)*(Data_Input!$8:$8=$B130), 0)), 0) + 1, MATCH(1, (Data_Input!$7:$7=$F$3)*(Data_Input!$8:$8=$B130), 0)),"")</f>
        <v/>
      </c>
      <c r="G130" s="20" t="str" cm="1">
        <f t="array" ref="G130">IFERROR(INDEX(Data_Input!$A$1:$ZZ$502, MATCH("총자산", INDEX(Data_Input!$A$1:$ZZ$502, 0, MATCH(1, (Data_Input!$7:$7=$F$3)*(Data_Input!$8:$8=$B130), 0)), 0) + 1, MATCH(1, (Data_Input!$7:$7=$F$3)*(Data_Input!$8:$8=$B130), 0)),"")</f>
        <v/>
      </c>
      <c r="H130" s="20" t="str" cm="1">
        <f t="array" ref="H130">IFERROR(INDEX(Data_Input!$A$1:$ZZ$502, MATCH("매입금액", INDEX(Data_Input!$A$1:$ZZ$502, 0, MATCH(1, (Data_Input!$7:$7=$F$3)*(Data_Input!$8:$8=$B130), 0)), 0) + 1, MATCH(1, (Data_Input!$7:$7=$F$3)*(Data_Input!$8:$8=$B130), 0)),"")</f>
        <v/>
      </c>
      <c r="I130" s="20" t="str" cm="1">
        <f t="array" ref="I130">IFERROR(INDEX(Data_Input!$A$1:$ZZ$502, MATCH("평가금액", INDEX(Data_Input!$A$1:$ZZ$502, 0, MATCH(1, (Data_Input!$7:$7=$F$3)*(Data_Input!$8:$8=$B130), 0)), 0) + 1, MATCH(1, (Data_Input!$7:$7=$F$3)*(Data_Input!$8:$8=$B130), 0)),"")</f>
        <v/>
      </c>
      <c r="J130" s="20" t="str" cm="1">
        <f t="array" ref="J130">IFERROR(INDEX(Data_Input!$A$1:$ZZ$502, MATCH("평가손익", INDEX(Data_Input!$A$1:$ZZ$502, 0, MATCH(1, (Data_Input!$7:$7=$F$3)*(Data_Input!$8:$8=$B130), 0)), 0) + 1, MATCH(1, (Data_Input!$7:$7=$F$3)*(Data_Input!$8:$8=$B130), 0)),"")</f>
        <v/>
      </c>
      <c r="K130" s="14" t="str" cm="1">
        <f t="array" ref="K130">IFERROR(INDEX(Data_Input!$A$1:$ZZ$502, MATCH("총수익률", INDEX(Data_Input!$A$1:$ZZ$502, 0, MATCH(1, (Data_Input!$7:$7=$F$3)*(Data_Input!$8:$8=$B130), 0)), 0) + 1, MATCH(1, (Data_Input!$7:$7=$F$3)*(Data_Input!$8:$8=$B130), 0)),"")</f>
        <v/>
      </c>
      <c r="L130" t="str" cm="1">
        <f t="array" ref="L130">IFERROR(_xlfn.LET(
    _xlpm.targetDate, B130,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31" spans="1:12" x14ac:dyDescent="0.3">
      <c r="A131" s="16" t="str">
        <f t="shared" si="3"/>
        <v/>
      </c>
      <c r="B131" s="8"/>
      <c r="C131" s="17" t="str">
        <f t="shared" si="4"/>
        <v/>
      </c>
      <c r="D131" s="29" t="str" cm="1">
        <f t="array" ref="D131">IFERROR(INDEX(Data_Input!$1:$100, 10, MATCH(1, (Data_Input!$F$7:$ZZ$7=$F$3) * (Data_Input!$F$8:$ZZ$8=$B131), 0)),"")</f>
        <v/>
      </c>
      <c r="E131" s="29" t="str" cm="1">
        <f t="array" ref="E131">IFERROR(INDEX(Data_Input!$1:$100, 9, MATCH(1, (Data_Input!$7:$7=$F$3) * (Data_Input!$8:$8=$B131), 0)),"")</f>
        <v/>
      </c>
      <c r="F131" s="20" t="str" cm="1">
        <f t="array" ref="F131">IFERROR(INDEX(Data_Input!$A$1:$ZZ$502, MATCH("예수금", INDEX(Data_Input!$A$1:$ZZ$502, 0, MATCH(1, (Data_Input!$7:$7=$F$3)*(Data_Input!$8:$8=$B131), 0)), 0) + 1, MATCH(1, (Data_Input!$7:$7=$F$3)*(Data_Input!$8:$8=$B131), 0)),"")</f>
        <v/>
      </c>
      <c r="G131" s="20" t="str" cm="1">
        <f t="array" ref="G131">IFERROR(INDEX(Data_Input!$A$1:$ZZ$502, MATCH("총자산", INDEX(Data_Input!$A$1:$ZZ$502, 0, MATCH(1, (Data_Input!$7:$7=$F$3)*(Data_Input!$8:$8=$B131), 0)), 0) + 1, MATCH(1, (Data_Input!$7:$7=$F$3)*(Data_Input!$8:$8=$B131), 0)),"")</f>
        <v/>
      </c>
      <c r="H131" s="20" t="str" cm="1">
        <f t="array" ref="H131">IFERROR(INDEX(Data_Input!$A$1:$ZZ$502, MATCH("매입금액", INDEX(Data_Input!$A$1:$ZZ$502, 0, MATCH(1, (Data_Input!$7:$7=$F$3)*(Data_Input!$8:$8=$B131), 0)), 0) + 1, MATCH(1, (Data_Input!$7:$7=$F$3)*(Data_Input!$8:$8=$B131), 0)),"")</f>
        <v/>
      </c>
      <c r="I131" s="20" t="str" cm="1">
        <f t="array" ref="I131">IFERROR(INDEX(Data_Input!$A$1:$ZZ$502, MATCH("평가금액", INDEX(Data_Input!$A$1:$ZZ$502, 0, MATCH(1, (Data_Input!$7:$7=$F$3)*(Data_Input!$8:$8=$B131), 0)), 0) + 1, MATCH(1, (Data_Input!$7:$7=$F$3)*(Data_Input!$8:$8=$B131), 0)),"")</f>
        <v/>
      </c>
      <c r="J131" s="20" t="str" cm="1">
        <f t="array" ref="J131">IFERROR(INDEX(Data_Input!$A$1:$ZZ$502, MATCH("평가손익", INDEX(Data_Input!$A$1:$ZZ$502, 0, MATCH(1, (Data_Input!$7:$7=$F$3)*(Data_Input!$8:$8=$B131), 0)), 0) + 1, MATCH(1, (Data_Input!$7:$7=$F$3)*(Data_Input!$8:$8=$B131), 0)),"")</f>
        <v/>
      </c>
      <c r="K131" s="14" t="str" cm="1">
        <f t="array" ref="K131">IFERROR(INDEX(Data_Input!$A$1:$ZZ$502, MATCH("총수익률", INDEX(Data_Input!$A$1:$ZZ$502, 0, MATCH(1, (Data_Input!$7:$7=$F$3)*(Data_Input!$8:$8=$B131), 0)), 0) + 1, MATCH(1, (Data_Input!$7:$7=$F$3)*(Data_Input!$8:$8=$B131), 0)),"")</f>
        <v/>
      </c>
      <c r="L131" t="str" cm="1">
        <f t="array" ref="L131">IFERROR(_xlfn.LET(
    _xlpm.targetDate, B131,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32" spans="1:12" x14ac:dyDescent="0.3">
      <c r="A132" s="16" t="str">
        <f t="shared" si="3"/>
        <v/>
      </c>
      <c r="B132" s="8"/>
      <c r="C132" s="17" t="str">
        <f t="shared" si="4"/>
        <v/>
      </c>
      <c r="D132" s="29" t="str" cm="1">
        <f t="array" ref="D132">IFERROR(INDEX(Data_Input!$1:$100, 10, MATCH(1, (Data_Input!$F$7:$ZZ$7=$F$3) * (Data_Input!$F$8:$ZZ$8=$B132), 0)),"")</f>
        <v/>
      </c>
      <c r="E132" s="29" t="str" cm="1">
        <f t="array" ref="E132">IFERROR(INDEX(Data_Input!$1:$100, 9, MATCH(1, (Data_Input!$7:$7=$F$3) * (Data_Input!$8:$8=$B132), 0)),"")</f>
        <v/>
      </c>
      <c r="F132" s="20" t="str" cm="1">
        <f t="array" ref="F132">IFERROR(INDEX(Data_Input!$A$1:$ZZ$502, MATCH("예수금", INDEX(Data_Input!$A$1:$ZZ$502, 0, MATCH(1, (Data_Input!$7:$7=$F$3)*(Data_Input!$8:$8=$B132), 0)), 0) + 1, MATCH(1, (Data_Input!$7:$7=$F$3)*(Data_Input!$8:$8=$B132), 0)),"")</f>
        <v/>
      </c>
      <c r="G132" s="20" t="str" cm="1">
        <f t="array" ref="G132">IFERROR(INDEX(Data_Input!$A$1:$ZZ$502, MATCH("총자산", INDEX(Data_Input!$A$1:$ZZ$502, 0, MATCH(1, (Data_Input!$7:$7=$F$3)*(Data_Input!$8:$8=$B132), 0)), 0) + 1, MATCH(1, (Data_Input!$7:$7=$F$3)*(Data_Input!$8:$8=$B132), 0)),"")</f>
        <v/>
      </c>
      <c r="H132" s="20" t="str" cm="1">
        <f t="array" ref="H132">IFERROR(INDEX(Data_Input!$A$1:$ZZ$502, MATCH("매입금액", INDEX(Data_Input!$A$1:$ZZ$502, 0, MATCH(1, (Data_Input!$7:$7=$F$3)*(Data_Input!$8:$8=$B132), 0)), 0) + 1, MATCH(1, (Data_Input!$7:$7=$F$3)*(Data_Input!$8:$8=$B132), 0)),"")</f>
        <v/>
      </c>
      <c r="I132" s="20" t="str" cm="1">
        <f t="array" ref="I132">IFERROR(INDEX(Data_Input!$A$1:$ZZ$502, MATCH("평가금액", INDEX(Data_Input!$A$1:$ZZ$502, 0, MATCH(1, (Data_Input!$7:$7=$F$3)*(Data_Input!$8:$8=$B132), 0)), 0) + 1, MATCH(1, (Data_Input!$7:$7=$F$3)*(Data_Input!$8:$8=$B132), 0)),"")</f>
        <v/>
      </c>
      <c r="J132" s="20" t="str" cm="1">
        <f t="array" ref="J132">IFERROR(INDEX(Data_Input!$A$1:$ZZ$502, MATCH("평가손익", INDEX(Data_Input!$A$1:$ZZ$502, 0, MATCH(1, (Data_Input!$7:$7=$F$3)*(Data_Input!$8:$8=$B132), 0)), 0) + 1, MATCH(1, (Data_Input!$7:$7=$F$3)*(Data_Input!$8:$8=$B132), 0)),"")</f>
        <v/>
      </c>
      <c r="K132" s="14" t="str" cm="1">
        <f t="array" ref="K132">IFERROR(INDEX(Data_Input!$A$1:$ZZ$502, MATCH("총수익률", INDEX(Data_Input!$A$1:$ZZ$502, 0, MATCH(1, (Data_Input!$7:$7=$F$3)*(Data_Input!$8:$8=$B132), 0)), 0) + 1, MATCH(1, (Data_Input!$7:$7=$F$3)*(Data_Input!$8:$8=$B132), 0)),"")</f>
        <v/>
      </c>
      <c r="L132" t="str" cm="1">
        <f t="array" ref="L132">IFERROR(_xlfn.LET(
    _xlpm.targetDate, B132,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33" spans="1:12" x14ac:dyDescent="0.3">
      <c r="A133" s="16" t="str">
        <f t="shared" si="3"/>
        <v/>
      </c>
      <c r="B133" s="8"/>
      <c r="C133" s="17" t="str">
        <f t="shared" si="4"/>
        <v/>
      </c>
      <c r="D133" s="29" t="str" cm="1">
        <f t="array" ref="D133">IFERROR(INDEX(Data_Input!$1:$100, 10, MATCH(1, (Data_Input!$F$7:$ZZ$7=$F$3) * (Data_Input!$F$8:$ZZ$8=$B133), 0)),"")</f>
        <v/>
      </c>
      <c r="E133" s="29" t="str" cm="1">
        <f t="array" ref="E133">IFERROR(INDEX(Data_Input!$1:$100, 9, MATCH(1, (Data_Input!$7:$7=$F$3) * (Data_Input!$8:$8=$B133), 0)),"")</f>
        <v/>
      </c>
      <c r="F133" s="20" t="str" cm="1">
        <f t="array" ref="F133">IFERROR(INDEX(Data_Input!$A$1:$ZZ$502, MATCH("예수금", INDEX(Data_Input!$A$1:$ZZ$502, 0, MATCH(1, (Data_Input!$7:$7=$F$3)*(Data_Input!$8:$8=$B133), 0)), 0) + 1, MATCH(1, (Data_Input!$7:$7=$F$3)*(Data_Input!$8:$8=$B133), 0)),"")</f>
        <v/>
      </c>
      <c r="G133" s="20" t="str" cm="1">
        <f t="array" ref="G133">IFERROR(INDEX(Data_Input!$A$1:$ZZ$502, MATCH("총자산", INDEX(Data_Input!$A$1:$ZZ$502, 0, MATCH(1, (Data_Input!$7:$7=$F$3)*(Data_Input!$8:$8=$B133), 0)), 0) + 1, MATCH(1, (Data_Input!$7:$7=$F$3)*(Data_Input!$8:$8=$B133), 0)),"")</f>
        <v/>
      </c>
      <c r="H133" s="20" t="str" cm="1">
        <f t="array" ref="H133">IFERROR(INDEX(Data_Input!$A$1:$ZZ$502, MATCH("매입금액", INDEX(Data_Input!$A$1:$ZZ$502, 0, MATCH(1, (Data_Input!$7:$7=$F$3)*(Data_Input!$8:$8=$B133), 0)), 0) + 1, MATCH(1, (Data_Input!$7:$7=$F$3)*(Data_Input!$8:$8=$B133), 0)),"")</f>
        <v/>
      </c>
      <c r="I133" s="20" t="str" cm="1">
        <f t="array" ref="I133">IFERROR(INDEX(Data_Input!$A$1:$ZZ$502, MATCH("평가금액", INDEX(Data_Input!$A$1:$ZZ$502, 0, MATCH(1, (Data_Input!$7:$7=$F$3)*(Data_Input!$8:$8=$B133), 0)), 0) + 1, MATCH(1, (Data_Input!$7:$7=$F$3)*(Data_Input!$8:$8=$B133), 0)),"")</f>
        <v/>
      </c>
      <c r="J133" s="20" t="str" cm="1">
        <f t="array" ref="J133">IFERROR(INDEX(Data_Input!$A$1:$ZZ$502, MATCH("평가손익", INDEX(Data_Input!$A$1:$ZZ$502, 0, MATCH(1, (Data_Input!$7:$7=$F$3)*(Data_Input!$8:$8=$B133), 0)), 0) + 1, MATCH(1, (Data_Input!$7:$7=$F$3)*(Data_Input!$8:$8=$B133), 0)),"")</f>
        <v/>
      </c>
      <c r="K133" s="14" t="str" cm="1">
        <f t="array" ref="K133">IFERROR(INDEX(Data_Input!$A$1:$ZZ$502, MATCH("총수익률", INDEX(Data_Input!$A$1:$ZZ$502, 0, MATCH(1, (Data_Input!$7:$7=$F$3)*(Data_Input!$8:$8=$B133), 0)), 0) + 1, MATCH(1, (Data_Input!$7:$7=$F$3)*(Data_Input!$8:$8=$B133), 0)),"")</f>
        <v/>
      </c>
      <c r="L133" t="str" cm="1">
        <f t="array" ref="L133">IFERROR(_xlfn.LET(
    _xlpm.targetDate, B133,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34" spans="1:12" x14ac:dyDescent="0.3">
      <c r="A134" s="16" t="str">
        <f t="shared" si="3"/>
        <v/>
      </c>
      <c r="B134" s="8"/>
      <c r="C134" s="17" t="str">
        <f t="shared" si="4"/>
        <v/>
      </c>
      <c r="D134" s="29" t="str" cm="1">
        <f t="array" ref="D134">IFERROR(INDEX(Data_Input!$1:$100, 10, MATCH(1, (Data_Input!$F$7:$ZZ$7=$F$3) * (Data_Input!$F$8:$ZZ$8=$B134), 0)),"")</f>
        <v/>
      </c>
      <c r="E134" s="29" t="str" cm="1">
        <f t="array" ref="E134">IFERROR(INDEX(Data_Input!$1:$100, 9, MATCH(1, (Data_Input!$7:$7=$F$3) * (Data_Input!$8:$8=$B134), 0)),"")</f>
        <v/>
      </c>
      <c r="F134" s="20" t="str" cm="1">
        <f t="array" ref="F134">IFERROR(INDEX(Data_Input!$A$1:$ZZ$502, MATCH("예수금", INDEX(Data_Input!$A$1:$ZZ$502, 0, MATCH(1, (Data_Input!$7:$7=$F$3)*(Data_Input!$8:$8=$B134), 0)), 0) + 1, MATCH(1, (Data_Input!$7:$7=$F$3)*(Data_Input!$8:$8=$B134), 0)),"")</f>
        <v/>
      </c>
      <c r="G134" s="20" t="str" cm="1">
        <f t="array" ref="G134">IFERROR(INDEX(Data_Input!$A$1:$ZZ$502, MATCH("총자산", INDEX(Data_Input!$A$1:$ZZ$502, 0, MATCH(1, (Data_Input!$7:$7=$F$3)*(Data_Input!$8:$8=$B134), 0)), 0) + 1, MATCH(1, (Data_Input!$7:$7=$F$3)*(Data_Input!$8:$8=$B134), 0)),"")</f>
        <v/>
      </c>
      <c r="H134" s="20" t="str" cm="1">
        <f t="array" ref="H134">IFERROR(INDEX(Data_Input!$A$1:$ZZ$502, MATCH("매입금액", INDEX(Data_Input!$A$1:$ZZ$502, 0, MATCH(1, (Data_Input!$7:$7=$F$3)*(Data_Input!$8:$8=$B134), 0)), 0) + 1, MATCH(1, (Data_Input!$7:$7=$F$3)*(Data_Input!$8:$8=$B134), 0)),"")</f>
        <v/>
      </c>
      <c r="I134" s="20" t="str" cm="1">
        <f t="array" ref="I134">IFERROR(INDEX(Data_Input!$A$1:$ZZ$502, MATCH("평가금액", INDEX(Data_Input!$A$1:$ZZ$502, 0, MATCH(1, (Data_Input!$7:$7=$F$3)*(Data_Input!$8:$8=$B134), 0)), 0) + 1, MATCH(1, (Data_Input!$7:$7=$F$3)*(Data_Input!$8:$8=$B134), 0)),"")</f>
        <v/>
      </c>
      <c r="J134" s="20" t="str" cm="1">
        <f t="array" ref="J134">IFERROR(INDEX(Data_Input!$A$1:$ZZ$502, MATCH("평가손익", INDEX(Data_Input!$A$1:$ZZ$502, 0, MATCH(1, (Data_Input!$7:$7=$F$3)*(Data_Input!$8:$8=$B134), 0)), 0) + 1, MATCH(1, (Data_Input!$7:$7=$F$3)*(Data_Input!$8:$8=$B134), 0)),"")</f>
        <v/>
      </c>
      <c r="K134" s="14" t="str" cm="1">
        <f t="array" ref="K134">IFERROR(INDEX(Data_Input!$A$1:$ZZ$502, MATCH("총수익률", INDEX(Data_Input!$A$1:$ZZ$502, 0, MATCH(1, (Data_Input!$7:$7=$F$3)*(Data_Input!$8:$8=$B134), 0)), 0) + 1, MATCH(1, (Data_Input!$7:$7=$F$3)*(Data_Input!$8:$8=$B134), 0)),"")</f>
        <v/>
      </c>
      <c r="L134" t="str" cm="1">
        <f t="array" ref="L134">IFERROR(_xlfn.LET(
    _xlpm.targetDate, B134,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35" spans="1:12" x14ac:dyDescent="0.3">
      <c r="A135" s="16" t="str">
        <f t="shared" ref="A135:A198" si="5">IF(B135&gt;0,A134+1,"")</f>
        <v/>
      </c>
      <c r="B135" s="8"/>
      <c r="C135" s="17" t="str">
        <f t="shared" si="4"/>
        <v/>
      </c>
      <c r="D135" s="29" t="str" cm="1">
        <f t="array" ref="D135">IFERROR(INDEX(Data_Input!$1:$100, 10, MATCH(1, (Data_Input!$F$7:$ZZ$7=$F$3) * (Data_Input!$F$8:$ZZ$8=$B135), 0)),"")</f>
        <v/>
      </c>
      <c r="E135" s="29" t="str" cm="1">
        <f t="array" ref="E135">IFERROR(INDEX(Data_Input!$1:$100, 9, MATCH(1, (Data_Input!$7:$7=$F$3) * (Data_Input!$8:$8=$B135), 0)),"")</f>
        <v/>
      </c>
      <c r="F135" s="20" t="str" cm="1">
        <f t="array" ref="F135">IFERROR(INDEX(Data_Input!$A$1:$ZZ$502, MATCH("예수금", INDEX(Data_Input!$A$1:$ZZ$502, 0, MATCH(1, (Data_Input!$7:$7=$F$3)*(Data_Input!$8:$8=$B135), 0)), 0) + 1, MATCH(1, (Data_Input!$7:$7=$F$3)*(Data_Input!$8:$8=$B135), 0)),"")</f>
        <v/>
      </c>
      <c r="G135" s="20" t="str" cm="1">
        <f t="array" ref="G135">IFERROR(INDEX(Data_Input!$A$1:$ZZ$502, MATCH("총자산", INDEX(Data_Input!$A$1:$ZZ$502, 0, MATCH(1, (Data_Input!$7:$7=$F$3)*(Data_Input!$8:$8=$B135), 0)), 0) + 1, MATCH(1, (Data_Input!$7:$7=$F$3)*(Data_Input!$8:$8=$B135), 0)),"")</f>
        <v/>
      </c>
      <c r="H135" s="20" t="str" cm="1">
        <f t="array" ref="H135">IFERROR(INDEX(Data_Input!$A$1:$ZZ$502, MATCH("매입금액", INDEX(Data_Input!$A$1:$ZZ$502, 0, MATCH(1, (Data_Input!$7:$7=$F$3)*(Data_Input!$8:$8=$B135), 0)), 0) + 1, MATCH(1, (Data_Input!$7:$7=$F$3)*(Data_Input!$8:$8=$B135), 0)),"")</f>
        <v/>
      </c>
      <c r="I135" s="20" t="str" cm="1">
        <f t="array" ref="I135">IFERROR(INDEX(Data_Input!$A$1:$ZZ$502, MATCH("평가금액", INDEX(Data_Input!$A$1:$ZZ$502, 0, MATCH(1, (Data_Input!$7:$7=$F$3)*(Data_Input!$8:$8=$B135), 0)), 0) + 1, MATCH(1, (Data_Input!$7:$7=$F$3)*(Data_Input!$8:$8=$B135), 0)),"")</f>
        <v/>
      </c>
      <c r="J135" s="20" t="str" cm="1">
        <f t="array" ref="J135">IFERROR(INDEX(Data_Input!$A$1:$ZZ$502, MATCH("평가손익", INDEX(Data_Input!$A$1:$ZZ$502, 0, MATCH(1, (Data_Input!$7:$7=$F$3)*(Data_Input!$8:$8=$B135), 0)), 0) + 1, MATCH(1, (Data_Input!$7:$7=$F$3)*(Data_Input!$8:$8=$B135), 0)),"")</f>
        <v/>
      </c>
      <c r="K135" s="14" t="str" cm="1">
        <f t="array" ref="K135">IFERROR(INDEX(Data_Input!$A$1:$ZZ$502, MATCH("총수익률", INDEX(Data_Input!$A$1:$ZZ$502, 0, MATCH(1, (Data_Input!$7:$7=$F$3)*(Data_Input!$8:$8=$B135), 0)), 0) + 1, MATCH(1, (Data_Input!$7:$7=$F$3)*(Data_Input!$8:$8=$B135), 0)),"")</f>
        <v/>
      </c>
      <c r="L135" t="str" cm="1">
        <f t="array" ref="L135">IFERROR(_xlfn.LET(
    _xlpm.targetDate, B135,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36" spans="1:12" x14ac:dyDescent="0.3">
      <c r="A136" s="16" t="str">
        <f t="shared" si="5"/>
        <v/>
      </c>
      <c r="B136" s="8"/>
      <c r="C136" s="17" t="str">
        <f t="shared" si="4"/>
        <v/>
      </c>
      <c r="D136" s="29" t="str" cm="1">
        <f t="array" ref="D136">IFERROR(INDEX(Data_Input!$1:$100, 10, MATCH(1, (Data_Input!$F$7:$ZZ$7=$F$3) * (Data_Input!$F$8:$ZZ$8=$B136), 0)),"")</f>
        <v/>
      </c>
      <c r="E136" s="29" t="str" cm="1">
        <f t="array" ref="E136">IFERROR(INDEX(Data_Input!$1:$100, 9, MATCH(1, (Data_Input!$7:$7=$F$3) * (Data_Input!$8:$8=$B136), 0)),"")</f>
        <v/>
      </c>
      <c r="F136" s="20" t="str" cm="1">
        <f t="array" ref="F136">IFERROR(INDEX(Data_Input!$A$1:$ZZ$502, MATCH("예수금", INDEX(Data_Input!$A$1:$ZZ$502, 0, MATCH(1, (Data_Input!$7:$7=$F$3)*(Data_Input!$8:$8=$B136), 0)), 0) + 1, MATCH(1, (Data_Input!$7:$7=$F$3)*(Data_Input!$8:$8=$B136), 0)),"")</f>
        <v/>
      </c>
      <c r="G136" s="20" t="str" cm="1">
        <f t="array" ref="G136">IFERROR(INDEX(Data_Input!$A$1:$ZZ$502, MATCH("총자산", INDEX(Data_Input!$A$1:$ZZ$502, 0, MATCH(1, (Data_Input!$7:$7=$F$3)*(Data_Input!$8:$8=$B136), 0)), 0) + 1, MATCH(1, (Data_Input!$7:$7=$F$3)*(Data_Input!$8:$8=$B136), 0)),"")</f>
        <v/>
      </c>
      <c r="H136" s="20" t="str" cm="1">
        <f t="array" ref="H136">IFERROR(INDEX(Data_Input!$A$1:$ZZ$502, MATCH("매입금액", INDEX(Data_Input!$A$1:$ZZ$502, 0, MATCH(1, (Data_Input!$7:$7=$F$3)*(Data_Input!$8:$8=$B136), 0)), 0) + 1, MATCH(1, (Data_Input!$7:$7=$F$3)*(Data_Input!$8:$8=$B136), 0)),"")</f>
        <v/>
      </c>
      <c r="I136" s="20" t="str" cm="1">
        <f t="array" ref="I136">IFERROR(INDEX(Data_Input!$A$1:$ZZ$502, MATCH("평가금액", INDEX(Data_Input!$A$1:$ZZ$502, 0, MATCH(1, (Data_Input!$7:$7=$F$3)*(Data_Input!$8:$8=$B136), 0)), 0) + 1, MATCH(1, (Data_Input!$7:$7=$F$3)*(Data_Input!$8:$8=$B136), 0)),"")</f>
        <v/>
      </c>
      <c r="J136" s="20" t="str" cm="1">
        <f t="array" ref="J136">IFERROR(INDEX(Data_Input!$A$1:$ZZ$502, MATCH("평가손익", INDEX(Data_Input!$A$1:$ZZ$502, 0, MATCH(1, (Data_Input!$7:$7=$F$3)*(Data_Input!$8:$8=$B136), 0)), 0) + 1, MATCH(1, (Data_Input!$7:$7=$F$3)*(Data_Input!$8:$8=$B136), 0)),"")</f>
        <v/>
      </c>
      <c r="K136" s="14" t="str" cm="1">
        <f t="array" ref="K136">IFERROR(INDEX(Data_Input!$A$1:$ZZ$502, MATCH("총수익률", INDEX(Data_Input!$A$1:$ZZ$502, 0, MATCH(1, (Data_Input!$7:$7=$F$3)*(Data_Input!$8:$8=$B136), 0)), 0) + 1, MATCH(1, (Data_Input!$7:$7=$F$3)*(Data_Input!$8:$8=$B136), 0)),"")</f>
        <v/>
      </c>
      <c r="L136" t="str" cm="1">
        <f t="array" ref="L136">IFERROR(_xlfn.LET(
    _xlpm.targetDate, B136,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37" spans="1:12" x14ac:dyDescent="0.3">
      <c r="A137" s="16" t="str">
        <f t="shared" si="5"/>
        <v/>
      </c>
      <c r="B137" s="8"/>
      <c r="C137" s="17" t="str">
        <f t="shared" si="4"/>
        <v/>
      </c>
      <c r="D137" s="29" t="str" cm="1">
        <f t="array" ref="D137">IFERROR(INDEX(Data_Input!$1:$100, 10, MATCH(1, (Data_Input!$F$7:$ZZ$7=$F$3) * (Data_Input!$F$8:$ZZ$8=$B137), 0)),"")</f>
        <v/>
      </c>
      <c r="E137" s="29" t="str" cm="1">
        <f t="array" ref="E137">IFERROR(INDEX(Data_Input!$1:$100, 9, MATCH(1, (Data_Input!$7:$7=$F$3) * (Data_Input!$8:$8=$B137), 0)),"")</f>
        <v/>
      </c>
      <c r="F137" s="20" t="str" cm="1">
        <f t="array" ref="F137">IFERROR(INDEX(Data_Input!$A$1:$ZZ$502, MATCH("예수금", INDEX(Data_Input!$A$1:$ZZ$502, 0, MATCH(1, (Data_Input!$7:$7=$F$3)*(Data_Input!$8:$8=$B137), 0)), 0) + 1, MATCH(1, (Data_Input!$7:$7=$F$3)*(Data_Input!$8:$8=$B137), 0)),"")</f>
        <v/>
      </c>
      <c r="G137" s="20" t="str" cm="1">
        <f t="array" ref="G137">IFERROR(INDEX(Data_Input!$A$1:$ZZ$502, MATCH("총자산", INDEX(Data_Input!$A$1:$ZZ$502, 0, MATCH(1, (Data_Input!$7:$7=$F$3)*(Data_Input!$8:$8=$B137), 0)), 0) + 1, MATCH(1, (Data_Input!$7:$7=$F$3)*(Data_Input!$8:$8=$B137), 0)),"")</f>
        <v/>
      </c>
      <c r="H137" s="20" t="str" cm="1">
        <f t="array" ref="H137">IFERROR(INDEX(Data_Input!$A$1:$ZZ$502, MATCH("매입금액", INDEX(Data_Input!$A$1:$ZZ$502, 0, MATCH(1, (Data_Input!$7:$7=$F$3)*(Data_Input!$8:$8=$B137), 0)), 0) + 1, MATCH(1, (Data_Input!$7:$7=$F$3)*(Data_Input!$8:$8=$B137), 0)),"")</f>
        <v/>
      </c>
      <c r="I137" s="20" t="str" cm="1">
        <f t="array" ref="I137">IFERROR(INDEX(Data_Input!$A$1:$ZZ$502, MATCH("평가금액", INDEX(Data_Input!$A$1:$ZZ$502, 0, MATCH(1, (Data_Input!$7:$7=$F$3)*(Data_Input!$8:$8=$B137), 0)), 0) + 1, MATCH(1, (Data_Input!$7:$7=$F$3)*(Data_Input!$8:$8=$B137), 0)),"")</f>
        <v/>
      </c>
      <c r="J137" s="20" t="str" cm="1">
        <f t="array" ref="J137">IFERROR(INDEX(Data_Input!$A$1:$ZZ$502, MATCH("평가손익", INDEX(Data_Input!$A$1:$ZZ$502, 0, MATCH(1, (Data_Input!$7:$7=$F$3)*(Data_Input!$8:$8=$B137), 0)), 0) + 1, MATCH(1, (Data_Input!$7:$7=$F$3)*(Data_Input!$8:$8=$B137), 0)),"")</f>
        <v/>
      </c>
      <c r="K137" s="14" t="str" cm="1">
        <f t="array" ref="K137">IFERROR(INDEX(Data_Input!$A$1:$ZZ$502, MATCH("총수익률", INDEX(Data_Input!$A$1:$ZZ$502, 0, MATCH(1, (Data_Input!$7:$7=$F$3)*(Data_Input!$8:$8=$B137), 0)), 0) + 1, MATCH(1, (Data_Input!$7:$7=$F$3)*(Data_Input!$8:$8=$B137), 0)),"")</f>
        <v/>
      </c>
      <c r="L137" t="str" cm="1">
        <f t="array" ref="L137">IFERROR(_xlfn.LET(
    _xlpm.targetDate, B137,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38" spans="1:12" x14ac:dyDescent="0.3">
      <c r="A138" s="16" t="str">
        <f t="shared" si="5"/>
        <v/>
      </c>
      <c r="B138" s="8"/>
      <c r="C138" s="17" t="str">
        <f t="shared" ref="C138:C201" si="6">IF(B138&gt;0,C137,"")</f>
        <v/>
      </c>
      <c r="D138" s="29" t="str" cm="1">
        <f t="array" ref="D138">IFERROR(INDEX(Data_Input!$1:$100, 10, MATCH(1, (Data_Input!$F$7:$ZZ$7=$F$3) * (Data_Input!$F$8:$ZZ$8=$B138), 0)),"")</f>
        <v/>
      </c>
      <c r="E138" s="29" t="str" cm="1">
        <f t="array" ref="E138">IFERROR(INDEX(Data_Input!$1:$100, 9, MATCH(1, (Data_Input!$7:$7=$F$3) * (Data_Input!$8:$8=$B138), 0)),"")</f>
        <v/>
      </c>
      <c r="F138" s="20" t="str" cm="1">
        <f t="array" ref="F138">IFERROR(INDEX(Data_Input!$A$1:$ZZ$502, MATCH("예수금", INDEX(Data_Input!$A$1:$ZZ$502, 0, MATCH(1, (Data_Input!$7:$7=$F$3)*(Data_Input!$8:$8=$B138), 0)), 0) + 1, MATCH(1, (Data_Input!$7:$7=$F$3)*(Data_Input!$8:$8=$B138), 0)),"")</f>
        <v/>
      </c>
      <c r="G138" s="20" t="str" cm="1">
        <f t="array" ref="G138">IFERROR(INDEX(Data_Input!$A$1:$ZZ$502, MATCH("총자산", INDEX(Data_Input!$A$1:$ZZ$502, 0, MATCH(1, (Data_Input!$7:$7=$F$3)*(Data_Input!$8:$8=$B138), 0)), 0) + 1, MATCH(1, (Data_Input!$7:$7=$F$3)*(Data_Input!$8:$8=$B138), 0)),"")</f>
        <v/>
      </c>
      <c r="H138" s="20" t="str" cm="1">
        <f t="array" ref="H138">IFERROR(INDEX(Data_Input!$A$1:$ZZ$502, MATCH("매입금액", INDEX(Data_Input!$A$1:$ZZ$502, 0, MATCH(1, (Data_Input!$7:$7=$F$3)*(Data_Input!$8:$8=$B138), 0)), 0) + 1, MATCH(1, (Data_Input!$7:$7=$F$3)*(Data_Input!$8:$8=$B138), 0)),"")</f>
        <v/>
      </c>
      <c r="I138" s="20" t="str" cm="1">
        <f t="array" ref="I138">IFERROR(INDEX(Data_Input!$A$1:$ZZ$502, MATCH("평가금액", INDEX(Data_Input!$A$1:$ZZ$502, 0, MATCH(1, (Data_Input!$7:$7=$F$3)*(Data_Input!$8:$8=$B138), 0)), 0) + 1, MATCH(1, (Data_Input!$7:$7=$F$3)*(Data_Input!$8:$8=$B138), 0)),"")</f>
        <v/>
      </c>
      <c r="J138" s="20" t="str" cm="1">
        <f t="array" ref="J138">IFERROR(INDEX(Data_Input!$A$1:$ZZ$502, MATCH("평가손익", INDEX(Data_Input!$A$1:$ZZ$502, 0, MATCH(1, (Data_Input!$7:$7=$F$3)*(Data_Input!$8:$8=$B138), 0)), 0) + 1, MATCH(1, (Data_Input!$7:$7=$F$3)*(Data_Input!$8:$8=$B138), 0)),"")</f>
        <v/>
      </c>
      <c r="K138" s="14" t="str" cm="1">
        <f t="array" ref="K138">IFERROR(INDEX(Data_Input!$A$1:$ZZ$502, MATCH("총수익률", INDEX(Data_Input!$A$1:$ZZ$502, 0, MATCH(1, (Data_Input!$7:$7=$F$3)*(Data_Input!$8:$8=$B138), 0)), 0) + 1, MATCH(1, (Data_Input!$7:$7=$F$3)*(Data_Input!$8:$8=$B138), 0)),"")</f>
        <v/>
      </c>
      <c r="L138" t="str" cm="1">
        <f t="array" ref="L138">IFERROR(_xlfn.LET(
    _xlpm.targetDate, B138,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39" spans="1:12" x14ac:dyDescent="0.3">
      <c r="A139" s="16" t="str">
        <f t="shared" si="5"/>
        <v/>
      </c>
      <c r="B139" s="8"/>
      <c r="C139" s="17" t="str">
        <f t="shared" si="6"/>
        <v/>
      </c>
      <c r="D139" s="29" t="str" cm="1">
        <f t="array" ref="D139">IFERROR(INDEX(Data_Input!$1:$100, 10, MATCH(1, (Data_Input!$F$7:$ZZ$7=$F$3) * (Data_Input!$F$8:$ZZ$8=$B139), 0)),"")</f>
        <v/>
      </c>
      <c r="E139" s="29" t="str" cm="1">
        <f t="array" ref="E139">IFERROR(INDEX(Data_Input!$1:$100, 9, MATCH(1, (Data_Input!$7:$7=$F$3) * (Data_Input!$8:$8=$B139), 0)),"")</f>
        <v/>
      </c>
      <c r="F139" s="20" t="str" cm="1">
        <f t="array" ref="F139">IFERROR(INDEX(Data_Input!$A$1:$ZZ$502, MATCH("예수금", INDEX(Data_Input!$A$1:$ZZ$502, 0, MATCH(1, (Data_Input!$7:$7=$F$3)*(Data_Input!$8:$8=$B139), 0)), 0) + 1, MATCH(1, (Data_Input!$7:$7=$F$3)*(Data_Input!$8:$8=$B139), 0)),"")</f>
        <v/>
      </c>
      <c r="G139" s="20" t="str" cm="1">
        <f t="array" ref="G139">IFERROR(INDEX(Data_Input!$A$1:$ZZ$502, MATCH("총자산", INDEX(Data_Input!$A$1:$ZZ$502, 0, MATCH(1, (Data_Input!$7:$7=$F$3)*(Data_Input!$8:$8=$B139), 0)), 0) + 1, MATCH(1, (Data_Input!$7:$7=$F$3)*(Data_Input!$8:$8=$B139), 0)),"")</f>
        <v/>
      </c>
      <c r="H139" s="20" t="str" cm="1">
        <f t="array" ref="H139">IFERROR(INDEX(Data_Input!$A$1:$ZZ$502, MATCH("매입금액", INDEX(Data_Input!$A$1:$ZZ$502, 0, MATCH(1, (Data_Input!$7:$7=$F$3)*(Data_Input!$8:$8=$B139), 0)), 0) + 1, MATCH(1, (Data_Input!$7:$7=$F$3)*(Data_Input!$8:$8=$B139), 0)),"")</f>
        <v/>
      </c>
      <c r="I139" s="20" t="str" cm="1">
        <f t="array" ref="I139">IFERROR(INDEX(Data_Input!$A$1:$ZZ$502, MATCH("평가금액", INDEX(Data_Input!$A$1:$ZZ$502, 0, MATCH(1, (Data_Input!$7:$7=$F$3)*(Data_Input!$8:$8=$B139), 0)), 0) + 1, MATCH(1, (Data_Input!$7:$7=$F$3)*(Data_Input!$8:$8=$B139), 0)),"")</f>
        <v/>
      </c>
      <c r="J139" s="20" t="str" cm="1">
        <f t="array" ref="J139">IFERROR(INDEX(Data_Input!$A$1:$ZZ$502, MATCH("평가손익", INDEX(Data_Input!$A$1:$ZZ$502, 0, MATCH(1, (Data_Input!$7:$7=$F$3)*(Data_Input!$8:$8=$B139), 0)), 0) + 1, MATCH(1, (Data_Input!$7:$7=$F$3)*(Data_Input!$8:$8=$B139), 0)),"")</f>
        <v/>
      </c>
      <c r="K139" s="14" t="str" cm="1">
        <f t="array" ref="K139">IFERROR(INDEX(Data_Input!$A$1:$ZZ$502, MATCH("총수익률", INDEX(Data_Input!$A$1:$ZZ$502, 0, MATCH(1, (Data_Input!$7:$7=$F$3)*(Data_Input!$8:$8=$B139), 0)), 0) + 1, MATCH(1, (Data_Input!$7:$7=$F$3)*(Data_Input!$8:$8=$B139), 0)),"")</f>
        <v/>
      </c>
      <c r="L139" t="str" cm="1">
        <f t="array" ref="L139">IFERROR(_xlfn.LET(
    _xlpm.targetDate, B139,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40" spans="1:12" x14ac:dyDescent="0.3">
      <c r="A140" s="16" t="str">
        <f t="shared" si="5"/>
        <v/>
      </c>
      <c r="B140" s="8"/>
      <c r="C140" s="17" t="str">
        <f t="shared" si="6"/>
        <v/>
      </c>
      <c r="D140" s="29" t="str" cm="1">
        <f t="array" ref="D140">IFERROR(INDEX(Data_Input!$1:$100, 10, MATCH(1, (Data_Input!$F$7:$ZZ$7=$F$3) * (Data_Input!$F$8:$ZZ$8=$B140), 0)),"")</f>
        <v/>
      </c>
      <c r="E140" s="29" t="str" cm="1">
        <f t="array" ref="E140">IFERROR(INDEX(Data_Input!$1:$100, 9, MATCH(1, (Data_Input!$7:$7=$F$3) * (Data_Input!$8:$8=$B140), 0)),"")</f>
        <v/>
      </c>
      <c r="F140" s="20" t="str" cm="1">
        <f t="array" ref="F140">IFERROR(INDEX(Data_Input!$A$1:$ZZ$502, MATCH("예수금", INDEX(Data_Input!$A$1:$ZZ$502, 0, MATCH(1, (Data_Input!$7:$7=$F$3)*(Data_Input!$8:$8=$B140), 0)), 0) + 1, MATCH(1, (Data_Input!$7:$7=$F$3)*(Data_Input!$8:$8=$B140), 0)),"")</f>
        <v/>
      </c>
      <c r="G140" s="20" t="str" cm="1">
        <f t="array" ref="G140">IFERROR(INDEX(Data_Input!$A$1:$ZZ$502, MATCH("총자산", INDEX(Data_Input!$A$1:$ZZ$502, 0, MATCH(1, (Data_Input!$7:$7=$F$3)*(Data_Input!$8:$8=$B140), 0)), 0) + 1, MATCH(1, (Data_Input!$7:$7=$F$3)*(Data_Input!$8:$8=$B140), 0)),"")</f>
        <v/>
      </c>
      <c r="H140" s="20" t="str" cm="1">
        <f t="array" ref="H140">IFERROR(INDEX(Data_Input!$A$1:$ZZ$502, MATCH("매입금액", INDEX(Data_Input!$A$1:$ZZ$502, 0, MATCH(1, (Data_Input!$7:$7=$F$3)*(Data_Input!$8:$8=$B140), 0)), 0) + 1, MATCH(1, (Data_Input!$7:$7=$F$3)*(Data_Input!$8:$8=$B140), 0)),"")</f>
        <v/>
      </c>
      <c r="I140" s="20" t="str" cm="1">
        <f t="array" ref="I140">IFERROR(INDEX(Data_Input!$A$1:$ZZ$502, MATCH("평가금액", INDEX(Data_Input!$A$1:$ZZ$502, 0, MATCH(1, (Data_Input!$7:$7=$F$3)*(Data_Input!$8:$8=$B140), 0)), 0) + 1, MATCH(1, (Data_Input!$7:$7=$F$3)*(Data_Input!$8:$8=$B140), 0)),"")</f>
        <v/>
      </c>
      <c r="J140" s="20" t="str" cm="1">
        <f t="array" ref="J140">IFERROR(INDEX(Data_Input!$A$1:$ZZ$502, MATCH("평가손익", INDEX(Data_Input!$A$1:$ZZ$502, 0, MATCH(1, (Data_Input!$7:$7=$F$3)*(Data_Input!$8:$8=$B140), 0)), 0) + 1, MATCH(1, (Data_Input!$7:$7=$F$3)*(Data_Input!$8:$8=$B140), 0)),"")</f>
        <v/>
      </c>
      <c r="K140" s="14" t="str" cm="1">
        <f t="array" ref="K140">IFERROR(INDEX(Data_Input!$A$1:$ZZ$502, MATCH("총수익률", INDEX(Data_Input!$A$1:$ZZ$502, 0, MATCH(1, (Data_Input!$7:$7=$F$3)*(Data_Input!$8:$8=$B140), 0)), 0) + 1, MATCH(1, (Data_Input!$7:$7=$F$3)*(Data_Input!$8:$8=$B140), 0)),"")</f>
        <v/>
      </c>
      <c r="L140" t="str" cm="1">
        <f t="array" ref="L140">IFERROR(_xlfn.LET(
    _xlpm.targetDate, B140,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41" spans="1:12" x14ac:dyDescent="0.3">
      <c r="A141" s="16" t="str">
        <f t="shared" si="5"/>
        <v/>
      </c>
      <c r="B141" s="8"/>
      <c r="C141" s="17" t="str">
        <f t="shared" si="6"/>
        <v/>
      </c>
      <c r="D141" s="29" t="str" cm="1">
        <f t="array" ref="D141">IFERROR(INDEX(Data_Input!$1:$100, 10, MATCH(1, (Data_Input!$F$7:$ZZ$7=$F$3) * (Data_Input!$F$8:$ZZ$8=$B141), 0)),"")</f>
        <v/>
      </c>
      <c r="E141" s="29" t="str" cm="1">
        <f t="array" ref="E141">IFERROR(INDEX(Data_Input!$1:$100, 9, MATCH(1, (Data_Input!$7:$7=$F$3) * (Data_Input!$8:$8=$B141), 0)),"")</f>
        <v/>
      </c>
      <c r="F141" s="20" t="str" cm="1">
        <f t="array" ref="F141">IFERROR(INDEX(Data_Input!$A$1:$ZZ$502, MATCH("예수금", INDEX(Data_Input!$A$1:$ZZ$502, 0, MATCH(1, (Data_Input!$7:$7=$F$3)*(Data_Input!$8:$8=$B141), 0)), 0) + 1, MATCH(1, (Data_Input!$7:$7=$F$3)*(Data_Input!$8:$8=$B141), 0)),"")</f>
        <v/>
      </c>
      <c r="G141" s="20" t="str" cm="1">
        <f t="array" ref="G141">IFERROR(INDEX(Data_Input!$A$1:$ZZ$502, MATCH("총자산", INDEX(Data_Input!$A$1:$ZZ$502, 0, MATCH(1, (Data_Input!$7:$7=$F$3)*(Data_Input!$8:$8=$B141), 0)), 0) + 1, MATCH(1, (Data_Input!$7:$7=$F$3)*(Data_Input!$8:$8=$B141), 0)),"")</f>
        <v/>
      </c>
      <c r="H141" s="20" t="str" cm="1">
        <f t="array" ref="H141">IFERROR(INDEX(Data_Input!$A$1:$ZZ$502, MATCH("매입금액", INDEX(Data_Input!$A$1:$ZZ$502, 0, MATCH(1, (Data_Input!$7:$7=$F$3)*(Data_Input!$8:$8=$B141), 0)), 0) + 1, MATCH(1, (Data_Input!$7:$7=$F$3)*(Data_Input!$8:$8=$B141), 0)),"")</f>
        <v/>
      </c>
      <c r="I141" s="20" t="str" cm="1">
        <f t="array" ref="I141">IFERROR(INDEX(Data_Input!$A$1:$ZZ$502, MATCH("평가금액", INDEX(Data_Input!$A$1:$ZZ$502, 0, MATCH(1, (Data_Input!$7:$7=$F$3)*(Data_Input!$8:$8=$B141), 0)), 0) + 1, MATCH(1, (Data_Input!$7:$7=$F$3)*(Data_Input!$8:$8=$B141), 0)),"")</f>
        <v/>
      </c>
      <c r="J141" s="20" t="str" cm="1">
        <f t="array" ref="J141">IFERROR(INDEX(Data_Input!$A$1:$ZZ$502, MATCH("평가손익", INDEX(Data_Input!$A$1:$ZZ$502, 0, MATCH(1, (Data_Input!$7:$7=$F$3)*(Data_Input!$8:$8=$B141), 0)), 0) + 1, MATCH(1, (Data_Input!$7:$7=$F$3)*(Data_Input!$8:$8=$B141), 0)),"")</f>
        <v/>
      </c>
      <c r="K141" s="14" t="str" cm="1">
        <f t="array" ref="K141">IFERROR(INDEX(Data_Input!$A$1:$ZZ$502, MATCH("총수익률", INDEX(Data_Input!$A$1:$ZZ$502, 0, MATCH(1, (Data_Input!$7:$7=$F$3)*(Data_Input!$8:$8=$B141), 0)), 0) + 1, MATCH(1, (Data_Input!$7:$7=$F$3)*(Data_Input!$8:$8=$B141), 0)),"")</f>
        <v/>
      </c>
      <c r="L141" t="str" cm="1">
        <f t="array" ref="L141">IFERROR(_xlfn.LET(
    _xlpm.targetDate, B141,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42" spans="1:12" x14ac:dyDescent="0.3">
      <c r="A142" s="16" t="str">
        <f t="shared" si="5"/>
        <v/>
      </c>
      <c r="B142" s="8"/>
      <c r="C142" s="17" t="str">
        <f t="shared" si="6"/>
        <v/>
      </c>
      <c r="D142" s="29" t="str" cm="1">
        <f t="array" ref="D142">IFERROR(INDEX(Data_Input!$1:$100, 10, MATCH(1, (Data_Input!$F$7:$ZZ$7=$F$3) * (Data_Input!$F$8:$ZZ$8=$B142), 0)),"")</f>
        <v/>
      </c>
      <c r="E142" s="29" t="str" cm="1">
        <f t="array" ref="E142">IFERROR(INDEX(Data_Input!$1:$100, 9, MATCH(1, (Data_Input!$7:$7=$F$3) * (Data_Input!$8:$8=$B142), 0)),"")</f>
        <v/>
      </c>
      <c r="F142" s="20" t="str" cm="1">
        <f t="array" ref="F142">IFERROR(INDEX(Data_Input!$A$1:$ZZ$502, MATCH("예수금", INDEX(Data_Input!$A$1:$ZZ$502, 0, MATCH(1, (Data_Input!$7:$7=$F$3)*(Data_Input!$8:$8=$B142), 0)), 0) + 1, MATCH(1, (Data_Input!$7:$7=$F$3)*(Data_Input!$8:$8=$B142), 0)),"")</f>
        <v/>
      </c>
      <c r="G142" s="20" t="str" cm="1">
        <f t="array" ref="G142">IFERROR(INDEX(Data_Input!$A$1:$ZZ$502, MATCH("총자산", INDEX(Data_Input!$A$1:$ZZ$502, 0, MATCH(1, (Data_Input!$7:$7=$F$3)*(Data_Input!$8:$8=$B142), 0)), 0) + 1, MATCH(1, (Data_Input!$7:$7=$F$3)*(Data_Input!$8:$8=$B142), 0)),"")</f>
        <v/>
      </c>
      <c r="H142" s="20" t="str" cm="1">
        <f t="array" ref="H142">IFERROR(INDEX(Data_Input!$A$1:$ZZ$502, MATCH("매입금액", INDEX(Data_Input!$A$1:$ZZ$502, 0, MATCH(1, (Data_Input!$7:$7=$F$3)*(Data_Input!$8:$8=$B142), 0)), 0) + 1, MATCH(1, (Data_Input!$7:$7=$F$3)*(Data_Input!$8:$8=$B142), 0)),"")</f>
        <v/>
      </c>
      <c r="I142" s="20" t="str" cm="1">
        <f t="array" ref="I142">IFERROR(INDEX(Data_Input!$A$1:$ZZ$502, MATCH("평가금액", INDEX(Data_Input!$A$1:$ZZ$502, 0, MATCH(1, (Data_Input!$7:$7=$F$3)*(Data_Input!$8:$8=$B142), 0)), 0) + 1, MATCH(1, (Data_Input!$7:$7=$F$3)*(Data_Input!$8:$8=$B142), 0)),"")</f>
        <v/>
      </c>
      <c r="J142" s="20" t="str" cm="1">
        <f t="array" ref="J142">IFERROR(INDEX(Data_Input!$A$1:$ZZ$502, MATCH("평가손익", INDEX(Data_Input!$A$1:$ZZ$502, 0, MATCH(1, (Data_Input!$7:$7=$F$3)*(Data_Input!$8:$8=$B142), 0)), 0) + 1, MATCH(1, (Data_Input!$7:$7=$F$3)*(Data_Input!$8:$8=$B142), 0)),"")</f>
        <v/>
      </c>
      <c r="K142" s="14" t="str" cm="1">
        <f t="array" ref="K142">IFERROR(INDEX(Data_Input!$A$1:$ZZ$502, MATCH("총수익률", INDEX(Data_Input!$A$1:$ZZ$502, 0, MATCH(1, (Data_Input!$7:$7=$F$3)*(Data_Input!$8:$8=$B142), 0)), 0) + 1, MATCH(1, (Data_Input!$7:$7=$F$3)*(Data_Input!$8:$8=$B142), 0)),"")</f>
        <v/>
      </c>
      <c r="L142" t="str" cm="1">
        <f t="array" ref="L142">IFERROR(_xlfn.LET(
    _xlpm.targetDate, B142,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43" spans="1:12" x14ac:dyDescent="0.3">
      <c r="A143" s="16" t="str">
        <f t="shared" si="5"/>
        <v/>
      </c>
      <c r="B143" s="8"/>
      <c r="C143" s="17" t="str">
        <f t="shared" si="6"/>
        <v/>
      </c>
      <c r="D143" s="29" t="str" cm="1">
        <f t="array" ref="D143">IFERROR(INDEX(Data_Input!$1:$100, 10, MATCH(1, (Data_Input!$F$7:$ZZ$7=$F$3) * (Data_Input!$F$8:$ZZ$8=$B143), 0)),"")</f>
        <v/>
      </c>
      <c r="E143" s="29" t="str" cm="1">
        <f t="array" ref="E143">IFERROR(INDEX(Data_Input!$1:$100, 9, MATCH(1, (Data_Input!$7:$7=$F$3) * (Data_Input!$8:$8=$B143), 0)),"")</f>
        <v/>
      </c>
      <c r="F143" s="20" t="str" cm="1">
        <f t="array" ref="F143">IFERROR(INDEX(Data_Input!$A$1:$ZZ$502, MATCH("예수금", INDEX(Data_Input!$A$1:$ZZ$502, 0, MATCH(1, (Data_Input!$7:$7=$F$3)*(Data_Input!$8:$8=$B143), 0)), 0) + 1, MATCH(1, (Data_Input!$7:$7=$F$3)*(Data_Input!$8:$8=$B143), 0)),"")</f>
        <v/>
      </c>
      <c r="G143" s="20" t="str" cm="1">
        <f t="array" ref="G143">IFERROR(INDEX(Data_Input!$A$1:$ZZ$502, MATCH("총자산", INDEX(Data_Input!$A$1:$ZZ$502, 0, MATCH(1, (Data_Input!$7:$7=$F$3)*(Data_Input!$8:$8=$B143), 0)), 0) + 1, MATCH(1, (Data_Input!$7:$7=$F$3)*(Data_Input!$8:$8=$B143), 0)),"")</f>
        <v/>
      </c>
      <c r="H143" s="20" t="str" cm="1">
        <f t="array" ref="H143">IFERROR(INDEX(Data_Input!$A$1:$ZZ$502, MATCH("매입금액", INDEX(Data_Input!$A$1:$ZZ$502, 0, MATCH(1, (Data_Input!$7:$7=$F$3)*(Data_Input!$8:$8=$B143), 0)), 0) + 1, MATCH(1, (Data_Input!$7:$7=$F$3)*(Data_Input!$8:$8=$B143), 0)),"")</f>
        <v/>
      </c>
      <c r="I143" s="20" t="str" cm="1">
        <f t="array" ref="I143">IFERROR(INDEX(Data_Input!$A$1:$ZZ$502, MATCH("평가금액", INDEX(Data_Input!$A$1:$ZZ$502, 0, MATCH(1, (Data_Input!$7:$7=$F$3)*(Data_Input!$8:$8=$B143), 0)), 0) + 1, MATCH(1, (Data_Input!$7:$7=$F$3)*(Data_Input!$8:$8=$B143), 0)),"")</f>
        <v/>
      </c>
      <c r="J143" s="20" t="str" cm="1">
        <f t="array" ref="J143">IFERROR(INDEX(Data_Input!$A$1:$ZZ$502, MATCH("평가손익", INDEX(Data_Input!$A$1:$ZZ$502, 0, MATCH(1, (Data_Input!$7:$7=$F$3)*(Data_Input!$8:$8=$B143), 0)), 0) + 1, MATCH(1, (Data_Input!$7:$7=$F$3)*(Data_Input!$8:$8=$B143), 0)),"")</f>
        <v/>
      </c>
      <c r="K143" s="14" t="str" cm="1">
        <f t="array" ref="K143">IFERROR(INDEX(Data_Input!$A$1:$ZZ$502, MATCH("총수익률", INDEX(Data_Input!$A$1:$ZZ$502, 0, MATCH(1, (Data_Input!$7:$7=$F$3)*(Data_Input!$8:$8=$B143), 0)), 0) + 1, MATCH(1, (Data_Input!$7:$7=$F$3)*(Data_Input!$8:$8=$B143), 0)),"")</f>
        <v/>
      </c>
      <c r="L143" t="str" cm="1">
        <f t="array" ref="L143">IFERROR(_xlfn.LET(
    _xlpm.targetDate, B143,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44" spans="1:12" x14ac:dyDescent="0.3">
      <c r="A144" s="16" t="str">
        <f t="shared" si="5"/>
        <v/>
      </c>
      <c r="B144" s="8"/>
      <c r="C144" s="17" t="str">
        <f t="shared" si="6"/>
        <v/>
      </c>
      <c r="D144" s="29" t="str" cm="1">
        <f t="array" ref="D144">IFERROR(INDEX(Data_Input!$1:$100, 10, MATCH(1, (Data_Input!$F$7:$ZZ$7=$F$3) * (Data_Input!$F$8:$ZZ$8=$B144), 0)),"")</f>
        <v/>
      </c>
      <c r="E144" s="29" t="str" cm="1">
        <f t="array" ref="E144">IFERROR(INDEX(Data_Input!$1:$100, 9, MATCH(1, (Data_Input!$7:$7=$F$3) * (Data_Input!$8:$8=$B144), 0)),"")</f>
        <v/>
      </c>
      <c r="F144" s="20" t="str" cm="1">
        <f t="array" ref="F144">IFERROR(INDEX(Data_Input!$A$1:$ZZ$502, MATCH("예수금", INDEX(Data_Input!$A$1:$ZZ$502, 0, MATCH(1, (Data_Input!$7:$7=$F$3)*(Data_Input!$8:$8=$B144), 0)), 0) + 1, MATCH(1, (Data_Input!$7:$7=$F$3)*(Data_Input!$8:$8=$B144), 0)),"")</f>
        <v/>
      </c>
      <c r="G144" s="20" t="str" cm="1">
        <f t="array" ref="G144">IFERROR(INDEX(Data_Input!$A$1:$ZZ$502, MATCH("총자산", INDEX(Data_Input!$A$1:$ZZ$502, 0, MATCH(1, (Data_Input!$7:$7=$F$3)*(Data_Input!$8:$8=$B144), 0)), 0) + 1, MATCH(1, (Data_Input!$7:$7=$F$3)*(Data_Input!$8:$8=$B144), 0)),"")</f>
        <v/>
      </c>
      <c r="H144" s="20" t="str" cm="1">
        <f t="array" ref="H144">IFERROR(INDEX(Data_Input!$A$1:$ZZ$502, MATCH("매입금액", INDEX(Data_Input!$A$1:$ZZ$502, 0, MATCH(1, (Data_Input!$7:$7=$F$3)*(Data_Input!$8:$8=$B144), 0)), 0) + 1, MATCH(1, (Data_Input!$7:$7=$F$3)*(Data_Input!$8:$8=$B144), 0)),"")</f>
        <v/>
      </c>
      <c r="I144" s="20" t="str" cm="1">
        <f t="array" ref="I144">IFERROR(INDEX(Data_Input!$A$1:$ZZ$502, MATCH("평가금액", INDEX(Data_Input!$A$1:$ZZ$502, 0, MATCH(1, (Data_Input!$7:$7=$F$3)*(Data_Input!$8:$8=$B144), 0)), 0) + 1, MATCH(1, (Data_Input!$7:$7=$F$3)*(Data_Input!$8:$8=$B144), 0)),"")</f>
        <v/>
      </c>
      <c r="J144" s="20" t="str" cm="1">
        <f t="array" ref="J144">IFERROR(INDEX(Data_Input!$A$1:$ZZ$502, MATCH("평가손익", INDEX(Data_Input!$A$1:$ZZ$502, 0, MATCH(1, (Data_Input!$7:$7=$F$3)*(Data_Input!$8:$8=$B144), 0)), 0) + 1, MATCH(1, (Data_Input!$7:$7=$F$3)*(Data_Input!$8:$8=$B144), 0)),"")</f>
        <v/>
      </c>
      <c r="K144" s="14" t="str" cm="1">
        <f t="array" ref="K144">IFERROR(INDEX(Data_Input!$A$1:$ZZ$502, MATCH("총수익률", INDEX(Data_Input!$A$1:$ZZ$502, 0, MATCH(1, (Data_Input!$7:$7=$F$3)*(Data_Input!$8:$8=$B144), 0)), 0) + 1, MATCH(1, (Data_Input!$7:$7=$F$3)*(Data_Input!$8:$8=$B144), 0)),"")</f>
        <v/>
      </c>
      <c r="L144" t="str" cm="1">
        <f t="array" ref="L144">IFERROR(_xlfn.LET(
    _xlpm.targetDate, B144,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45" spans="1:12" x14ac:dyDescent="0.3">
      <c r="A145" s="16" t="str">
        <f t="shared" si="5"/>
        <v/>
      </c>
      <c r="B145" s="8"/>
      <c r="C145" s="17" t="str">
        <f t="shared" si="6"/>
        <v/>
      </c>
      <c r="D145" s="29" t="str" cm="1">
        <f t="array" ref="D145">IFERROR(INDEX(Data_Input!$1:$100, 10, MATCH(1, (Data_Input!$F$7:$ZZ$7=$F$3) * (Data_Input!$F$8:$ZZ$8=$B145), 0)),"")</f>
        <v/>
      </c>
      <c r="E145" s="29" t="str" cm="1">
        <f t="array" ref="E145">IFERROR(INDEX(Data_Input!$1:$100, 9, MATCH(1, (Data_Input!$7:$7=$F$3) * (Data_Input!$8:$8=$B145), 0)),"")</f>
        <v/>
      </c>
      <c r="F145" s="20" t="str" cm="1">
        <f t="array" ref="F145">IFERROR(INDEX(Data_Input!$A$1:$ZZ$502, MATCH("예수금", INDEX(Data_Input!$A$1:$ZZ$502, 0, MATCH(1, (Data_Input!$7:$7=$F$3)*(Data_Input!$8:$8=$B145), 0)), 0) + 1, MATCH(1, (Data_Input!$7:$7=$F$3)*(Data_Input!$8:$8=$B145), 0)),"")</f>
        <v/>
      </c>
      <c r="G145" s="20" t="str" cm="1">
        <f t="array" ref="G145">IFERROR(INDEX(Data_Input!$A$1:$ZZ$502, MATCH("총자산", INDEX(Data_Input!$A$1:$ZZ$502, 0, MATCH(1, (Data_Input!$7:$7=$F$3)*(Data_Input!$8:$8=$B145), 0)), 0) + 1, MATCH(1, (Data_Input!$7:$7=$F$3)*(Data_Input!$8:$8=$B145), 0)),"")</f>
        <v/>
      </c>
      <c r="H145" s="20" t="str" cm="1">
        <f t="array" ref="H145">IFERROR(INDEX(Data_Input!$A$1:$ZZ$502, MATCH("매입금액", INDEX(Data_Input!$A$1:$ZZ$502, 0, MATCH(1, (Data_Input!$7:$7=$F$3)*(Data_Input!$8:$8=$B145), 0)), 0) + 1, MATCH(1, (Data_Input!$7:$7=$F$3)*(Data_Input!$8:$8=$B145), 0)),"")</f>
        <v/>
      </c>
      <c r="I145" s="20" t="str" cm="1">
        <f t="array" ref="I145">IFERROR(INDEX(Data_Input!$A$1:$ZZ$502, MATCH("평가금액", INDEX(Data_Input!$A$1:$ZZ$502, 0, MATCH(1, (Data_Input!$7:$7=$F$3)*(Data_Input!$8:$8=$B145), 0)), 0) + 1, MATCH(1, (Data_Input!$7:$7=$F$3)*(Data_Input!$8:$8=$B145), 0)),"")</f>
        <v/>
      </c>
      <c r="J145" s="20" t="str" cm="1">
        <f t="array" ref="J145">IFERROR(INDEX(Data_Input!$A$1:$ZZ$502, MATCH("평가손익", INDEX(Data_Input!$A$1:$ZZ$502, 0, MATCH(1, (Data_Input!$7:$7=$F$3)*(Data_Input!$8:$8=$B145), 0)), 0) + 1, MATCH(1, (Data_Input!$7:$7=$F$3)*(Data_Input!$8:$8=$B145), 0)),"")</f>
        <v/>
      </c>
      <c r="K145" s="14" t="str" cm="1">
        <f t="array" ref="K145">IFERROR(INDEX(Data_Input!$A$1:$ZZ$502, MATCH("총수익률", INDEX(Data_Input!$A$1:$ZZ$502, 0, MATCH(1, (Data_Input!$7:$7=$F$3)*(Data_Input!$8:$8=$B145), 0)), 0) + 1, MATCH(1, (Data_Input!$7:$7=$F$3)*(Data_Input!$8:$8=$B145), 0)),"")</f>
        <v/>
      </c>
      <c r="L145" t="str" cm="1">
        <f t="array" ref="L145">IFERROR(_xlfn.LET(
    _xlpm.targetDate, B145,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46" spans="1:12" x14ac:dyDescent="0.3">
      <c r="A146" s="16" t="str">
        <f t="shared" si="5"/>
        <v/>
      </c>
      <c r="B146" s="8"/>
      <c r="C146" s="17" t="str">
        <f t="shared" si="6"/>
        <v/>
      </c>
      <c r="D146" s="29" t="str" cm="1">
        <f t="array" ref="D146">IFERROR(INDEX(Data_Input!$1:$100, 10, MATCH(1, (Data_Input!$F$7:$ZZ$7=$F$3) * (Data_Input!$F$8:$ZZ$8=$B146), 0)),"")</f>
        <v/>
      </c>
      <c r="E146" s="29" t="str" cm="1">
        <f t="array" ref="E146">IFERROR(INDEX(Data_Input!$1:$100, 9, MATCH(1, (Data_Input!$7:$7=$F$3) * (Data_Input!$8:$8=$B146), 0)),"")</f>
        <v/>
      </c>
      <c r="F146" s="20" t="str" cm="1">
        <f t="array" ref="F146">IFERROR(INDEX(Data_Input!$A$1:$ZZ$502, MATCH("예수금", INDEX(Data_Input!$A$1:$ZZ$502, 0, MATCH(1, (Data_Input!$7:$7=$F$3)*(Data_Input!$8:$8=$B146), 0)), 0) + 1, MATCH(1, (Data_Input!$7:$7=$F$3)*(Data_Input!$8:$8=$B146), 0)),"")</f>
        <v/>
      </c>
      <c r="G146" s="20" t="str" cm="1">
        <f t="array" ref="G146">IFERROR(INDEX(Data_Input!$A$1:$ZZ$502, MATCH("총자산", INDEX(Data_Input!$A$1:$ZZ$502, 0, MATCH(1, (Data_Input!$7:$7=$F$3)*(Data_Input!$8:$8=$B146), 0)), 0) + 1, MATCH(1, (Data_Input!$7:$7=$F$3)*(Data_Input!$8:$8=$B146), 0)),"")</f>
        <v/>
      </c>
      <c r="H146" s="20" t="str" cm="1">
        <f t="array" ref="H146">IFERROR(INDEX(Data_Input!$A$1:$ZZ$502, MATCH("매입금액", INDEX(Data_Input!$A$1:$ZZ$502, 0, MATCH(1, (Data_Input!$7:$7=$F$3)*(Data_Input!$8:$8=$B146), 0)), 0) + 1, MATCH(1, (Data_Input!$7:$7=$F$3)*(Data_Input!$8:$8=$B146), 0)),"")</f>
        <v/>
      </c>
      <c r="I146" s="20" t="str" cm="1">
        <f t="array" ref="I146">IFERROR(INDEX(Data_Input!$A$1:$ZZ$502, MATCH("평가금액", INDEX(Data_Input!$A$1:$ZZ$502, 0, MATCH(1, (Data_Input!$7:$7=$F$3)*(Data_Input!$8:$8=$B146), 0)), 0) + 1, MATCH(1, (Data_Input!$7:$7=$F$3)*(Data_Input!$8:$8=$B146), 0)),"")</f>
        <v/>
      </c>
      <c r="J146" s="20" t="str" cm="1">
        <f t="array" ref="J146">IFERROR(INDEX(Data_Input!$A$1:$ZZ$502, MATCH("평가손익", INDEX(Data_Input!$A$1:$ZZ$502, 0, MATCH(1, (Data_Input!$7:$7=$F$3)*(Data_Input!$8:$8=$B146), 0)), 0) + 1, MATCH(1, (Data_Input!$7:$7=$F$3)*(Data_Input!$8:$8=$B146), 0)),"")</f>
        <v/>
      </c>
      <c r="K146" s="14" t="str" cm="1">
        <f t="array" ref="K146">IFERROR(INDEX(Data_Input!$A$1:$ZZ$502, MATCH("총수익률", INDEX(Data_Input!$A$1:$ZZ$502, 0, MATCH(1, (Data_Input!$7:$7=$F$3)*(Data_Input!$8:$8=$B146), 0)), 0) + 1, MATCH(1, (Data_Input!$7:$7=$F$3)*(Data_Input!$8:$8=$B146), 0)),"")</f>
        <v/>
      </c>
      <c r="L146" t="str" cm="1">
        <f t="array" ref="L146">IFERROR(_xlfn.LET(
    _xlpm.targetDate, B146,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47" spans="1:12" x14ac:dyDescent="0.3">
      <c r="A147" s="16" t="str">
        <f t="shared" si="5"/>
        <v/>
      </c>
      <c r="B147" s="8"/>
      <c r="C147" s="17" t="str">
        <f t="shared" si="6"/>
        <v/>
      </c>
      <c r="D147" s="29" t="str" cm="1">
        <f t="array" ref="D147">IFERROR(INDEX(Data_Input!$1:$100, 10, MATCH(1, (Data_Input!$F$7:$ZZ$7=$F$3) * (Data_Input!$F$8:$ZZ$8=$B147), 0)),"")</f>
        <v/>
      </c>
      <c r="E147" s="29" t="str" cm="1">
        <f t="array" ref="E147">IFERROR(INDEX(Data_Input!$1:$100, 9, MATCH(1, (Data_Input!$7:$7=$F$3) * (Data_Input!$8:$8=$B147), 0)),"")</f>
        <v/>
      </c>
      <c r="F147" s="20" t="str" cm="1">
        <f t="array" ref="F147">IFERROR(INDEX(Data_Input!$A$1:$ZZ$502, MATCH("예수금", INDEX(Data_Input!$A$1:$ZZ$502, 0, MATCH(1, (Data_Input!$7:$7=$F$3)*(Data_Input!$8:$8=$B147), 0)), 0) + 1, MATCH(1, (Data_Input!$7:$7=$F$3)*(Data_Input!$8:$8=$B147), 0)),"")</f>
        <v/>
      </c>
      <c r="G147" s="20" t="str" cm="1">
        <f t="array" ref="G147">IFERROR(INDEX(Data_Input!$A$1:$ZZ$502, MATCH("총자산", INDEX(Data_Input!$A$1:$ZZ$502, 0, MATCH(1, (Data_Input!$7:$7=$F$3)*(Data_Input!$8:$8=$B147), 0)), 0) + 1, MATCH(1, (Data_Input!$7:$7=$F$3)*(Data_Input!$8:$8=$B147), 0)),"")</f>
        <v/>
      </c>
      <c r="H147" s="20" t="str" cm="1">
        <f t="array" ref="H147">IFERROR(INDEX(Data_Input!$A$1:$ZZ$502, MATCH("매입금액", INDEX(Data_Input!$A$1:$ZZ$502, 0, MATCH(1, (Data_Input!$7:$7=$F$3)*(Data_Input!$8:$8=$B147), 0)), 0) + 1, MATCH(1, (Data_Input!$7:$7=$F$3)*(Data_Input!$8:$8=$B147), 0)),"")</f>
        <v/>
      </c>
      <c r="I147" s="20" t="str" cm="1">
        <f t="array" ref="I147">IFERROR(INDEX(Data_Input!$A$1:$ZZ$502, MATCH("평가금액", INDEX(Data_Input!$A$1:$ZZ$502, 0, MATCH(1, (Data_Input!$7:$7=$F$3)*(Data_Input!$8:$8=$B147), 0)), 0) + 1, MATCH(1, (Data_Input!$7:$7=$F$3)*(Data_Input!$8:$8=$B147), 0)),"")</f>
        <v/>
      </c>
      <c r="J147" s="20" t="str" cm="1">
        <f t="array" ref="J147">IFERROR(INDEX(Data_Input!$A$1:$ZZ$502, MATCH("평가손익", INDEX(Data_Input!$A$1:$ZZ$502, 0, MATCH(1, (Data_Input!$7:$7=$F$3)*(Data_Input!$8:$8=$B147), 0)), 0) + 1, MATCH(1, (Data_Input!$7:$7=$F$3)*(Data_Input!$8:$8=$B147), 0)),"")</f>
        <v/>
      </c>
      <c r="K147" s="14" t="str" cm="1">
        <f t="array" ref="K147">IFERROR(INDEX(Data_Input!$A$1:$ZZ$502, MATCH("총수익률", INDEX(Data_Input!$A$1:$ZZ$502, 0, MATCH(1, (Data_Input!$7:$7=$F$3)*(Data_Input!$8:$8=$B147), 0)), 0) + 1, MATCH(1, (Data_Input!$7:$7=$F$3)*(Data_Input!$8:$8=$B147), 0)),"")</f>
        <v/>
      </c>
      <c r="L147" t="str" cm="1">
        <f t="array" ref="L147">IFERROR(_xlfn.LET(
    _xlpm.targetDate, B147,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48" spans="1:12" x14ac:dyDescent="0.3">
      <c r="A148" s="16" t="str">
        <f t="shared" si="5"/>
        <v/>
      </c>
      <c r="B148" s="8"/>
      <c r="C148" s="17" t="str">
        <f t="shared" si="6"/>
        <v/>
      </c>
      <c r="D148" s="29" t="str" cm="1">
        <f t="array" ref="D148">IFERROR(INDEX(Data_Input!$1:$100, 10, MATCH(1, (Data_Input!$F$7:$ZZ$7=$F$3) * (Data_Input!$F$8:$ZZ$8=$B148), 0)),"")</f>
        <v/>
      </c>
      <c r="E148" s="29" t="str" cm="1">
        <f t="array" ref="E148">IFERROR(INDEX(Data_Input!$1:$100, 9, MATCH(1, (Data_Input!$7:$7=$F$3) * (Data_Input!$8:$8=$B148), 0)),"")</f>
        <v/>
      </c>
      <c r="F148" s="20" t="str" cm="1">
        <f t="array" ref="F148">IFERROR(INDEX(Data_Input!$A$1:$ZZ$502, MATCH("예수금", INDEX(Data_Input!$A$1:$ZZ$502, 0, MATCH(1, (Data_Input!$7:$7=$F$3)*(Data_Input!$8:$8=$B148), 0)), 0) + 1, MATCH(1, (Data_Input!$7:$7=$F$3)*(Data_Input!$8:$8=$B148), 0)),"")</f>
        <v/>
      </c>
      <c r="G148" s="20" t="str" cm="1">
        <f t="array" ref="G148">IFERROR(INDEX(Data_Input!$A$1:$ZZ$502, MATCH("총자산", INDEX(Data_Input!$A$1:$ZZ$502, 0, MATCH(1, (Data_Input!$7:$7=$F$3)*(Data_Input!$8:$8=$B148), 0)), 0) + 1, MATCH(1, (Data_Input!$7:$7=$F$3)*(Data_Input!$8:$8=$B148), 0)),"")</f>
        <v/>
      </c>
      <c r="H148" s="20" t="str" cm="1">
        <f t="array" ref="H148">IFERROR(INDEX(Data_Input!$A$1:$ZZ$502, MATCH("매입금액", INDEX(Data_Input!$A$1:$ZZ$502, 0, MATCH(1, (Data_Input!$7:$7=$F$3)*(Data_Input!$8:$8=$B148), 0)), 0) + 1, MATCH(1, (Data_Input!$7:$7=$F$3)*(Data_Input!$8:$8=$B148), 0)),"")</f>
        <v/>
      </c>
      <c r="I148" s="20" t="str" cm="1">
        <f t="array" ref="I148">IFERROR(INDEX(Data_Input!$A$1:$ZZ$502, MATCH("평가금액", INDEX(Data_Input!$A$1:$ZZ$502, 0, MATCH(1, (Data_Input!$7:$7=$F$3)*(Data_Input!$8:$8=$B148), 0)), 0) + 1, MATCH(1, (Data_Input!$7:$7=$F$3)*(Data_Input!$8:$8=$B148), 0)),"")</f>
        <v/>
      </c>
      <c r="J148" s="20" t="str" cm="1">
        <f t="array" ref="J148">IFERROR(INDEX(Data_Input!$A$1:$ZZ$502, MATCH("평가손익", INDEX(Data_Input!$A$1:$ZZ$502, 0, MATCH(1, (Data_Input!$7:$7=$F$3)*(Data_Input!$8:$8=$B148), 0)), 0) + 1, MATCH(1, (Data_Input!$7:$7=$F$3)*(Data_Input!$8:$8=$B148), 0)),"")</f>
        <v/>
      </c>
      <c r="K148" s="14" t="str" cm="1">
        <f t="array" ref="K148">IFERROR(INDEX(Data_Input!$A$1:$ZZ$502, MATCH("총수익률", INDEX(Data_Input!$A$1:$ZZ$502, 0, MATCH(1, (Data_Input!$7:$7=$F$3)*(Data_Input!$8:$8=$B148), 0)), 0) + 1, MATCH(1, (Data_Input!$7:$7=$F$3)*(Data_Input!$8:$8=$B148), 0)),"")</f>
        <v/>
      </c>
      <c r="L148" t="str" cm="1">
        <f t="array" ref="L148">IFERROR(_xlfn.LET(
    _xlpm.targetDate, B148,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49" spans="1:12" x14ac:dyDescent="0.3">
      <c r="A149" s="16" t="str">
        <f t="shared" si="5"/>
        <v/>
      </c>
      <c r="B149" s="8"/>
      <c r="C149" s="17" t="str">
        <f t="shared" si="6"/>
        <v/>
      </c>
      <c r="D149" s="29" t="str" cm="1">
        <f t="array" ref="D149">IFERROR(INDEX(Data_Input!$1:$100, 10, MATCH(1, (Data_Input!$F$7:$ZZ$7=$F$3) * (Data_Input!$F$8:$ZZ$8=$B149), 0)),"")</f>
        <v/>
      </c>
      <c r="E149" s="29" t="str" cm="1">
        <f t="array" ref="E149">IFERROR(INDEX(Data_Input!$1:$100, 9, MATCH(1, (Data_Input!$7:$7=$F$3) * (Data_Input!$8:$8=$B149), 0)),"")</f>
        <v/>
      </c>
      <c r="F149" s="20" t="str" cm="1">
        <f t="array" ref="F149">IFERROR(INDEX(Data_Input!$A$1:$ZZ$502, MATCH("예수금", INDEX(Data_Input!$A$1:$ZZ$502, 0, MATCH(1, (Data_Input!$7:$7=$F$3)*(Data_Input!$8:$8=$B149), 0)), 0) + 1, MATCH(1, (Data_Input!$7:$7=$F$3)*(Data_Input!$8:$8=$B149), 0)),"")</f>
        <v/>
      </c>
      <c r="G149" s="20" t="str" cm="1">
        <f t="array" ref="G149">IFERROR(INDEX(Data_Input!$A$1:$ZZ$502, MATCH("총자산", INDEX(Data_Input!$A$1:$ZZ$502, 0, MATCH(1, (Data_Input!$7:$7=$F$3)*(Data_Input!$8:$8=$B149), 0)), 0) + 1, MATCH(1, (Data_Input!$7:$7=$F$3)*(Data_Input!$8:$8=$B149), 0)),"")</f>
        <v/>
      </c>
      <c r="H149" s="20" t="str" cm="1">
        <f t="array" ref="H149">IFERROR(INDEX(Data_Input!$A$1:$ZZ$502, MATCH("매입금액", INDEX(Data_Input!$A$1:$ZZ$502, 0, MATCH(1, (Data_Input!$7:$7=$F$3)*(Data_Input!$8:$8=$B149), 0)), 0) + 1, MATCH(1, (Data_Input!$7:$7=$F$3)*(Data_Input!$8:$8=$B149), 0)),"")</f>
        <v/>
      </c>
      <c r="I149" s="20" t="str" cm="1">
        <f t="array" ref="I149">IFERROR(INDEX(Data_Input!$A$1:$ZZ$502, MATCH("평가금액", INDEX(Data_Input!$A$1:$ZZ$502, 0, MATCH(1, (Data_Input!$7:$7=$F$3)*(Data_Input!$8:$8=$B149), 0)), 0) + 1, MATCH(1, (Data_Input!$7:$7=$F$3)*(Data_Input!$8:$8=$B149), 0)),"")</f>
        <v/>
      </c>
      <c r="J149" s="20" t="str" cm="1">
        <f t="array" ref="J149">IFERROR(INDEX(Data_Input!$A$1:$ZZ$502, MATCH("평가손익", INDEX(Data_Input!$A$1:$ZZ$502, 0, MATCH(1, (Data_Input!$7:$7=$F$3)*(Data_Input!$8:$8=$B149), 0)), 0) + 1, MATCH(1, (Data_Input!$7:$7=$F$3)*(Data_Input!$8:$8=$B149), 0)),"")</f>
        <v/>
      </c>
      <c r="K149" s="14" t="str" cm="1">
        <f t="array" ref="K149">IFERROR(INDEX(Data_Input!$A$1:$ZZ$502, MATCH("총수익률", INDEX(Data_Input!$A$1:$ZZ$502, 0, MATCH(1, (Data_Input!$7:$7=$F$3)*(Data_Input!$8:$8=$B149), 0)), 0) + 1, MATCH(1, (Data_Input!$7:$7=$F$3)*(Data_Input!$8:$8=$B149), 0)),"")</f>
        <v/>
      </c>
      <c r="L149" t="str" cm="1">
        <f t="array" ref="L149">IFERROR(_xlfn.LET(
    _xlpm.targetDate, B149,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50" spans="1:12" x14ac:dyDescent="0.3">
      <c r="A150" s="16" t="str">
        <f t="shared" si="5"/>
        <v/>
      </c>
      <c r="B150" s="8"/>
      <c r="C150" s="17" t="str">
        <f t="shared" si="6"/>
        <v/>
      </c>
      <c r="D150" s="29" t="str" cm="1">
        <f t="array" ref="D150">IFERROR(INDEX(Data_Input!$1:$100, 10, MATCH(1, (Data_Input!$F$7:$ZZ$7=$F$3) * (Data_Input!$F$8:$ZZ$8=$B150), 0)),"")</f>
        <v/>
      </c>
      <c r="E150" s="29" t="str" cm="1">
        <f t="array" ref="E150">IFERROR(INDEX(Data_Input!$1:$100, 9, MATCH(1, (Data_Input!$7:$7=$F$3) * (Data_Input!$8:$8=$B150), 0)),"")</f>
        <v/>
      </c>
      <c r="F150" s="20" t="str" cm="1">
        <f t="array" ref="F150">IFERROR(INDEX(Data_Input!$A$1:$ZZ$502, MATCH("예수금", INDEX(Data_Input!$A$1:$ZZ$502, 0, MATCH(1, (Data_Input!$7:$7=$F$3)*(Data_Input!$8:$8=$B150), 0)), 0) + 1, MATCH(1, (Data_Input!$7:$7=$F$3)*(Data_Input!$8:$8=$B150), 0)),"")</f>
        <v/>
      </c>
      <c r="G150" s="20" t="str" cm="1">
        <f t="array" ref="G150">IFERROR(INDEX(Data_Input!$A$1:$ZZ$502, MATCH("총자산", INDEX(Data_Input!$A$1:$ZZ$502, 0, MATCH(1, (Data_Input!$7:$7=$F$3)*(Data_Input!$8:$8=$B150), 0)), 0) + 1, MATCH(1, (Data_Input!$7:$7=$F$3)*(Data_Input!$8:$8=$B150), 0)),"")</f>
        <v/>
      </c>
      <c r="H150" s="20" t="str" cm="1">
        <f t="array" ref="H150">IFERROR(INDEX(Data_Input!$A$1:$ZZ$502, MATCH("매입금액", INDEX(Data_Input!$A$1:$ZZ$502, 0, MATCH(1, (Data_Input!$7:$7=$F$3)*(Data_Input!$8:$8=$B150), 0)), 0) + 1, MATCH(1, (Data_Input!$7:$7=$F$3)*(Data_Input!$8:$8=$B150), 0)),"")</f>
        <v/>
      </c>
      <c r="I150" s="20" t="str" cm="1">
        <f t="array" ref="I150">IFERROR(INDEX(Data_Input!$A$1:$ZZ$502, MATCH("평가금액", INDEX(Data_Input!$A$1:$ZZ$502, 0, MATCH(1, (Data_Input!$7:$7=$F$3)*(Data_Input!$8:$8=$B150), 0)), 0) + 1, MATCH(1, (Data_Input!$7:$7=$F$3)*(Data_Input!$8:$8=$B150), 0)),"")</f>
        <v/>
      </c>
      <c r="J150" s="20" t="str" cm="1">
        <f t="array" ref="J150">IFERROR(INDEX(Data_Input!$A$1:$ZZ$502, MATCH("평가손익", INDEX(Data_Input!$A$1:$ZZ$502, 0, MATCH(1, (Data_Input!$7:$7=$F$3)*(Data_Input!$8:$8=$B150), 0)), 0) + 1, MATCH(1, (Data_Input!$7:$7=$F$3)*(Data_Input!$8:$8=$B150), 0)),"")</f>
        <v/>
      </c>
      <c r="K150" s="14" t="str" cm="1">
        <f t="array" ref="K150">IFERROR(INDEX(Data_Input!$A$1:$ZZ$502, MATCH("총수익률", INDEX(Data_Input!$A$1:$ZZ$502, 0, MATCH(1, (Data_Input!$7:$7=$F$3)*(Data_Input!$8:$8=$B150), 0)), 0) + 1, MATCH(1, (Data_Input!$7:$7=$F$3)*(Data_Input!$8:$8=$B150), 0)),"")</f>
        <v/>
      </c>
      <c r="L150" t="str" cm="1">
        <f t="array" ref="L150">IFERROR(_xlfn.LET(
    _xlpm.targetDate, B150,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51" spans="1:12" x14ac:dyDescent="0.3">
      <c r="A151" s="16" t="str">
        <f t="shared" si="5"/>
        <v/>
      </c>
      <c r="B151" s="8"/>
      <c r="C151" s="17" t="str">
        <f t="shared" si="6"/>
        <v/>
      </c>
      <c r="D151" s="29" t="str" cm="1">
        <f t="array" ref="D151">IFERROR(INDEX(Data_Input!$1:$100, 10, MATCH(1, (Data_Input!$F$7:$ZZ$7=$F$3) * (Data_Input!$F$8:$ZZ$8=$B151), 0)),"")</f>
        <v/>
      </c>
      <c r="E151" s="29" t="str" cm="1">
        <f t="array" ref="E151">IFERROR(INDEX(Data_Input!$1:$100, 9, MATCH(1, (Data_Input!$7:$7=$F$3) * (Data_Input!$8:$8=$B151), 0)),"")</f>
        <v/>
      </c>
      <c r="F151" s="20" t="str" cm="1">
        <f t="array" ref="F151">IFERROR(INDEX(Data_Input!$A$1:$ZZ$502, MATCH("예수금", INDEX(Data_Input!$A$1:$ZZ$502, 0, MATCH(1, (Data_Input!$7:$7=$F$3)*(Data_Input!$8:$8=$B151), 0)), 0) + 1, MATCH(1, (Data_Input!$7:$7=$F$3)*(Data_Input!$8:$8=$B151), 0)),"")</f>
        <v/>
      </c>
      <c r="G151" s="20" t="str" cm="1">
        <f t="array" ref="G151">IFERROR(INDEX(Data_Input!$A$1:$ZZ$502, MATCH("총자산", INDEX(Data_Input!$A$1:$ZZ$502, 0, MATCH(1, (Data_Input!$7:$7=$F$3)*(Data_Input!$8:$8=$B151), 0)), 0) + 1, MATCH(1, (Data_Input!$7:$7=$F$3)*(Data_Input!$8:$8=$B151), 0)),"")</f>
        <v/>
      </c>
      <c r="H151" s="20" t="str" cm="1">
        <f t="array" ref="H151">IFERROR(INDEX(Data_Input!$A$1:$ZZ$502, MATCH("매입금액", INDEX(Data_Input!$A$1:$ZZ$502, 0, MATCH(1, (Data_Input!$7:$7=$F$3)*(Data_Input!$8:$8=$B151), 0)), 0) + 1, MATCH(1, (Data_Input!$7:$7=$F$3)*(Data_Input!$8:$8=$B151), 0)),"")</f>
        <v/>
      </c>
      <c r="I151" s="20" t="str" cm="1">
        <f t="array" ref="I151">IFERROR(INDEX(Data_Input!$A$1:$ZZ$502, MATCH("평가금액", INDEX(Data_Input!$A$1:$ZZ$502, 0, MATCH(1, (Data_Input!$7:$7=$F$3)*(Data_Input!$8:$8=$B151), 0)), 0) + 1, MATCH(1, (Data_Input!$7:$7=$F$3)*(Data_Input!$8:$8=$B151), 0)),"")</f>
        <v/>
      </c>
      <c r="J151" s="20" t="str" cm="1">
        <f t="array" ref="J151">IFERROR(INDEX(Data_Input!$A$1:$ZZ$502, MATCH("평가손익", INDEX(Data_Input!$A$1:$ZZ$502, 0, MATCH(1, (Data_Input!$7:$7=$F$3)*(Data_Input!$8:$8=$B151), 0)), 0) + 1, MATCH(1, (Data_Input!$7:$7=$F$3)*(Data_Input!$8:$8=$B151), 0)),"")</f>
        <v/>
      </c>
      <c r="K151" s="14" t="str" cm="1">
        <f t="array" ref="K151">IFERROR(INDEX(Data_Input!$A$1:$ZZ$502, MATCH("총수익률", INDEX(Data_Input!$A$1:$ZZ$502, 0, MATCH(1, (Data_Input!$7:$7=$F$3)*(Data_Input!$8:$8=$B151), 0)), 0) + 1, MATCH(1, (Data_Input!$7:$7=$F$3)*(Data_Input!$8:$8=$B151), 0)),"")</f>
        <v/>
      </c>
      <c r="L151" t="str" cm="1">
        <f t="array" ref="L151">IFERROR(_xlfn.LET(
    _xlpm.targetDate, B151,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52" spans="1:12" x14ac:dyDescent="0.3">
      <c r="A152" s="16" t="str">
        <f t="shared" si="5"/>
        <v/>
      </c>
      <c r="B152" s="8"/>
      <c r="C152" s="17" t="str">
        <f t="shared" si="6"/>
        <v/>
      </c>
      <c r="D152" s="29" t="str" cm="1">
        <f t="array" ref="D152">IFERROR(INDEX(Data_Input!$1:$100, 10, MATCH(1, (Data_Input!$F$7:$ZZ$7=$F$3) * (Data_Input!$F$8:$ZZ$8=$B152), 0)),"")</f>
        <v/>
      </c>
      <c r="E152" s="29" t="str" cm="1">
        <f t="array" ref="E152">IFERROR(INDEX(Data_Input!$1:$100, 9, MATCH(1, (Data_Input!$7:$7=$F$3) * (Data_Input!$8:$8=$B152), 0)),"")</f>
        <v/>
      </c>
      <c r="F152" s="20" t="str" cm="1">
        <f t="array" ref="F152">IFERROR(INDEX(Data_Input!$A$1:$ZZ$502, MATCH("예수금", INDEX(Data_Input!$A$1:$ZZ$502, 0, MATCH(1, (Data_Input!$7:$7=$F$3)*(Data_Input!$8:$8=$B152), 0)), 0) + 1, MATCH(1, (Data_Input!$7:$7=$F$3)*(Data_Input!$8:$8=$B152), 0)),"")</f>
        <v/>
      </c>
      <c r="G152" s="20" t="str" cm="1">
        <f t="array" ref="G152">IFERROR(INDEX(Data_Input!$A$1:$ZZ$502, MATCH("총자산", INDEX(Data_Input!$A$1:$ZZ$502, 0, MATCH(1, (Data_Input!$7:$7=$F$3)*(Data_Input!$8:$8=$B152), 0)), 0) + 1, MATCH(1, (Data_Input!$7:$7=$F$3)*(Data_Input!$8:$8=$B152), 0)),"")</f>
        <v/>
      </c>
      <c r="H152" s="20" t="str" cm="1">
        <f t="array" ref="H152">IFERROR(INDEX(Data_Input!$A$1:$ZZ$502, MATCH("매입금액", INDEX(Data_Input!$A$1:$ZZ$502, 0, MATCH(1, (Data_Input!$7:$7=$F$3)*(Data_Input!$8:$8=$B152), 0)), 0) + 1, MATCH(1, (Data_Input!$7:$7=$F$3)*(Data_Input!$8:$8=$B152), 0)),"")</f>
        <v/>
      </c>
      <c r="I152" s="20" t="str" cm="1">
        <f t="array" ref="I152">IFERROR(INDEX(Data_Input!$A$1:$ZZ$502, MATCH("평가금액", INDEX(Data_Input!$A$1:$ZZ$502, 0, MATCH(1, (Data_Input!$7:$7=$F$3)*(Data_Input!$8:$8=$B152), 0)), 0) + 1, MATCH(1, (Data_Input!$7:$7=$F$3)*(Data_Input!$8:$8=$B152), 0)),"")</f>
        <v/>
      </c>
      <c r="J152" s="20" t="str" cm="1">
        <f t="array" ref="J152">IFERROR(INDEX(Data_Input!$A$1:$ZZ$502, MATCH("평가손익", INDEX(Data_Input!$A$1:$ZZ$502, 0, MATCH(1, (Data_Input!$7:$7=$F$3)*(Data_Input!$8:$8=$B152), 0)), 0) + 1, MATCH(1, (Data_Input!$7:$7=$F$3)*(Data_Input!$8:$8=$B152), 0)),"")</f>
        <v/>
      </c>
      <c r="K152" s="14" t="str" cm="1">
        <f t="array" ref="K152">IFERROR(INDEX(Data_Input!$A$1:$ZZ$502, MATCH("총수익률", INDEX(Data_Input!$A$1:$ZZ$502, 0, MATCH(1, (Data_Input!$7:$7=$F$3)*(Data_Input!$8:$8=$B152), 0)), 0) + 1, MATCH(1, (Data_Input!$7:$7=$F$3)*(Data_Input!$8:$8=$B152), 0)),"")</f>
        <v/>
      </c>
      <c r="L152" t="str" cm="1">
        <f t="array" ref="L152">IFERROR(_xlfn.LET(
    _xlpm.targetDate, B152,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53" spans="1:12" x14ac:dyDescent="0.3">
      <c r="A153" s="16" t="str">
        <f t="shared" si="5"/>
        <v/>
      </c>
      <c r="B153" s="8"/>
      <c r="C153" s="17" t="str">
        <f t="shared" si="6"/>
        <v/>
      </c>
      <c r="D153" s="29" t="str" cm="1">
        <f t="array" ref="D153">IFERROR(INDEX(Data_Input!$1:$100, 10, MATCH(1, (Data_Input!$F$7:$ZZ$7=$F$3) * (Data_Input!$F$8:$ZZ$8=$B153), 0)),"")</f>
        <v/>
      </c>
      <c r="E153" s="29" t="str" cm="1">
        <f t="array" ref="E153">IFERROR(INDEX(Data_Input!$1:$100, 9, MATCH(1, (Data_Input!$7:$7=$F$3) * (Data_Input!$8:$8=$B153), 0)),"")</f>
        <v/>
      </c>
      <c r="F153" s="20" t="str" cm="1">
        <f t="array" ref="F153">IFERROR(INDEX(Data_Input!$A$1:$ZZ$502, MATCH("예수금", INDEX(Data_Input!$A$1:$ZZ$502, 0, MATCH(1, (Data_Input!$7:$7=$F$3)*(Data_Input!$8:$8=$B153), 0)), 0) + 1, MATCH(1, (Data_Input!$7:$7=$F$3)*(Data_Input!$8:$8=$B153), 0)),"")</f>
        <v/>
      </c>
      <c r="G153" s="20" t="str" cm="1">
        <f t="array" ref="G153">IFERROR(INDEX(Data_Input!$A$1:$ZZ$502, MATCH("총자산", INDEX(Data_Input!$A$1:$ZZ$502, 0, MATCH(1, (Data_Input!$7:$7=$F$3)*(Data_Input!$8:$8=$B153), 0)), 0) + 1, MATCH(1, (Data_Input!$7:$7=$F$3)*(Data_Input!$8:$8=$B153), 0)),"")</f>
        <v/>
      </c>
      <c r="H153" s="20" t="str" cm="1">
        <f t="array" ref="H153">IFERROR(INDEX(Data_Input!$A$1:$ZZ$502, MATCH("매입금액", INDEX(Data_Input!$A$1:$ZZ$502, 0, MATCH(1, (Data_Input!$7:$7=$F$3)*(Data_Input!$8:$8=$B153), 0)), 0) + 1, MATCH(1, (Data_Input!$7:$7=$F$3)*(Data_Input!$8:$8=$B153), 0)),"")</f>
        <v/>
      </c>
      <c r="I153" s="20" t="str" cm="1">
        <f t="array" ref="I153">IFERROR(INDEX(Data_Input!$A$1:$ZZ$502, MATCH("평가금액", INDEX(Data_Input!$A$1:$ZZ$502, 0, MATCH(1, (Data_Input!$7:$7=$F$3)*(Data_Input!$8:$8=$B153), 0)), 0) + 1, MATCH(1, (Data_Input!$7:$7=$F$3)*(Data_Input!$8:$8=$B153), 0)),"")</f>
        <v/>
      </c>
      <c r="J153" s="20" t="str" cm="1">
        <f t="array" ref="J153">IFERROR(INDEX(Data_Input!$A$1:$ZZ$502, MATCH("평가손익", INDEX(Data_Input!$A$1:$ZZ$502, 0, MATCH(1, (Data_Input!$7:$7=$F$3)*(Data_Input!$8:$8=$B153), 0)), 0) + 1, MATCH(1, (Data_Input!$7:$7=$F$3)*(Data_Input!$8:$8=$B153), 0)),"")</f>
        <v/>
      </c>
      <c r="K153" s="14" t="str" cm="1">
        <f t="array" ref="K153">IFERROR(INDEX(Data_Input!$A$1:$ZZ$502, MATCH("총수익률", INDEX(Data_Input!$A$1:$ZZ$502, 0, MATCH(1, (Data_Input!$7:$7=$F$3)*(Data_Input!$8:$8=$B153), 0)), 0) + 1, MATCH(1, (Data_Input!$7:$7=$F$3)*(Data_Input!$8:$8=$B153), 0)),"")</f>
        <v/>
      </c>
      <c r="L153" t="str" cm="1">
        <f t="array" ref="L153">IFERROR(_xlfn.LET(
    _xlpm.targetDate, B153,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54" spans="1:12" x14ac:dyDescent="0.3">
      <c r="A154" s="16" t="str">
        <f t="shared" si="5"/>
        <v/>
      </c>
      <c r="B154" s="8"/>
      <c r="C154" s="17" t="str">
        <f t="shared" si="6"/>
        <v/>
      </c>
      <c r="D154" s="29" t="str" cm="1">
        <f t="array" ref="D154">IFERROR(INDEX(Data_Input!$1:$100, 10, MATCH(1, (Data_Input!$F$7:$ZZ$7=$F$3) * (Data_Input!$F$8:$ZZ$8=$B154), 0)),"")</f>
        <v/>
      </c>
      <c r="E154" s="29" t="str" cm="1">
        <f t="array" ref="E154">IFERROR(INDEX(Data_Input!$1:$100, 9, MATCH(1, (Data_Input!$7:$7=$F$3) * (Data_Input!$8:$8=$B154), 0)),"")</f>
        <v/>
      </c>
      <c r="F154" s="20" t="str" cm="1">
        <f t="array" ref="F154">IFERROR(INDEX(Data_Input!$A$1:$ZZ$502, MATCH("예수금", INDEX(Data_Input!$A$1:$ZZ$502, 0, MATCH(1, (Data_Input!$7:$7=$F$3)*(Data_Input!$8:$8=$B154), 0)), 0) + 1, MATCH(1, (Data_Input!$7:$7=$F$3)*(Data_Input!$8:$8=$B154), 0)),"")</f>
        <v/>
      </c>
      <c r="G154" s="20" t="str" cm="1">
        <f t="array" ref="G154">IFERROR(INDEX(Data_Input!$A$1:$ZZ$502, MATCH("총자산", INDEX(Data_Input!$A$1:$ZZ$502, 0, MATCH(1, (Data_Input!$7:$7=$F$3)*(Data_Input!$8:$8=$B154), 0)), 0) + 1, MATCH(1, (Data_Input!$7:$7=$F$3)*(Data_Input!$8:$8=$B154), 0)),"")</f>
        <v/>
      </c>
      <c r="H154" s="20" t="str" cm="1">
        <f t="array" ref="H154">IFERROR(INDEX(Data_Input!$A$1:$ZZ$502, MATCH("매입금액", INDEX(Data_Input!$A$1:$ZZ$502, 0, MATCH(1, (Data_Input!$7:$7=$F$3)*(Data_Input!$8:$8=$B154), 0)), 0) + 1, MATCH(1, (Data_Input!$7:$7=$F$3)*(Data_Input!$8:$8=$B154), 0)),"")</f>
        <v/>
      </c>
      <c r="I154" s="20" t="str" cm="1">
        <f t="array" ref="I154">IFERROR(INDEX(Data_Input!$A$1:$ZZ$502, MATCH("평가금액", INDEX(Data_Input!$A$1:$ZZ$502, 0, MATCH(1, (Data_Input!$7:$7=$F$3)*(Data_Input!$8:$8=$B154), 0)), 0) + 1, MATCH(1, (Data_Input!$7:$7=$F$3)*(Data_Input!$8:$8=$B154), 0)),"")</f>
        <v/>
      </c>
      <c r="J154" s="20" t="str" cm="1">
        <f t="array" ref="J154">IFERROR(INDEX(Data_Input!$A$1:$ZZ$502, MATCH("평가손익", INDEX(Data_Input!$A$1:$ZZ$502, 0, MATCH(1, (Data_Input!$7:$7=$F$3)*(Data_Input!$8:$8=$B154), 0)), 0) + 1, MATCH(1, (Data_Input!$7:$7=$F$3)*(Data_Input!$8:$8=$B154), 0)),"")</f>
        <v/>
      </c>
      <c r="K154" s="14" t="str" cm="1">
        <f t="array" ref="K154">IFERROR(INDEX(Data_Input!$A$1:$ZZ$502, MATCH("총수익률", INDEX(Data_Input!$A$1:$ZZ$502, 0, MATCH(1, (Data_Input!$7:$7=$F$3)*(Data_Input!$8:$8=$B154), 0)), 0) + 1, MATCH(1, (Data_Input!$7:$7=$F$3)*(Data_Input!$8:$8=$B154), 0)),"")</f>
        <v/>
      </c>
      <c r="L154" t="str" cm="1">
        <f t="array" ref="L154">IFERROR(_xlfn.LET(
    _xlpm.targetDate, B154,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55" spans="1:12" x14ac:dyDescent="0.3">
      <c r="A155" s="16" t="str">
        <f t="shared" si="5"/>
        <v/>
      </c>
      <c r="B155" s="8"/>
      <c r="C155" s="17" t="str">
        <f t="shared" si="6"/>
        <v/>
      </c>
      <c r="D155" s="29" t="str" cm="1">
        <f t="array" ref="D155">IFERROR(INDEX(Data_Input!$1:$100, 10, MATCH(1, (Data_Input!$F$7:$ZZ$7=$F$3) * (Data_Input!$F$8:$ZZ$8=$B155), 0)),"")</f>
        <v/>
      </c>
      <c r="E155" s="29" t="str" cm="1">
        <f t="array" ref="E155">IFERROR(INDEX(Data_Input!$1:$100, 9, MATCH(1, (Data_Input!$7:$7=$F$3) * (Data_Input!$8:$8=$B155), 0)),"")</f>
        <v/>
      </c>
      <c r="F155" s="20" t="str" cm="1">
        <f t="array" ref="F155">IFERROR(INDEX(Data_Input!$A$1:$ZZ$502, MATCH("예수금", INDEX(Data_Input!$A$1:$ZZ$502, 0, MATCH(1, (Data_Input!$7:$7=$F$3)*(Data_Input!$8:$8=$B155), 0)), 0) + 1, MATCH(1, (Data_Input!$7:$7=$F$3)*(Data_Input!$8:$8=$B155), 0)),"")</f>
        <v/>
      </c>
      <c r="G155" s="20" t="str" cm="1">
        <f t="array" ref="G155">IFERROR(INDEX(Data_Input!$A$1:$ZZ$502, MATCH("총자산", INDEX(Data_Input!$A$1:$ZZ$502, 0, MATCH(1, (Data_Input!$7:$7=$F$3)*(Data_Input!$8:$8=$B155), 0)), 0) + 1, MATCH(1, (Data_Input!$7:$7=$F$3)*(Data_Input!$8:$8=$B155), 0)),"")</f>
        <v/>
      </c>
      <c r="H155" s="20" t="str" cm="1">
        <f t="array" ref="H155">IFERROR(INDEX(Data_Input!$A$1:$ZZ$502, MATCH("매입금액", INDEX(Data_Input!$A$1:$ZZ$502, 0, MATCH(1, (Data_Input!$7:$7=$F$3)*(Data_Input!$8:$8=$B155), 0)), 0) + 1, MATCH(1, (Data_Input!$7:$7=$F$3)*(Data_Input!$8:$8=$B155), 0)),"")</f>
        <v/>
      </c>
      <c r="I155" s="20" t="str" cm="1">
        <f t="array" ref="I155">IFERROR(INDEX(Data_Input!$A$1:$ZZ$502, MATCH("평가금액", INDEX(Data_Input!$A$1:$ZZ$502, 0, MATCH(1, (Data_Input!$7:$7=$F$3)*(Data_Input!$8:$8=$B155), 0)), 0) + 1, MATCH(1, (Data_Input!$7:$7=$F$3)*(Data_Input!$8:$8=$B155), 0)),"")</f>
        <v/>
      </c>
      <c r="J155" s="20" t="str" cm="1">
        <f t="array" ref="J155">IFERROR(INDEX(Data_Input!$A$1:$ZZ$502, MATCH("평가손익", INDEX(Data_Input!$A$1:$ZZ$502, 0, MATCH(1, (Data_Input!$7:$7=$F$3)*(Data_Input!$8:$8=$B155), 0)), 0) + 1, MATCH(1, (Data_Input!$7:$7=$F$3)*(Data_Input!$8:$8=$B155), 0)),"")</f>
        <v/>
      </c>
      <c r="K155" s="14" t="str" cm="1">
        <f t="array" ref="K155">IFERROR(INDEX(Data_Input!$A$1:$ZZ$502, MATCH("총수익률", INDEX(Data_Input!$A$1:$ZZ$502, 0, MATCH(1, (Data_Input!$7:$7=$F$3)*(Data_Input!$8:$8=$B155), 0)), 0) + 1, MATCH(1, (Data_Input!$7:$7=$F$3)*(Data_Input!$8:$8=$B155), 0)),"")</f>
        <v/>
      </c>
      <c r="L155" t="str" cm="1">
        <f t="array" ref="L155">IFERROR(_xlfn.LET(
    _xlpm.targetDate, B155,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56" spans="1:12" x14ac:dyDescent="0.3">
      <c r="A156" s="16" t="str">
        <f t="shared" si="5"/>
        <v/>
      </c>
      <c r="B156" s="8"/>
      <c r="C156" s="17" t="str">
        <f t="shared" si="6"/>
        <v/>
      </c>
      <c r="D156" s="29" t="str" cm="1">
        <f t="array" ref="D156">IFERROR(INDEX(Data_Input!$1:$100, 10, MATCH(1, (Data_Input!$F$7:$ZZ$7=$F$3) * (Data_Input!$F$8:$ZZ$8=$B156), 0)),"")</f>
        <v/>
      </c>
      <c r="E156" s="29" t="str" cm="1">
        <f t="array" ref="E156">IFERROR(INDEX(Data_Input!$1:$100, 9, MATCH(1, (Data_Input!$7:$7=$F$3) * (Data_Input!$8:$8=$B156), 0)),"")</f>
        <v/>
      </c>
      <c r="F156" s="20" t="str" cm="1">
        <f t="array" ref="F156">IFERROR(INDEX(Data_Input!$A$1:$ZZ$502, MATCH("예수금", INDEX(Data_Input!$A$1:$ZZ$502, 0, MATCH(1, (Data_Input!$7:$7=$F$3)*(Data_Input!$8:$8=$B156), 0)), 0) + 1, MATCH(1, (Data_Input!$7:$7=$F$3)*(Data_Input!$8:$8=$B156), 0)),"")</f>
        <v/>
      </c>
      <c r="G156" s="20" t="str" cm="1">
        <f t="array" ref="G156">IFERROR(INDEX(Data_Input!$A$1:$ZZ$502, MATCH("총자산", INDEX(Data_Input!$A$1:$ZZ$502, 0, MATCH(1, (Data_Input!$7:$7=$F$3)*(Data_Input!$8:$8=$B156), 0)), 0) + 1, MATCH(1, (Data_Input!$7:$7=$F$3)*(Data_Input!$8:$8=$B156), 0)),"")</f>
        <v/>
      </c>
      <c r="H156" s="20" t="str" cm="1">
        <f t="array" ref="H156">IFERROR(INDEX(Data_Input!$A$1:$ZZ$502, MATCH("매입금액", INDEX(Data_Input!$A$1:$ZZ$502, 0, MATCH(1, (Data_Input!$7:$7=$F$3)*(Data_Input!$8:$8=$B156), 0)), 0) + 1, MATCH(1, (Data_Input!$7:$7=$F$3)*(Data_Input!$8:$8=$B156), 0)),"")</f>
        <v/>
      </c>
      <c r="I156" s="20" t="str" cm="1">
        <f t="array" ref="I156">IFERROR(INDEX(Data_Input!$A$1:$ZZ$502, MATCH("평가금액", INDEX(Data_Input!$A$1:$ZZ$502, 0, MATCH(1, (Data_Input!$7:$7=$F$3)*(Data_Input!$8:$8=$B156), 0)), 0) + 1, MATCH(1, (Data_Input!$7:$7=$F$3)*(Data_Input!$8:$8=$B156), 0)),"")</f>
        <v/>
      </c>
      <c r="J156" s="20" t="str" cm="1">
        <f t="array" ref="J156">IFERROR(INDEX(Data_Input!$A$1:$ZZ$502, MATCH("평가손익", INDEX(Data_Input!$A$1:$ZZ$502, 0, MATCH(1, (Data_Input!$7:$7=$F$3)*(Data_Input!$8:$8=$B156), 0)), 0) + 1, MATCH(1, (Data_Input!$7:$7=$F$3)*(Data_Input!$8:$8=$B156), 0)),"")</f>
        <v/>
      </c>
      <c r="K156" s="14" t="str" cm="1">
        <f t="array" ref="K156">IFERROR(INDEX(Data_Input!$A$1:$ZZ$502, MATCH("총수익률", INDEX(Data_Input!$A$1:$ZZ$502, 0, MATCH(1, (Data_Input!$7:$7=$F$3)*(Data_Input!$8:$8=$B156), 0)), 0) + 1, MATCH(1, (Data_Input!$7:$7=$F$3)*(Data_Input!$8:$8=$B156), 0)),"")</f>
        <v/>
      </c>
      <c r="L156" t="str" cm="1">
        <f t="array" ref="L156">IFERROR(_xlfn.LET(
    _xlpm.targetDate, B156,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57" spans="1:12" x14ac:dyDescent="0.3">
      <c r="A157" s="16" t="str">
        <f t="shared" si="5"/>
        <v/>
      </c>
      <c r="B157" s="8"/>
      <c r="C157" s="17" t="str">
        <f t="shared" si="6"/>
        <v/>
      </c>
      <c r="D157" s="29" t="str" cm="1">
        <f t="array" ref="D157">IFERROR(INDEX(Data_Input!$1:$100, 10, MATCH(1, (Data_Input!$F$7:$ZZ$7=$F$3) * (Data_Input!$F$8:$ZZ$8=$B157), 0)),"")</f>
        <v/>
      </c>
      <c r="E157" s="29" t="str" cm="1">
        <f t="array" ref="E157">IFERROR(INDEX(Data_Input!$1:$100, 9, MATCH(1, (Data_Input!$7:$7=$F$3) * (Data_Input!$8:$8=$B157), 0)),"")</f>
        <v/>
      </c>
      <c r="F157" s="20" t="str" cm="1">
        <f t="array" ref="F157">IFERROR(INDEX(Data_Input!$A$1:$ZZ$502, MATCH("예수금", INDEX(Data_Input!$A$1:$ZZ$502, 0, MATCH(1, (Data_Input!$7:$7=$F$3)*(Data_Input!$8:$8=$B157), 0)), 0) + 1, MATCH(1, (Data_Input!$7:$7=$F$3)*(Data_Input!$8:$8=$B157), 0)),"")</f>
        <v/>
      </c>
      <c r="G157" s="20" t="str" cm="1">
        <f t="array" ref="G157">IFERROR(INDEX(Data_Input!$A$1:$ZZ$502, MATCH("총자산", INDEX(Data_Input!$A$1:$ZZ$502, 0, MATCH(1, (Data_Input!$7:$7=$F$3)*(Data_Input!$8:$8=$B157), 0)), 0) + 1, MATCH(1, (Data_Input!$7:$7=$F$3)*(Data_Input!$8:$8=$B157), 0)),"")</f>
        <v/>
      </c>
      <c r="H157" s="20" t="str" cm="1">
        <f t="array" ref="H157">IFERROR(INDEX(Data_Input!$A$1:$ZZ$502, MATCH("매입금액", INDEX(Data_Input!$A$1:$ZZ$502, 0, MATCH(1, (Data_Input!$7:$7=$F$3)*(Data_Input!$8:$8=$B157), 0)), 0) + 1, MATCH(1, (Data_Input!$7:$7=$F$3)*(Data_Input!$8:$8=$B157), 0)),"")</f>
        <v/>
      </c>
      <c r="I157" s="20" t="str" cm="1">
        <f t="array" ref="I157">IFERROR(INDEX(Data_Input!$A$1:$ZZ$502, MATCH("평가금액", INDEX(Data_Input!$A$1:$ZZ$502, 0, MATCH(1, (Data_Input!$7:$7=$F$3)*(Data_Input!$8:$8=$B157), 0)), 0) + 1, MATCH(1, (Data_Input!$7:$7=$F$3)*(Data_Input!$8:$8=$B157), 0)),"")</f>
        <v/>
      </c>
      <c r="J157" s="20" t="str" cm="1">
        <f t="array" ref="J157">IFERROR(INDEX(Data_Input!$A$1:$ZZ$502, MATCH("평가손익", INDEX(Data_Input!$A$1:$ZZ$502, 0, MATCH(1, (Data_Input!$7:$7=$F$3)*(Data_Input!$8:$8=$B157), 0)), 0) + 1, MATCH(1, (Data_Input!$7:$7=$F$3)*(Data_Input!$8:$8=$B157), 0)),"")</f>
        <v/>
      </c>
      <c r="K157" s="14" t="str" cm="1">
        <f t="array" ref="K157">IFERROR(INDEX(Data_Input!$A$1:$ZZ$502, MATCH("총수익률", INDEX(Data_Input!$A$1:$ZZ$502, 0, MATCH(1, (Data_Input!$7:$7=$F$3)*(Data_Input!$8:$8=$B157), 0)), 0) + 1, MATCH(1, (Data_Input!$7:$7=$F$3)*(Data_Input!$8:$8=$B157), 0)),"")</f>
        <v/>
      </c>
      <c r="L157" t="str" cm="1">
        <f t="array" ref="L157">IFERROR(_xlfn.LET(
    _xlpm.targetDate, B157,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58" spans="1:12" x14ac:dyDescent="0.3">
      <c r="A158" s="16" t="str">
        <f t="shared" si="5"/>
        <v/>
      </c>
      <c r="B158" s="8"/>
      <c r="C158" s="17" t="str">
        <f t="shared" si="6"/>
        <v/>
      </c>
      <c r="D158" s="29" t="str" cm="1">
        <f t="array" ref="D158">IFERROR(INDEX(Data_Input!$1:$100, 10, MATCH(1, (Data_Input!$F$7:$ZZ$7=$F$3) * (Data_Input!$F$8:$ZZ$8=$B158), 0)),"")</f>
        <v/>
      </c>
      <c r="E158" s="29" t="str" cm="1">
        <f t="array" ref="E158">IFERROR(INDEX(Data_Input!$1:$100, 9, MATCH(1, (Data_Input!$7:$7=$F$3) * (Data_Input!$8:$8=$B158), 0)),"")</f>
        <v/>
      </c>
      <c r="F158" s="20" t="str" cm="1">
        <f t="array" ref="F158">IFERROR(INDEX(Data_Input!$A$1:$ZZ$502, MATCH("예수금", INDEX(Data_Input!$A$1:$ZZ$502, 0, MATCH(1, (Data_Input!$7:$7=$F$3)*(Data_Input!$8:$8=$B158), 0)), 0) + 1, MATCH(1, (Data_Input!$7:$7=$F$3)*(Data_Input!$8:$8=$B158), 0)),"")</f>
        <v/>
      </c>
      <c r="G158" s="20" t="str" cm="1">
        <f t="array" ref="G158">IFERROR(INDEX(Data_Input!$A$1:$ZZ$502, MATCH("총자산", INDEX(Data_Input!$A$1:$ZZ$502, 0, MATCH(1, (Data_Input!$7:$7=$F$3)*(Data_Input!$8:$8=$B158), 0)), 0) + 1, MATCH(1, (Data_Input!$7:$7=$F$3)*(Data_Input!$8:$8=$B158), 0)),"")</f>
        <v/>
      </c>
      <c r="H158" s="20" t="str" cm="1">
        <f t="array" ref="H158">IFERROR(INDEX(Data_Input!$A$1:$ZZ$502, MATCH("매입금액", INDEX(Data_Input!$A$1:$ZZ$502, 0, MATCH(1, (Data_Input!$7:$7=$F$3)*(Data_Input!$8:$8=$B158), 0)), 0) + 1, MATCH(1, (Data_Input!$7:$7=$F$3)*(Data_Input!$8:$8=$B158), 0)),"")</f>
        <v/>
      </c>
      <c r="I158" s="20" t="str" cm="1">
        <f t="array" ref="I158">IFERROR(INDEX(Data_Input!$A$1:$ZZ$502, MATCH("평가금액", INDEX(Data_Input!$A$1:$ZZ$502, 0, MATCH(1, (Data_Input!$7:$7=$F$3)*(Data_Input!$8:$8=$B158), 0)), 0) + 1, MATCH(1, (Data_Input!$7:$7=$F$3)*(Data_Input!$8:$8=$B158), 0)),"")</f>
        <v/>
      </c>
      <c r="J158" s="20" t="str" cm="1">
        <f t="array" ref="J158">IFERROR(INDEX(Data_Input!$A$1:$ZZ$502, MATCH("평가손익", INDEX(Data_Input!$A$1:$ZZ$502, 0, MATCH(1, (Data_Input!$7:$7=$F$3)*(Data_Input!$8:$8=$B158), 0)), 0) + 1, MATCH(1, (Data_Input!$7:$7=$F$3)*(Data_Input!$8:$8=$B158), 0)),"")</f>
        <v/>
      </c>
      <c r="K158" s="14" t="str" cm="1">
        <f t="array" ref="K158">IFERROR(INDEX(Data_Input!$A$1:$ZZ$502, MATCH("총수익률", INDEX(Data_Input!$A$1:$ZZ$502, 0, MATCH(1, (Data_Input!$7:$7=$F$3)*(Data_Input!$8:$8=$B158), 0)), 0) + 1, MATCH(1, (Data_Input!$7:$7=$F$3)*(Data_Input!$8:$8=$B158), 0)),"")</f>
        <v/>
      </c>
      <c r="L158" t="str" cm="1">
        <f t="array" ref="L158">IFERROR(_xlfn.LET(
    _xlpm.targetDate, B158,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59" spans="1:12" x14ac:dyDescent="0.3">
      <c r="A159" s="16" t="str">
        <f t="shared" si="5"/>
        <v/>
      </c>
      <c r="B159" s="8"/>
      <c r="C159" s="17" t="str">
        <f t="shared" si="6"/>
        <v/>
      </c>
      <c r="D159" s="29" t="str" cm="1">
        <f t="array" ref="D159">IFERROR(INDEX(Data_Input!$1:$100, 10, MATCH(1, (Data_Input!$F$7:$ZZ$7=$F$3) * (Data_Input!$F$8:$ZZ$8=$B159), 0)),"")</f>
        <v/>
      </c>
      <c r="E159" s="29" t="str" cm="1">
        <f t="array" ref="E159">IFERROR(INDEX(Data_Input!$1:$100, 9, MATCH(1, (Data_Input!$7:$7=$F$3) * (Data_Input!$8:$8=$B159), 0)),"")</f>
        <v/>
      </c>
      <c r="F159" s="20" t="str" cm="1">
        <f t="array" ref="F159">IFERROR(INDEX(Data_Input!$A$1:$ZZ$502, MATCH("예수금", INDEX(Data_Input!$A$1:$ZZ$502, 0, MATCH(1, (Data_Input!$7:$7=$F$3)*(Data_Input!$8:$8=$B159), 0)), 0) + 1, MATCH(1, (Data_Input!$7:$7=$F$3)*(Data_Input!$8:$8=$B159), 0)),"")</f>
        <v/>
      </c>
      <c r="G159" s="20" t="str" cm="1">
        <f t="array" ref="G159">IFERROR(INDEX(Data_Input!$A$1:$ZZ$502, MATCH("총자산", INDEX(Data_Input!$A$1:$ZZ$502, 0, MATCH(1, (Data_Input!$7:$7=$F$3)*(Data_Input!$8:$8=$B159), 0)), 0) + 1, MATCH(1, (Data_Input!$7:$7=$F$3)*(Data_Input!$8:$8=$B159), 0)),"")</f>
        <v/>
      </c>
      <c r="H159" s="20" t="str" cm="1">
        <f t="array" ref="H159">IFERROR(INDEX(Data_Input!$A$1:$ZZ$502, MATCH("매입금액", INDEX(Data_Input!$A$1:$ZZ$502, 0, MATCH(1, (Data_Input!$7:$7=$F$3)*(Data_Input!$8:$8=$B159), 0)), 0) + 1, MATCH(1, (Data_Input!$7:$7=$F$3)*(Data_Input!$8:$8=$B159), 0)),"")</f>
        <v/>
      </c>
      <c r="I159" s="20" t="str" cm="1">
        <f t="array" ref="I159">IFERROR(INDEX(Data_Input!$A$1:$ZZ$502, MATCH("평가금액", INDEX(Data_Input!$A$1:$ZZ$502, 0, MATCH(1, (Data_Input!$7:$7=$F$3)*(Data_Input!$8:$8=$B159), 0)), 0) + 1, MATCH(1, (Data_Input!$7:$7=$F$3)*(Data_Input!$8:$8=$B159), 0)),"")</f>
        <v/>
      </c>
      <c r="J159" s="20" t="str" cm="1">
        <f t="array" ref="J159">IFERROR(INDEX(Data_Input!$A$1:$ZZ$502, MATCH("평가손익", INDEX(Data_Input!$A$1:$ZZ$502, 0, MATCH(1, (Data_Input!$7:$7=$F$3)*(Data_Input!$8:$8=$B159), 0)), 0) + 1, MATCH(1, (Data_Input!$7:$7=$F$3)*(Data_Input!$8:$8=$B159), 0)),"")</f>
        <v/>
      </c>
      <c r="K159" s="14" t="str" cm="1">
        <f t="array" ref="K159">IFERROR(INDEX(Data_Input!$A$1:$ZZ$502, MATCH("총수익률", INDEX(Data_Input!$A$1:$ZZ$502, 0, MATCH(1, (Data_Input!$7:$7=$F$3)*(Data_Input!$8:$8=$B159), 0)), 0) + 1, MATCH(1, (Data_Input!$7:$7=$F$3)*(Data_Input!$8:$8=$B159), 0)),"")</f>
        <v/>
      </c>
      <c r="L159" t="str" cm="1">
        <f t="array" ref="L159">IFERROR(_xlfn.LET(
    _xlpm.targetDate, B159,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60" spans="1:12" x14ac:dyDescent="0.3">
      <c r="A160" s="16" t="str">
        <f t="shared" si="5"/>
        <v/>
      </c>
      <c r="B160" s="8"/>
      <c r="C160" s="17" t="str">
        <f t="shared" si="6"/>
        <v/>
      </c>
      <c r="D160" s="29" t="str" cm="1">
        <f t="array" ref="D160">IFERROR(INDEX(Data_Input!$1:$100, 10, MATCH(1, (Data_Input!$F$7:$ZZ$7=$F$3) * (Data_Input!$F$8:$ZZ$8=$B160), 0)),"")</f>
        <v/>
      </c>
      <c r="E160" s="29" t="str" cm="1">
        <f t="array" ref="E160">IFERROR(INDEX(Data_Input!$1:$100, 9, MATCH(1, (Data_Input!$7:$7=$F$3) * (Data_Input!$8:$8=$B160), 0)),"")</f>
        <v/>
      </c>
      <c r="F160" s="20" t="str" cm="1">
        <f t="array" ref="F160">IFERROR(INDEX(Data_Input!$A$1:$ZZ$502, MATCH("예수금", INDEX(Data_Input!$A$1:$ZZ$502, 0, MATCH(1, (Data_Input!$7:$7=$F$3)*(Data_Input!$8:$8=$B160), 0)), 0) + 1, MATCH(1, (Data_Input!$7:$7=$F$3)*(Data_Input!$8:$8=$B160), 0)),"")</f>
        <v/>
      </c>
      <c r="G160" s="20" t="str" cm="1">
        <f t="array" ref="G160">IFERROR(INDEX(Data_Input!$A$1:$ZZ$502, MATCH("총자산", INDEX(Data_Input!$A$1:$ZZ$502, 0, MATCH(1, (Data_Input!$7:$7=$F$3)*(Data_Input!$8:$8=$B160), 0)), 0) + 1, MATCH(1, (Data_Input!$7:$7=$F$3)*(Data_Input!$8:$8=$B160), 0)),"")</f>
        <v/>
      </c>
      <c r="H160" s="20" t="str" cm="1">
        <f t="array" ref="H160">IFERROR(INDEX(Data_Input!$A$1:$ZZ$502, MATCH("매입금액", INDEX(Data_Input!$A$1:$ZZ$502, 0, MATCH(1, (Data_Input!$7:$7=$F$3)*(Data_Input!$8:$8=$B160), 0)), 0) + 1, MATCH(1, (Data_Input!$7:$7=$F$3)*(Data_Input!$8:$8=$B160), 0)),"")</f>
        <v/>
      </c>
      <c r="I160" s="20" t="str" cm="1">
        <f t="array" ref="I160">IFERROR(INDEX(Data_Input!$A$1:$ZZ$502, MATCH("평가금액", INDEX(Data_Input!$A$1:$ZZ$502, 0, MATCH(1, (Data_Input!$7:$7=$F$3)*(Data_Input!$8:$8=$B160), 0)), 0) + 1, MATCH(1, (Data_Input!$7:$7=$F$3)*(Data_Input!$8:$8=$B160), 0)),"")</f>
        <v/>
      </c>
      <c r="J160" s="20" t="str" cm="1">
        <f t="array" ref="J160">IFERROR(INDEX(Data_Input!$A$1:$ZZ$502, MATCH("평가손익", INDEX(Data_Input!$A$1:$ZZ$502, 0, MATCH(1, (Data_Input!$7:$7=$F$3)*(Data_Input!$8:$8=$B160), 0)), 0) + 1, MATCH(1, (Data_Input!$7:$7=$F$3)*(Data_Input!$8:$8=$B160), 0)),"")</f>
        <v/>
      </c>
      <c r="K160" s="14" t="str" cm="1">
        <f t="array" ref="K160">IFERROR(INDEX(Data_Input!$A$1:$ZZ$502, MATCH("총수익률", INDEX(Data_Input!$A$1:$ZZ$502, 0, MATCH(1, (Data_Input!$7:$7=$F$3)*(Data_Input!$8:$8=$B160), 0)), 0) + 1, MATCH(1, (Data_Input!$7:$7=$F$3)*(Data_Input!$8:$8=$B160), 0)),"")</f>
        <v/>
      </c>
      <c r="L160" t="str" cm="1">
        <f t="array" ref="L160">IFERROR(_xlfn.LET(
    _xlpm.targetDate, B160,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61" spans="1:12" x14ac:dyDescent="0.3">
      <c r="A161" s="16" t="str">
        <f t="shared" si="5"/>
        <v/>
      </c>
      <c r="B161" s="8"/>
      <c r="C161" s="17" t="str">
        <f t="shared" si="6"/>
        <v/>
      </c>
      <c r="D161" s="29" t="str" cm="1">
        <f t="array" ref="D161">IFERROR(INDEX(Data_Input!$1:$100, 10, MATCH(1, (Data_Input!$F$7:$ZZ$7=$F$3) * (Data_Input!$F$8:$ZZ$8=$B161), 0)),"")</f>
        <v/>
      </c>
      <c r="E161" s="29" t="str" cm="1">
        <f t="array" ref="E161">IFERROR(INDEX(Data_Input!$1:$100, 9, MATCH(1, (Data_Input!$7:$7=$F$3) * (Data_Input!$8:$8=$B161), 0)),"")</f>
        <v/>
      </c>
      <c r="F161" s="20" t="str" cm="1">
        <f t="array" ref="F161">IFERROR(INDEX(Data_Input!$A$1:$ZZ$502, MATCH("예수금", INDEX(Data_Input!$A$1:$ZZ$502, 0, MATCH(1, (Data_Input!$7:$7=$F$3)*(Data_Input!$8:$8=$B161), 0)), 0) + 1, MATCH(1, (Data_Input!$7:$7=$F$3)*(Data_Input!$8:$8=$B161), 0)),"")</f>
        <v/>
      </c>
      <c r="G161" s="20" t="str" cm="1">
        <f t="array" ref="G161">IFERROR(INDEX(Data_Input!$A$1:$ZZ$502, MATCH("총자산", INDEX(Data_Input!$A$1:$ZZ$502, 0, MATCH(1, (Data_Input!$7:$7=$F$3)*(Data_Input!$8:$8=$B161), 0)), 0) + 1, MATCH(1, (Data_Input!$7:$7=$F$3)*(Data_Input!$8:$8=$B161), 0)),"")</f>
        <v/>
      </c>
      <c r="H161" s="20" t="str" cm="1">
        <f t="array" ref="H161">IFERROR(INDEX(Data_Input!$A$1:$ZZ$502, MATCH("매입금액", INDEX(Data_Input!$A$1:$ZZ$502, 0, MATCH(1, (Data_Input!$7:$7=$F$3)*(Data_Input!$8:$8=$B161), 0)), 0) + 1, MATCH(1, (Data_Input!$7:$7=$F$3)*(Data_Input!$8:$8=$B161), 0)),"")</f>
        <v/>
      </c>
      <c r="I161" s="20" t="str" cm="1">
        <f t="array" ref="I161">IFERROR(INDEX(Data_Input!$A$1:$ZZ$502, MATCH("평가금액", INDEX(Data_Input!$A$1:$ZZ$502, 0, MATCH(1, (Data_Input!$7:$7=$F$3)*(Data_Input!$8:$8=$B161), 0)), 0) + 1, MATCH(1, (Data_Input!$7:$7=$F$3)*(Data_Input!$8:$8=$B161), 0)),"")</f>
        <v/>
      </c>
      <c r="J161" s="20" t="str" cm="1">
        <f t="array" ref="J161">IFERROR(INDEX(Data_Input!$A$1:$ZZ$502, MATCH("평가손익", INDEX(Data_Input!$A$1:$ZZ$502, 0, MATCH(1, (Data_Input!$7:$7=$F$3)*(Data_Input!$8:$8=$B161), 0)), 0) + 1, MATCH(1, (Data_Input!$7:$7=$F$3)*(Data_Input!$8:$8=$B161), 0)),"")</f>
        <v/>
      </c>
      <c r="K161" s="14" t="str" cm="1">
        <f t="array" ref="K161">IFERROR(INDEX(Data_Input!$A$1:$ZZ$502, MATCH("총수익률", INDEX(Data_Input!$A$1:$ZZ$502, 0, MATCH(1, (Data_Input!$7:$7=$F$3)*(Data_Input!$8:$8=$B161), 0)), 0) + 1, MATCH(1, (Data_Input!$7:$7=$F$3)*(Data_Input!$8:$8=$B161), 0)),"")</f>
        <v/>
      </c>
      <c r="L161" t="str" cm="1">
        <f t="array" ref="L161">IFERROR(_xlfn.LET(
    _xlpm.targetDate, B161,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62" spans="1:12" x14ac:dyDescent="0.3">
      <c r="A162" s="16" t="str">
        <f t="shared" si="5"/>
        <v/>
      </c>
      <c r="B162" s="8"/>
      <c r="C162" s="17" t="str">
        <f t="shared" si="6"/>
        <v/>
      </c>
      <c r="D162" s="29" t="str" cm="1">
        <f t="array" ref="D162">IFERROR(INDEX(Data_Input!$1:$100, 10, MATCH(1, (Data_Input!$F$7:$ZZ$7=$F$3) * (Data_Input!$F$8:$ZZ$8=$B162), 0)),"")</f>
        <v/>
      </c>
      <c r="E162" s="29" t="str" cm="1">
        <f t="array" ref="E162">IFERROR(INDEX(Data_Input!$1:$100, 9, MATCH(1, (Data_Input!$7:$7=$F$3) * (Data_Input!$8:$8=$B162), 0)),"")</f>
        <v/>
      </c>
      <c r="F162" s="20" t="str" cm="1">
        <f t="array" ref="F162">IFERROR(INDEX(Data_Input!$A$1:$ZZ$502, MATCH("예수금", INDEX(Data_Input!$A$1:$ZZ$502, 0, MATCH(1, (Data_Input!$7:$7=$F$3)*(Data_Input!$8:$8=$B162), 0)), 0) + 1, MATCH(1, (Data_Input!$7:$7=$F$3)*(Data_Input!$8:$8=$B162), 0)),"")</f>
        <v/>
      </c>
      <c r="G162" s="20" t="str" cm="1">
        <f t="array" ref="G162">IFERROR(INDEX(Data_Input!$A$1:$ZZ$502, MATCH("총자산", INDEX(Data_Input!$A$1:$ZZ$502, 0, MATCH(1, (Data_Input!$7:$7=$F$3)*(Data_Input!$8:$8=$B162), 0)), 0) + 1, MATCH(1, (Data_Input!$7:$7=$F$3)*(Data_Input!$8:$8=$B162), 0)),"")</f>
        <v/>
      </c>
      <c r="H162" s="20" t="str" cm="1">
        <f t="array" ref="H162">IFERROR(INDEX(Data_Input!$A$1:$ZZ$502, MATCH("매입금액", INDEX(Data_Input!$A$1:$ZZ$502, 0, MATCH(1, (Data_Input!$7:$7=$F$3)*(Data_Input!$8:$8=$B162), 0)), 0) + 1, MATCH(1, (Data_Input!$7:$7=$F$3)*(Data_Input!$8:$8=$B162), 0)),"")</f>
        <v/>
      </c>
      <c r="I162" s="20" t="str" cm="1">
        <f t="array" ref="I162">IFERROR(INDEX(Data_Input!$A$1:$ZZ$502, MATCH("평가금액", INDEX(Data_Input!$A$1:$ZZ$502, 0, MATCH(1, (Data_Input!$7:$7=$F$3)*(Data_Input!$8:$8=$B162), 0)), 0) + 1, MATCH(1, (Data_Input!$7:$7=$F$3)*(Data_Input!$8:$8=$B162), 0)),"")</f>
        <v/>
      </c>
      <c r="J162" s="20" t="str" cm="1">
        <f t="array" ref="J162">IFERROR(INDEX(Data_Input!$A$1:$ZZ$502, MATCH("평가손익", INDEX(Data_Input!$A$1:$ZZ$502, 0, MATCH(1, (Data_Input!$7:$7=$F$3)*(Data_Input!$8:$8=$B162), 0)), 0) + 1, MATCH(1, (Data_Input!$7:$7=$F$3)*(Data_Input!$8:$8=$B162), 0)),"")</f>
        <v/>
      </c>
      <c r="K162" s="14" t="str" cm="1">
        <f t="array" ref="K162">IFERROR(INDEX(Data_Input!$A$1:$ZZ$502, MATCH("총수익률", INDEX(Data_Input!$A$1:$ZZ$502, 0, MATCH(1, (Data_Input!$7:$7=$F$3)*(Data_Input!$8:$8=$B162), 0)), 0) + 1, MATCH(1, (Data_Input!$7:$7=$F$3)*(Data_Input!$8:$8=$B162), 0)),"")</f>
        <v/>
      </c>
      <c r="L162" t="str" cm="1">
        <f t="array" ref="L162">IFERROR(_xlfn.LET(
    _xlpm.targetDate, B162,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63" spans="1:12" x14ac:dyDescent="0.3">
      <c r="A163" s="16" t="str">
        <f t="shared" si="5"/>
        <v/>
      </c>
      <c r="B163" s="8"/>
      <c r="C163" s="17" t="str">
        <f t="shared" si="6"/>
        <v/>
      </c>
      <c r="D163" s="29" t="str" cm="1">
        <f t="array" ref="D163">IFERROR(INDEX(Data_Input!$1:$100, 10, MATCH(1, (Data_Input!$F$7:$ZZ$7=$F$3) * (Data_Input!$F$8:$ZZ$8=$B163), 0)),"")</f>
        <v/>
      </c>
      <c r="E163" s="29" t="str" cm="1">
        <f t="array" ref="E163">IFERROR(INDEX(Data_Input!$1:$100, 9, MATCH(1, (Data_Input!$7:$7=$F$3) * (Data_Input!$8:$8=$B163), 0)),"")</f>
        <v/>
      </c>
      <c r="F163" s="20" t="str" cm="1">
        <f t="array" ref="F163">IFERROR(INDEX(Data_Input!$A$1:$ZZ$502, MATCH("예수금", INDEX(Data_Input!$A$1:$ZZ$502, 0, MATCH(1, (Data_Input!$7:$7=$F$3)*(Data_Input!$8:$8=$B163), 0)), 0) + 1, MATCH(1, (Data_Input!$7:$7=$F$3)*(Data_Input!$8:$8=$B163), 0)),"")</f>
        <v/>
      </c>
      <c r="G163" s="20" t="str" cm="1">
        <f t="array" ref="G163">IFERROR(INDEX(Data_Input!$A$1:$ZZ$502, MATCH("총자산", INDEX(Data_Input!$A$1:$ZZ$502, 0, MATCH(1, (Data_Input!$7:$7=$F$3)*(Data_Input!$8:$8=$B163), 0)), 0) + 1, MATCH(1, (Data_Input!$7:$7=$F$3)*(Data_Input!$8:$8=$B163), 0)),"")</f>
        <v/>
      </c>
      <c r="H163" s="20" t="str" cm="1">
        <f t="array" ref="H163">IFERROR(INDEX(Data_Input!$A$1:$ZZ$502, MATCH("매입금액", INDEX(Data_Input!$A$1:$ZZ$502, 0, MATCH(1, (Data_Input!$7:$7=$F$3)*(Data_Input!$8:$8=$B163), 0)), 0) + 1, MATCH(1, (Data_Input!$7:$7=$F$3)*(Data_Input!$8:$8=$B163), 0)),"")</f>
        <v/>
      </c>
      <c r="I163" s="20" t="str" cm="1">
        <f t="array" ref="I163">IFERROR(INDEX(Data_Input!$A$1:$ZZ$502, MATCH("평가금액", INDEX(Data_Input!$A$1:$ZZ$502, 0, MATCH(1, (Data_Input!$7:$7=$F$3)*(Data_Input!$8:$8=$B163), 0)), 0) + 1, MATCH(1, (Data_Input!$7:$7=$F$3)*(Data_Input!$8:$8=$B163), 0)),"")</f>
        <v/>
      </c>
      <c r="J163" s="20" t="str" cm="1">
        <f t="array" ref="J163">IFERROR(INDEX(Data_Input!$A$1:$ZZ$502, MATCH("평가손익", INDEX(Data_Input!$A$1:$ZZ$502, 0, MATCH(1, (Data_Input!$7:$7=$F$3)*(Data_Input!$8:$8=$B163), 0)), 0) + 1, MATCH(1, (Data_Input!$7:$7=$F$3)*(Data_Input!$8:$8=$B163), 0)),"")</f>
        <v/>
      </c>
      <c r="K163" s="14" t="str" cm="1">
        <f t="array" ref="K163">IFERROR(INDEX(Data_Input!$A$1:$ZZ$502, MATCH("총수익률", INDEX(Data_Input!$A$1:$ZZ$502, 0, MATCH(1, (Data_Input!$7:$7=$F$3)*(Data_Input!$8:$8=$B163), 0)), 0) + 1, MATCH(1, (Data_Input!$7:$7=$F$3)*(Data_Input!$8:$8=$B163), 0)),"")</f>
        <v/>
      </c>
      <c r="L163" t="str" cm="1">
        <f t="array" ref="L163">IFERROR(_xlfn.LET(
    _xlpm.targetDate, B163,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64" spans="1:12" x14ac:dyDescent="0.3">
      <c r="A164" s="16" t="str">
        <f t="shared" si="5"/>
        <v/>
      </c>
      <c r="B164" s="8"/>
      <c r="C164" s="17" t="str">
        <f t="shared" si="6"/>
        <v/>
      </c>
      <c r="D164" s="29" t="str" cm="1">
        <f t="array" ref="D164">IFERROR(INDEX(Data_Input!$1:$100, 10, MATCH(1, (Data_Input!$F$7:$ZZ$7=$F$3) * (Data_Input!$F$8:$ZZ$8=$B164), 0)),"")</f>
        <v/>
      </c>
      <c r="E164" s="29" t="str" cm="1">
        <f t="array" ref="E164">IFERROR(INDEX(Data_Input!$1:$100, 9, MATCH(1, (Data_Input!$7:$7=$F$3) * (Data_Input!$8:$8=$B164), 0)),"")</f>
        <v/>
      </c>
      <c r="F164" s="20" t="str" cm="1">
        <f t="array" ref="F164">IFERROR(INDEX(Data_Input!$A$1:$ZZ$502, MATCH("예수금", INDEX(Data_Input!$A$1:$ZZ$502, 0, MATCH(1, (Data_Input!$7:$7=$F$3)*(Data_Input!$8:$8=$B164), 0)), 0) + 1, MATCH(1, (Data_Input!$7:$7=$F$3)*(Data_Input!$8:$8=$B164), 0)),"")</f>
        <v/>
      </c>
      <c r="G164" s="20" t="str" cm="1">
        <f t="array" ref="G164">IFERROR(INDEX(Data_Input!$A$1:$ZZ$502, MATCH("총자산", INDEX(Data_Input!$A$1:$ZZ$502, 0, MATCH(1, (Data_Input!$7:$7=$F$3)*(Data_Input!$8:$8=$B164), 0)), 0) + 1, MATCH(1, (Data_Input!$7:$7=$F$3)*(Data_Input!$8:$8=$B164), 0)),"")</f>
        <v/>
      </c>
      <c r="H164" s="20" t="str" cm="1">
        <f t="array" ref="H164">IFERROR(INDEX(Data_Input!$A$1:$ZZ$502, MATCH("매입금액", INDEX(Data_Input!$A$1:$ZZ$502, 0, MATCH(1, (Data_Input!$7:$7=$F$3)*(Data_Input!$8:$8=$B164), 0)), 0) + 1, MATCH(1, (Data_Input!$7:$7=$F$3)*(Data_Input!$8:$8=$B164), 0)),"")</f>
        <v/>
      </c>
      <c r="I164" s="20" t="str" cm="1">
        <f t="array" ref="I164">IFERROR(INDEX(Data_Input!$A$1:$ZZ$502, MATCH("평가금액", INDEX(Data_Input!$A$1:$ZZ$502, 0, MATCH(1, (Data_Input!$7:$7=$F$3)*(Data_Input!$8:$8=$B164), 0)), 0) + 1, MATCH(1, (Data_Input!$7:$7=$F$3)*(Data_Input!$8:$8=$B164), 0)),"")</f>
        <v/>
      </c>
      <c r="J164" s="20" t="str" cm="1">
        <f t="array" ref="J164">IFERROR(INDEX(Data_Input!$A$1:$ZZ$502, MATCH("평가손익", INDEX(Data_Input!$A$1:$ZZ$502, 0, MATCH(1, (Data_Input!$7:$7=$F$3)*(Data_Input!$8:$8=$B164), 0)), 0) + 1, MATCH(1, (Data_Input!$7:$7=$F$3)*(Data_Input!$8:$8=$B164), 0)),"")</f>
        <v/>
      </c>
      <c r="K164" s="14" t="str" cm="1">
        <f t="array" ref="K164">IFERROR(INDEX(Data_Input!$A$1:$ZZ$502, MATCH("총수익률", INDEX(Data_Input!$A$1:$ZZ$502, 0, MATCH(1, (Data_Input!$7:$7=$F$3)*(Data_Input!$8:$8=$B164), 0)), 0) + 1, MATCH(1, (Data_Input!$7:$7=$F$3)*(Data_Input!$8:$8=$B164), 0)),"")</f>
        <v/>
      </c>
      <c r="L164" t="str" cm="1">
        <f t="array" ref="L164">IFERROR(_xlfn.LET(
    _xlpm.targetDate, B164,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65" spans="1:12" x14ac:dyDescent="0.3">
      <c r="A165" s="16" t="str">
        <f t="shared" si="5"/>
        <v/>
      </c>
      <c r="B165" s="8"/>
      <c r="C165" s="17" t="str">
        <f t="shared" si="6"/>
        <v/>
      </c>
      <c r="D165" s="29" t="str" cm="1">
        <f t="array" ref="D165">IFERROR(INDEX(Data_Input!$1:$100, 10, MATCH(1, (Data_Input!$F$7:$ZZ$7=$F$3) * (Data_Input!$F$8:$ZZ$8=$B165), 0)),"")</f>
        <v/>
      </c>
      <c r="E165" s="29" t="str" cm="1">
        <f t="array" ref="E165">IFERROR(INDEX(Data_Input!$1:$100, 9, MATCH(1, (Data_Input!$7:$7=$F$3) * (Data_Input!$8:$8=$B165), 0)),"")</f>
        <v/>
      </c>
      <c r="F165" s="20" t="str" cm="1">
        <f t="array" ref="F165">IFERROR(INDEX(Data_Input!$A$1:$ZZ$502, MATCH("예수금", INDEX(Data_Input!$A$1:$ZZ$502, 0, MATCH(1, (Data_Input!$7:$7=$F$3)*(Data_Input!$8:$8=$B165), 0)), 0) + 1, MATCH(1, (Data_Input!$7:$7=$F$3)*(Data_Input!$8:$8=$B165), 0)),"")</f>
        <v/>
      </c>
      <c r="G165" s="20" t="str" cm="1">
        <f t="array" ref="G165">IFERROR(INDEX(Data_Input!$A$1:$ZZ$502, MATCH("총자산", INDEX(Data_Input!$A$1:$ZZ$502, 0, MATCH(1, (Data_Input!$7:$7=$F$3)*(Data_Input!$8:$8=$B165), 0)), 0) + 1, MATCH(1, (Data_Input!$7:$7=$F$3)*(Data_Input!$8:$8=$B165), 0)),"")</f>
        <v/>
      </c>
      <c r="H165" s="20" t="str" cm="1">
        <f t="array" ref="H165">IFERROR(INDEX(Data_Input!$A$1:$ZZ$502, MATCH("매입금액", INDEX(Data_Input!$A$1:$ZZ$502, 0, MATCH(1, (Data_Input!$7:$7=$F$3)*(Data_Input!$8:$8=$B165), 0)), 0) + 1, MATCH(1, (Data_Input!$7:$7=$F$3)*(Data_Input!$8:$8=$B165), 0)),"")</f>
        <v/>
      </c>
      <c r="I165" s="20" t="str" cm="1">
        <f t="array" ref="I165">IFERROR(INDEX(Data_Input!$A$1:$ZZ$502, MATCH("평가금액", INDEX(Data_Input!$A$1:$ZZ$502, 0, MATCH(1, (Data_Input!$7:$7=$F$3)*(Data_Input!$8:$8=$B165), 0)), 0) + 1, MATCH(1, (Data_Input!$7:$7=$F$3)*(Data_Input!$8:$8=$B165), 0)),"")</f>
        <v/>
      </c>
      <c r="J165" s="20" t="str" cm="1">
        <f t="array" ref="J165">IFERROR(INDEX(Data_Input!$A$1:$ZZ$502, MATCH("평가손익", INDEX(Data_Input!$A$1:$ZZ$502, 0, MATCH(1, (Data_Input!$7:$7=$F$3)*(Data_Input!$8:$8=$B165), 0)), 0) + 1, MATCH(1, (Data_Input!$7:$7=$F$3)*(Data_Input!$8:$8=$B165), 0)),"")</f>
        <v/>
      </c>
      <c r="K165" s="14" t="str" cm="1">
        <f t="array" ref="K165">IFERROR(INDEX(Data_Input!$A$1:$ZZ$502, MATCH("총수익률", INDEX(Data_Input!$A$1:$ZZ$502, 0, MATCH(1, (Data_Input!$7:$7=$F$3)*(Data_Input!$8:$8=$B165), 0)), 0) + 1, MATCH(1, (Data_Input!$7:$7=$F$3)*(Data_Input!$8:$8=$B165), 0)),"")</f>
        <v/>
      </c>
      <c r="L165" t="str" cm="1">
        <f t="array" ref="L165">IFERROR(_xlfn.LET(
    _xlpm.targetDate, B165,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66" spans="1:12" x14ac:dyDescent="0.3">
      <c r="A166" s="16" t="str">
        <f t="shared" si="5"/>
        <v/>
      </c>
      <c r="B166" s="8"/>
      <c r="C166" s="17" t="str">
        <f t="shared" si="6"/>
        <v/>
      </c>
      <c r="D166" s="29" t="str" cm="1">
        <f t="array" ref="D166">IFERROR(INDEX(Data_Input!$1:$100, 10, MATCH(1, (Data_Input!$F$7:$ZZ$7=$F$3) * (Data_Input!$F$8:$ZZ$8=$B166), 0)),"")</f>
        <v/>
      </c>
      <c r="E166" s="29" t="str" cm="1">
        <f t="array" ref="E166">IFERROR(INDEX(Data_Input!$1:$100, 9, MATCH(1, (Data_Input!$7:$7=$F$3) * (Data_Input!$8:$8=$B166), 0)),"")</f>
        <v/>
      </c>
      <c r="F166" s="20" t="str" cm="1">
        <f t="array" ref="F166">IFERROR(INDEX(Data_Input!$A$1:$ZZ$502, MATCH("예수금", INDEX(Data_Input!$A$1:$ZZ$502, 0, MATCH(1, (Data_Input!$7:$7=$F$3)*(Data_Input!$8:$8=$B166), 0)), 0) + 1, MATCH(1, (Data_Input!$7:$7=$F$3)*(Data_Input!$8:$8=$B166), 0)),"")</f>
        <v/>
      </c>
      <c r="G166" s="20" t="str" cm="1">
        <f t="array" ref="G166">IFERROR(INDEX(Data_Input!$A$1:$ZZ$502, MATCH("총자산", INDEX(Data_Input!$A$1:$ZZ$502, 0, MATCH(1, (Data_Input!$7:$7=$F$3)*(Data_Input!$8:$8=$B166), 0)), 0) + 1, MATCH(1, (Data_Input!$7:$7=$F$3)*(Data_Input!$8:$8=$B166), 0)),"")</f>
        <v/>
      </c>
      <c r="H166" s="20" t="str" cm="1">
        <f t="array" ref="H166">IFERROR(INDEX(Data_Input!$A$1:$ZZ$502, MATCH("매입금액", INDEX(Data_Input!$A$1:$ZZ$502, 0, MATCH(1, (Data_Input!$7:$7=$F$3)*(Data_Input!$8:$8=$B166), 0)), 0) + 1, MATCH(1, (Data_Input!$7:$7=$F$3)*(Data_Input!$8:$8=$B166), 0)),"")</f>
        <v/>
      </c>
      <c r="I166" s="20" t="str" cm="1">
        <f t="array" ref="I166">IFERROR(INDEX(Data_Input!$A$1:$ZZ$502, MATCH("평가금액", INDEX(Data_Input!$A$1:$ZZ$502, 0, MATCH(1, (Data_Input!$7:$7=$F$3)*(Data_Input!$8:$8=$B166), 0)), 0) + 1, MATCH(1, (Data_Input!$7:$7=$F$3)*(Data_Input!$8:$8=$B166), 0)),"")</f>
        <v/>
      </c>
      <c r="J166" s="20" t="str" cm="1">
        <f t="array" ref="J166">IFERROR(INDEX(Data_Input!$A$1:$ZZ$502, MATCH("평가손익", INDEX(Data_Input!$A$1:$ZZ$502, 0, MATCH(1, (Data_Input!$7:$7=$F$3)*(Data_Input!$8:$8=$B166), 0)), 0) + 1, MATCH(1, (Data_Input!$7:$7=$F$3)*(Data_Input!$8:$8=$B166), 0)),"")</f>
        <v/>
      </c>
      <c r="K166" s="14" t="str" cm="1">
        <f t="array" ref="K166">IFERROR(INDEX(Data_Input!$A$1:$ZZ$502, MATCH("총수익률", INDEX(Data_Input!$A$1:$ZZ$502, 0, MATCH(1, (Data_Input!$7:$7=$F$3)*(Data_Input!$8:$8=$B166), 0)), 0) + 1, MATCH(1, (Data_Input!$7:$7=$F$3)*(Data_Input!$8:$8=$B166), 0)),"")</f>
        <v/>
      </c>
      <c r="L166" t="str" cm="1">
        <f t="array" ref="L166">IFERROR(_xlfn.LET(
    _xlpm.targetDate, B166,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67" spans="1:12" x14ac:dyDescent="0.3">
      <c r="A167" s="16" t="str">
        <f t="shared" si="5"/>
        <v/>
      </c>
      <c r="B167" s="8"/>
      <c r="C167" s="17" t="str">
        <f t="shared" si="6"/>
        <v/>
      </c>
      <c r="D167" s="29" t="str" cm="1">
        <f t="array" ref="D167">IFERROR(INDEX(Data_Input!$1:$100, 10, MATCH(1, (Data_Input!$F$7:$ZZ$7=$F$3) * (Data_Input!$F$8:$ZZ$8=$B167), 0)),"")</f>
        <v/>
      </c>
      <c r="E167" s="29" t="str" cm="1">
        <f t="array" ref="E167">IFERROR(INDEX(Data_Input!$1:$100, 9, MATCH(1, (Data_Input!$7:$7=$F$3) * (Data_Input!$8:$8=$B167), 0)),"")</f>
        <v/>
      </c>
      <c r="F167" s="20" t="str" cm="1">
        <f t="array" ref="F167">IFERROR(INDEX(Data_Input!$A$1:$ZZ$502, MATCH("예수금", INDEX(Data_Input!$A$1:$ZZ$502, 0, MATCH(1, (Data_Input!$7:$7=$F$3)*(Data_Input!$8:$8=$B167), 0)), 0) + 1, MATCH(1, (Data_Input!$7:$7=$F$3)*(Data_Input!$8:$8=$B167), 0)),"")</f>
        <v/>
      </c>
      <c r="G167" s="20" t="str" cm="1">
        <f t="array" ref="G167">IFERROR(INDEX(Data_Input!$A$1:$ZZ$502, MATCH("총자산", INDEX(Data_Input!$A$1:$ZZ$502, 0, MATCH(1, (Data_Input!$7:$7=$F$3)*(Data_Input!$8:$8=$B167), 0)), 0) + 1, MATCH(1, (Data_Input!$7:$7=$F$3)*(Data_Input!$8:$8=$B167), 0)),"")</f>
        <v/>
      </c>
      <c r="H167" s="20" t="str" cm="1">
        <f t="array" ref="H167">IFERROR(INDEX(Data_Input!$A$1:$ZZ$502, MATCH("매입금액", INDEX(Data_Input!$A$1:$ZZ$502, 0, MATCH(1, (Data_Input!$7:$7=$F$3)*(Data_Input!$8:$8=$B167), 0)), 0) + 1, MATCH(1, (Data_Input!$7:$7=$F$3)*(Data_Input!$8:$8=$B167), 0)),"")</f>
        <v/>
      </c>
      <c r="I167" s="20" t="str" cm="1">
        <f t="array" ref="I167">IFERROR(INDEX(Data_Input!$A$1:$ZZ$502, MATCH("평가금액", INDEX(Data_Input!$A$1:$ZZ$502, 0, MATCH(1, (Data_Input!$7:$7=$F$3)*(Data_Input!$8:$8=$B167), 0)), 0) + 1, MATCH(1, (Data_Input!$7:$7=$F$3)*(Data_Input!$8:$8=$B167), 0)),"")</f>
        <v/>
      </c>
      <c r="J167" s="20" t="str" cm="1">
        <f t="array" ref="J167">IFERROR(INDEX(Data_Input!$A$1:$ZZ$502, MATCH("평가손익", INDEX(Data_Input!$A$1:$ZZ$502, 0, MATCH(1, (Data_Input!$7:$7=$F$3)*(Data_Input!$8:$8=$B167), 0)), 0) + 1, MATCH(1, (Data_Input!$7:$7=$F$3)*(Data_Input!$8:$8=$B167), 0)),"")</f>
        <v/>
      </c>
      <c r="K167" s="14" t="str" cm="1">
        <f t="array" ref="K167">IFERROR(INDEX(Data_Input!$A$1:$ZZ$502, MATCH("총수익률", INDEX(Data_Input!$A$1:$ZZ$502, 0, MATCH(1, (Data_Input!$7:$7=$F$3)*(Data_Input!$8:$8=$B167), 0)), 0) + 1, MATCH(1, (Data_Input!$7:$7=$F$3)*(Data_Input!$8:$8=$B167), 0)),"")</f>
        <v/>
      </c>
      <c r="L167" t="str" cm="1">
        <f t="array" ref="L167">IFERROR(_xlfn.LET(
    _xlpm.targetDate, B167,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68" spans="1:12" x14ac:dyDescent="0.3">
      <c r="A168" s="16" t="str">
        <f t="shared" si="5"/>
        <v/>
      </c>
      <c r="B168" s="8"/>
      <c r="C168" s="17" t="str">
        <f t="shared" si="6"/>
        <v/>
      </c>
      <c r="D168" s="29" t="str" cm="1">
        <f t="array" ref="D168">IFERROR(INDEX(Data_Input!$1:$100, 10, MATCH(1, (Data_Input!$F$7:$ZZ$7=$F$3) * (Data_Input!$F$8:$ZZ$8=$B168), 0)),"")</f>
        <v/>
      </c>
      <c r="E168" s="29" t="str" cm="1">
        <f t="array" ref="E168">IFERROR(INDEX(Data_Input!$1:$100, 9, MATCH(1, (Data_Input!$7:$7=$F$3) * (Data_Input!$8:$8=$B168), 0)),"")</f>
        <v/>
      </c>
      <c r="F168" s="20" t="str" cm="1">
        <f t="array" ref="F168">IFERROR(INDEX(Data_Input!$A$1:$ZZ$502, MATCH("예수금", INDEX(Data_Input!$A$1:$ZZ$502, 0, MATCH(1, (Data_Input!$7:$7=$F$3)*(Data_Input!$8:$8=$B168), 0)), 0) + 1, MATCH(1, (Data_Input!$7:$7=$F$3)*(Data_Input!$8:$8=$B168), 0)),"")</f>
        <v/>
      </c>
      <c r="G168" s="20" t="str" cm="1">
        <f t="array" ref="G168">IFERROR(INDEX(Data_Input!$A$1:$ZZ$502, MATCH("총자산", INDEX(Data_Input!$A$1:$ZZ$502, 0, MATCH(1, (Data_Input!$7:$7=$F$3)*(Data_Input!$8:$8=$B168), 0)), 0) + 1, MATCH(1, (Data_Input!$7:$7=$F$3)*(Data_Input!$8:$8=$B168), 0)),"")</f>
        <v/>
      </c>
      <c r="H168" s="20" t="str" cm="1">
        <f t="array" ref="H168">IFERROR(INDEX(Data_Input!$A$1:$ZZ$502, MATCH("매입금액", INDEX(Data_Input!$A$1:$ZZ$502, 0, MATCH(1, (Data_Input!$7:$7=$F$3)*(Data_Input!$8:$8=$B168), 0)), 0) + 1, MATCH(1, (Data_Input!$7:$7=$F$3)*(Data_Input!$8:$8=$B168), 0)),"")</f>
        <v/>
      </c>
      <c r="I168" s="20" t="str" cm="1">
        <f t="array" ref="I168">IFERROR(INDEX(Data_Input!$A$1:$ZZ$502, MATCH("평가금액", INDEX(Data_Input!$A$1:$ZZ$502, 0, MATCH(1, (Data_Input!$7:$7=$F$3)*(Data_Input!$8:$8=$B168), 0)), 0) + 1, MATCH(1, (Data_Input!$7:$7=$F$3)*(Data_Input!$8:$8=$B168), 0)),"")</f>
        <v/>
      </c>
      <c r="J168" s="20" t="str" cm="1">
        <f t="array" ref="J168">IFERROR(INDEX(Data_Input!$A$1:$ZZ$502, MATCH("평가손익", INDEX(Data_Input!$A$1:$ZZ$502, 0, MATCH(1, (Data_Input!$7:$7=$F$3)*(Data_Input!$8:$8=$B168), 0)), 0) + 1, MATCH(1, (Data_Input!$7:$7=$F$3)*(Data_Input!$8:$8=$B168), 0)),"")</f>
        <v/>
      </c>
      <c r="K168" s="14" t="str" cm="1">
        <f t="array" ref="K168">IFERROR(INDEX(Data_Input!$A$1:$ZZ$502, MATCH("총수익률", INDEX(Data_Input!$A$1:$ZZ$502, 0, MATCH(1, (Data_Input!$7:$7=$F$3)*(Data_Input!$8:$8=$B168), 0)), 0) + 1, MATCH(1, (Data_Input!$7:$7=$F$3)*(Data_Input!$8:$8=$B168), 0)),"")</f>
        <v/>
      </c>
      <c r="L168" t="str" cm="1">
        <f t="array" ref="L168">IFERROR(_xlfn.LET(
    _xlpm.targetDate, B168,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69" spans="1:12" x14ac:dyDescent="0.3">
      <c r="A169" s="16" t="str">
        <f t="shared" si="5"/>
        <v/>
      </c>
      <c r="B169" s="8"/>
      <c r="C169" s="17" t="str">
        <f t="shared" si="6"/>
        <v/>
      </c>
      <c r="D169" s="29" t="str" cm="1">
        <f t="array" ref="D169">IFERROR(INDEX(Data_Input!$1:$100, 10, MATCH(1, (Data_Input!$F$7:$ZZ$7=$F$3) * (Data_Input!$F$8:$ZZ$8=$B169), 0)),"")</f>
        <v/>
      </c>
      <c r="E169" s="29" t="str" cm="1">
        <f t="array" ref="E169">IFERROR(INDEX(Data_Input!$1:$100, 9, MATCH(1, (Data_Input!$7:$7=$F$3) * (Data_Input!$8:$8=$B169), 0)),"")</f>
        <v/>
      </c>
      <c r="F169" s="20" t="str" cm="1">
        <f t="array" ref="F169">IFERROR(INDEX(Data_Input!$A$1:$ZZ$502, MATCH("예수금", INDEX(Data_Input!$A$1:$ZZ$502, 0, MATCH(1, (Data_Input!$7:$7=$F$3)*(Data_Input!$8:$8=$B169), 0)), 0) + 1, MATCH(1, (Data_Input!$7:$7=$F$3)*(Data_Input!$8:$8=$B169), 0)),"")</f>
        <v/>
      </c>
      <c r="G169" s="20" t="str" cm="1">
        <f t="array" ref="G169">IFERROR(INDEX(Data_Input!$A$1:$ZZ$502, MATCH("총자산", INDEX(Data_Input!$A$1:$ZZ$502, 0, MATCH(1, (Data_Input!$7:$7=$F$3)*(Data_Input!$8:$8=$B169), 0)), 0) + 1, MATCH(1, (Data_Input!$7:$7=$F$3)*(Data_Input!$8:$8=$B169), 0)),"")</f>
        <v/>
      </c>
      <c r="H169" s="20" t="str" cm="1">
        <f t="array" ref="H169">IFERROR(INDEX(Data_Input!$A$1:$ZZ$502, MATCH("매입금액", INDEX(Data_Input!$A$1:$ZZ$502, 0, MATCH(1, (Data_Input!$7:$7=$F$3)*(Data_Input!$8:$8=$B169), 0)), 0) + 1, MATCH(1, (Data_Input!$7:$7=$F$3)*(Data_Input!$8:$8=$B169), 0)),"")</f>
        <v/>
      </c>
      <c r="I169" s="20" t="str" cm="1">
        <f t="array" ref="I169">IFERROR(INDEX(Data_Input!$A$1:$ZZ$502, MATCH("평가금액", INDEX(Data_Input!$A$1:$ZZ$502, 0, MATCH(1, (Data_Input!$7:$7=$F$3)*(Data_Input!$8:$8=$B169), 0)), 0) + 1, MATCH(1, (Data_Input!$7:$7=$F$3)*(Data_Input!$8:$8=$B169), 0)),"")</f>
        <v/>
      </c>
      <c r="J169" s="20" t="str" cm="1">
        <f t="array" ref="J169">IFERROR(INDEX(Data_Input!$A$1:$ZZ$502, MATCH("평가손익", INDEX(Data_Input!$A$1:$ZZ$502, 0, MATCH(1, (Data_Input!$7:$7=$F$3)*(Data_Input!$8:$8=$B169), 0)), 0) + 1, MATCH(1, (Data_Input!$7:$7=$F$3)*(Data_Input!$8:$8=$B169), 0)),"")</f>
        <v/>
      </c>
      <c r="K169" s="14" t="str" cm="1">
        <f t="array" ref="K169">IFERROR(INDEX(Data_Input!$A$1:$ZZ$502, MATCH("총수익률", INDEX(Data_Input!$A$1:$ZZ$502, 0, MATCH(1, (Data_Input!$7:$7=$F$3)*(Data_Input!$8:$8=$B169), 0)), 0) + 1, MATCH(1, (Data_Input!$7:$7=$F$3)*(Data_Input!$8:$8=$B169), 0)),"")</f>
        <v/>
      </c>
      <c r="L169" t="str" cm="1">
        <f t="array" ref="L169">IFERROR(_xlfn.LET(
    _xlpm.targetDate, B169,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70" spans="1:12" x14ac:dyDescent="0.3">
      <c r="A170" s="16" t="str">
        <f t="shared" si="5"/>
        <v/>
      </c>
      <c r="B170" s="8"/>
      <c r="C170" s="17" t="str">
        <f t="shared" si="6"/>
        <v/>
      </c>
      <c r="D170" s="29" t="str" cm="1">
        <f t="array" ref="D170">IFERROR(INDEX(Data_Input!$1:$100, 10, MATCH(1, (Data_Input!$F$7:$ZZ$7=$F$3) * (Data_Input!$F$8:$ZZ$8=$B170), 0)),"")</f>
        <v/>
      </c>
      <c r="E170" s="29" t="str" cm="1">
        <f t="array" ref="E170">IFERROR(INDEX(Data_Input!$1:$100, 9, MATCH(1, (Data_Input!$7:$7=$F$3) * (Data_Input!$8:$8=$B170), 0)),"")</f>
        <v/>
      </c>
      <c r="F170" s="20" t="str" cm="1">
        <f t="array" ref="F170">IFERROR(INDEX(Data_Input!$A$1:$ZZ$502, MATCH("예수금", INDEX(Data_Input!$A$1:$ZZ$502, 0, MATCH(1, (Data_Input!$7:$7=$F$3)*(Data_Input!$8:$8=$B170), 0)), 0) + 1, MATCH(1, (Data_Input!$7:$7=$F$3)*(Data_Input!$8:$8=$B170), 0)),"")</f>
        <v/>
      </c>
      <c r="G170" s="20" t="str" cm="1">
        <f t="array" ref="G170">IFERROR(INDEX(Data_Input!$A$1:$ZZ$502, MATCH("총자산", INDEX(Data_Input!$A$1:$ZZ$502, 0, MATCH(1, (Data_Input!$7:$7=$F$3)*(Data_Input!$8:$8=$B170), 0)), 0) + 1, MATCH(1, (Data_Input!$7:$7=$F$3)*(Data_Input!$8:$8=$B170), 0)),"")</f>
        <v/>
      </c>
      <c r="H170" s="20" t="str" cm="1">
        <f t="array" ref="H170">IFERROR(INDEX(Data_Input!$A$1:$ZZ$502, MATCH("매입금액", INDEX(Data_Input!$A$1:$ZZ$502, 0, MATCH(1, (Data_Input!$7:$7=$F$3)*(Data_Input!$8:$8=$B170), 0)), 0) + 1, MATCH(1, (Data_Input!$7:$7=$F$3)*(Data_Input!$8:$8=$B170), 0)),"")</f>
        <v/>
      </c>
      <c r="I170" s="20" t="str" cm="1">
        <f t="array" ref="I170">IFERROR(INDEX(Data_Input!$A$1:$ZZ$502, MATCH("평가금액", INDEX(Data_Input!$A$1:$ZZ$502, 0, MATCH(1, (Data_Input!$7:$7=$F$3)*(Data_Input!$8:$8=$B170), 0)), 0) + 1, MATCH(1, (Data_Input!$7:$7=$F$3)*(Data_Input!$8:$8=$B170), 0)),"")</f>
        <v/>
      </c>
      <c r="J170" s="20" t="str" cm="1">
        <f t="array" ref="J170">IFERROR(INDEX(Data_Input!$A$1:$ZZ$502, MATCH("평가손익", INDEX(Data_Input!$A$1:$ZZ$502, 0, MATCH(1, (Data_Input!$7:$7=$F$3)*(Data_Input!$8:$8=$B170), 0)), 0) + 1, MATCH(1, (Data_Input!$7:$7=$F$3)*(Data_Input!$8:$8=$B170), 0)),"")</f>
        <v/>
      </c>
      <c r="K170" s="14" t="str" cm="1">
        <f t="array" ref="K170">IFERROR(INDEX(Data_Input!$A$1:$ZZ$502, MATCH("총수익률", INDEX(Data_Input!$A$1:$ZZ$502, 0, MATCH(1, (Data_Input!$7:$7=$F$3)*(Data_Input!$8:$8=$B170), 0)), 0) + 1, MATCH(1, (Data_Input!$7:$7=$F$3)*(Data_Input!$8:$8=$B170), 0)),"")</f>
        <v/>
      </c>
      <c r="L170" t="str" cm="1">
        <f t="array" ref="L170">IFERROR(_xlfn.LET(
    _xlpm.targetDate, B170,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71" spans="1:12" x14ac:dyDescent="0.3">
      <c r="A171" s="16" t="str">
        <f t="shared" si="5"/>
        <v/>
      </c>
      <c r="B171" s="8"/>
      <c r="C171" s="17" t="str">
        <f t="shared" si="6"/>
        <v/>
      </c>
      <c r="D171" s="29" t="str" cm="1">
        <f t="array" ref="D171">IFERROR(INDEX(Data_Input!$1:$100, 10, MATCH(1, (Data_Input!$F$7:$ZZ$7=$F$3) * (Data_Input!$F$8:$ZZ$8=$B171), 0)),"")</f>
        <v/>
      </c>
      <c r="E171" s="29" t="str" cm="1">
        <f t="array" ref="E171">IFERROR(INDEX(Data_Input!$1:$100, 9, MATCH(1, (Data_Input!$7:$7=$F$3) * (Data_Input!$8:$8=$B171), 0)),"")</f>
        <v/>
      </c>
      <c r="F171" s="20" t="str" cm="1">
        <f t="array" ref="F171">IFERROR(INDEX(Data_Input!$A$1:$ZZ$502, MATCH("예수금", INDEX(Data_Input!$A$1:$ZZ$502, 0, MATCH(1, (Data_Input!$7:$7=$F$3)*(Data_Input!$8:$8=$B171), 0)), 0) + 1, MATCH(1, (Data_Input!$7:$7=$F$3)*(Data_Input!$8:$8=$B171), 0)),"")</f>
        <v/>
      </c>
      <c r="G171" s="20" t="str" cm="1">
        <f t="array" ref="G171">IFERROR(INDEX(Data_Input!$A$1:$ZZ$502, MATCH("총자산", INDEX(Data_Input!$A$1:$ZZ$502, 0, MATCH(1, (Data_Input!$7:$7=$F$3)*(Data_Input!$8:$8=$B171), 0)), 0) + 1, MATCH(1, (Data_Input!$7:$7=$F$3)*(Data_Input!$8:$8=$B171), 0)),"")</f>
        <v/>
      </c>
      <c r="H171" s="20" t="str" cm="1">
        <f t="array" ref="H171">IFERROR(INDEX(Data_Input!$A$1:$ZZ$502, MATCH("매입금액", INDEX(Data_Input!$A$1:$ZZ$502, 0, MATCH(1, (Data_Input!$7:$7=$F$3)*(Data_Input!$8:$8=$B171), 0)), 0) + 1, MATCH(1, (Data_Input!$7:$7=$F$3)*(Data_Input!$8:$8=$B171), 0)),"")</f>
        <v/>
      </c>
      <c r="I171" s="20" t="str" cm="1">
        <f t="array" ref="I171">IFERROR(INDEX(Data_Input!$A$1:$ZZ$502, MATCH("평가금액", INDEX(Data_Input!$A$1:$ZZ$502, 0, MATCH(1, (Data_Input!$7:$7=$F$3)*(Data_Input!$8:$8=$B171), 0)), 0) + 1, MATCH(1, (Data_Input!$7:$7=$F$3)*(Data_Input!$8:$8=$B171), 0)),"")</f>
        <v/>
      </c>
      <c r="J171" s="20" t="str" cm="1">
        <f t="array" ref="J171">IFERROR(INDEX(Data_Input!$A$1:$ZZ$502, MATCH("평가손익", INDEX(Data_Input!$A$1:$ZZ$502, 0, MATCH(1, (Data_Input!$7:$7=$F$3)*(Data_Input!$8:$8=$B171), 0)), 0) + 1, MATCH(1, (Data_Input!$7:$7=$F$3)*(Data_Input!$8:$8=$B171), 0)),"")</f>
        <v/>
      </c>
      <c r="K171" s="14" t="str" cm="1">
        <f t="array" ref="K171">IFERROR(INDEX(Data_Input!$A$1:$ZZ$502, MATCH("총수익률", INDEX(Data_Input!$A$1:$ZZ$502, 0, MATCH(1, (Data_Input!$7:$7=$F$3)*(Data_Input!$8:$8=$B171), 0)), 0) + 1, MATCH(1, (Data_Input!$7:$7=$F$3)*(Data_Input!$8:$8=$B171), 0)),"")</f>
        <v/>
      </c>
      <c r="L171" t="str" cm="1">
        <f t="array" ref="L171">IFERROR(_xlfn.LET(
    _xlpm.targetDate, B171,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72" spans="1:12" x14ac:dyDescent="0.3">
      <c r="A172" s="16" t="str">
        <f t="shared" si="5"/>
        <v/>
      </c>
      <c r="B172" s="8"/>
      <c r="C172" s="17" t="str">
        <f t="shared" si="6"/>
        <v/>
      </c>
      <c r="D172" s="29" t="str" cm="1">
        <f t="array" ref="D172">IFERROR(INDEX(Data_Input!$1:$100, 10, MATCH(1, (Data_Input!$F$7:$ZZ$7=$F$3) * (Data_Input!$F$8:$ZZ$8=$B172), 0)),"")</f>
        <v/>
      </c>
      <c r="E172" s="29" t="str" cm="1">
        <f t="array" ref="E172">IFERROR(INDEX(Data_Input!$1:$100, 9, MATCH(1, (Data_Input!$7:$7=$F$3) * (Data_Input!$8:$8=$B172), 0)),"")</f>
        <v/>
      </c>
      <c r="F172" s="20" t="str" cm="1">
        <f t="array" ref="F172">IFERROR(INDEX(Data_Input!$A$1:$ZZ$502, MATCH("예수금", INDEX(Data_Input!$A$1:$ZZ$502, 0, MATCH(1, (Data_Input!$7:$7=$F$3)*(Data_Input!$8:$8=$B172), 0)), 0) + 1, MATCH(1, (Data_Input!$7:$7=$F$3)*(Data_Input!$8:$8=$B172), 0)),"")</f>
        <v/>
      </c>
      <c r="G172" s="20" t="str" cm="1">
        <f t="array" ref="G172">IFERROR(INDEX(Data_Input!$A$1:$ZZ$502, MATCH("총자산", INDEX(Data_Input!$A$1:$ZZ$502, 0, MATCH(1, (Data_Input!$7:$7=$F$3)*(Data_Input!$8:$8=$B172), 0)), 0) + 1, MATCH(1, (Data_Input!$7:$7=$F$3)*(Data_Input!$8:$8=$B172), 0)),"")</f>
        <v/>
      </c>
      <c r="H172" s="20" t="str" cm="1">
        <f t="array" ref="H172">IFERROR(INDEX(Data_Input!$A$1:$ZZ$502, MATCH("매입금액", INDEX(Data_Input!$A$1:$ZZ$502, 0, MATCH(1, (Data_Input!$7:$7=$F$3)*(Data_Input!$8:$8=$B172), 0)), 0) + 1, MATCH(1, (Data_Input!$7:$7=$F$3)*(Data_Input!$8:$8=$B172), 0)),"")</f>
        <v/>
      </c>
      <c r="I172" s="20" t="str" cm="1">
        <f t="array" ref="I172">IFERROR(INDEX(Data_Input!$A$1:$ZZ$502, MATCH("평가금액", INDEX(Data_Input!$A$1:$ZZ$502, 0, MATCH(1, (Data_Input!$7:$7=$F$3)*(Data_Input!$8:$8=$B172), 0)), 0) + 1, MATCH(1, (Data_Input!$7:$7=$F$3)*(Data_Input!$8:$8=$B172), 0)),"")</f>
        <v/>
      </c>
      <c r="J172" s="20" t="str" cm="1">
        <f t="array" ref="J172">IFERROR(INDEX(Data_Input!$A$1:$ZZ$502, MATCH("평가손익", INDEX(Data_Input!$A$1:$ZZ$502, 0, MATCH(1, (Data_Input!$7:$7=$F$3)*(Data_Input!$8:$8=$B172), 0)), 0) + 1, MATCH(1, (Data_Input!$7:$7=$F$3)*(Data_Input!$8:$8=$B172), 0)),"")</f>
        <v/>
      </c>
      <c r="K172" s="14" t="str" cm="1">
        <f t="array" ref="K172">IFERROR(INDEX(Data_Input!$A$1:$ZZ$502, MATCH("총수익률", INDEX(Data_Input!$A$1:$ZZ$502, 0, MATCH(1, (Data_Input!$7:$7=$F$3)*(Data_Input!$8:$8=$B172), 0)), 0) + 1, MATCH(1, (Data_Input!$7:$7=$F$3)*(Data_Input!$8:$8=$B172), 0)),"")</f>
        <v/>
      </c>
      <c r="L172" t="str" cm="1">
        <f t="array" ref="L172">IFERROR(_xlfn.LET(
    _xlpm.targetDate, B172,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73" spans="1:12" x14ac:dyDescent="0.3">
      <c r="A173" s="16" t="str">
        <f t="shared" si="5"/>
        <v/>
      </c>
      <c r="B173" s="8"/>
      <c r="C173" s="17" t="str">
        <f t="shared" si="6"/>
        <v/>
      </c>
      <c r="D173" s="29" t="str" cm="1">
        <f t="array" ref="D173">IFERROR(INDEX(Data_Input!$1:$100, 10, MATCH(1, (Data_Input!$F$7:$ZZ$7=$F$3) * (Data_Input!$F$8:$ZZ$8=$B173), 0)),"")</f>
        <v/>
      </c>
      <c r="E173" s="29" t="str" cm="1">
        <f t="array" ref="E173">IFERROR(INDEX(Data_Input!$1:$100, 9, MATCH(1, (Data_Input!$7:$7=$F$3) * (Data_Input!$8:$8=$B173), 0)),"")</f>
        <v/>
      </c>
      <c r="F173" s="20" t="str" cm="1">
        <f t="array" ref="F173">IFERROR(INDEX(Data_Input!$A$1:$ZZ$502, MATCH("예수금", INDEX(Data_Input!$A$1:$ZZ$502, 0, MATCH(1, (Data_Input!$7:$7=$F$3)*(Data_Input!$8:$8=$B173), 0)), 0) + 1, MATCH(1, (Data_Input!$7:$7=$F$3)*(Data_Input!$8:$8=$B173), 0)),"")</f>
        <v/>
      </c>
      <c r="G173" s="20" t="str" cm="1">
        <f t="array" ref="G173">IFERROR(INDEX(Data_Input!$A$1:$ZZ$502, MATCH("총자산", INDEX(Data_Input!$A$1:$ZZ$502, 0, MATCH(1, (Data_Input!$7:$7=$F$3)*(Data_Input!$8:$8=$B173), 0)), 0) + 1, MATCH(1, (Data_Input!$7:$7=$F$3)*(Data_Input!$8:$8=$B173), 0)),"")</f>
        <v/>
      </c>
      <c r="H173" s="20" t="str" cm="1">
        <f t="array" ref="H173">IFERROR(INDEX(Data_Input!$A$1:$ZZ$502, MATCH("매입금액", INDEX(Data_Input!$A$1:$ZZ$502, 0, MATCH(1, (Data_Input!$7:$7=$F$3)*(Data_Input!$8:$8=$B173), 0)), 0) + 1, MATCH(1, (Data_Input!$7:$7=$F$3)*(Data_Input!$8:$8=$B173), 0)),"")</f>
        <v/>
      </c>
      <c r="I173" s="20" t="str" cm="1">
        <f t="array" ref="I173">IFERROR(INDEX(Data_Input!$A$1:$ZZ$502, MATCH("평가금액", INDEX(Data_Input!$A$1:$ZZ$502, 0, MATCH(1, (Data_Input!$7:$7=$F$3)*(Data_Input!$8:$8=$B173), 0)), 0) + 1, MATCH(1, (Data_Input!$7:$7=$F$3)*(Data_Input!$8:$8=$B173), 0)),"")</f>
        <v/>
      </c>
      <c r="J173" s="20" t="str" cm="1">
        <f t="array" ref="J173">IFERROR(INDEX(Data_Input!$A$1:$ZZ$502, MATCH("평가손익", INDEX(Data_Input!$A$1:$ZZ$502, 0, MATCH(1, (Data_Input!$7:$7=$F$3)*(Data_Input!$8:$8=$B173), 0)), 0) + 1, MATCH(1, (Data_Input!$7:$7=$F$3)*(Data_Input!$8:$8=$B173), 0)),"")</f>
        <v/>
      </c>
      <c r="K173" s="14" t="str" cm="1">
        <f t="array" ref="K173">IFERROR(INDEX(Data_Input!$A$1:$ZZ$502, MATCH("총수익률", INDEX(Data_Input!$A$1:$ZZ$502, 0, MATCH(1, (Data_Input!$7:$7=$F$3)*(Data_Input!$8:$8=$B173), 0)), 0) + 1, MATCH(1, (Data_Input!$7:$7=$F$3)*(Data_Input!$8:$8=$B173), 0)),"")</f>
        <v/>
      </c>
      <c r="L173" t="str" cm="1">
        <f t="array" ref="L173">IFERROR(_xlfn.LET(
    _xlpm.targetDate, B173,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74" spans="1:12" x14ac:dyDescent="0.3">
      <c r="A174" s="16" t="str">
        <f t="shared" si="5"/>
        <v/>
      </c>
      <c r="B174" s="8"/>
      <c r="C174" s="17" t="str">
        <f t="shared" si="6"/>
        <v/>
      </c>
      <c r="D174" s="29" t="str" cm="1">
        <f t="array" ref="D174">IFERROR(INDEX(Data_Input!$1:$100, 10, MATCH(1, (Data_Input!$F$7:$ZZ$7=$F$3) * (Data_Input!$F$8:$ZZ$8=$B174), 0)),"")</f>
        <v/>
      </c>
      <c r="E174" s="29" t="str" cm="1">
        <f t="array" ref="E174">IFERROR(INDEX(Data_Input!$1:$100, 9, MATCH(1, (Data_Input!$7:$7=$F$3) * (Data_Input!$8:$8=$B174), 0)),"")</f>
        <v/>
      </c>
      <c r="F174" s="20" t="str" cm="1">
        <f t="array" ref="F174">IFERROR(INDEX(Data_Input!$A$1:$ZZ$502, MATCH("예수금", INDEX(Data_Input!$A$1:$ZZ$502, 0, MATCH(1, (Data_Input!$7:$7=$F$3)*(Data_Input!$8:$8=$B174), 0)), 0) + 1, MATCH(1, (Data_Input!$7:$7=$F$3)*(Data_Input!$8:$8=$B174), 0)),"")</f>
        <v/>
      </c>
      <c r="G174" s="20" t="str" cm="1">
        <f t="array" ref="G174">IFERROR(INDEX(Data_Input!$A$1:$ZZ$502, MATCH("총자산", INDEX(Data_Input!$A$1:$ZZ$502, 0, MATCH(1, (Data_Input!$7:$7=$F$3)*(Data_Input!$8:$8=$B174), 0)), 0) + 1, MATCH(1, (Data_Input!$7:$7=$F$3)*(Data_Input!$8:$8=$B174), 0)),"")</f>
        <v/>
      </c>
      <c r="H174" s="20" t="str" cm="1">
        <f t="array" ref="H174">IFERROR(INDEX(Data_Input!$A$1:$ZZ$502, MATCH("매입금액", INDEX(Data_Input!$A$1:$ZZ$502, 0, MATCH(1, (Data_Input!$7:$7=$F$3)*(Data_Input!$8:$8=$B174), 0)), 0) + 1, MATCH(1, (Data_Input!$7:$7=$F$3)*(Data_Input!$8:$8=$B174), 0)),"")</f>
        <v/>
      </c>
      <c r="I174" s="20" t="str" cm="1">
        <f t="array" ref="I174">IFERROR(INDEX(Data_Input!$A$1:$ZZ$502, MATCH("평가금액", INDEX(Data_Input!$A$1:$ZZ$502, 0, MATCH(1, (Data_Input!$7:$7=$F$3)*(Data_Input!$8:$8=$B174), 0)), 0) + 1, MATCH(1, (Data_Input!$7:$7=$F$3)*(Data_Input!$8:$8=$B174), 0)),"")</f>
        <v/>
      </c>
      <c r="J174" s="20" t="str" cm="1">
        <f t="array" ref="J174">IFERROR(INDEX(Data_Input!$A$1:$ZZ$502, MATCH("평가손익", INDEX(Data_Input!$A$1:$ZZ$502, 0, MATCH(1, (Data_Input!$7:$7=$F$3)*(Data_Input!$8:$8=$B174), 0)), 0) + 1, MATCH(1, (Data_Input!$7:$7=$F$3)*(Data_Input!$8:$8=$B174), 0)),"")</f>
        <v/>
      </c>
      <c r="K174" s="14" t="str" cm="1">
        <f t="array" ref="K174">IFERROR(INDEX(Data_Input!$A$1:$ZZ$502, MATCH("총수익률", INDEX(Data_Input!$A$1:$ZZ$502, 0, MATCH(1, (Data_Input!$7:$7=$F$3)*(Data_Input!$8:$8=$B174), 0)), 0) + 1, MATCH(1, (Data_Input!$7:$7=$F$3)*(Data_Input!$8:$8=$B174), 0)),"")</f>
        <v/>
      </c>
      <c r="L174" t="str" cm="1">
        <f t="array" ref="L174">IFERROR(_xlfn.LET(
    _xlpm.targetDate, B174,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75" spans="1:12" x14ac:dyDescent="0.3">
      <c r="A175" s="16" t="str">
        <f t="shared" si="5"/>
        <v/>
      </c>
      <c r="B175" s="8"/>
      <c r="C175" s="17" t="str">
        <f t="shared" si="6"/>
        <v/>
      </c>
      <c r="D175" s="29" t="str" cm="1">
        <f t="array" ref="D175">IFERROR(INDEX(Data_Input!$1:$100, 10, MATCH(1, (Data_Input!$F$7:$ZZ$7=$F$3) * (Data_Input!$F$8:$ZZ$8=$B175), 0)),"")</f>
        <v/>
      </c>
      <c r="E175" s="29" t="str" cm="1">
        <f t="array" ref="E175">IFERROR(INDEX(Data_Input!$1:$100, 9, MATCH(1, (Data_Input!$7:$7=$F$3) * (Data_Input!$8:$8=$B175), 0)),"")</f>
        <v/>
      </c>
      <c r="F175" s="20" t="str" cm="1">
        <f t="array" ref="F175">IFERROR(INDEX(Data_Input!$A$1:$ZZ$502, MATCH("예수금", INDEX(Data_Input!$A$1:$ZZ$502, 0, MATCH(1, (Data_Input!$7:$7=$F$3)*(Data_Input!$8:$8=$B175), 0)), 0) + 1, MATCH(1, (Data_Input!$7:$7=$F$3)*(Data_Input!$8:$8=$B175), 0)),"")</f>
        <v/>
      </c>
      <c r="G175" s="20" t="str" cm="1">
        <f t="array" ref="G175">IFERROR(INDEX(Data_Input!$A$1:$ZZ$502, MATCH("총자산", INDEX(Data_Input!$A$1:$ZZ$502, 0, MATCH(1, (Data_Input!$7:$7=$F$3)*(Data_Input!$8:$8=$B175), 0)), 0) + 1, MATCH(1, (Data_Input!$7:$7=$F$3)*(Data_Input!$8:$8=$B175), 0)),"")</f>
        <v/>
      </c>
      <c r="H175" s="20" t="str" cm="1">
        <f t="array" ref="H175">IFERROR(INDEX(Data_Input!$A$1:$ZZ$502, MATCH("매입금액", INDEX(Data_Input!$A$1:$ZZ$502, 0, MATCH(1, (Data_Input!$7:$7=$F$3)*(Data_Input!$8:$8=$B175), 0)), 0) + 1, MATCH(1, (Data_Input!$7:$7=$F$3)*(Data_Input!$8:$8=$B175), 0)),"")</f>
        <v/>
      </c>
      <c r="I175" s="20" t="str" cm="1">
        <f t="array" ref="I175">IFERROR(INDEX(Data_Input!$A$1:$ZZ$502, MATCH("평가금액", INDEX(Data_Input!$A$1:$ZZ$502, 0, MATCH(1, (Data_Input!$7:$7=$F$3)*(Data_Input!$8:$8=$B175), 0)), 0) + 1, MATCH(1, (Data_Input!$7:$7=$F$3)*(Data_Input!$8:$8=$B175), 0)),"")</f>
        <v/>
      </c>
      <c r="J175" s="20" t="str" cm="1">
        <f t="array" ref="J175">IFERROR(INDEX(Data_Input!$A$1:$ZZ$502, MATCH("평가손익", INDEX(Data_Input!$A$1:$ZZ$502, 0, MATCH(1, (Data_Input!$7:$7=$F$3)*(Data_Input!$8:$8=$B175), 0)), 0) + 1, MATCH(1, (Data_Input!$7:$7=$F$3)*(Data_Input!$8:$8=$B175), 0)),"")</f>
        <v/>
      </c>
      <c r="K175" s="14" t="str" cm="1">
        <f t="array" ref="K175">IFERROR(INDEX(Data_Input!$A$1:$ZZ$502, MATCH("총수익률", INDEX(Data_Input!$A$1:$ZZ$502, 0, MATCH(1, (Data_Input!$7:$7=$F$3)*(Data_Input!$8:$8=$B175), 0)), 0) + 1, MATCH(1, (Data_Input!$7:$7=$F$3)*(Data_Input!$8:$8=$B175), 0)),"")</f>
        <v/>
      </c>
      <c r="L175" t="str" cm="1">
        <f t="array" ref="L175">IFERROR(_xlfn.LET(
    _xlpm.targetDate, B175,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76" spans="1:12" x14ac:dyDescent="0.3">
      <c r="A176" s="16" t="str">
        <f t="shared" si="5"/>
        <v/>
      </c>
      <c r="B176" s="8"/>
      <c r="C176" s="17" t="str">
        <f t="shared" si="6"/>
        <v/>
      </c>
      <c r="D176" s="29" t="str" cm="1">
        <f t="array" ref="D176">IFERROR(INDEX(Data_Input!$1:$100, 10, MATCH(1, (Data_Input!$F$7:$ZZ$7=$F$3) * (Data_Input!$F$8:$ZZ$8=$B176), 0)),"")</f>
        <v/>
      </c>
      <c r="E176" s="29" t="str" cm="1">
        <f t="array" ref="E176">IFERROR(INDEX(Data_Input!$1:$100, 9, MATCH(1, (Data_Input!$7:$7=$F$3) * (Data_Input!$8:$8=$B176), 0)),"")</f>
        <v/>
      </c>
      <c r="F176" s="20" t="str" cm="1">
        <f t="array" ref="F176">IFERROR(INDEX(Data_Input!$A$1:$ZZ$502, MATCH("예수금", INDEX(Data_Input!$A$1:$ZZ$502, 0, MATCH(1, (Data_Input!$7:$7=$F$3)*(Data_Input!$8:$8=$B176), 0)), 0) + 1, MATCH(1, (Data_Input!$7:$7=$F$3)*(Data_Input!$8:$8=$B176), 0)),"")</f>
        <v/>
      </c>
      <c r="G176" s="20" t="str" cm="1">
        <f t="array" ref="G176">IFERROR(INDEX(Data_Input!$A$1:$ZZ$502, MATCH("총자산", INDEX(Data_Input!$A$1:$ZZ$502, 0, MATCH(1, (Data_Input!$7:$7=$F$3)*(Data_Input!$8:$8=$B176), 0)), 0) + 1, MATCH(1, (Data_Input!$7:$7=$F$3)*(Data_Input!$8:$8=$B176), 0)),"")</f>
        <v/>
      </c>
      <c r="H176" s="20" t="str" cm="1">
        <f t="array" ref="H176">IFERROR(INDEX(Data_Input!$A$1:$ZZ$502, MATCH("매입금액", INDEX(Data_Input!$A$1:$ZZ$502, 0, MATCH(1, (Data_Input!$7:$7=$F$3)*(Data_Input!$8:$8=$B176), 0)), 0) + 1, MATCH(1, (Data_Input!$7:$7=$F$3)*(Data_Input!$8:$8=$B176), 0)),"")</f>
        <v/>
      </c>
      <c r="I176" s="20" t="str" cm="1">
        <f t="array" ref="I176">IFERROR(INDEX(Data_Input!$A$1:$ZZ$502, MATCH("평가금액", INDEX(Data_Input!$A$1:$ZZ$502, 0, MATCH(1, (Data_Input!$7:$7=$F$3)*(Data_Input!$8:$8=$B176), 0)), 0) + 1, MATCH(1, (Data_Input!$7:$7=$F$3)*(Data_Input!$8:$8=$B176), 0)),"")</f>
        <v/>
      </c>
      <c r="J176" s="20" t="str" cm="1">
        <f t="array" ref="J176">IFERROR(INDEX(Data_Input!$A$1:$ZZ$502, MATCH("평가손익", INDEX(Data_Input!$A$1:$ZZ$502, 0, MATCH(1, (Data_Input!$7:$7=$F$3)*(Data_Input!$8:$8=$B176), 0)), 0) + 1, MATCH(1, (Data_Input!$7:$7=$F$3)*(Data_Input!$8:$8=$B176), 0)),"")</f>
        <v/>
      </c>
      <c r="K176" s="14" t="str" cm="1">
        <f t="array" ref="K176">IFERROR(INDEX(Data_Input!$A$1:$ZZ$502, MATCH("총수익률", INDEX(Data_Input!$A$1:$ZZ$502, 0, MATCH(1, (Data_Input!$7:$7=$F$3)*(Data_Input!$8:$8=$B176), 0)), 0) + 1, MATCH(1, (Data_Input!$7:$7=$F$3)*(Data_Input!$8:$8=$B176), 0)),"")</f>
        <v/>
      </c>
      <c r="L176" t="str" cm="1">
        <f t="array" ref="L176">IFERROR(_xlfn.LET(
    _xlpm.targetDate, B176,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77" spans="1:12" x14ac:dyDescent="0.3">
      <c r="A177" s="16" t="str">
        <f t="shared" si="5"/>
        <v/>
      </c>
      <c r="B177" s="8"/>
      <c r="C177" s="17" t="str">
        <f t="shared" si="6"/>
        <v/>
      </c>
      <c r="D177" s="29" t="str" cm="1">
        <f t="array" ref="D177">IFERROR(INDEX(Data_Input!$1:$100, 10, MATCH(1, (Data_Input!$F$7:$ZZ$7=$F$3) * (Data_Input!$F$8:$ZZ$8=$B177), 0)),"")</f>
        <v/>
      </c>
      <c r="E177" s="29" t="str" cm="1">
        <f t="array" ref="E177">IFERROR(INDEX(Data_Input!$1:$100, 9, MATCH(1, (Data_Input!$7:$7=$F$3) * (Data_Input!$8:$8=$B177), 0)),"")</f>
        <v/>
      </c>
      <c r="F177" s="20" t="str" cm="1">
        <f t="array" ref="F177">IFERROR(INDEX(Data_Input!$A$1:$ZZ$502, MATCH("예수금", INDEX(Data_Input!$A$1:$ZZ$502, 0, MATCH(1, (Data_Input!$7:$7=$F$3)*(Data_Input!$8:$8=$B177), 0)), 0) + 1, MATCH(1, (Data_Input!$7:$7=$F$3)*(Data_Input!$8:$8=$B177), 0)),"")</f>
        <v/>
      </c>
      <c r="G177" s="20" t="str" cm="1">
        <f t="array" ref="G177">IFERROR(INDEX(Data_Input!$A$1:$ZZ$502, MATCH("총자산", INDEX(Data_Input!$A$1:$ZZ$502, 0, MATCH(1, (Data_Input!$7:$7=$F$3)*(Data_Input!$8:$8=$B177), 0)), 0) + 1, MATCH(1, (Data_Input!$7:$7=$F$3)*(Data_Input!$8:$8=$B177), 0)),"")</f>
        <v/>
      </c>
      <c r="H177" s="20" t="str" cm="1">
        <f t="array" ref="H177">IFERROR(INDEX(Data_Input!$A$1:$ZZ$502, MATCH("매입금액", INDEX(Data_Input!$A$1:$ZZ$502, 0, MATCH(1, (Data_Input!$7:$7=$F$3)*(Data_Input!$8:$8=$B177), 0)), 0) + 1, MATCH(1, (Data_Input!$7:$7=$F$3)*(Data_Input!$8:$8=$B177), 0)),"")</f>
        <v/>
      </c>
      <c r="I177" s="20" t="str" cm="1">
        <f t="array" ref="I177">IFERROR(INDEX(Data_Input!$A$1:$ZZ$502, MATCH("평가금액", INDEX(Data_Input!$A$1:$ZZ$502, 0, MATCH(1, (Data_Input!$7:$7=$F$3)*(Data_Input!$8:$8=$B177), 0)), 0) + 1, MATCH(1, (Data_Input!$7:$7=$F$3)*(Data_Input!$8:$8=$B177), 0)),"")</f>
        <v/>
      </c>
      <c r="J177" s="20" t="str" cm="1">
        <f t="array" ref="J177">IFERROR(INDEX(Data_Input!$A$1:$ZZ$502, MATCH("평가손익", INDEX(Data_Input!$A$1:$ZZ$502, 0, MATCH(1, (Data_Input!$7:$7=$F$3)*(Data_Input!$8:$8=$B177), 0)), 0) + 1, MATCH(1, (Data_Input!$7:$7=$F$3)*(Data_Input!$8:$8=$B177), 0)),"")</f>
        <v/>
      </c>
      <c r="K177" s="14" t="str" cm="1">
        <f t="array" ref="K177">IFERROR(INDEX(Data_Input!$A$1:$ZZ$502, MATCH("총수익률", INDEX(Data_Input!$A$1:$ZZ$502, 0, MATCH(1, (Data_Input!$7:$7=$F$3)*(Data_Input!$8:$8=$B177), 0)), 0) + 1, MATCH(1, (Data_Input!$7:$7=$F$3)*(Data_Input!$8:$8=$B177), 0)),"")</f>
        <v/>
      </c>
      <c r="L177" t="str" cm="1">
        <f t="array" ref="L177">IFERROR(_xlfn.LET(
    _xlpm.targetDate, B177,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78" spans="1:12" x14ac:dyDescent="0.3">
      <c r="A178" s="16" t="str">
        <f t="shared" si="5"/>
        <v/>
      </c>
      <c r="B178" s="8"/>
      <c r="C178" s="17" t="str">
        <f t="shared" si="6"/>
        <v/>
      </c>
      <c r="D178" s="29" t="str" cm="1">
        <f t="array" ref="D178">IFERROR(INDEX(Data_Input!$1:$100, 10, MATCH(1, (Data_Input!$F$7:$ZZ$7=$F$3) * (Data_Input!$F$8:$ZZ$8=$B178), 0)),"")</f>
        <v/>
      </c>
      <c r="E178" s="29" t="str" cm="1">
        <f t="array" ref="E178">IFERROR(INDEX(Data_Input!$1:$100, 9, MATCH(1, (Data_Input!$7:$7=$F$3) * (Data_Input!$8:$8=$B178), 0)),"")</f>
        <v/>
      </c>
      <c r="F178" s="20" t="str" cm="1">
        <f t="array" ref="F178">IFERROR(INDEX(Data_Input!$A$1:$ZZ$502, MATCH("예수금", INDEX(Data_Input!$A$1:$ZZ$502, 0, MATCH(1, (Data_Input!$7:$7=$F$3)*(Data_Input!$8:$8=$B178), 0)), 0) + 1, MATCH(1, (Data_Input!$7:$7=$F$3)*(Data_Input!$8:$8=$B178), 0)),"")</f>
        <v/>
      </c>
      <c r="G178" s="20" t="str" cm="1">
        <f t="array" ref="G178">IFERROR(INDEX(Data_Input!$A$1:$ZZ$502, MATCH("총자산", INDEX(Data_Input!$A$1:$ZZ$502, 0, MATCH(1, (Data_Input!$7:$7=$F$3)*(Data_Input!$8:$8=$B178), 0)), 0) + 1, MATCH(1, (Data_Input!$7:$7=$F$3)*(Data_Input!$8:$8=$B178), 0)),"")</f>
        <v/>
      </c>
      <c r="H178" s="20" t="str" cm="1">
        <f t="array" ref="H178">IFERROR(INDEX(Data_Input!$A$1:$ZZ$502, MATCH("매입금액", INDEX(Data_Input!$A$1:$ZZ$502, 0, MATCH(1, (Data_Input!$7:$7=$F$3)*(Data_Input!$8:$8=$B178), 0)), 0) + 1, MATCH(1, (Data_Input!$7:$7=$F$3)*(Data_Input!$8:$8=$B178), 0)),"")</f>
        <v/>
      </c>
      <c r="I178" s="20" t="str" cm="1">
        <f t="array" ref="I178">IFERROR(INDEX(Data_Input!$A$1:$ZZ$502, MATCH("평가금액", INDEX(Data_Input!$A$1:$ZZ$502, 0, MATCH(1, (Data_Input!$7:$7=$F$3)*(Data_Input!$8:$8=$B178), 0)), 0) + 1, MATCH(1, (Data_Input!$7:$7=$F$3)*(Data_Input!$8:$8=$B178), 0)),"")</f>
        <v/>
      </c>
      <c r="J178" s="20" t="str" cm="1">
        <f t="array" ref="J178">IFERROR(INDEX(Data_Input!$A$1:$ZZ$502, MATCH("평가손익", INDEX(Data_Input!$A$1:$ZZ$502, 0, MATCH(1, (Data_Input!$7:$7=$F$3)*(Data_Input!$8:$8=$B178), 0)), 0) + 1, MATCH(1, (Data_Input!$7:$7=$F$3)*(Data_Input!$8:$8=$B178), 0)),"")</f>
        <v/>
      </c>
      <c r="K178" s="14" t="str" cm="1">
        <f t="array" ref="K178">IFERROR(INDEX(Data_Input!$A$1:$ZZ$502, MATCH("총수익률", INDEX(Data_Input!$A$1:$ZZ$502, 0, MATCH(1, (Data_Input!$7:$7=$F$3)*(Data_Input!$8:$8=$B178), 0)), 0) + 1, MATCH(1, (Data_Input!$7:$7=$F$3)*(Data_Input!$8:$8=$B178), 0)),"")</f>
        <v/>
      </c>
      <c r="L178" t="str" cm="1">
        <f t="array" ref="L178">IFERROR(_xlfn.LET(
    _xlpm.targetDate, B178,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79" spans="1:12" x14ac:dyDescent="0.3">
      <c r="A179" s="16" t="str">
        <f t="shared" si="5"/>
        <v/>
      </c>
      <c r="B179" s="8"/>
      <c r="C179" s="17" t="str">
        <f t="shared" si="6"/>
        <v/>
      </c>
      <c r="D179" s="29" t="str" cm="1">
        <f t="array" ref="D179">IFERROR(INDEX(Data_Input!$1:$100, 10, MATCH(1, (Data_Input!$F$7:$ZZ$7=$F$3) * (Data_Input!$F$8:$ZZ$8=$B179), 0)),"")</f>
        <v/>
      </c>
      <c r="E179" s="29" t="str" cm="1">
        <f t="array" ref="E179">IFERROR(INDEX(Data_Input!$1:$100, 9, MATCH(1, (Data_Input!$7:$7=$F$3) * (Data_Input!$8:$8=$B179), 0)),"")</f>
        <v/>
      </c>
      <c r="F179" s="20" t="str" cm="1">
        <f t="array" ref="F179">IFERROR(INDEX(Data_Input!$A$1:$ZZ$502, MATCH("예수금", INDEX(Data_Input!$A$1:$ZZ$502, 0, MATCH(1, (Data_Input!$7:$7=$F$3)*(Data_Input!$8:$8=$B179), 0)), 0) + 1, MATCH(1, (Data_Input!$7:$7=$F$3)*(Data_Input!$8:$8=$B179), 0)),"")</f>
        <v/>
      </c>
      <c r="G179" s="20" t="str" cm="1">
        <f t="array" ref="G179">IFERROR(INDEX(Data_Input!$A$1:$ZZ$502, MATCH("총자산", INDEX(Data_Input!$A$1:$ZZ$502, 0, MATCH(1, (Data_Input!$7:$7=$F$3)*(Data_Input!$8:$8=$B179), 0)), 0) + 1, MATCH(1, (Data_Input!$7:$7=$F$3)*(Data_Input!$8:$8=$B179), 0)),"")</f>
        <v/>
      </c>
      <c r="H179" s="20" t="str" cm="1">
        <f t="array" ref="H179">IFERROR(INDEX(Data_Input!$A$1:$ZZ$502, MATCH("매입금액", INDEX(Data_Input!$A$1:$ZZ$502, 0, MATCH(1, (Data_Input!$7:$7=$F$3)*(Data_Input!$8:$8=$B179), 0)), 0) + 1, MATCH(1, (Data_Input!$7:$7=$F$3)*(Data_Input!$8:$8=$B179), 0)),"")</f>
        <v/>
      </c>
      <c r="I179" s="20" t="str" cm="1">
        <f t="array" ref="I179">IFERROR(INDEX(Data_Input!$A$1:$ZZ$502, MATCH("평가금액", INDEX(Data_Input!$A$1:$ZZ$502, 0, MATCH(1, (Data_Input!$7:$7=$F$3)*(Data_Input!$8:$8=$B179), 0)), 0) + 1, MATCH(1, (Data_Input!$7:$7=$F$3)*(Data_Input!$8:$8=$B179), 0)),"")</f>
        <v/>
      </c>
      <c r="J179" s="20" t="str" cm="1">
        <f t="array" ref="J179">IFERROR(INDEX(Data_Input!$A$1:$ZZ$502, MATCH("평가손익", INDEX(Data_Input!$A$1:$ZZ$502, 0, MATCH(1, (Data_Input!$7:$7=$F$3)*(Data_Input!$8:$8=$B179), 0)), 0) + 1, MATCH(1, (Data_Input!$7:$7=$F$3)*(Data_Input!$8:$8=$B179), 0)),"")</f>
        <v/>
      </c>
      <c r="K179" s="14" t="str" cm="1">
        <f t="array" ref="K179">IFERROR(INDEX(Data_Input!$A$1:$ZZ$502, MATCH("총수익률", INDEX(Data_Input!$A$1:$ZZ$502, 0, MATCH(1, (Data_Input!$7:$7=$F$3)*(Data_Input!$8:$8=$B179), 0)), 0) + 1, MATCH(1, (Data_Input!$7:$7=$F$3)*(Data_Input!$8:$8=$B179), 0)),"")</f>
        <v/>
      </c>
      <c r="L179" t="str" cm="1">
        <f t="array" ref="L179">IFERROR(_xlfn.LET(
    _xlpm.targetDate, B179,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80" spans="1:12" x14ac:dyDescent="0.3">
      <c r="A180" s="16" t="str">
        <f t="shared" si="5"/>
        <v/>
      </c>
      <c r="B180" s="8"/>
      <c r="C180" s="17" t="str">
        <f t="shared" si="6"/>
        <v/>
      </c>
      <c r="D180" s="29" t="str" cm="1">
        <f t="array" ref="D180">IFERROR(INDEX(Data_Input!$1:$100, 10, MATCH(1, (Data_Input!$F$7:$ZZ$7=$F$3) * (Data_Input!$F$8:$ZZ$8=$B180), 0)),"")</f>
        <v/>
      </c>
      <c r="E180" s="29" t="str" cm="1">
        <f t="array" ref="E180">IFERROR(INDEX(Data_Input!$1:$100, 9, MATCH(1, (Data_Input!$7:$7=$F$3) * (Data_Input!$8:$8=$B180), 0)),"")</f>
        <v/>
      </c>
      <c r="F180" s="20" t="str" cm="1">
        <f t="array" ref="F180">IFERROR(INDEX(Data_Input!$A$1:$ZZ$502, MATCH("예수금", INDEX(Data_Input!$A$1:$ZZ$502, 0, MATCH(1, (Data_Input!$7:$7=$F$3)*(Data_Input!$8:$8=$B180), 0)), 0) + 1, MATCH(1, (Data_Input!$7:$7=$F$3)*(Data_Input!$8:$8=$B180), 0)),"")</f>
        <v/>
      </c>
      <c r="G180" s="20" t="str" cm="1">
        <f t="array" ref="G180">IFERROR(INDEX(Data_Input!$A$1:$ZZ$502, MATCH("총자산", INDEX(Data_Input!$A$1:$ZZ$502, 0, MATCH(1, (Data_Input!$7:$7=$F$3)*(Data_Input!$8:$8=$B180), 0)), 0) + 1, MATCH(1, (Data_Input!$7:$7=$F$3)*(Data_Input!$8:$8=$B180), 0)),"")</f>
        <v/>
      </c>
      <c r="H180" s="20" t="str" cm="1">
        <f t="array" ref="H180">IFERROR(INDEX(Data_Input!$A$1:$ZZ$502, MATCH("매입금액", INDEX(Data_Input!$A$1:$ZZ$502, 0, MATCH(1, (Data_Input!$7:$7=$F$3)*(Data_Input!$8:$8=$B180), 0)), 0) + 1, MATCH(1, (Data_Input!$7:$7=$F$3)*(Data_Input!$8:$8=$B180), 0)),"")</f>
        <v/>
      </c>
      <c r="I180" s="20" t="str" cm="1">
        <f t="array" ref="I180">IFERROR(INDEX(Data_Input!$A$1:$ZZ$502, MATCH("평가금액", INDEX(Data_Input!$A$1:$ZZ$502, 0, MATCH(1, (Data_Input!$7:$7=$F$3)*(Data_Input!$8:$8=$B180), 0)), 0) + 1, MATCH(1, (Data_Input!$7:$7=$F$3)*(Data_Input!$8:$8=$B180), 0)),"")</f>
        <v/>
      </c>
      <c r="J180" s="20" t="str" cm="1">
        <f t="array" ref="J180">IFERROR(INDEX(Data_Input!$A$1:$ZZ$502, MATCH("평가손익", INDEX(Data_Input!$A$1:$ZZ$502, 0, MATCH(1, (Data_Input!$7:$7=$F$3)*(Data_Input!$8:$8=$B180), 0)), 0) + 1, MATCH(1, (Data_Input!$7:$7=$F$3)*(Data_Input!$8:$8=$B180), 0)),"")</f>
        <v/>
      </c>
      <c r="K180" s="14" t="str" cm="1">
        <f t="array" ref="K180">IFERROR(INDEX(Data_Input!$A$1:$ZZ$502, MATCH("총수익률", INDEX(Data_Input!$A$1:$ZZ$502, 0, MATCH(1, (Data_Input!$7:$7=$F$3)*(Data_Input!$8:$8=$B180), 0)), 0) + 1, MATCH(1, (Data_Input!$7:$7=$F$3)*(Data_Input!$8:$8=$B180), 0)),"")</f>
        <v/>
      </c>
      <c r="L180" t="str" cm="1">
        <f t="array" ref="L180">IFERROR(_xlfn.LET(
    _xlpm.targetDate, B180,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81" spans="1:12" x14ac:dyDescent="0.3">
      <c r="A181" s="16" t="str">
        <f t="shared" si="5"/>
        <v/>
      </c>
      <c r="B181" s="8"/>
      <c r="C181" s="17" t="str">
        <f t="shared" si="6"/>
        <v/>
      </c>
      <c r="D181" s="29" t="str" cm="1">
        <f t="array" ref="D181">IFERROR(INDEX(Data_Input!$1:$100, 10, MATCH(1, (Data_Input!$F$7:$ZZ$7=$F$3) * (Data_Input!$F$8:$ZZ$8=$B181), 0)),"")</f>
        <v/>
      </c>
      <c r="E181" s="29" t="str" cm="1">
        <f t="array" ref="E181">IFERROR(INDEX(Data_Input!$1:$100, 9, MATCH(1, (Data_Input!$7:$7=$F$3) * (Data_Input!$8:$8=$B181), 0)),"")</f>
        <v/>
      </c>
      <c r="F181" s="20" t="str" cm="1">
        <f t="array" ref="F181">IFERROR(INDEX(Data_Input!$A$1:$ZZ$502, MATCH("예수금", INDEX(Data_Input!$A$1:$ZZ$502, 0, MATCH(1, (Data_Input!$7:$7=$F$3)*(Data_Input!$8:$8=$B181), 0)), 0) + 1, MATCH(1, (Data_Input!$7:$7=$F$3)*(Data_Input!$8:$8=$B181), 0)),"")</f>
        <v/>
      </c>
      <c r="G181" s="20" t="str" cm="1">
        <f t="array" ref="G181">IFERROR(INDEX(Data_Input!$A$1:$ZZ$502, MATCH("총자산", INDEX(Data_Input!$A$1:$ZZ$502, 0, MATCH(1, (Data_Input!$7:$7=$F$3)*(Data_Input!$8:$8=$B181), 0)), 0) + 1, MATCH(1, (Data_Input!$7:$7=$F$3)*(Data_Input!$8:$8=$B181), 0)),"")</f>
        <v/>
      </c>
      <c r="H181" s="20" t="str" cm="1">
        <f t="array" ref="H181">IFERROR(INDEX(Data_Input!$A$1:$ZZ$502, MATCH("매입금액", INDEX(Data_Input!$A$1:$ZZ$502, 0, MATCH(1, (Data_Input!$7:$7=$F$3)*(Data_Input!$8:$8=$B181), 0)), 0) + 1, MATCH(1, (Data_Input!$7:$7=$F$3)*(Data_Input!$8:$8=$B181), 0)),"")</f>
        <v/>
      </c>
      <c r="I181" s="20" t="str" cm="1">
        <f t="array" ref="I181">IFERROR(INDEX(Data_Input!$A$1:$ZZ$502, MATCH("평가금액", INDEX(Data_Input!$A$1:$ZZ$502, 0, MATCH(1, (Data_Input!$7:$7=$F$3)*(Data_Input!$8:$8=$B181), 0)), 0) + 1, MATCH(1, (Data_Input!$7:$7=$F$3)*(Data_Input!$8:$8=$B181), 0)),"")</f>
        <v/>
      </c>
      <c r="J181" s="20" t="str" cm="1">
        <f t="array" ref="J181">IFERROR(INDEX(Data_Input!$A$1:$ZZ$502, MATCH("평가손익", INDEX(Data_Input!$A$1:$ZZ$502, 0, MATCH(1, (Data_Input!$7:$7=$F$3)*(Data_Input!$8:$8=$B181), 0)), 0) + 1, MATCH(1, (Data_Input!$7:$7=$F$3)*(Data_Input!$8:$8=$B181), 0)),"")</f>
        <v/>
      </c>
      <c r="K181" s="14" t="str" cm="1">
        <f t="array" ref="K181">IFERROR(INDEX(Data_Input!$A$1:$ZZ$502, MATCH("총수익률", INDEX(Data_Input!$A$1:$ZZ$502, 0, MATCH(1, (Data_Input!$7:$7=$F$3)*(Data_Input!$8:$8=$B181), 0)), 0) + 1, MATCH(1, (Data_Input!$7:$7=$F$3)*(Data_Input!$8:$8=$B181), 0)),"")</f>
        <v/>
      </c>
      <c r="L181" t="str" cm="1">
        <f t="array" ref="L181">IFERROR(_xlfn.LET(
    _xlpm.targetDate, B181,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82" spans="1:12" x14ac:dyDescent="0.3">
      <c r="A182" s="16" t="str">
        <f t="shared" si="5"/>
        <v/>
      </c>
      <c r="B182" s="8"/>
      <c r="C182" s="17" t="str">
        <f t="shared" si="6"/>
        <v/>
      </c>
      <c r="D182" s="29" t="str" cm="1">
        <f t="array" ref="D182">IFERROR(INDEX(Data_Input!$1:$100, 10, MATCH(1, (Data_Input!$F$7:$ZZ$7=$F$3) * (Data_Input!$F$8:$ZZ$8=$B182), 0)),"")</f>
        <v/>
      </c>
      <c r="E182" s="29" t="str" cm="1">
        <f t="array" ref="E182">IFERROR(INDEX(Data_Input!$1:$100, 9, MATCH(1, (Data_Input!$7:$7=$F$3) * (Data_Input!$8:$8=$B182), 0)),"")</f>
        <v/>
      </c>
      <c r="F182" s="20" t="str" cm="1">
        <f t="array" ref="F182">IFERROR(INDEX(Data_Input!$A$1:$ZZ$502, MATCH("예수금", INDEX(Data_Input!$A$1:$ZZ$502, 0, MATCH(1, (Data_Input!$7:$7=$F$3)*(Data_Input!$8:$8=$B182), 0)), 0) + 1, MATCH(1, (Data_Input!$7:$7=$F$3)*(Data_Input!$8:$8=$B182), 0)),"")</f>
        <v/>
      </c>
      <c r="G182" s="20" t="str" cm="1">
        <f t="array" ref="G182">IFERROR(INDEX(Data_Input!$A$1:$ZZ$502, MATCH("총자산", INDEX(Data_Input!$A$1:$ZZ$502, 0, MATCH(1, (Data_Input!$7:$7=$F$3)*(Data_Input!$8:$8=$B182), 0)), 0) + 1, MATCH(1, (Data_Input!$7:$7=$F$3)*(Data_Input!$8:$8=$B182), 0)),"")</f>
        <v/>
      </c>
      <c r="H182" s="20" t="str" cm="1">
        <f t="array" ref="H182">IFERROR(INDEX(Data_Input!$A$1:$ZZ$502, MATCH("매입금액", INDEX(Data_Input!$A$1:$ZZ$502, 0, MATCH(1, (Data_Input!$7:$7=$F$3)*(Data_Input!$8:$8=$B182), 0)), 0) + 1, MATCH(1, (Data_Input!$7:$7=$F$3)*(Data_Input!$8:$8=$B182), 0)),"")</f>
        <v/>
      </c>
      <c r="I182" s="20" t="str" cm="1">
        <f t="array" ref="I182">IFERROR(INDEX(Data_Input!$A$1:$ZZ$502, MATCH("평가금액", INDEX(Data_Input!$A$1:$ZZ$502, 0, MATCH(1, (Data_Input!$7:$7=$F$3)*(Data_Input!$8:$8=$B182), 0)), 0) + 1, MATCH(1, (Data_Input!$7:$7=$F$3)*(Data_Input!$8:$8=$B182), 0)),"")</f>
        <v/>
      </c>
      <c r="J182" s="20" t="str" cm="1">
        <f t="array" ref="J182">IFERROR(INDEX(Data_Input!$A$1:$ZZ$502, MATCH("평가손익", INDEX(Data_Input!$A$1:$ZZ$502, 0, MATCH(1, (Data_Input!$7:$7=$F$3)*(Data_Input!$8:$8=$B182), 0)), 0) + 1, MATCH(1, (Data_Input!$7:$7=$F$3)*(Data_Input!$8:$8=$B182), 0)),"")</f>
        <v/>
      </c>
      <c r="K182" s="14" t="str" cm="1">
        <f t="array" ref="K182">IFERROR(INDEX(Data_Input!$A$1:$ZZ$502, MATCH("총수익률", INDEX(Data_Input!$A$1:$ZZ$502, 0, MATCH(1, (Data_Input!$7:$7=$F$3)*(Data_Input!$8:$8=$B182), 0)), 0) + 1, MATCH(1, (Data_Input!$7:$7=$F$3)*(Data_Input!$8:$8=$B182), 0)),"")</f>
        <v/>
      </c>
      <c r="L182" t="str" cm="1">
        <f t="array" ref="L182">IFERROR(_xlfn.LET(
    _xlpm.targetDate, B182,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83" spans="1:12" x14ac:dyDescent="0.3">
      <c r="A183" s="16" t="str">
        <f t="shared" si="5"/>
        <v/>
      </c>
      <c r="B183" s="8"/>
      <c r="C183" s="17" t="str">
        <f t="shared" si="6"/>
        <v/>
      </c>
      <c r="D183" s="29" t="str" cm="1">
        <f t="array" ref="D183">IFERROR(INDEX(Data_Input!$1:$100, 10, MATCH(1, (Data_Input!$F$7:$ZZ$7=$F$3) * (Data_Input!$F$8:$ZZ$8=$B183), 0)),"")</f>
        <v/>
      </c>
      <c r="E183" s="29" t="str" cm="1">
        <f t="array" ref="E183">IFERROR(INDEX(Data_Input!$1:$100, 9, MATCH(1, (Data_Input!$7:$7=$F$3) * (Data_Input!$8:$8=$B183), 0)),"")</f>
        <v/>
      </c>
      <c r="F183" s="20" t="str" cm="1">
        <f t="array" ref="F183">IFERROR(INDEX(Data_Input!$A$1:$ZZ$502, MATCH("예수금", INDEX(Data_Input!$A$1:$ZZ$502, 0, MATCH(1, (Data_Input!$7:$7=$F$3)*(Data_Input!$8:$8=$B183), 0)), 0) + 1, MATCH(1, (Data_Input!$7:$7=$F$3)*(Data_Input!$8:$8=$B183), 0)),"")</f>
        <v/>
      </c>
      <c r="G183" s="20" t="str" cm="1">
        <f t="array" ref="G183">IFERROR(INDEX(Data_Input!$A$1:$ZZ$502, MATCH("총자산", INDEX(Data_Input!$A$1:$ZZ$502, 0, MATCH(1, (Data_Input!$7:$7=$F$3)*(Data_Input!$8:$8=$B183), 0)), 0) + 1, MATCH(1, (Data_Input!$7:$7=$F$3)*(Data_Input!$8:$8=$B183), 0)),"")</f>
        <v/>
      </c>
      <c r="H183" s="20" t="str" cm="1">
        <f t="array" ref="H183">IFERROR(INDEX(Data_Input!$A$1:$ZZ$502, MATCH("매입금액", INDEX(Data_Input!$A$1:$ZZ$502, 0, MATCH(1, (Data_Input!$7:$7=$F$3)*(Data_Input!$8:$8=$B183), 0)), 0) + 1, MATCH(1, (Data_Input!$7:$7=$F$3)*(Data_Input!$8:$8=$B183), 0)),"")</f>
        <v/>
      </c>
      <c r="I183" s="20" t="str" cm="1">
        <f t="array" ref="I183">IFERROR(INDEX(Data_Input!$A$1:$ZZ$502, MATCH("평가금액", INDEX(Data_Input!$A$1:$ZZ$502, 0, MATCH(1, (Data_Input!$7:$7=$F$3)*(Data_Input!$8:$8=$B183), 0)), 0) + 1, MATCH(1, (Data_Input!$7:$7=$F$3)*(Data_Input!$8:$8=$B183), 0)),"")</f>
        <v/>
      </c>
      <c r="J183" s="20" t="str" cm="1">
        <f t="array" ref="J183">IFERROR(INDEX(Data_Input!$A$1:$ZZ$502, MATCH("평가손익", INDEX(Data_Input!$A$1:$ZZ$502, 0, MATCH(1, (Data_Input!$7:$7=$F$3)*(Data_Input!$8:$8=$B183), 0)), 0) + 1, MATCH(1, (Data_Input!$7:$7=$F$3)*(Data_Input!$8:$8=$B183), 0)),"")</f>
        <v/>
      </c>
      <c r="K183" s="14" t="str" cm="1">
        <f t="array" ref="K183">IFERROR(INDEX(Data_Input!$A$1:$ZZ$502, MATCH("총수익률", INDEX(Data_Input!$A$1:$ZZ$502, 0, MATCH(1, (Data_Input!$7:$7=$F$3)*(Data_Input!$8:$8=$B183), 0)), 0) + 1, MATCH(1, (Data_Input!$7:$7=$F$3)*(Data_Input!$8:$8=$B183), 0)),"")</f>
        <v/>
      </c>
      <c r="L183" t="str" cm="1">
        <f t="array" ref="L183">IFERROR(_xlfn.LET(
    _xlpm.targetDate, B183,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84" spans="1:12" x14ac:dyDescent="0.3">
      <c r="A184" s="16" t="str">
        <f t="shared" si="5"/>
        <v/>
      </c>
      <c r="B184" s="8"/>
      <c r="C184" s="17" t="str">
        <f t="shared" si="6"/>
        <v/>
      </c>
      <c r="D184" s="29" t="str" cm="1">
        <f t="array" ref="D184">IFERROR(INDEX(Data_Input!$1:$100, 10, MATCH(1, (Data_Input!$F$7:$ZZ$7=$F$3) * (Data_Input!$F$8:$ZZ$8=$B184), 0)),"")</f>
        <v/>
      </c>
      <c r="E184" s="29" t="str" cm="1">
        <f t="array" ref="E184">IFERROR(INDEX(Data_Input!$1:$100, 9, MATCH(1, (Data_Input!$7:$7=$F$3) * (Data_Input!$8:$8=$B184), 0)),"")</f>
        <v/>
      </c>
      <c r="F184" s="20" t="str" cm="1">
        <f t="array" ref="F184">IFERROR(INDEX(Data_Input!$A$1:$ZZ$502, MATCH("예수금", INDEX(Data_Input!$A$1:$ZZ$502, 0, MATCH(1, (Data_Input!$7:$7=$F$3)*(Data_Input!$8:$8=$B184), 0)), 0) + 1, MATCH(1, (Data_Input!$7:$7=$F$3)*(Data_Input!$8:$8=$B184), 0)),"")</f>
        <v/>
      </c>
      <c r="G184" s="20" t="str" cm="1">
        <f t="array" ref="G184">IFERROR(INDEX(Data_Input!$A$1:$ZZ$502, MATCH("총자산", INDEX(Data_Input!$A$1:$ZZ$502, 0, MATCH(1, (Data_Input!$7:$7=$F$3)*(Data_Input!$8:$8=$B184), 0)), 0) + 1, MATCH(1, (Data_Input!$7:$7=$F$3)*(Data_Input!$8:$8=$B184), 0)),"")</f>
        <v/>
      </c>
      <c r="H184" s="20" t="str" cm="1">
        <f t="array" ref="H184">IFERROR(INDEX(Data_Input!$A$1:$ZZ$502, MATCH("매입금액", INDEX(Data_Input!$A$1:$ZZ$502, 0, MATCH(1, (Data_Input!$7:$7=$F$3)*(Data_Input!$8:$8=$B184), 0)), 0) + 1, MATCH(1, (Data_Input!$7:$7=$F$3)*(Data_Input!$8:$8=$B184), 0)),"")</f>
        <v/>
      </c>
      <c r="I184" s="20" t="str" cm="1">
        <f t="array" ref="I184">IFERROR(INDEX(Data_Input!$A$1:$ZZ$502, MATCH("평가금액", INDEX(Data_Input!$A$1:$ZZ$502, 0, MATCH(1, (Data_Input!$7:$7=$F$3)*(Data_Input!$8:$8=$B184), 0)), 0) + 1, MATCH(1, (Data_Input!$7:$7=$F$3)*(Data_Input!$8:$8=$B184), 0)),"")</f>
        <v/>
      </c>
      <c r="J184" s="20" t="str" cm="1">
        <f t="array" ref="J184">IFERROR(INDEX(Data_Input!$A$1:$ZZ$502, MATCH("평가손익", INDEX(Data_Input!$A$1:$ZZ$502, 0, MATCH(1, (Data_Input!$7:$7=$F$3)*(Data_Input!$8:$8=$B184), 0)), 0) + 1, MATCH(1, (Data_Input!$7:$7=$F$3)*(Data_Input!$8:$8=$B184), 0)),"")</f>
        <v/>
      </c>
      <c r="K184" s="14" t="str" cm="1">
        <f t="array" ref="K184">IFERROR(INDEX(Data_Input!$A$1:$ZZ$502, MATCH("총수익률", INDEX(Data_Input!$A$1:$ZZ$502, 0, MATCH(1, (Data_Input!$7:$7=$F$3)*(Data_Input!$8:$8=$B184), 0)), 0) + 1, MATCH(1, (Data_Input!$7:$7=$F$3)*(Data_Input!$8:$8=$B184), 0)),"")</f>
        <v/>
      </c>
      <c r="L184" t="str" cm="1">
        <f t="array" ref="L184">IFERROR(_xlfn.LET(
    _xlpm.targetDate, B184,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85" spans="1:12" x14ac:dyDescent="0.3">
      <c r="A185" s="16" t="str">
        <f t="shared" si="5"/>
        <v/>
      </c>
      <c r="B185" s="8"/>
      <c r="C185" s="17" t="str">
        <f t="shared" si="6"/>
        <v/>
      </c>
      <c r="D185" s="29" t="str" cm="1">
        <f t="array" ref="D185">IFERROR(INDEX(Data_Input!$1:$100, 10, MATCH(1, (Data_Input!$F$7:$ZZ$7=$F$3) * (Data_Input!$F$8:$ZZ$8=$B185), 0)),"")</f>
        <v/>
      </c>
      <c r="E185" s="29" t="str" cm="1">
        <f t="array" ref="E185">IFERROR(INDEX(Data_Input!$1:$100, 9, MATCH(1, (Data_Input!$7:$7=$F$3) * (Data_Input!$8:$8=$B185), 0)),"")</f>
        <v/>
      </c>
      <c r="F185" s="20" t="str" cm="1">
        <f t="array" ref="F185">IFERROR(INDEX(Data_Input!$A$1:$ZZ$502, MATCH("예수금", INDEX(Data_Input!$A$1:$ZZ$502, 0, MATCH(1, (Data_Input!$7:$7=$F$3)*(Data_Input!$8:$8=$B185), 0)), 0) + 1, MATCH(1, (Data_Input!$7:$7=$F$3)*(Data_Input!$8:$8=$B185), 0)),"")</f>
        <v/>
      </c>
      <c r="G185" s="20" t="str" cm="1">
        <f t="array" ref="G185">IFERROR(INDEX(Data_Input!$A$1:$ZZ$502, MATCH("총자산", INDEX(Data_Input!$A$1:$ZZ$502, 0, MATCH(1, (Data_Input!$7:$7=$F$3)*(Data_Input!$8:$8=$B185), 0)), 0) + 1, MATCH(1, (Data_Input!$7:$7=$F$3)*(Data_Input!$8:$8=$B185), 0)),"")</f>
        <v/>
      </c>
      <c r="H185" s="20" t="str" cm="1">
        <f t="array" ref="H185">IFERROR(INDEX(Data_Input!$A$1:$ZZ$502, MATCH("매입금액", INDEX(Data_Input!$A$1:$ZZ$502, 0, MATCH(1, (Data_Input!$7:$7=$F$3)*(Data_Input!$8:$8=$B185), 0)), 0) + 1, MATCH(1, (Data_Input!$7:$7=$F$3)*(Data_Input!$8:$8=$B185), 0)),"")</f>
        <v/>
      </c>
      <c r="I185" s="20" t="str" cm="1">
        <f t="array" ref="I185">IFERROR(INDEX(Data_Input!$A$1:$ZZ$502, MATCH("평가금액", INDEX(Data_Input!$A$1:$ZZ$502, 0, MATCH(1, (Data_Input!$7:$7=$F$3)*(Data_Input!$8:$8=$B185), 0)), 0) + 1, MATCH(1, (Data_Input!$7:$7=$F$3)*(Data_Input!$8:$8=$B185), 0)),"")</f>
        <v/>
      </c>
      <c r="J185" s="20" t="str" cm="1">
        <f t="array" ref="J185">IFERROR(INDEX(Data_Input!$A$1:$ZZ$502, MATCH("평가손익", INDEX(Data_Input!$A$1:$ZZ$502, 0, MATCH(1, (Data_Input!$7:$7=$F$3)*(Data_Input!$8:$8=$B185), 0)), 0) + 1, MATCH(1, (Data_Input!$7:$7=$F$3)*(Data_Input!$8:$8=$B185), 0)),"")</f>
        <v/>
      </c>
      <c r="K185" s="14" t="str" cm="1">
        <f t="array" ref="K185">IFERROR(INDEX(Data_Input!$A$1:$ZZ$502, MATCH("총수익률", INDEX(Data_Input!$A$1:$ZZ$502, 0, MATCH(1, (Data_Input!$7:$7=$F$3)*(Data_Input!$8:$8=$B185), 0)), 0) + 1, MATCH(1, (Data_Input!$7:$7=$F$3)*(Data_Input!$8:$8=$B185), 0)),"")</f>
        <v/>
      </c>
      <c r="L185" t="str" cm="1">
        <f t="array" ref="L185">IFERROR(_xlfn.LET(
    _xlpm.targetDate, B185,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86" spans="1:12" x14ac:dyDescent="0.3">
      <c r="A186" s="16" t="str">
        <f t="shared" si="5"/>
        <v/>
      </c>
      <c r="B186" s="8"/>
      <c r="C186" s="17" t="str">
        <f t="shared" si="6"/>
        <v/>
      </c>
      <c r="D186" s="29" t="str" cm="1">
        <f t="array" ref="D186">IFERROR(INDEX(Data_Input!$1:$100, 10, MATCH(1, (Data_Input!$F$7:$ZZ$7=$F$3) * (Data_Input!$F$8:$ZZ$8=$B186), 0)),"")</f>
        <v/>
      </c>
      <c r="E186" s="29" t="str" cm="1">
        <f t="array" ref="E186">IFERROR(INDEX(Data_Input!$1:$100, 9, MATCH(1, (Data_Input!$7:$7=$F$3) * (Data_Input!$8:$8=$B186), 0)),"")</f>
        <v/>
      </c>
      <c r="F186" s="20" t="str" cm="1">
        <f t="array" ref="F186">IFERROR(INDEX(Data_Input!$A$1:$ZZ$502, MATCH("예수금", INDEX(Data_Input!$A$1:$ZZ$502, 0, MATCH(1, (Data_Input!$7:$7=$F$3)*(Data_Input!$8:$8=$B186), 0)), 0) + 1, MATCH(1, (Data_Input!$7:$7=$F$3)*(Data_Input!$8:$8=$B186), 0)),"")</f>
        <v/>
      </c>
      <c r="G186" s="20" t="str" cm="1">
        <f t="array" ref="G186">IFERROR(INDEX(Data_Input!$A$1:$ZZ$502, MATCH("총자산", INDEX(Data_Input!$A$1:$ZZ$502, 0, MATCH(1, (Data_Input!$7:$7=$F$3)*(Data_Input!$8:$8=$B186), 0)), 0) + 1, MATCH(1, (Data_Input!$7:$7=$F$3)*(Data_Input!$8:$8=$B186), 0)),"")</f>
        <v/>
      </c>
      <c r="H186" s="20" t="str" cm="1">
        <f t="array" ref="H186">IFERROR(INDEX(Data_Input!$A$1:$ZZ$502, MATCH("매입금액", INDEX(Data_Input!$A$1:$ZZ$502, 0, MATCH(1, (Data_Input!$7:$7=$F$3)*(Data_Input!$8:$8=$B186), 0)), 0) + 1, MATCH(1, (Data_Input!$7:$7=$F$3)*(Data_Input!$8:$8=$B186), 0)),"")</f>
        <v/>
      </c>
      <c r="I186" s="20" t="str" cm="1">
        <f t="array" ref="I186">IFERROR(INDEX(Data_Input!$A$1:$ZZ$502, MATCH("평가금액", INDEX(Data_Input!$A$1:$ZZ$502, 0, MATCH(1, (Data_Input!$7:$7=$F$3)*(Data_Input!$8:$8=$B186), 0)), 0) + 1, MATCH(1, (Data_Input!$7:$7=$F$3)*(Data_Input!$8:$8=$B186), 0)),"")</f>
        <v/>
      </c>
      <c r="J186" s="20" t="str" cm="1">
        <f t="array" ref="J186">IFERROR(INDEX(Data_Input!$A$1:$ZZ$502, MATCH("평가손익", INDEX(Data_Input!$A$1:$ZZ$502, 0, MATCH(1, (Data_Input!$7:$7=$F$3)*(Data_Input!$8:$8=$B186), 0)), 0) + 1, MATCH(1, (Data_Input!$7:$7=$F$3)*(Data_Input!$8:$8=$B186), 0)),"")</f>
        <v/>
      </c>
      <c r="K186" s="14" t="str" cm="1">
        <f t="array" ref="K186">IFERROR(INDEX(Data_Input!$A$1:$ZZ$502, MATCH("총수익률", INDEX(Data_Input!$A$1:$ZZ$502, 0, MATCH(1, (Data_Input!$7:$7=$F$3)*(Data_Input!$8:$8=$B186), 0)), 0) + 1, MATCH(1, (Data_Input!$7:$7=$F$3)*(Data_Input!$8:$8=$B186), 0)),"")</f>
        <v/>
      </c>
      <c r="L186" t="str" cm="1">
        <f t="array" ref="L186">IFERROR(_xlfn.LET(
    _xlpm.targetDate, B186,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87" spans="1:12" x14ac:dyDescent="0.3">
      <c r="A187" s="16" t="str">
        <f t="shared" si="5"/>
        <v/>
      </c>
      <c r="B187" s="8"/>
      <c r="C187" s="17" t="str">
        <f t="shared" si="6"/>
        <v/>
      </c>
      <c r="D187" s="29" t="str" cm="1">
        <f t="array" ref="D187">IFERROR(INDEX(Data_Input!$1:$100, 10, MATCH(1, (Data_Input!$F$7:$ZZ$7=$F$3) * (Data_Input!$F$8:$ZZ$8=$B187), 0)),"")</f>
        <v/>
      </c>
      <c r="E187" s="29" t="str" cm="1">
        <f t="array" ref="E187">IFERROR(INDEX(Data_Input!$1:$100, 9, MATCH(1, (Data_Input!$7:$7=$F$3) * (Data_Input!$8:$8=$B187), 0)),"")</f>
        <v/>
      </c>
      <c r="F187" s="20" t="str" cm="1">
        <f t="array" ref="F187">IFERROR(INDEX(Data_Input!$A$1:$ZZ$502, MATCH("예수금", INDEX(Data_Input!$A$1:$ZZ$502, 0, MATCH(1, (Data_Input!$7:$7=$F$3)*(Data_Input!$8:$8=$B187), 0)), 0) + 1, MATCH(1, (Data_Input!$7:$7=$F$3)*(Data_Input!$8:$8=$B187), 0)),"")</f>
        <v/>
      </c>
      <c r="G187" s="20" t="str" cm="1">
        <f t="array" ref="G187">IFERROR(INDEX(Data_Input!$A$1:$ZZ$502, MATCH("총자산", INDEX(Data_Input!$A$1:$ZZ$502, 0, MATCH(1, (Data_Input!$7:$7=$F$3)*(Data_Input!$8:$8=$B187), 0)), 0) + 1, MATCH(1, (Data_Input!$7:$7=$F$3)*(Data_Input!$8:$8=$B187), 0)),"")</f>
        <v/>
      </c>
      <c r="H187" s="20" t="str" cm="1">
        <f t="array" ref="H187">IFERROR(INDEX(Data_Input!$A$1:$ZZ$502, MATCH("매입금액", INDEX(Data_Input!$A$1:$ZZ$502, 0, MATCH(1, (Data_Input!$7:$7=$F$3)*(Data_Input!$8:$8=$B187), 0)), 0) + 1, MATCH(1, (Data_Input!$7:$7=$F$3)*(Data_Input!$8:$8=$B187), 0)),"")</f>
        <v/>
      </c>
      <c r="I187" s="20" t="str" cm="1">
        <f t="array" ref="I187">IFERROR(INDEX(Data_Input!$A$1:$ZZ$502, MATCH("평가금액", INDEX(Data_Input!$A$1:$ZZ$502, 0, MATCH(1, (Data_Input!$7:$7=$F$3)*(Data_Input!$8:$8=$B187), 0)), 0) + 1, MATCH(1, (Data_Input!$7:$7=$F$3)*(Data_Input!$8:$8=$B187), 0)),"")</f>
        <v/>
      </c>
      <c r="J187" s="20" t="str" cm="1">
        <f t="array" ref="J187">IFERROR(INDEX(Data_Input!$A$1:$ZZ$502, MATCH("평가손익", INDEX(Data_Input!$A$1:$ZZ$502, 0, MATCH(1, (Data_Input!$7:$7=$F$3)*(Data_Input!$8:$8=$B187), 0)), 0) + 1, MATCH(1, (Data_Input!$7:$7=$F$3)*(Data_Input!$8:$8=$B187), 0)),"")</f>
        <v/>
      </c>
      <c r="K187" s="14" t="str" cm="1">
        <f t="array" ref="K187">IFERROR(INDEX(Data_Input!$A$1:$ZZ$502, MATCH("총수익률", INDEX(Data_Input!$A$1:$ZZ$502, 0, MATCH(1, (Data_Input!$7:$7=$F$3)*(Data_Input!$8:$8=$B187), 0)), 0) + 1, MATCH(1, (Data_Input!$7:$7=$F$3)*(Data_Input!$8:$8=$B187), 0)),"")</f>
        <v/>
      </c>
      <c r="L187" t="str" cm="1">
        <f t="array" ref="L187">IFERROR(_xlfn.LET(
    _xlpm.targetDate, B187,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88" spans="1:12" x14ac:dyDescent="0.3">
      <c r="A188" s="16" t="str">
        <f t="shared" si="5"/>
        <v/>
      </c>
      <c r="B188" s="8"/>
      <c r="C188" s="17" t="str">
        <f t="shared" si="6"/>
        <v/>
      </c>
      <c r="D188" s="29" t="str" cm="1">
        <f t="array" ref="D188">IFERROR(INDEX(Data_Input!$1:$100, 10, MATCH(1, (Data_Input!$F$7:$ZZ$7=$F$3) * (Data_Input!$F$8:$ZZ$8=$B188), 0)),"")</f>
        <v/>
      </c>
      <c r="E188" s="29" t="str" cm="1">
        <f t="array" ref="E188">IFERROR(INDEX(Data_Input!$1:$100, 9, MATCH(1, (Data_Input!$7:$7=$F$3) * (Data_Input!$8:$8=$B188), 0)),"")</f>
        <v/>
      </c>
      <c r="F188" s="20" t="str" cm="1">
        <f t="array" ref="F188">IFERROR(INDEX(Data_Input!$A$1:$ZZ$502, MATCH("예수금", INDEX(Data_Input!$A$1:$ZZ$502, 0, MATCH(1, (Data_Input!$7:$7=$F$3)*(Data_Input!$8:$8=$B188), 0)), 0) + 1, MATCH(1, (Data_Input!$7:$7=$F$3)*(Data_Input!$8:$8=$B188), 0)),"")</f>
        <v/>
      </c>
      <c r="G188" s="20" t="str" cm="1">
        <f t="array" ref="G188">IFERROR(INDEX(Data_Input!$A$1:$ZZ$502, MATCH("총자산", INDEX(Data_Input!$A$1:$ZZ$502, 0, MATCH(1, (Data_Input!$7:$7=$F$3)*(Data_Input!$8:$8=$B188), 0)), 0) + 1, MATCH(1, (Data_Input!$7:$7=$F$3)*(Data_Input!$8:$8=$B188), 0)),"")</f>
        <v/>
      </c>
      <c r="H188" s="20" t="str" cm="1">
        <f t="array" ref="H188">IFERROR(INDEX(Data_Input!$A$1:$ZZ$502, MATCH("매입금액", INDEX(Data_Input!$A$1:$ZZ$502, 0, MATCH(1, (Data_Input!$7:$7=$F$3)*(Data_Input!$8:$8=$B188), 0)), 0) + 1, MATCH(1, (Data_Input!$7:$7=$F$3)*(Data_Input!$8:$8=$B188), 0)),"")</f>
        <v/>
      </c>
      <c r="I188" s="20" t="str" cm="1">
        <f t="array" ref="I188">IFERROR(INDEX(Data_Input!$A$1:$ZZ$502, MATCH("평가금액", INDEX(Data_Input!$A$1:$ZZ$502, 0, MATCH(1, (Data_Input!$7:$7=$F$3)*(Data_Input!$8:$8=$B188), 0)), 0) + 1, MATCH(1, (Data_Input!$7:$7=$F$3)*(Data_Input!$8:$8=$B188), 0)),"")</f>
        <v/>
      </c>
      <c r="J188" s="20" t="str" cm="1">
        <f t="array" ref="J188">IFERROR(INDEX(Data_Input!$A$1:$ZZ$502, MATCH("평가손익", INDEX(Data_Input!$A$1:$ZZ$502, 0, MATCH(1, (Data_Input!$7:$7=$F$3)*(Data_Input!$8:$8=$B188), 0)), 0) + 1, MATCH(1, (Data_Input!$7:$7=$F$3)*(Data_Input!$8:$8=$B188), 0)),"")</f>
        <v/>
      </c>
      <c r="K188" s="14" t="str" cm="1">
        <f t="array" ref="K188">IFERROR(INDEX(Data_Input!$A$1:$ZZ$502, MATCH("총수익률", INDEX(Data_Input!$A$1:$ZZ$502, 0, MATCH(1, (Data_Input!$7:$7=$F$3)*(Data_Input!$8:$8=$B188), 0)), 0) + 1, MATCH(1, (Data_Input!$7:$7=$F$3)*(Data_Input!$8:$8=$B188), 0)),"")</f>
        <v/>
      </c>
      <c r="L188" t="str" cm="1">
        <f t="array" ref="L188">IFERROR(_xlfn.LET(
    _xlpm.targetDate, B188,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89" spans="1:12" x14ac:dyDescent="0.3">
      <c r="A189" s="16" t="str">
        <f t="shared" si="5"/>
        <v/>
      </c>
      <c r="B189" s="8"/>
      <c r="C189" s="17" t="str">
        <f t="shared" si="6"/>
        <v/>
      </c>
      <c r="D189" s="29" t="str" cm="1">
        <f t="array" ref="D189">IFERROR(INDEX(Data_Input!$1:$100, 10, MATCH(1, (Data_Input!$F$7:$ZZ$7=$F$3) * (Data_Input!$F$8:$ZZ$8=$B189), 0)),"")</f>
        <v/>
      </c>
      <c r="E189" s="29" t="str" cm="1">
        <f t="array" ref="E189">IFERROR(INDEX(Data_Input!$1:$100, 9, MATCH(1, (Data_Input!$7:$7=$F$3) * (Data_Input!$8:$8=$B189), 0)),"")</f>
        <v/>
      </c>
      <c r="F189" s="20" t="str" cm="1">
        <f t="array" ref="F189">IFERROR(INDEX(Data_Input!$A$1:$ZZ$502, MATCH("예수금", INDEX(Data_Input!$A$1:$ZZ$502, 0, MATCH(1, (Data_Input!$7:$7=$F$3)*(Data_Input!$8:$8=$B189), 0)), 0) + 1, MATCH(1, (Data_Input!$7:$7=$F$3)*(Data_Input!$8:$8=$B189), 0)),"")</f>
        <v/>
      </c>
      <c r="G189" s="20" t="str" cm="1">
        <f t="array" ref="G189">IFERROR(INDEX(Data_Input!$A$1:$ZZ$502, MATCH("총자산", INDEX(Data_Input!$A$1:$ZZ$502, 0, MATCH(1, (Data_Input!$7:$7=$F$3)*(Data_Input!$8:$8=$B189), 0)), 0) + 1, MATCH(1, (Data_Input!$7:$7=$F$3)*(Data_Input!$8:$8=$B189), 0)),"")</f>
        <v/>
      </c>
      <c r="H189" s="20" t="str" cm="1">
        <f t="array" ref="H189">IFERROR(INDEX(Data_Input!$A$1:$ZZ$502, MATCH("매입금액", INDEX(Data_Input!$A$1:$ZZ$502, 0, MATCH(1, (Data_Input!$7:$7=$F$3)*(Data_Input!$8:$8=$B189), 0)), 0) + 1, MATCH(1, (Data_Input!$7:$7=$F$3)*(Data_Input!$8:$8=$B189), 0)),"")</f>
        <v/>
      </c>
      <c r="I189" s="20" t="str" cm="1">
        <f t="array" ref="I189">IFERROR(INDEX(Data_Input!$A$1:$ZZ$502, MATCH("평가금액", INDEX(Data_Input!$A$1:$ZZ$502, 0, MATCH(1, (Data_Input!$7:$7=$F$3)*(Data_Input!$8:$8=$B189), 0)), 0) + 1, MATCH(1, (Data_Input!$7:$7=$F$3)*(Data_Input!$8:$8=$B189), 0)),"")</f>
        <v/>
      </c>
      <c r="J189" s="20" t="str" cm="1">
        <f t="array" ref="J189">IFERROR(INDEX(Data_Input!$A$1:$ZZ$502, MATCH("평가손익", INDEX(Data_Input!$A$1:$ZZ$502, 0, MATCH(1, (Data_Input!$7:$7=$F$3)*(Data_Input!$8:$8=$B189), 0)), 0) + 1, MATCH(1, (Data_Input!$7:$7=$F$3)*(Data_Input!$8:$8=$B189), 0)),"")</f>
        <v/>
      </c>
      <c r="K189" s="14" t="str" cm="1">
        <f t="array" ref="K189">IFERROR(INDEX(Data_Input!$A$1:$ZZ$502, MATCH("총수익률", INDEX(Data_Input!$A$1:$ZZ$502, 0, MATCH(1, (Data_Input!$7:$7=$F$3)*(Data_Input!$8:$8=$B189), 0)), 0) + 1, MATCH(1, (Data_Input!$7:$7=$F$3)*(Data_Input!$8:$8=$B189), 0)),"")</f>
        <v/>
      </c>
      <c r="L189" t="str" cm="1">
        <f t="array" ref="L189">IFERROR(_xlfn.LET(
    _xlpm.targetDate, B189,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90" spans="1:12" x14ac:dyDescent="0.3">
      <c r="A190" s="16" t="str">
        <f t="shared" si="5"/>
        <v/>
      </c>
      <c r="B190" s="8"/>
      <c r="C190" s="17" t="str">
        <f t="shared" si="6"/>
        <v/>
      </c>
      <c r="D190" s="29" t="str" cm="1">
        <f t="array" ref="D190">IFERROR(INDEX(Data_Input!$1:$100, 10, MATCH(1, (Data_Input!$F$7:$ZZ$7=$F$3) * (Data_Input!$F$8:$ZZ$8=$B190), 0)),"")</f>
        <v/>
      </c>
      <c r="E190" s="29" t="str" cm="1">
        <f t="array" ref="E190">IFERROR(INDEX(Data_Input!$1:$100, 9, MATCH(1, (Data_Input!$7:$7=$F$3) * (Data_Input!$8:$8=$B190), 0)),"")</f>
        <v/>
      </c>
      <c r="F190" s="20" t="str" cm="1">
        <f t="array" ref="F190">IFERROR(INDEX(Data_Input!$A$1:$ZZ$502, MATCH("예수금", INDEX(Data_Input!$A$1:$ZZ$502, 0, MATCH(1, (Data_Input!$7:$7=$F$3)*(Data_Input!$8:$8=$B190), 0)), 0) + 1, MATCH(1, (Data_Input!$7:$7=$F$3)*(Data_Input!$8:$8=$B190), 0)),"")</f>
        <v/>
      </c>
      <c r="G190" s="20" t="str" cm="1">
        <f t="array" ref="G190">IFERROR(INDEX(Data_Input!$A$1:$ZZ$502, MATCH("총자산", INDEX(Data_Input!$A$1:$ZZ$502, 0, MATCH(1, (Data_Input!$7:$7=$F$3)*(Data_Input!$8:$8=$B190), 0)), 0) + 1, MATCH(1, (Data_Input!$7:$7=$F$3)*(Data_Input!$8:$8=$B190), 0)),"")</f>
        <v/>
      </c>
      <c r="H190" s="20" t="str" cm="1">
        <f t="array" ref="H190">IFERROR(INDEX(Data_Input!$A$1:$ZZ$502, MATCH("매입금액", INDEX(Data_Input!$A$1:$ZZ$502, 0, MATCH(1, (Data_Input!$7:$7=$F$3)*(Data_Input!$8:$8=$B190), 0)), 0) + 1, MATCH(1, (Data_Input!$7:$7=$F$3)*(Data_Input!$8:$8=$B190), 0)),"")</f>
        <v/>
      </c>
      <c r="I190" s="20" t="str" cm="1">
        <f t="array" ref="I190">IFERROR(INDEX(Data_Input!$A$1:$ZZ$502, MATCH("평가금액", INDEX(Data_Input!$A$1:$ZZ$502, 0, MATCH(1, (Data_Input!$7:$7=$F$3)*(Data_Input!$8:$8=$B190), 0)), 0) + 1, MATCH(1, (Data_Input!$7:$7=$F$3)*(Data_Input!$8:$8=$B190), 0)),"")</f>
        <v/>
      </c>
      <c r="J190" s="20" t="str" cm="1">
        <f t="array" ref="J190">IFERROR(INDEX(Data_Input!$A$1:$ZZ$502, MATCH("평가손익", INDEX(Data_Input!$A$1:$ZZ$502, 0, MATCH(1, (Data_Input!$7:$7=$F$3)*(Data_Input!$8:$8=$B190), 0)), 0) + 1, MATCH(1, (Data_Input!$7:$7=$F$3)*(Data_Input!$8:$8=$B190), 0)),"")</f>
        <v/>
      </c>
      <c r="K190" s="14" t="str" cm="1">
        <f t="array" ref="K190">IFERROR(INDEX(Data_Input!$A$1:$ZZ$502, MATCH("총수익률", INDEX(Data_Input!$A$1:$ZZ$502, 0, MATCH(1, (Data_Input!$7:$7=$F$3)*(Data_Input!$8:$8=$B190), 0)), 0) + 1, MATCH(1, (Data_Input!$7:$7=$F$3)*(Data_Input!$8:$8=$B190), 0)),"")</f>
        <v/>
      </c>
      <c r="L190" t="str" cm="1">
        <f t="array" ref="L190">IFERROR(_xlfn.LET(
    _xlpm.targetDate, B190,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91" spans="1:12" x14ac:dyDescent="0.3">
      <c r="A191" s="16" t="str">
        <f t="shared" si="5"/>
        <v/>
      </c>
      <c r="B191" s="8"/>
      <c r="C191" s="17" t="str">
        <f t="shared" si="6"/>
        <v/>
      </c>
      <c r="D191" s="29" t="str" cm="1">
        <f t="array" ref="D191">IFERROR(INDEX(Data_Input!$1:$100, 10, MATCH(1, (Data_Input!$F$7:$ZZ$7=$F$3) * (Data_Input!$F$8:$ZZ$8=$B191), 0)),"")</f>
        <v/>
      </c>
      <c r="E191" s="29" t="str" cm="1">
        <f t="array" ref="E191">IFERROR(INDEX(Data_Input!$1:$100, 9, MATCH(1, (Data_Input!$7:$7=$F$3) * (Data_Input!$8:$8=$B191), 0)),"")</f>
        <v/>
      </c>
      <c r="F191" s="20" t="str" cm="1">
        <f t="array" ref="F191">IFERROR(INDEX(Data_Input!$A$1:$ZZ$502, MATCH("예수금", INDEX(Data_Input!$A$1:$ZZ$502, 0, MATCH(1, (Data_Input!$7:$7=$F$3)*(Data_Input!$8:$8=$B191), 0)), 0) + 1, MATCH(1, (Data_Input!$7:$7=$F$3)*(Data_Input!$8:$8=$B191), 0)),"")</f>
        <v/>
      </c>
      <c r="G191" s="20" t="str" cm="1">
        <f t="array" ref="G191">IFERROR(INDEX(Data_Input!$A$1:$ZZ$502, MATCH("총자산", INDEX(Data_Input!$A$1:$ZZ$502, 0, MATCH(1, (Data_Input!$7:$7=$F$3)*(Data_Input!$8:$8=$B191), 0)), 0) + 1, MATCH(1, (Data_Input!$7:$7=$F$3)*(Data_Input!$8:$8=$B191), 0)),"")</f>
        <v/>
      </c>
      <c r="H191" s="20" t="str" cm="1">
        <f t="array" ref="H191">IFERROR(INDEX(Data_Input!$A$1:$ZZ$502, MATCH("매입금액", INDEX(Data_Input!$A$1:$ZZ$502, 0, MATCH(1, (Data_Input!$7:$7=$F$3)*(Data_Input!$8:$8=$B191), 0)), 0) + 1, MATCH(1, (Data_Input!$7:$7=$F$3)*(Data_Input!$8:$8=$B191), 0)),"")</f>
        <v/>
      </c>
      <c r="I191" s="20" t="str" cm="1">
        <f t="array" ref="I191">IFERROR(INDEX(Data_Input!$A$1:$ZZ$502, MATCH("평가금액", INDEX(Data_Input!$A$1:$ZZ$502, 0, MATCH(1, (Data_Input!$7:$7=$F$3)*(Data_Input!$8:$8=$B191), 0)), 0) + 1, MATCH(1, (Data_Input!$7:$7=$F$3)*(Data_Input!$8:$8=$B191), 0)),"")</f>
        <v/>
      </c>
      <c r="J191" s="20" t="str" cm="1">
        <f t="array" ref="J191">IFERROR(INDEX(Data_Input!$A$1:$ZZ$502, MATCH("평가손익", INDEX(Data_Input!$A$1:$ZZ$502, 0, MATCH(1, (Data_Input!$7:$7=$F$3)*(Data_Input!$8:$8=$B191), 0)), 0) + 1, MATCH(1, (Data_Input!$7:$7=$F$3)*(Data_Input!$8:$8=$B191), 0)),"")</f>
        <v/>
      </c>
      <c r="K191" s="14" t="str" cm="1">
        <f t="array" ref="K191">IFERROR(INDEX(Data_Input!$A$1:$ZZ$502, MATCH("총수익률", INDEX(Data_Input!$A$1:$ZZ$502, 0, MATCH(1, (Data_Input!$7:$7=$F$3)*(Data_Input!$8:$8=$B191), 0)), 0) + 1, MATCH(1, (Data_Input!$7:$7=$F$3)*(Data_Input!$8:$8=$B191), 0)),"")</f>
        <v/>
      </c>
      <c r="L191" t="str" cm="1">
        <f t="array" ref="L191">IFERROR(_xlfn.LET(
    _xlpm.targetDate, B191,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92" spans="1:12" x14ac:dyDescent="0.3">
      <c r="A192" s="16" t="str">
        <f t="shared" si="5"/>
        <v/>
      </c>
      <c r="B192" s="8"/>
      <c r="C192" s="17" t="str">
        <f t="shared" si="6"/>
        <v/>
      </c>
      <c r="D192" s="29" t="str" cm="1">
        <f t="array" ref="D192">IFERROR(INDEX(Data_Input!$1:$100, 10, MATCH(1, (Data_Input!$F$7:$ZZ$7=$F$3) * (Data_Input!$F$8:$ZZ$8=$B192), 0)),"")</f>
        <v/>
      </c>
      <c r="E192" s="29" t="str" cm="1">
        <f t="array" ref="E192">IFERROR(INDEX(Data_Input!$1:$100, 9, MATCH(1, (Data_Input!$7:$7=$F$3) * (Data_Input!$8:$8=$B192), 0)),"")</f>
        <v/>
      </c>
      <c r="F192" s="20" t="str" cm="1">
        <f t="array" ref="F192">IFERROR(INDEX(Data_Input!$A$1:$ZZ$502, MATCH("예수금", INDEX(Data_Input!$A$1:$ZZ$502, 0, MATCH(1, (Data_Input!$7:$7=$F$3)*(Data_Input!$8:$8=$B192), 0)), 0) + 1, MATCH(1, (Data_Input!$7:$7=$F$3)*(Data_Input!$8:$8=$B192), 0)),"")</f>
        <v/>
      </c>
      <c r="G192" s="20" t="str" cm="1">
        <f t="array" ref="G192">IFERROR(INDEX(Data_Input!$A$1:$ZZ$502, MATCH("총자산", INDEX(Data_Input!$A$1:$ZZ$502, 0, MATCH(1, (Data_Input!$7:$7=$F$3)*(Data_Input!$8:$8=$B192), 0)), 0) + 1, MATCH(1, (Data_Input!$7:$7=$F$3)*(Data_Input!$8:$8=$B192), 0)),"")</f>
        <v/>
      </c>
      <c r="H192" s="20" t="str" cm="1">
        <f t="array" ref="H192">IFERROR(INDEX(Data_Input!$A$1:$ZZ$502, MATCH("매입금액", INDEX(Data_Input!$A$1:$ZZ$502, 0, MATCH(1, (Data_Input!$7:$7=$F$3)*(Data_Input!$8:$8=$B192), 0)), 0) + 1, MATCH(1, (Data_Input!$7:$7=$F$3)*(Data_Input!$8:$8=$B192), 0)),"")</f>
        <v/>
      </c>
      <c r="I192" s="20" t="str" cm="1">
        <f t="array" ref="I192">IFERROR(INDEX(Data_Input!$A$1:$ZZ$502, MATCH("평가금액", INDEX(Data_Input!$A$1:$ZZ$502, 0, MATCH(1, (Data_Input!$7:$7=$F$3)*(Data_Input!$8:$8=$B192), 0)), 0) + 1, MATCH(1, (Data_Input!$7:$7=$F$3)*(Data_Input!$8:$8=$B192), 0)),"")</f>
        <v/>
      </c>
      <c r="J192" s="20" t="str" cm="1">
        <f t="array" ref="J192">IFERROR(INDEX(Data_Input!$A$1:$ZZ$502, MATCH("평가손익", INDEX(Data_Input!$A$1:$ZZ$502, 0, MATCH(1, (Data_Input!$7:$7=$F$3)*(Data_Input!$8:$8=$B192), 0)), 0) + 1, MATCH(1, (Data_Input!$7:$7=$F$3)*(Data_Input!$8:$8=$B192), 0)),"")</f>
        <v/>
      </c>
      <c r="K192" s="14" t="str" cm="1">
        <f t="array" ref="K192">IFERROR(INDEX(Data_Input!$A$1:$ZZ$502, MATCH("총수익률", INDEX(Data_Input!$A$1:$ZZ$502, 0, MATCH(1, (Data_Input!$7:$7=$F$3)*(Data_Input!$8:$8=$B192), 0)), 0) + 1, MATCH(1, (Data_Input!$7:$7=$F$3)*(Data_Input!$8:$8=$B192), 0)),"")</f>
        <v/>
      </c>
      <c r="L192" t="str" cm="1">
        <f t="array" ref="L192">IFERROR(_xlfn.LET(
    _xlpm.targetDate, B192,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93" spans="1:12" x14ac:dyDescent="0.3">
      <c r="A193" s="16" t="str">
        <f t="shared" si="5"/>
        <v/>
      </c>
      <c r="B193" s="8"/>
      <c r="C193" s="17" t="str">
        <f t="shared" si="6"/>
        <v/>
      </c>
      <c r="D193" s="29" t="str" cm="1">
        <f t="array" ref="D193">IFERROR(INDEX(Data_Input!$1:$100, 10, MATCH(1, (Data_Input!$F$7:$ZZ$7=$F$3) * (Data_Input!$F$8:$ZZ$8=$B193), 0)),"")</f>
        <v/>
      </c>
      <c r="E193" s="29" t="str" cm="1">
        <f t="array" ref="E193">IFERROR(INDEX(Data_Input!$1:$100, 9, MATCH(1, (Data_Input!$7:$7=$F$3) * (Data_Input!$8:$8=$B193), 0)),"")</f>
        <v/>
      </c>
      <c r="F193" s="20" t="str" cm="1">
        <f t="array" ref="F193">IFERROR(INDEX(Data_Input!$A$1:$ZZ$502, MATCH("예수금", INDEX(Data_Input!$A$1:$ZZ$502, 0, MATCH(1, (Data_Input!$7:$7=$F$3)*(Data_Input!$8:$8=$B193), 0)), 0) + 1, MATCH(1, (Data_Input!$7:$7=$F$3)*(Data_Input!$8:$8=$B193), 0)),"")</f>
        <v/>
      </c>
      <c r="G193" s="20" t="str" cm="1">
        <f t="array" ref="G193">IFERROR(INDEX(Data_Input!$A$1:$ZZ$502, MATCH("총자산", INDEX(Data_Input!$A$1:$ZZ$502, 0, MATCH(1, (Data_Input!$7:$7=$F$3)*(Data_Input!$8:$8=$B193), 0)), 0) + 1, MATCH(1, (Data_Input!$7:$7=$F$3)*(Data_Input!$8:$8=$B193), 0)),"")</f>
        <v/>
      </c>
      <c r="H193" s="20" t="str" cm="1">
        <f t="array" ref="H193">IFERROR(INDEX(Data_Input!$A$1:$ZZ$502, MATCH("매입금액", INDEX(Data_Input!$A$1:$ZZ$502, 0, MATCH(1, (Data_Input!$7:$7=$F$3)*(Data_Input!$8:$8=$B193), 0)), 0) + 1, MATCH(1, (Data_Input!$7:$7=$F$3)*(Data_Input!$8:$8=$B193), 0)),"")</f>
        <v/>
      </c>
      <c r="I193" s="20" t="str" cm="1">
        <f t="array" ref="I193">IFERROR(INDEX(Data_Input!$A$1:$ZZ$502, MATCH("평가금액", INDEX(Data_Input!$A$1:$ZZ$502, 0, MATCH(1, (Data_Input!$7:$7=$F$3)*(Data_Input!$8:$8=$B193), 0)), 0) + 1, MATCH(1, (Data_Input!$7:$7=$F$3)*(Data_Input!$8:$8=$B193), 0)),"")</f>
        <v/>
      </c>
      <c r="J193" s="20" t="str" cm="1">
        <f t="array" ref="J193">IFERROR(INDEX(Data_Input!$A$1:$ZZ$502, MATCH("평가손익", INDEX(Data_Input!$A$1:$ZZ$502, 0, MATCH(1, (Data_Input!$7:$7=$F$3)*(Data_Input!$8:$8=$B193), 0)), 0) + 1, MATCH(1, (Data_Input!$7:$7=$F$3)*(Data_Input!$8:$8=$B193), 0)),"")</f>
        <v/>
      </c>
      <c r="K193" s="14" t="str" cm="1">
        <f t="array" ref="K193">IFERROR(INDEX(Data_Input!$A$1:$ZZ$502, MATCH("총수익률", INDEX(Data_Input!$A$1:$ZZ$502, 0, MATCH(1, (Data_Input!$7:$7=$F$3)*(Data_Input!$8:$8=$B193), 0)), 0) + 1, MATCH(1, (Data_Input!$7:$7=$F$3)*(Data_Input!$8:$8=$B193), 0)),"")</f>
        <v/>
      </c>
      <c r="L193" t="str" cm="1">
        <f t="array" ref="L193">IFERROR(_xlfn.LET(
    _xlpm.targetDate, B193,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94" spans="1:12" x14ac:dyDescent="0.3">
      <c r="A194" s="16" t="str">
        <f t="shared" si="5"/>
        <v/>
      </c>
      <c r="B194" s="8"/>
      <c r="C194" s="17" t="str">
        <f t="shared" si="6"/>
        <v/>
      </c>
      <c r="D194" s="29" t="str" cm="1">
        <f t="array" ref="D194">IFERROR(INDEX(Data_Input!$1:$100, 10, MATCH(1, (Data_Input!$F$7:$ZZ$7=$F$3) * (Data_Input!$F$8:$ZZ$8=$B194), 0)),"")</f>
        <v/>
      </c>
      <c r="E194" s="29" t="str" cm="1">
        <f t="array" ref="E194">IFERROR(INDEX(Data_Input!$1:$100, 9, MATCH(1, (Data_Input!$7:$7=$F$3) * (Data_Input!$8:$8=$B194), 0)),"")</f>
        <v/>
      </c>
      <c r="F194" s="20" t="str" cm="1">
        <f t="array" ref="F194">IFERROR(INDEX(Data_Input!$A$1:$ZZ$502, MATCH("예수금", INDEX(Data_Input!$A$1:$ZZ$502, 0, MATCH(1, (Data_Input!$7:$7=$F$3)*(Data_Input!$8:$8=$B194), 0)), 0) + 1, MATCH(1, (Data_Input!$7:$7=$F$3)*(Data_Input!$8:$8=$B194), 0)),"")</f>
        <v/>
      </c>
      <c r="G194" s="20" t="str" cm="1">
        <f t="array" ref="G194">IFERROR(INDEX(Data_Input!$A$1:$ZZ$502, MATCH("총자산", INDEX(Data_Input!$A$1:$ZZ$502, 0, MATCH(1, (Data_Input!$7:$7=$F$3)*(Data_Input!$8:$8=$B194), 0)), 0) + 1, MATCH(1, (Data_Input!$7:$7=$F$3)*(Data_Input!$8:$8=$B194), 0)),"")</f>
        <v/>
      </c>
      <c r="H194" s="20" t="str" cm="1">
        <f t="array" ref="H194">IFERROR(INDEX(Data_Input!$A$1:$ZZ$502, MATCH("매입금액", INDEX(Data_Input!$A$1:$ZZ$502, 0, MATCH(1, (Data_Input!$7:$7=$F$3)*(Data_Input!$8:$8=$B194), 0)), 0) + 1, MATCH(1, (Data_Input!$7:$7=$F$3)*(Data_Input!$8:$8=$B194), 0)),"")</f>
        <v/>
      </c>
      <c r="I194" s="20" t="str" cm="1">
        <f t="array" ref="I194">IFERROR(INDEX(Data_Input!$A$1:$ZZ$502, MATCH("평가금액", INDEX(Data_Input!$A$1:$ZZ$502, 0, MATCH(1, (Data_Input!$7:$7=$F$3)*(Data_Input!$8:$8=$B194), 0)), 0) + 1, MATCH(1, (Data_Input!$7:$7=$F$3)*(Data_Input!$8:$8=$B194), 0)),"")</f>
        <v/>
      </c>
      <c r="J194" s="20" t="str" cm="1">
        <f t="array" ref="J194">IFERROR(INDEX(Data_Input!$A$1:$ZZ$502, MATCH("평가손익", INDEX(Data_Input!$A$1:$ZZ$502, 0, MATCH(1, (Data_Input!$7:$7=$F$3)*(Data_Input!$8:$8=$B194), 0)), 0) + 1, MATCH(1, (Data_Input!$7:$7=$F$3)*(Data_Input!$8:$8=$B194), 0)),"")</f>
        <v/>
      </c>
      <c r="K194" s="14" t="str" cm="1">
        <f t="array" ref="K194">IFERROR(INDEX(Data_Input!$A$1:$ZZ$502, MATCH("총수익률", INDEX(Data_Input!$A$1:$ZZ$502, 0, MATCH(1, (Data_Input!$7:$7=$F$3)*(Data_Input!$8:$8=$B194), 0)), 0) + 1, MATCH(1, (Data_Input!$7:$7=$F$3)*(Data_Input!$8:$8=$B194), 0)),"")</f>
        <v/>
      </c>
      <c r="L194" t="str" cm="1">
        <f t="array" ref="L194">IFERROR(_xlfn.LET(
    _xlpm.targetDate, B194,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95" spans="1:12" x14ac:dyDescent="0.3">
      <c r="A195" s="16" t="str">
        <f t="shared" si="5"/>
        <v/>
      </c>
      <c r="B195" s="8"/>
      <c r="C195" s="17" t="str">
        <f t="shared" si="6"/>
        <v/>
      </c>
      <c r="D195" s="29" t="str" cm="1">
        <f t="array" ref="D195">IFERROR(INDEX(Data_Input!$1:$100, 10, MATCH(1, (Data_Input!$F$7:$ZZ$7=$F$3) * (Data_Input!$F$8:$ZZ$8=$B195), 0)),"")</f>
        <v/>
      </c>
      <c r="E195" s="29" t="str" cm="1">
        <f t="array" ref="E195">IFERROR(INDEX(Data_Input!$1:$100, 9, MATCH(1, (Data_Input!$7:$7=$F$3) * (Data_Input!$8:$8=$B195), 0)),"")</f>
        <v/>
      </c>
      <c r="F195" s="20" t="str" cm="1">
        <f t="array" ref="F195">IFERROR(INDEX(Data_Input!$A$1:$ZZ$502, MATCH("예수금", INDEX(Data_Input!$A$1:$ZZ$502, 0, MATCH(1, (Data_Input!$7:$7=$F$3)*(Data_Input!$8:$8=$B195), 0)), 0) + 1, MATCH(1, (Data_Input!$7:$7=$F$3)*(Data_Input!$8:$8=$B195), 0)),"")</f>
        <v/>
      </c>
      <c r="G195" s="20" t="str" cm="1">
        <f t="array" ref="G195">IFERROR(INDEX(Data_Input!$A$1:$ZZ$502, MATCH("총자산", INDEX(Data_Input!$A$1:$ZZ$502, 0, MATCH(1, (Data_Input!$7:$7=$F$3)*(Data_Input!$8:$8=$B195), 0)), 0) + 1, MATCH(1, (Data_Input!$7:$7=$F$3)*(Data_Input!$8:$8=$B195), 0)),"")</f>
        <v/>
      </c>
      <c r="H195" s="20" t="str" cm="1">
        <f t="array" ref="H195">IFERROR(INDEX(Data_Input!$A$1:$ZZ$502, MATCH("매입금액", INDEX(Data_Input!$A$1:$ZZ$502, 0, MATCH(1, (Data_Input!$7:$7=$F$3)*(Data_Input!$8:$8=$B195), 0)), 0) + 1, MATCH(1, (Data_Input!$7:$7=$F$3)*(Data_Input!$8:$8=$B195), 0)),"")</f>
        <v/>
      </c>
      <c r="I195" s="20" t="str" cm="1">
        <f t="array" ref="I195">IFERROR(INDEX(Data_Input!$A$1:$ZZ$502, MATCH("평가금액", INDEX(Data_Input!$A$1:$ZZ$502, 0, MATCH(1, (Data_Input!$7:$7=$F$3)*(Data_Input!$8:$8=$B195), 0)), 0) + 1, MATCH(1, (Data_Input!$7:$7=$F$3)*(Data_Input!$8:$8=$B195), 0)),"")</f>
        <v/>
      </c>
      <c r="J195" s="20" t="str" cm="1">
        <f t="array" ref="J195">IFERROR(INDEX(Data_Input!$A$1:$ZZ$502, MATCH("평가손익", INDEX(Data_Input!$A$1:$ZZ$502, 0, MATCH(1, (Data_Input!$7:$7=$F$3)*(Data_Input!$8:$8=$B195), 0)), 0) + 1, MATCH(1, (Data_Input!$7:$7=$F$3)*(Data_Input!$8:$8=$B195), 0)),"")</f>
        <v/>
      </c>
      <c r="K195" s="14" t="str" cm="1">
        <f t="array" ref="K195">IFERROR(INDEX(Data_Input!$A$1:$ZZ$502, MATCH("총수익률", INDEX(Data_Input!$A$1:$ZZ$502, 0, MATCH(1, (Data_Input!$7:$7=$F$3)*(Data_Input!$8:$8=$B195), 0)), 0) + 1, MATCH(1, (Data_Input!$7:$7=$F$3)*(Data_Input!$8:$8=$B195), 0)),"")</f>
        <v/>
      </c>
      <c r="L195" t="str" cm="1">
        <f t="array" ref="L195">IFERROR(_xlfn.LET(
    _xlpm.targetDate, B195,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96" spans="1:12" x14ac:dyDescent="0.3">
      <c r="A196" s="16" t="str">
        <f t="shared" si="5"/>
        <v/>
      </c>
      <c r="B196" s="8"/>
      <c r="C196" s="17" t="str">
        <f t="shared" si="6"/>
        <v/>
      </c>
      <c r="D196" s="29" t="str" cm="1">
        <f t="array" ref="D196">IFERROR(INDEX(Data_Input!$1:$100, 10, MATCH(1, (Data_Input!$F$7:$ZZ$7=$F$3) * (Data_Input!$F$8:$ZZ$8=$B196), 0)),"")</f>
        <v/>
      </c>
      <c r="E196" s="29" t="str" cm="1">
        <f t="array" ref="E196">IFERROR(INDEX(Data_Input!$1:$100, 9, MATCH(1, (Data_Input!$7:$7=$F$3) * (Data_Input!$8:$8=$B196), 0)),"")</f>
        <v/>
      </c>
      <c r="F196" s="20" t="str" cm="1">
        <f t="array" ref="F196">IFERROR(INDEX(Data_Input!$A$1:$ZZ$502, MATCH("예수금", INDEX(Data_Input!$A$1:$ZZ$502, 0, MATCH(1, (Data_Input!$7:$7=$F$3)*(Data_Input!$8:$8=$B196), 0)), 0) + 1, MATCH(1, (Data_Input!$7:$7=$F$3)*(Data_Input!$8:$8=$B196), 0)),"")</f>
        <v/>
      </c>
      <c r="G196" s="20" t="str" cm="1">
        <f t="array" ref="G196">IFERROR(INDEX(Data_Input!$A$1:$ZZ$502, MATCH("총자산", INDEX(Data_Input!$A$1:$ZZ$502, 0, MATCH(1, (Data_Input!$7:$7=$F$3)*(Data_Input!$8:$8=$B196), 0)), 0) + 1, MATCH(1, (Data_Input!$7:$7=$F$3)*(Data_Input!$8:$8=$B196), 0)),"")</f>
        <v/>
      </c>
      <c r="H196" s="20" t="str" cm="1">
        <f t="array" ref="H196">IFERROR(INDEX(Data_Input!$A$1:$ZZ$502, MATCH("매입금액", INDEX(Data_Input!$A$1:$ZZ$502, 0, MATCH(1, (Data_Input!$7:$7=$F$3)*(Data_Input!$8:$8=$B196), 0)), 0) + 1, MATCH(1, (Data_Input!$7:$7=$F$3)*(Data_Input!$8:$8=$B196), 0)),"")</f>
        <v/>
      </c>
      <c r="I196" s="20" t="str" cm="1">
        <f t="array" ref="I196">IFERROR(INDEX(Data_Input!$A$1:$ZZ$502, MATCH("평가금액", INDEX(Data_Input!$A$1:$ZZ$502, 0, MATCH(1, (Data_Input!$7:$7=$F$3)*(Data_Input!$8:$8=$B196), 0)), 0) + 1, MATCH(1, (Data_Input!$7:$7=$F$3)*(Data_Input!$8:$8=$B196), 0)),"")</f>
        <v/>
      </c>
      <c r="J196" s="20" t="str" cm="1">
        <f t="array" ref="J196">IFERROR(INDEX(Data_Input!$A$1:$ZZ$502, MATCH("평가손익", INDEX(Data_Input!$A$1:$ZZ$502, 0, MATCH(1, (Data_Input!$7:$7=$F$3)*(Data_Input!$8:$8=$B196), 0)), 0) + 1, MATCH(1, (Data_Input!$7:$7=$F$3)*(Data_Input!$8:$8=$B196), 0)),"")</f>
        <v/>
      </c>
      <c r="K196" s="14" t="str" cm="1">
        <f t="array" ref="K196">IFERROR(INDEX(Data_Input!$A$1:$ZZ$502, MATCH("총수익률", INDEX(Data_Input!$A$1:$ZZ$502, 0, MATCH(1, (Data_Input!$7:$7=$F$3)*(Data_Input!$8:$8=$B196), 0)), 0) + 1, MATCH(1, (Data_Input!$7:$7=$F$3)*(Data_Input!$8:$8=$B196), 0)),"")</f>
        <v/>
      </c>
      <c r="L196" t="str" cm="1">
        <f t="array" ref="L196">IFERROR(_xlfn.LET(
    _xlpm.targetDate, B196,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97" spans="1:12" x14ac:dyDescent="0.3">
      <c r="A197" s="16" t="str">
        <f t="shared" si="5"/>
        <v/>
      </c>
      <c r="B197" s="8"/>
      <c r="C197" s="17" t="str">
        <f t="shared" si="6"/>
        <v/>
      </c>
      <c r="D197" s="29" t="str" cm="1">
        <f t="array" ref="D197">IFERROR(INDEX(Data_Input!$1:$100, 10, MATCH(1, (Data_Input!$F$7:$ZZ$7=$F$3) * (Data_Input!$F$8:$ZZ$8=$B197), 0)),"")</f>
        <v/>
      </c>
      <c r="E197" s="29" t="str" cm="1">
        <f t="array" ref="E197">IFERROR(INDEX(Data_Input!$1:$100, 9, MATCH(1, (Data_Input!$7:$7=$F$3) * (Data_Input!$8:$8=$B197), 0)),"")</f>
        <v/>
      </c>
      <c r="F197" s="20" t="str" cm="1">
        <f t="array" ref="F197">IFERROR(INDEX(Data_Input!$A$1:$ZZ$502, MATCH("예수금", INDEX(Data_Input!$A$1:$ZZ$502, 0, MATCH(1, (Data_Input!$7:$7=$F$3)*(Data_Input!$8:$8=$B197), 0)), 0) + 1, MATCH(1, (Data_Input!$7:$7=$F$3)*(Data_Input!$8:$8=$B197), 0)),"")</f>
        <v/>
      </c>
      <c r="G197" s="20" t="str" cm="1">
        <f t="array" ref="G197">IFERROR(INDEX(Data_Input!$A$1:$ZZ$502, MATCH("총자산", INDEX(Data_Input!$A$1:$ZZ$502, 0, MATCH(1, (Data_Input!$7:$7=$F$3)*(Data_Input!$8:$8=$B197), 0)), 0) + 1, MATCH(1, (Data_Input!$7:$7=$F$3)*(Data_Input!$8:$8=$B197), 0)),"")</f>
        <v/>
      </c>
      <c r="H197" s="20" t="str" cm="1">
        <f t="array" ref="H197">IFERROR(INDEX(Data_Input!$A$1:$ZZ$502, MATCH("매입금액", INDEX(Data_Input!$A$1:$ZZ$502, 0, MATCH(1, (Data_Input!$7:$7=$F$3)*(Data_Input!$8:$8=$B197), 0)), 0) + 1, MATCH(1, (Data_Input!$7:$7=$F$3)*(Data_Input!$8:$8=$B197), 0)),"")</f>
        <v/>
      </c>
      <c r="I197" s="20" t="str" cm="1">
        <f t="array" ref="I197">IFERROR(INDEX(Data_Input!$A$1:$ZZ$502, MATCH("평가금액", INDEX(Data_Input!$A$1:$ZZ$502, 0, MATCH(1, (Data_Input!$7:$7=$F$3)*(Data_Input!$8:$8=$B197), 0)), 0) + 1, MATCH(1, (Data_Input!$7:$7=$F$3)*(Data_Input!$8:$8=$B197), 0)),"")</f>
        <v/>
      </c>
      <c r="J197" s="20" t="str" cm="1">
        <f t="array" ref="J197">IFERROR(INDEX(Data_Input!$A$1:$ZZ$502, MATCH("평가손익", INDEX(Data_Input!$A$1:$ZZ$502, 0, MATCH(1, (Data_Input!$7:$7=$F$3)*(Data_Input!$8:$8=$B197), 0)), 0) + 1, MATCH(1, (Data_Input!$7:$7=$F$3)*(Data_Input!$8:$8=$B197), 0)),"")</f>
        <v/>
      </c>
      <c r="K197" s="14" t="str" cm="1">
        <f t="array" ref="K197">IFERROR(INDEX(Data_Input!$A$1:$ZZ$502, MATCH("총수익률", INDEX(Data_Input!$A$1:$ZZ$502, 0, MATCH(1, (Data_Input!$7:$7=$F$3)*(Data_Input!$8:$8=$B197), 0)), 0) + 1, MATCH(1, (Data_Input!$7:$7=$F$3)*(Data_Input!$8:$8=$B197), 0)),"")</f>
        <v/>
      </c>
      <c r="L197" t="str" cm="1">
        <f t="array" ref="L197">IFERROR(_xlfn.LET(
    _xlpm.targetDate, B197,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98" spans="1:12" x14ac:dyDescent="0.3">
      <c r="A198" s="16" t="str">
        <f t="shared" si="5"/>
        <v/>
      </c>
      <c r="B198" s="8"/>
      <c r="C198" s="17" t="str">
        <f t="shared" si="6"/>
        <v/>
      </c>
      <c r="D198" s="29" t="str" cm="1">
        <f t="array" ref="D198">IFERROR(INDEX(Data_Input!$1:$100, 10, MATCH(1, (Data_Input!$F$7:$ZZ$7=$F$3) * (Data_Input!$F$8:$ZZ$8=$B198), 0)),"")</f>
        <v/>
      </c>
      <c r="E198" s="29" t="str" cm="1">
        <f t="array" ref="E198">IFERROR(INDEX(Data_Input!$1:$100, 9, MATCH(1, (Data_Input!$7:$7=$F$3) * (Data_Input!$8:$8=$B198), 0)),"")</f>
        <v/>
      </c>
      <c r="F198" s="20" t="str" cm="1">
        <f t="array" ref="F198">IFERROR(INDEX(Data_Input!$A$1:$ZZ$502, MATCH("예수금", INDEX(Data_Input!$A$1:$ZZ$502, 0, MATCH(1, (Data_Input!$7:$7=$F$3)*(Data_Input!$8:$8=$B198), 0)), 0) + 1, MATCH(1, (Data_Input!$7:$7=$F$3)*(Data_Input!$8:$8=$B198), 0)),"")</f>
        <v/>
      </c>
      <c r="G198" s="20" t="str" cm="1">
        <f t="array" ref="G198">IFERROR(INDEX(Data_Input!$A$1:$ZZ$502, MATCH("총자산", INDEX(Data_Input!$A$1:$ZZ$502, 0, MATCH(1, (Data_Input!$7:$7=$F$3)*(Data_Input!$8:$8=$B198), 0)), 0) + 1, MATCH(1, (Data_Input!$7:$7=$F$3)*(Data_Input!$8:$8=$B198), 0)),"")</f>
        <v/>
      </c>
      <c r="H198" s="20" t="str" cm="1">
        <f t="array" ref="H198">IFERROR(INDEX(Data_Input!$A$1:$ZZ$502, MATCH("매입금액", INDEX(Data_Input!$A$1:$ZZ$502, 0, MATCH(1, (Data_Input!$7:$7=$F$3)*(Data_Input!$8:$8=$B198), 0)), 0) + 1, MATCH(1, (Data_Input!$7:$7=$F$3)*(Data_Input!$8:$8=$B198), 0)),"")</f>
        <v/>
      </c>
      <c r="I198" s="20" t="str" cm="1">
        <f t="array" ref="I198">IFERROR(INDEX(Data_Input!$A$1:$ZZ$502, MATCH("평가금액", INDEX(Data_Input!$A$1:$ZZ$502, 0, MATCH(1, (Data_Input!$7:$7=$F$3)*(Data_Input!$8:$8=$B198), 0)), 0) + 1, MATCH(1, (Data_Input!$7:$7=$F$3)*(Data_Input!$8:$8=$B198), 0)),"")</f>
        <v/>
      </c>
      <c r="J198" s="20" t="str" cm="1">
        <f t="array" ref="J198">IFERROR(INDEX(Data_Input!$A$1:$ZZ$502, MATCH("평가손익", INDEX(Data_Input!$A$1:$ZZ$502, 0, MATCH(1, (Data_Input!$7:$7=$F$3)*(Data_Input!$8:$8=$B198), 0)), 0) + 1, MATCH(1, (Data_Input!$7:$7=$F$3)*(Data_Input!$8:$8=$B198), 0)),"")</f>
        <v/>
      </c>
      <c r="K198" s="14" t="str" cm="1">
        <f t="array" ref="K198">IFERROR(INDEX(Data_Input!$A$1:$ZZ$502, MATCH("총수익률", INDEX(Data_Input!$A$1:$ZZ$502, 0, MATCH(1, (Data_Input!$7:$7=$F$3)*(Data_Input!$8:$8=$B198), 0)), 0) + 1, MATCH(1, (Data_Input!$7:$7=$F$3)*(Data_Input!$8:$8=$B198), 0)),"")</f>
        <v/>
      </c>
      <c r="L198" t="str" cm="1">
        <f t="array" ref="L198">IFERROR(_xlfn.LET(
    _xlpm.targetDate, B198,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199" spans="1:12" x14ac:dyDescent="0.3">
      <c r="A199" s="16" t="str">
        <f t="shared" ref="A199:A262" si="7">IF(B199&gt;0,A198+1,"")</f>
        <v/>
      </c>
      <c r="B199" s="8"/>
      <c r="C199" s="17" t="str">
        <f t="shared" si="6"/>
        <v/>
      </c>
      <c r="D199" s="29" t="str" cm="1">
        <f t="array" ref="D199">IFERROR(INDEX(Data_Input!$1:$100, 10, MATCH(1, (Data_Input!$F$7:$ZZ$7=$F$3) * (Data_Input!$F$8:$ZZ$8=$B199), 0)),"")</f>
        <v/>
      </c>
      <c r="E199" s="29" t="str" cm="1">
        <f t="array" ref="E199">IFERROR(INDEX(Data_Input!$1:$100, 9, MATCH(1, (Data_Input!$7:$7=$F$3) * (Data_Input!$8:$8=$B199), 0)),"")</f>
        <v/>
      </c>
      <c r="F199" s="20" t="str" cm="1">
        <f t="array" ref="F199">IFERROR(INDEX(Data_Input!$A$1:$ZZ$502, MATCH("예수금", INDEX(Data_Input!$A$1:$ZZ$502, 0, MATCH(1, (Data_Input!$7:$7=$F$3)*(Data_Input!$8:$8=$B199), 0)), 0) + 1, MATCH(1, (Data_Input!$7:$7=$F$3)*(Data_Input!$8:$8=$B199), 0)),"")</f>
        <v/>
      </c>
      <c r="G199" s="20" t="str" cm="1">
        <f t="array" ref="G199">IFERROR(INDEX(Data_Input!$A$1:$ZZ$502, MATCH("총자산", INDEX(Data_Input!$A$1:$ZZ$502, 0, MATCH(1, (Data_Input!$7:$7=$F$3)*(Data_Input!$8:$8=$B199), 0)), 0) + 1, MATCH(1, (Data_Input!$7:$7=$F$3)*(Data_Input!$8:$8=$B199), 0)),"")</f>
        <v/>
      </c>
      <c r="H199" s="20" t="str" cm="1">
        <f t="array" ref="H199">IFERROR(INDEX(Data_Input!$A$1:$ZZ$502, MATCH("매입금액", INDEX(Data_Input!$A$1:$ZZ$502, 0, MATCH(1, (Data_Input!$7:$7=$F$3)*(Data_Input!$8:$8=$B199), 0)), 0) + 1, MATCH(1, (Data_Input!$7:$7=$F$3)*(Data_Input!$8:$8=$B199), 0)),"")</f>
        <v/>
      </c>
      <c r="I199" s="20" t="str" cm="1">
        <f t="array" ref="I199">IFERROR(INDEX(Data_Input!$A$1:$ZZ$502, MATCH("평가금액", INDEX(Data_Input!$A$1:$ZZ$502, 0, MATCH(1, (Data_Input!$7:$7=$F$3)*(Data_Input!$8:$8=$B199), 0)), 0) + 1, MATCH(1, (Data_Input!$7:$7=$F$3)*(Data_Input!$8:$8=$B199), 0)),"")</f>
        <v/>
      </c>
      <c r="J199" s="20" t="str" cm="1">
        <f t="array" ref="J199">IFERROR(INDEX(Data_Input!$A$1:$ZZ$502, MATCH("평가손익", INDEX(Data_Input!$A$1:$ZZ$502, 0, MATCH(1, (Data_Input!$7:$7=$F$3)*(Data_Input!$8:$8=$B199), 0)), 0) + 1, MATCH(1, (Data_Input!$7:$7=$F$3)*(Data_Input!$8:$8=$B199), 0)),"")</f>
        <v/>
      </c>
      <c r="K199" s="14" t="str" cm="1">
        <f t="array" ref="K199">IFERROR(INDEX(Data_Input!$A$1:$ZZ$502, MATCH("총수익률", INDEX(Data_Input!$A$1:$ZZ$502, 0, MATCH(1, (Data_Input!$7:$7=$F$3)*(Data_Input!$8:$8=$B199), 0)), 0) + 1, MATCH(1, (Data_Input!$7:$7=$F$3)*(Data_Input!$8:$8=$B199), 0)),"")</f>
        <v/>
      </c>
      <c r="L199" t="str" cm="1">
        <f t="array" ref="L199">IFERROR(_xlfn.LET(
    _xlpm.targetDate, B199,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00" spans="1:12" x14ac:dyDescent="0.3">
      <c r="A200" s="16" t="str">
        <f t="shared" si="7"/>
        <v/>
      </c>
      <c r="B200" s="8"/>
      <c r="C200" s="17" t="str">
        <f t="shared" si="6"/>
        <v/>
      </c>
      <c r="D200" s="29" t="str" cm="1">
        <f t="array" ref="D200">IFERROR(INDEX(Data_Input!$1:$100, 10, MATCH(1, (Data_Input!$F$7:$ZZ$7=$F$3) * (Data_Input!$F$8:$ZZ$8=$B200), 0)),"")</f>
        <v/>
      </c>
      <c r="E200" s="29" t="str" cm="1">
        <f t="array" ref="E200">IFERROR(INDEX(Data_Input!$1:$100, 9, MATCH(1, (Data_Input!$7:$7=$F$3) * (Data_Input!$8:$8=$B200), 0)),"")</f>
        <v/>
      </c>
      <c r="F200" s="20" t="str" cm="1">
        <f t="array" ref="F200">IFERROR(INDEX(Data_Input!$A$1:$ZZ$502, MATCH("예수금", INDEX(Data_Input!$A$1:$ZZ$502, 0, MATCH(1, (Data_Input!$7:$7=$F$3)*(Data_Input!$8:$8=$B200), 0)), 0) + 1, MATCH(1, (Data_Input!$7:$7=$F$3)*(Data_Input!$8:$8=$B200), 0)),"")</f>
        <v/>
      </c>
      <c r="G200" s="20" t="str" cm="1">
        <f t="array" ref="G200">IFERROR(INDEX(Data_Input!$A$1:$ZZ$502, MATCH("총자산", INDEX(Data_Input!$A$1:$ZZ$502, 0, MATCH(1, (Data_Input!$7:$7=$F$3)*(Data_Input!$8:$8=$B200), 0)), 0) + 1, MATCH(1, (Data_Input!$7:$7=$F$3)*(Data_Input!$8:$8=$B200), 0)),"")</f>
        <v/>
      </c>
      <c r="H200" s="20" t="str" cm="1">
        <f t="array" ref="H200">IFERROR(INDEX(Data_Input!$A$1:$ZZ$502, MATCH("매입금액", INDEX(Data_Input!$A$1:$ZZ$502, 0, MATCH(1, (Data_Input!$7:$7=$F$3)*(Data_Input!$8:$8=$B200), 0)), 0) + 1, MATCH(1, (Data_Input!$7:$7=$F$3)*(Data_Input!$8:$8=$B200), 0)),"")</f>
        <v/>
      </c>
      <c r="I200" s="20" t="str" cm="1">
        <f t="array" ref="I200">IFERROR(INDEX(Data_Input!$A$1:$ZZ$502, MATCH("평가금액", INDEX(Data_Input!$A$1:$ZZ$502, 0, MATCH(1, (Data_Input!$7:$7=$F$3)*(Data_Input!$8:$8=$B200), 0)), 0) + 1, MATCH(1, (Data_Input!$7:$7=$F$3)*(Data_Input!$8:$8=$B200), 0)),"")</f>
        <v/>
      </c>
      <c r="J200" s="20" t="str" cm="1">
        <f t="array" ref="J200">IFERROR(INDEX(Data_Input!$A$1:$ZZ$502, MATCH("평가손익", INDEX(Data_Input!$A$1:$ZZ$502, 0, MATCH(1, (Data_Input!$7:$7=$F$3)*(Data_Input!$8:$8=$B200), 0)), 0) + 1, MATCH(1, (Data_Input!$7:$7=$F$3)*(Data_Input!$8:$8=$B200), 0)),"")</f>
        <v/>
      </c>
      <c r="K200" s="14" t="str" cm="1">
        <f t="array" ref="K200">IFERROR(INDEX(Data_Input!$A$1:$ZZ$502, MATCH("총수익률", INDEX(Data_Input!$A$1:$ZZ$502, 0, MATCH(1, (Data_Input!$7:$7=$F$3)*(Data_Input!$8:$8=$B200), 0)), 0) + 1, MATCH(1, (Data_Input!$7:$7=$F$3)*(Data_Input!$8:$8=$B200), 0)),"")</f>
        <v/>
      </c>
      <c r="L200" t="str" cm="1">
        <f t="array" ref="L200">IFERROR(_xlfn.LET(
    _xlpm.targetDate, B200,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01" spans="1:12" x14ac:dyDescent="0.3">
      <c r="A201" s="16" t="str">
        <f t="shared" si="7"/>
        <v/>
      </c>
      <c r="B201" s="8"/>
      <c r="C201" s="17" t="str">
        <f t="shared" si="6"/>
        <v/>
      </c>
      <c r="D201" s="29" t="str" cm="1">
        <f t="array" ref="D201">IFERROR(INDEX(Data_Input!$1:$100, 10, MATCH(1, (Data_Input!$F$7:$ZZ$7=$F$3) * (Data_Input!$F$8:$ZZ$8=$B201), 0)),"")</f>
        <v/>
      </c>
      <c r="E201" s="29" t="str" cm="1">
        <f t="array" ref="E201">IFERROR(INDEX(Data_Input!$1:$100, 9, MATCH(1, (Data_Input!$7:$7=$F$3) * (Data_Input!$8:$8=$B201), 0)),"")</f>
        <v/>
      </c>
      <c r="F201" s="20" t="str" cm="1">
        <f t="array" ref="F201">IFERROR(INDEX(Data_Input!$A$1:$ZZ$502, MATCH("예수금", INDEX(Data_Input!$A$1:$ZZ$502, 0, MATCH(1, (Data_Input!$7:$7=$F$3)*(Data_Input!$8:$8=$B201), 0)), 0) + 1, MATCH(1, (Data_Input!$7:$7=$F$3)*(Data_Input!$8:$8=$B201), 0)),"")</f>
        <v/>
      </c>
      <c r="G201" s="20" t="str" cm="1">
        <f t="array" ref="G201">IFERROR(INDEX(Data_Input!$A$1:$ZZ$502, MATCH("총자산", INDEX(Data_Input!$A$1:$ZZ$502, 0, MATCH(1, (Data_Input!$7:$7=$F$3)*(Data_Input!$8:$8=$B201), 0)), 0) + 1, MATCH(1, (Data_Input!$7:$7=$F$3)*(Data_Input!$8:$8=$B201), 0)),"")</f>
        <v/>
      </c>
      <c r="H201" s="20" t="str" cm="1">
        <f t="array" ref="H201">IFERROR(INDEX(Data_Input!$A$1:$ZZ$502, MATCH("매입금액", INDEX(Data_Input!$A$1:$ZZ$502, 0, MATCH(1, (Data_Input!$7:$7=$F$3)*(Data_Input!$8:$8=$B201), 0)), 0) + 1, MATCH(1, (Data_Input!$7:$7=$F$3)*(Data_Input!$8:$8=$B201), 0)),"")</f>
        <v/>
      </c>
      <c r="I201" s="20" t="str" cm="1">
        <f t="array" ref="I201">IFERROR(INDEX(Data_Input!$A$1:$ZZ$502, MATCH("평가금액", INDEX(Data_Input!$A$1:$ZZ$502, 0, MATCH(1, (Data_Input!$7:$7=$F$3)*(Data_Input!$8:$8=$B201), 0)), 0) + 1, MATCH(1, (Data_Input!$7:$7=$F$3)*(Data_Input!$8:$8=$B201), 0)),"")</f>
        <v/>
      </c>
      <c r="J201" s="20" t="str" cm="1">
        <f t="array" ref="J201">IFERROR(INDEX(Data_Input!$A$1:$ZZ$502, MATCH("평가손익", INDEX(Data_Input!$A$1:$ZZ$502, 0, MATCH(1, (Data_Input!$7:$7=$F$3)*(Data_Input!$8:$8=$B201), 0)), 0) + 1, MATCH(1, (Data_Input!$7:$7=$F$3)*(Data_Input!$8:$8=$B201), 0)),"")</f>
        <v/>
      </c>
      <c r="K201" s="14" t="str" cm="1">
        <f t="array" ref="K201">IFERROR(INDEX(Data_Input!$A$1:$ZZ$502, MATCH("총수익률", INDEX(Data_Input!$A$1:$ZZ$502, 0, MATCH(1, (Data_Input!$7:$7=$F$3)*(Data_Input!$8:$8=$B201), 0)), 0) + 1, MATCH(1, (Data_Input!$7:$7=$F$3)*(Data_Input!$8:$8=$B201), 0)),"")</f>
        <v/>
      </c>
      <c r="L201" t="str" cm="1">
        <f t="array" ref="L201">IFERROR(_xlfn.LET(
    _xlpm.targetDate, B201,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02" spans="1:12" x14ac:dyDescent="0.3">
      <c r="A202" s="16" t="str">
        <f t="shared" si="7"/>
        <v/>
      </c>
      <c r="B202" s="8"/>
      <c r="C202" s="17" t="str">
        <f t="shared" ref="C202:C265" si="8">IF(B202&gt;0,C201,"")</f>
        <v/>
      </c>
      <c r="D202" s="29" t="str" cm="1">
        <f t="array" ref="D202">IFERROR(INDEX(Data_Input!$1:$100, 10, MATCH(1, (Data_Input!$F$7:$ZZ$7=$F$3) * (Data_Input!$F$8:$ZZ$8=$B202), 0)),"")</f>
        <v/>
      </c>
      <c r="E202" s="29" t="str" cm="1">
        <f t="array" ref="E202">IFERROR(INDEX(Data_Input!$1:$100, 9, MATCH(1, (Data_Input!$7:$7=$F$3) * (Data_Input!$8:$8=$B202), 0)),"")</f>
        <v/>
      </c>
      <c r="F202" s="20" t="str" cm="1">
        <f t="array" ref="F202">IFERROR(INDEX(Data_Input!$A$1:$ZZ$502, MATCH("예수금", INDEX(Data_Input!$A$1:$ZZ$502, 0, MATCH(1, (Data_Input!$7:$7=$F$3)*(Data_Input!$8:$8=$B202), 0)), 0) + 1, MATCH(1, (Data_Input!$7:$7=$F$3)*(Data_Input!$8:$8=$B202), 0)),"")</f>
        <v/>
      </c>
      <c r="G202" s="20" t="str" cm="1">
        <f t="array" ref="G202">IFERROR(INDEX(Data_Input!$A$1:$ZZ$502, MATCH("총자산", INDEX(Data_Input!$A$1:$ZZ$502, 0, MATCH(1, (Data_Input!$7:$7=$F$3)*(Data_Input!$8:$8=$B202), 0)), 0) + 1, MATCH(1, (Data_Input!$7:$7=$F$3)*(Data_Input!$8:$8=$B202), 0)),"")</f>
        <v/>
      </c>
      <c r="H202" s="20" t="str" cm="1">
        <f t="array" ref="H202">IFERROR(INDEX(Data_Input!$A$1:$ZZ$502, MATCH("매입금액", INDEX(Data_Input!$A$1:$ZZ$502, 0, MATCH(1, (Data_Input!$7:$7=$F$3)*(Data_Input!$8:$8=$B202), 0)), 0) + 1, MATCH(1, (Data_Input!$7:$7=$F$3)*(Data_Input!$8:$8=$B202), 0)),"")</f>
        <v/>
      </c>
      <c r="I202" s="20" t="str" cm="1">
        <f t="array" ref="I202">IFERROR(INDEX(Data_Input!$A$1:$ZZ$502, MATCH("평가금액", INDEX(Data_Input!$A$1:$ZZ$502, 0, MATCH(1, (Data_Input!$7:$7=$F$3)*(Data_Input!$8:$8=$B202), 0)), 0) + 1, MATCH(1, (Data_Input!$7:$7=$F$3)*(Data_Input!$8:$8=$B202), 0)),"")</f>
        <v/>
      </c>
      <c r="J202" s="20" t="str" cm="1">
        <f t="array" ref="J202">IFERROR(INDEX(Data_Input!$A$1:$ZZ$502, MATCH("평가손익", INDEX(Data_Input!$A$1:$ZZ$502, 0, MATCH(1, (Data_Input!$7:$7=$F$3)*(Data_Input!$8:$8=$B202), 0)), 0) + 1, MATCH(1, (Data_Input!$7:$7=$F$3)*(Data_Input!$8:$8=$B202), 0)),"")</f>
        <v/>
      </c>
      <c r="K202" s="14" t="str" cm="1">
        <f t="array" ref="K202">IFERROR(INDEX(Data_Input!$A$1:$ZZ$502, MATCH("총수익률", INDEX(Data_Input!$A$1:$ZZ$502, 0, MATCH(1, (Data_Input!$7:$7=$F$3)*(Data_Input!$8:$8=$B202), 0)), 0) + 1, MATCH(1, (Data_Input!$7:$7=$F$3)*(Data_Input!$8:$8=$B202), 0)),"")</f>
        <v/>
      </c>
      <c r="L202" t="str" cm="1">
        <f t="array" ref="L202">IFERROR(_xlfn.LET(
    _xlpm.targetDate, B202,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03" spans="1:12" x14ac:dyDescent="0.3">
      <c r="A203" s="16" t="str">
        <f t="shared" si="7"/>
        <v/>
      </c>
      <c r="B203" s="8"/>
      <c r="C203" s="17" t="str">
        <f t="shared" si="8"/>
        <v/>
      </c>
      <c r="D203" s="29" t="str" cm="1">
        <f t="array" ref="D203">IFERROR(INDEX(Data_Input!$1:$100, 10, MATCH(1, (Data_Input!$F$7:$ZZ$7=$F$3) * (Data_Input!$F$8:$ZZ$8=$B203), 0)),"")</f>
        <v/>
      </c>
      <c r="E203" s="29" t="str" cm="1">
        <f t="array" ref="E203">IFERROR(INDEX(Data_Input!$1:$100, 9, MATCH(1, (Data_Input!$7:$7=$F$3) * (Data_Input!$8:$8=$B203), 0)),"")</f>
        <v/>
      </c>
      <c r="F203" s="20" t="str" cm="1">
        <f t="array" ref="F203">IFERROR(INDEX(Data_Input!$A$1:$ZZ$502, MATCH("예수금", INDEX(Data_Input!$A$1:$ZZ$502, 0, MATCH(1, (Data_Input!$7:$7=$F$3)*(Data_Input!$8:$8=$B203), 0)), 0) + 1, MATCH(1, (Data_Input!$7:$7=$F$3)*(Data_Input!$8:$8=$B203), 0)),"")</f>
        <v/>
      </c>
      <c r="G203" s="20" t="str" cm="1">
        <f t="array" ref="G203">IFERROR(INDEX(Data_Input!$A$1:$ZZ$502, MATCH("총자산", INDEX(Data_Input!$A$1:$ZZ$502, 0, MATCH(1, (Data_Input!$7:$7=$F$3)*(Data_Input!$8:$8=$B203), 0)), 0) + 1, MATCH(1, (Data_Input!$7:$7=$F$3)*(Data_Input!$8:$8=$B203), 0)),"")</f>
        <v/>
      </c>
      <c r="H203" s="20" t="str" cm="1">
        <f t="array" ref="H203">IFERROR(INDEX(Data_Input!$A$1:$ZZ$502, MATCH("매입금액", INDEX(Data_Input!$A$1:$ZZ$502, 0, MATCH(1, (Data_Input!$7:$7=$F$3)*(Data_Input!$8:$8=$B203), 0)), 0) + 1, MATCH(1, (Data_Input!$7:$7=$F$3)*(Data_Input!$8:$8=$B203), 0)),"")</f>
        <v/>
      </c>
      <c r="I203" s="20" t="str" cm="1">
        <f t="array" ref="I203">IFERROR(INDEX(Data_Input!$A$1:$ZZ$502, MATCH("평가금액", INDEX(Data_Input!$A$1:$ZZ$502, 0, MATCH(1, (Data_Input!$7:$7=$F$3)*(Data_Input!$8:$8=$B203), 0)), 0) + 1, MATCH(1, (Data_Input!$7:$7=$F$3)*(Data_Input!$8:$8=$B203), 0)),"")</f>
        <v/>
      </c>
      <c r="J203" s="20" t="str" cm="1">
        <f t="array" ref="J203">IFERROR(INDEX(Data_Input!$A$1:$ZZ$502, MATCH("평가손익", INDEX(Data_Input!$A$1:$ZZ$502, 0, MATCH(1, (Data_Input!$7:$7=$F$3)*(Data_Input!$8:$8=$B203), 0)), 0) + 1, MATCH(1, (Data_Input!$7:$7=$F$3)*(Data_Input!$8:$8=$B203), 0)),"")</f>
        <v/>
      </c>
      <c r="K203" s="14" t="str" cm="1">
        <f t="array" ref="K203">IFERROR(INDEX(Data_Input!$A$1:$ZZ$502, MATCH("총수익률", INDEX(Data_Input!$A$1:$ZZ$502, 0, MATCH(1, (Data_Input!$7:$7=$F$3)*(Data_Input!$8:$8=$B203), 0)), 0) + 1, MATCH(1, (Data_Input!$7:$7=$F$3)*(Data_Input!$8:$8=$B203), 0)),"")</f>
        <v/>
      </c>
      <c r="L203" t="str" cm="1">
        <f t="array" ref="L203">IFERROR(_xlfn.LET(
    _xlpm.targetDate, B203,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04" spans="1:12" x14ac:dyDescent="0.3">
      <c r="A204" s="16" t="str">
        <f t="shared" si="7"/>
        <v/>
      </c>
      <c r="B204" s="8"/>
      <c r="C204" s="17" t="str">
        <f t="shared" si="8"/>
        <v/>
      </c>
      <c r="D204" s="29" t="str" cm="1">
        <f t="array" ref="D204">IFERROR(INDEX(Data_Input!$1:$100, 10, MATCH(1, (Data_Input!$F$7:$ZZ$7=$F$3) * (Data_Input!$F$8:$ZZ$8=$B204), 0)),"")</f>
        <v/>
      </c>
      <c r="E204" s="29" t="str" cm="1">
        <f t="array" ref="E204">IFERROR(INDEX(Data_Input!$1:$100, 9, MATCH(1, (Data_Input!$7:$7=$F$3) * (Data_Input!$8:$8=$B204), 0)),"")</f>
        <v/>
      </c>
      <c r="F204" s="20" t="str" cm="1">
        <f t="array" ref="F204">IFERROR(INDEX(Data_Input!$A$1:$ZZ$502, MATCH("예수금", INDEX(Data_Input!$A$1:$ZZ$502, 0, MATCH(1, (Data_Input!$7:$7=$F$3)*(Data_Input!$8:$8=$B204), 0)), 0) + 1, MATCH(1, (Data_Input!$7:$7=$F$3)*(Data_Input!$8:$8=$B204), 0)),"")</f>
        <v/>
      </c>
      <c r="G204" s="20" t="str" cm="1">
        <f t="array" ref="G204">IFERROR(INDEX(Data_Input!$A$1:$ZZ$502, MATCH("총자산", INDEX(Data_Input!$A$1:$ZZ$502, 0, MATCH(1, (Data_Input!$7:$7=$F$3)*(Data_Input!$8:$8=$B204), 0)), 0) + 1, MATCH(1, (Data_Input!$7:$7=$F$3)*(Data_Input!$8:$8=$B204), 0)),"")</f>
        <v/>
      </c>
      <c r="H204" s="20" t="str" cm="1">
        <f t="array" ref="H204">IFERROR(INDEX(Data_Input!$A$1:$ZZ$502, MATCH("매입금액", INDEX(Data_Input!$A$1:$ZZ$502, 0, MATCH(1, (Data_Input!$7:$7=$F$3)*(Data_Input!$8:$8=$B204), 0)), 0) + 1, MATCH(1, (Data_Input!$7:$7=$F$3)*(Data_Input!$8:$8=$B204), 0)),"")</f>
        <v/>
      </c>
      <c r="I204" s="20" t="str" cm="1">
        <f t="array" ref="I204">IFERROR(INDEX(Data_Input!$A$1:$ZZ$502, MATCH("평가금액", INDEX(Data_Input!$A$1:$ZZ$502, 0, MATCH(1, (Data_Input!$7:$7=$F$3)*(Data_Input!$8:$8=$B204), 0)), 0) + 1, MATCH(1, (Data_Input!$7:$7=$F$3)*(Data_Input!$8:$8=$B204), 0)),"")</f>
        <v/>
      </c>
      <c r="J204" s="20" t="str" cm="1">
        <f t="array" ref="J204">IFERROR(INDEX(Data_Input!$A$1:$ZZ$502, MATCH("평가손익", INDEX(Data_Input!$A$1:$ZZ$502, 0, MATCH(1, (Data_Input!$7:$7=$F$3)*(Data_Input!$8:$8=$B204), 0)), 0) + 1, MATCH(1, (Data_Input!$7:$7=$F$3)*(Data_Input!$8:$8=$B204), 0)),"")</f>
        <v/>
      </c>
      <c r="K204" s="14" t="str" cm="1">
        <f t="array" ref="K204">IFERROR(INDEX(Data_Input!$A$1:$ZZ$502, MATCH("총수익률", INDEX(Data_Input!$A$1:$ZZ$502, 0, MATCH(1, (Data_Input!$7:$7=$F$3)*(Data_Input!$8:$8=$B204), 0)), 0) + 1, MATCH(1, (Data_Input!$7:$7=$F$3)*(Data_Input!$8:$8=$B204), 0)),"")</f>
        <v/>
      </c>
      <c r="L204" t="str" cm="1">
        <f t="array" ref="L204">IFERROR(_xlfn.LET(
    _xlpm.targetDate, B204,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05" spans="1:12" x14ac:dyDescent="0.3">
      <c r="A205" s="16" t="str">
        <f t="shared" si="7"/>
        <v/>
      </c>
      <c r="B205" s="8"/>
      <c r="C205" s="17" t="str">
        <f t="shared" si="8"/>
        <v/>
      </c>
      <c r="D205" s="29" t="str" cm="1">
        <f t="array" ref="D205">IFERROR(INDEX(Data_Input!$1:$100, 10, MATCH(1, (Data_Input!$F$7:$ZZ$7=$F$3) * (Data_Input!$F$8:$ZZ$8=$B205), 0)),"")</f>
        <v/>
      </c>
      <c r="E205" s="29" t="str" cm="1">
        <f t="array" ref="E205">IFERROR(INDEX(Data_Input!$1:$100, 9, MATCH(1, (Data_Input!$7:$7=$F$3) * (Data_Input!$8:$8=$B205), 0)),"")</f>
        <v/>
      </c>
      <c r="F205" s="20" t="str" cm="1">
        <f t="array" ref="F205">IFERROR(INDEX(Data_Input!$A$1:$ZZ$502, MATCH("예수금", INDEX(Data_Input!$A$1:$ZZ$502, 0, MATCH(1, (Data_Input!$7:$7=$F$3)*(Data_Input!$8:$8=$B205), 0)), 0) + 1, MATCH(1, (Data_Input!$7:$7=$F$3)*(Data_Input!$8:$8=$B205), 0)),"")</f>
        <v/>
      </c>
      <c r="G205" s="20" t="str" cm="1">
        <f t="array" ref="G205">IFERROR(INDEX(Data_Input!$A$1:$ZZ$502, MATCH("총자산", INDEX(Data_Input!$A$1:$ZZ$502, 0, MATCH(1, (Data_Input!$7:$7=$F$3)*(Data_Input!$8:$8=$B205), 0)), 0) + 1, MATCH(1, (Data_Input!$7:$7=$F$3)*(Data_Input!$8:$8=$B205), 0)),"")</f>
        <v/>
      </c>
      <c r="H205" s="20" t="str" cm="1">
        <f t="array" ref="H205">IFERROR(INDEX(Data_Input!$A$1:$ZZ$502, MATCH("매입금액", INDEX(Data_Input!$A$1:$ZZ$502, 0, MATCH(1, (Data_Input!$7:$7=$F$3)*(Data_Input!$8:$8=$B205), 0)), 0) + 1, MATCH(1, (Data_Input!$7:$7=$F$3)*(Data_Input!$8:$8=$B205), 0)),"")</f>
        <v/>
      </c>
      <c r="I205" s="20" t="str" cm="1">
        <f t="array" ref="I205">IFERROR(INDEX(Data_Input!$A$1:$ZZ$502, MATCH("평가금액", INDEX(Data_Input!$A$1:$ZZ$502, 0, MATCH(1, (Data_Input!$7:$7=$F$3)*(Data_Input!$8:$8=$B205), 0)), 0) + 1, MATCH(1, (Data_Input!$7:$7=$F$3)*(Data_Input!$8:$8=$B205), 0)),"")</f>
        <v/>
      </c>
      <c r="J205" s="20" t="str" cm="1">
        <f t="array" ref="J205">IFERROR(INDEX(Data_Input!$A$1:$ZZ$502, MATCH("평가손익", INDEX(Data_Input!$A$1:$ZZ$502, 0, MATCH(1, (Data_Input!$7:$7=$F$3)*(Data_Input!$8:$8=$B205), 0)), 0) + 1, MATCH(1, (Data_Input!$7:$7=$F$3)*(Data_Input!$8:$8=$B205), 0)),"")</f>
        <v/>
      </c>
      <c r="K205" s="14" t="str" cm="1">
        <f t="array" ref="K205">IFERROR(INDEX(Data_Input!$A$1:$ZZ$502, MATCH("총수익률", INDEX(Data_Input!$A$1:$ZZ$502, 0, MATCH(1, (Data_Input!$7:$7=$F$3)*(Data_Input!$8:$8=$B205), 0)), 0) + 1, MATCH(1, (Data_Input!$7:$7=$F$3)*(Data_Input!$8:$8=$B205), 0)),"")</f>
        <v/>
      </c>
      <c r="L205" t="str" cm="1">
        <f t="array" ref="L205">IFERROR(_xlfn.LET(
    _xlpm.targetDate, B205,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06" spans="1:12" x14ac:dyDescent="0.3">
      <c r="A206" s="16" t="str">
        <f t="shared" si="7"/>
        <v/>
      </c>
      <c r="B206" s="8"/>
      <c r="C206" s="17" t="str">
        <f t="shared" si="8"/>
        <v/>
      </c>
      <c r="D206" s="29" t="str" cm="1">
        <f t="array" ref="D206">IFERROR(INDEX(Data_Input!$1:$100, 10, MATCH(1, (Data_Input!$F$7:$ZZ$7=$F$3) * (Data_Input!$F$8:$ZZ$8=$B206), 0)),"")</f>
        <v/>
      </c>
      <c r="E206" s="29" t="str" cm="1">
        <f t="array" ref="E206">IFERROR(INDEX(Data_Input!$1:$100, 9, MATCH(1, (Data_Input!$7:$7=$F$3) * (Data_Input!$8:$8=$B206), 0)),"")</f>
        <v/>
      </c>
      <c r="F206" s="20" t="str" cm="1">
        <f t="array" ref="F206">IFERROR(INDEX(Data_Input!$A$1:$ZZ$502, MATCH("예수금", INDEX(Data_Input!$A$1:$ZZ$502, 0, MATCH(1, (Data_Input!$7:$7=$F$3)*(Data_Input!$8:$8=$B206), 0)), 0) + 1, MATCH(1, (Data_Input!$7:$7=$F$3)*(Data_Input!$8:$8=$B206), 0)),"")</f>
        <v/>
      </c>
      <c r="G206" s="20" t="str" cm="1">
        <f t="array" ref="G206">IFERROR(INDEX(Data_Input!$A$1:$ZZ$502, MATCH("총자산", INDEX(Data_Input!$A$1:$ZZ$502, 0, MATCH(1, (Data_Input!$7:$7=$F$3)*(Data_Input!$8:$8=$B206), 0)), 0) + 1, MATCH(1, (Data_Input!$7:$7=$F$3)*(Data_Input!$8:$8=$B206), 0)),"")</f>
        <v/>
      </c>
      <c r="H206" s="20" t="str" cm="1">
        <f t="array" ref="H206">IFERROR(INDEX(Data_Input!$A$1:$ZZ$502, MATCH("매입금액", INDEX(Data_Input!$A$1:$ZZ$502, 0, MATCH(1, (Data_Input!$7:$7=$F$3)*(Data_Input!$8:$8=$B206), 0)), 0) + 1, MATCH(1, (Data_Input!$7:$7=$F$3)*(Data_Input!$8:$8=$B206), 0)),"")</f>
        <v/>
      </c>
      <c r="I206" s="20" t="str" cm="1">
        <f t="array" ref="I206">IFERROR(INDEX(Data_Input!$A$1:$ZZ$502, MATCH("평가금액", INDEX(Data_Input!$A$1:$ZZ$502, 0, MATCH(1, (Data_Input!$7:$7=$F$3)*(Data_Input!$8:$8=$B206), 0)), 0) + 1, MATCH(1, (Data_Input!$7:$7=$F$3)*(Data_Input!$8:$8=$B206), 0)),"")</f>
        <v/>
      </c>
      <c r="J206" s="20" t="str" cm="1">
        <f t="array" ref="J206">IFERROR(INDEX(Data_Input!$A$1:$ZZ$502, MATCH("평가손익", INDEX(Data_Input!$A$1:$ZZ$502, 0, MATCH(1, (Data_Input!$7:$7=$F$3)*(Data_Input!$8:$8=$B206), 0)), 0) + 1, MATCH(1, (Data_Input!$7:$7=$F$3)*(Data_Input!$8:$8=$B206), 0)),"")</f>
        <v/>
      </c>
      <c r="K206" s="14" t="str" cm="1">
        <f t="array" ref="K206">IFERROR(INDEX(Data_Input!$A$1:$ZZ$502, MATCH("총수익률", INDEX(Data_Input!$A$1:$ZZ$502, 0, MATCH(1, (Data_Input!$7:$7=$F$3)*(Data_Input!$8:$8=$B206), 0)), 0) + 1, MATCH(1, (Data_Input!$7:$7=$F$3)*(Data_Input!$8:$8=$B206), 0)),"")</f>
        <v/>
      </c>
      <c r="L206" t="str" cm="1">
        <f t="array" ref="L206">IFERROR(_xlfn.LET(
    _xlpm.targetDate, B206,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07" spans="1:12" x14ac:dyDescent="0.3">
      <c r="A207" s="16" t="str">
        <f t="shared" si="7"/>
        <v/>
      </c>
      <c r="B207" s="8"/>
      <c r="C207" s="17" t="str">
        <f t="shared" si="8"/>
        <v/>
      </c>
      <c r="D207" s="29" t="str" cm="1">
        <f t="array" ref="D207">IFERROR(INDEX(Data_Input!$1:$100, 10, MATCH(1, (Data_Input!$F$7:$ZZ$7=$F$3) * (Data_Input!$F$8:$ZZ$8=$B207), 0)),"")</f>
        <v/>
      </c>
      <c r="E207" s="29" t="str" cm="1">
        <f t="array" ref="E207">IFERROR(INDEX(Data_Input!$1:$100, 9, MATCH(1, (Data_Input!$7:$7=$F$3) * (Data_Input!$8:$8=$B207), 0)),"")</f>
        <v/>
      </c>
      <c r="F207" s="20" t="str" cm="1">
        <f t="array" ref="F207">IFERROR(INDEX(Data_Input!$A$1:$ZZ$502, MATCH("예수금", INDEX(Data_Input!$A$1:$ZZ$502, 0, MATCH(1, (Data_Input!$7:$7=$F$3)*(Data_Input!$8:$8=$B207), 0)), 0) + 1, MATCH(1, (Data_Input!$7:$7=$F$3)*(Data_Input!$8:$8=$B207), 0)),"")</f>
        <v/>
      </c>
      <c r="G207" s="20" t="str" cm="1">
        <f t="array" ref="G207">IFERROR(INDEX(Data_Input!$A$1:$ZZ$502, MATCH("총자산", INDEX(Data_Input!$A$1:$ZZ$502, 0, MATCH(1, (Data_Input!$7:$7=$F$3)*(Data_Input!$8:$8=$B207), 0)), 0) + 1, MATCH(1, (Data_Input!$7:$7=$F$3)*(Data_Input!$8:$8=$B207), 0)),"")</f>
        <v/>
      </c>
      <c r="H207" s="20" t="str" cm="1">
        <f t="array" ref="H207">IFERROR(INDEX(Data_Input!$A$1:$ZZ$502, MATCH("매입금액", INDEX(Data_Input!$A$1:$ZZ$502, 0, MATCH(1, (Data_Input!$7:$7=$F$3)*(Data_Input!$8:$8=$B207), 0)), 0) + 1, MATCH(1, (Data_Input!$7:$7=$F$3)*(Data_Input!$8:$8=$B207), 0)),"")</f>
        <v/>
      </c>
      <c r="I207" s="20" t="str" cm="1">
        <f t="array" ref="I207">IFERROR(INDEX(Data_Input!$A$1:$ZZ$502, MATCH("평가금액", INDEX(Data_Input!$A$1:$ZZ$502, 0, MATCH(1, (Data_Input!$7:$7=$F$3)*(Data_Input!$8:$8=$B207), 0)), 0) + 1, MATCH(1, (Data_Input!$7:$7=$F$3)*(Data_Input!$8:$8=$B207), 0)),"")</f>
        <v/>
      </c>
      <c r="J207" s="20" t="str" cm="1">
        <f t="array" ref="J207">IFERROR(INDEX(Data_Input!$A$1:$ZZ$502, MATCH("평가손익", INDEX(Data_Input!$A$1:$ZZ$502, 0, MATCH(1, (Data_Input!$7:$7=$F$3)*(Data_Input!$8:$8=$B207), 0)), 0) + 1, MATCH(1, (Data_Input!$7:$7=$F$3)*(Data_Input!$8:$8=$B207), 0)),"")</f>
        <v/>
      </c>
      <c r="K207" s="14" t="str" cm="1">
        <f t="array" ref="K207">IFERROR(INDEX(Data_Input!$A$1:$ZZ$502, MATCH("총수익률", INDEX(Data_Input!$A$1:$ZZ$502, 0, MATCH(1, (Data_Input!$7:$7=$F$3)*(Data_Input!$8:$8=$B207), 0)), 0) + 1, MATCH(1, (Data_Input!$7:$7=$F$3)*(Data_Input!$8:$8=$B207), 0)),"")</f>
        <v/>
      </c>
      <c r="L207" t="str" cm="1">
        <f t="array" ref="L207">IFERROR(_xlfn.LET(
    _xlpm.targetDate, B207,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08" spans="1:12" x14ac:dyDescent="0.3">
      <c r="A208" s="16" t="str">
        <f t="shared" si="7"/>
        <v/>
      </c>
      <c r="B208" s="8"/>
      <c r="C208" s="17" t="str">
        <f t="shared" si="8"/>
        <v/>
      </c>
      <c r="D208" s="29" t="str" cm="1">
        <f t="array" ref="D208">IFERROR(INDEX(Data_Input!$1:$100, 10, MATCH(1, (Data_Input!$F$7:$ZZ$7=$F$3) * (Data_Input!$F$8:$ZZ$8=$B208), 0)),"")</f>
        <v/>
      </c>
      <c r="E208" s="29" t="str" cm="1">
        <f t="array" ref="E208">IFERROR(INDEX(Data_Input!$1:$100, 9, MATCH(1, (Data_Input!$7:$7=$F$3) * (Data_Input!$8:$8=$B208), 0)),"")</f>
        <v/>
      </c>
      <c r="F208" s="20" t="str" cm="1">
        <f t="array" ref="F208">IFERROR(INDEX(Data_Input!$A$1:$ZZ$502, MATCH("예수금", INDEX(Data_Input!$A$1:$ZZ$502, 0, MATCH(1, (Data_Input!$7:$7=$F$3)*(Data_Input!$8:$8=$B208), 0)), 0) + 1, MATCH(1, (Data_Input!$7:$7=$F$3)*(Data_Input!$8:$8=$B208), 0)),"")</f>
        <v/>
      </c>
      <c r="G208" s="20" t="str" cm="1">
        <f t="array" ref="G208">IFERROR(INDEX(Data_Input!$A$1:$ZZ$502, MATCH("총자산", INDEX(Data_Input!$A$1:$ZZ$502, 0, MATCH(1, (Data_Input!$7:$7=$F$3)*(Data_Input!$8:$8=$B208), 0)), 0) + 1, MATCH(1, (Data_Input!$7:$7=$F$3)*(Data_Input!$8:$8=$B208), 0)),"")</f>
        <v/>
      </c>
      <c r="H208" s="20" t="str" cm="1">
        <f t="array" ref="H208">IFERROR(INDEX(Data_Input!$A$1:$ZZ$502, MATCH("매입금액", INDEX(Data_Input!$A$1:$ZZ$502, 0, MATCH(1, (Data_Input!$7:$7=$F$3)*(Data_Input!$8:$8=$B208), 0)), 0) + 1, MATCH(1, (Data_Input!$7:$7=$F$3)*(Data_Input!$8:$8=$B208), 0)),"")</f>
        <v/>
      </c>
      <c r="I208" s="20" t="str" cm="1">
        <f t="array" ref="I208">IFERROR(INDEX(Data_Input!$A$1:$ZZ$502, MATCH("평가금액", INDEX(Data_Input!$A$1:$ZZ$502, 0, MATCH(1, (Data_Input!$7:$7=$F$3)*(Data_Input!$8:$8=$B208), 0)), 0) + 1, MATCH(1, (Data_Input!$7:$7=$F$3)*(Data_Input!$8:$8=$B208), 0)),"")</f>
        <v/>
      </c>
      <c r="J208" s="20" t="str" cm="1">
        <f t="array" ref="J208">IFERROR(INDEX(Data_Input!$A$1:$ZZ$502, MATCH("평가손익", INDEX(Data_Input!$A$1:$ZZ$502, 0, MATCH(1, (Data_Input!$7:$7=$F$3)*(Data_Input!$8:$8=$B208), 0)), 0) + 1, MATCH(1, (Data_Input!$7:$7=$F$3)*(Data_Input!$8:$8=$B208), 0)),"")</f>
        <v/>
      </c>
      <c r="K208" s="14" t="str" cm="1">
        <f t="array" ref="K208">IFERROR(INDEX(Data_Input!$A$1:$ZZ$502, MATCH("총수익률", INDEX(Data_Input!$A$1:$ZZ$502, 0, MATCH(1, (Data_Input!$7:$7=$F$3)*(Data_Input!$8:$8=$B208), 0)), 0) + 1, MATCH(1, (Data_Input!$7:$7=$F$3)*(Data_Input!$8:$8=$B208), 0)),"")</f>
        <v/>
      </c>
      <c r="L208" t="str" cm="1">
        <f t="array" ref="L208">IFERROR(_xlfn.LET(
    _xlpm.targetDate, B208,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09" spans="1:12" x14ac:dyDescent="0.3">
      <c r="A209" s="16" t="str">
        <f t="shared" si="7"/>
        <v/>
      </c>
      <c r="B209" s="8"/>
      <c r="C209" s="17" t="str">
        <f t="shared" si="8"/>
        <v/>
      </c>
      <c r="D209" s="29" t="str" cm="1">
        <f t="array" ref="D209">IFERROR(INDEX(Data_Input!$1:$100, 10, MATCH(1, (Data_Input!$F$7:$ZZ$7=$F$3) * (Data_Input!$F$8:$ZZ$8=$B209), 0)),"")</f>
        <v/>
      </c>
      <c r="E209" s="29" t="str" cm="1">
        <f t="array" ref="E209">IFERROR(INDEX(Data_Input!$1:$100, 9, MATCH(1, (Data_Input!$7:$7=$F$3) * (Data_Input!$8:$8=$B209), 0)),"")</f>
        <v/>
      </c>
      <c r="F209" s="20" t="str" cm="1">
        <f t="array" ref="F209">IFERROR(INDEX(Data_Input!$A$1:$ZZ$502, MATCH("예수금", INDEX(Data_Input!$A$1:$ZZ$502, 0, MATCH(1, (Data_Input!$7:$7=$F$3)*(Data_Input!$8:$8=$B209), 0)), 0) + 1, MATCH(1, (Data_Input!$7:$7=$F$3)*(Data_Input!$8:$8=$B209), 0)),"")</f>
        <v/>
      </c>
      <c r="G209" s="20" t="str" cm="1">
        <f t="array" ref="G209">IFERROR(INDEX(Data_Input!$A$1:$ZZ$502, MATCH("총자산", INDEX(Data_Input!$A$1:$ZZ$502, 0, MATCH(1, (Data_Input!$7:$7=$F$3)*(Data_Input!$8:$8=$B209), 0)), 0) + 1, MATCH(1, (Data_Input!$7:$7=$F$3)*(Data_Input!$8:$8=$B209), 0)),"")</f>
        <v/>
      </c>
      <c r="H209" s="20" t="str" cm="1">
        <f t="array" ref="H209">IFERROR(INDEX(Data_Input!$A$1:$ZZ$502, MATCH("매입금액", INDEX(Data_Input!$A$1:$ZZ$502, 0, MATCH(1, (Data_Input!$7:$7=$F$3)*(Data_Input!$8:$8=$B209), 0)), 0) + 1, MATCH(1, (Data_Input!$7:$7=$F$3)*(Data_Input!$8:$8=$B209), 0)),"")</f>
        <v/>
      </c>
      <c r="I209" s="20" t="str" cm="1">
        <f t="array" ref="I209">IFERROR(INDEX(Data_Input!$A$1:$ZZ$502, MATCH("평가금액", INDEX(Data_Input!$A$1:$ZZ$502, 0, MATCH(1, (Data_Input!$7:$7=$F$3)*(Data_Input!$8:$8=$B209), 0)), 0) + 1, MATCH(1, (Data_Input!$7:$7=$F$3)*(Data_Input!$8:$8=$B209), 0)),"")</f>
        <v/>
      </c>
      <c r="J209" s="20" t="str" cm="1">
        <f t="array" ref="J209">IFERROR(INDEX(Data_Input!$A$1:$ZZ$502, MATCH("평가손익", INDEX(Data_Input!$A$1:$ZZ$502, 0, MATCH(1, (Data_Input!$7:$7=$F$3)*(Data_Input!$8:$8=$B209), 0)), 0) + 1, MATCH(1, (Data_Input!$7:$7=$F$3)*(Data_Input!$8:$8=$B209), 0)),"")</f>
        <v/>
      </c>
      <c r="K209" s="14" t="str" cm="1">
        <f t="array" ref="K209">IFERROR(INDEX(Data_Input!$A$1:$ZZ$502, MATCH("총수익률", INDEX(Data_Input!$A$1:$ZZ$502, 0, MATCH(1, (Data_Input!$7:$7=$F$3)*(Data_Input!$8:$8=$B209), 0)), 0) + 1, MATCH(1, (Data_Input!$7:$7=$F$3)*(Data_Input!$8:$8=$B209), 0)),"")</f>
        <v/>
      </c>
      <c r="L209" t="str" cm="1">
        <f t="array" ref="L209">IFERROR(_xlfn.LET(
    _xlpm.targetDate, B209,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10" spans="1:12" x14ac:dyDescent="0.3">
      <c r="A210" s="16" t="str">
        <f t="shared" si="7"/>
        <v/>
      </c>
      <c r="B210" s="8"/>
      <c r="C210" s="17" t="str">
        <f t="shared" si="8"/>
        <v/>
      </c>
      <c r="D210" s="29" t="str" cm="1">
        <f t="array" ref="D210">IFERROR(INDEX(Data_Input!$1:$100, 10, MATCH(1, (Data_Input!$F$7:$ZZ$7=$F$3) * (Data_Input!$F$8:$ZZ$8=$B210), 0)),"")</f>
        <v/>
      </c>
      <c r="E210" s="29" t="str" cm="1">
        <f t="array" ref="E210">IFERROR(INDEX(Data_Input!$1:$100, 9, MATCH(1, (Data_Input!$7:$7=$F$3) * (Data_Input!$8:$8=$B210), 0)),"")</f>
        <v/>
      </c>
      <c r="F210" s="20" t="str" cm="1">
        <f t="array" ref="F210">IFERROR(INDEX(Data_Input!$A$1:$ZZ$502, MATCH("예수금", INDEX(Data_Input!$A$1:$ZZ$502, 0, MATCH(1, (Data_Input!$7:$7=$F$3)*(Data_Input!$8:$8=$B210), 0)), 0) + 1, MATCH(1, (Data_Input!$7:$7=$F$3)*(Data_Input!$8:$8=$B210), 0)),"")</f>
        <v/>
      </c>
      <c r="G210" s="20" t="str" cm="1">
        <f t="array" ref="G210">IFERROR(INDEX(Data_Input!$A$1:$ZZ$502, MATCH("총자산", INDEX(Data_Input!$A$1:$ZZ$502, 0, MATCH(1, (Data_Input!$7:$7=$F$3)*(Data_Input!$8:$8=$B210), 0)), 0) + 1, MATCH(1, (Data_Input!$7:$7=$F$3)*(Data_Input!$8:$8=$B210), 0)),"")</f>
        <v/>
      </c>
      <c r="H210" s="20" t="str" cm="1">
        <f t="array" ref="H210">IFERROR(INDEX(Data_Input!$A$1:$ZZ$502, MATCH("매입금액", INDEX(Data_Input!$A$1:$ZZ$502, 0, MATCH(1, (Data_Input!$7:$7=$F$3)*(Data_Input!$8:$8=$B210), 0)), 0) + 1, MATCH(1, (Data_Input!$7:$7=$F$3)*(Data_Input!$8:$8=$B210), 0)),"")</f>
        <v/>
      </c>
      <c r="I210" s="20" t="str" cm="1">
        <f t="array" ref="I210">IFERROR(INDEX(Data_Input!$A$1:$ZZ$502, MATCH("평가금액", INDEX(Data_Input!$A$1:$ZZ$502, 0, MATCH(1, (Data_Input!$7:$7=$F$3)*(Data_Input!$8:$8=$B210), 0)), 0) + 1, MATCH(1, (Data_Input!$7:$7=$F$3)*(Data_Input!$8:$8=$B210), 0)),"")</f>
        <v/>
      </c>
      <c r="J210" s="20" t="str" cm="1">
        <f t="array" ref="J210">IFERROR(INDEX(Data_Input!$A$1:$ZZ$502, MATCH("평가손익", INDEX(Data_Input!$A$1:$ZZ$502, 0, MATCH(1, (Data_Input!$7:$7=$F$3)*(Data_Input!$8:$8=$B210), 0)), 0) + 1, MATCH(1, (Data_Input!$7:$7=$F$3)*(Data_Input!$8:$8=$B210), 0)),"")</f>
        <v/>
      </c>
      <c r="K210" s="14" t="str" cm="1">
        <f t="array" ref="K210">IFERROR(INDEX(Data_Input!$A$1:$ZZ$502, MATCH("총수익률", INDEX(Data_Input!$A$1:$ZZ$502, 0, MATCH(1, (Data_Input!$7:$7=$F$3)*(Data_Input!$8:$8=$B210), 0)), 0) + 1, MATCH(1, (Data_Input!$7:$7=$F$3)*(Data_Input!$8:$8=$B210), 0)),"")</f>
        <v/>
      </c>
      <c r="L210" t="str" cm="1">
        <f t="array" ref="L210">IFERROR(_xlfn.LET(
    _xlpm.targetDate, B210,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11" spans="1:12" x14ac:dyDescent="0.3">
      <c r="A211" s="16" t="str">
        <f t="shared" si="7"/>
        <v/>
      </c>
      <c r="B211" s="8"/>
      <c r="C211" s="17" t="str">
        <f t="shared" si="8"/>
        <v/>
      </c>
      <c r="D211" s="29" t="str" cm="1">
        <f t="array" ref="D211">IFERROR(INDEX(Data_Input!$1:$100, 10, MATCH(1, (Data_Input!$F$7:$ZZ$7=$F$3) * (Data_Input!$F$8:$ZZ$8=$B211), 0)),"")</f>
        <v/>
      </c>
      <c r="E211" s="29" t="str" cm="1">
        <f t="array" ref="E211">IFERROR(INDEX(Data_Input!$1:$100, 9, MATCH(1, (Data_Input!$7:$7=$F$3) * (Data_Input!$8:$8=$B211), 0)),"")</f>
        <v/>
      </c>
      <c r="F211" s="20" t="str" cm="1">
        <f t="array" ref="F211">IFERROR(INDEX(Data_Input!$A$1:$ZZ$502, MATCH("예수금", INDEX(Data_Input!$A$1:$ZZ$502, 0, MATCH(1, (Data_Input!$7:$7=$F$3)*(Data_Input!$8:$8=$B211), 0)), 0) + 1, MATCH(1, (Data_Input!$7:$7=$F$3)*(Data_Input!$8:$8=$B211), 0)),"")</f>
        <v/>
      </c>
      <c r="G211" s="20" t="str" cm="1">
        <f t="array" ref="G211">IFERROR(INDEX(Data_Input!$A$1:$ZZ$502, MATCH("총자산", INDEX(Data_Input!$A$1:$ZZ$502, 0, MATCH(1, (Data_Input!$7:$7=$F$3)*(Data_Input!$8:$8=$B211), 0)), 0) + 1, MATCH(1, (Data_Input!$7:$7=$F$3)*(Data_Input!$8:$8=$B211), 0)),"")</f>
        <v/>
      </c>
      <c r="H211" s="20" t="str" cm="1">
        <f t="array" ref="H211">IFERROR(INDEX(Data_Input!$A$1:$ZZ$502, MATCH("매입금액", INDEX(Data_Input!$A$1:$ZZ$502, 0, MATCH(1, (Data_Input!$7:$7=$F$3)*(Data_Input!$8:$8=$B211), 0)), 0) + 1, MATCH(1, (Data_Input!$7:$7=$F$3)*(Data_Input!$8:$8=$B211), 0)),"")</f>
        <v/>
      </c>
      <c r="I211" s="20" t="str" cm="1">
        <f t="array" ref="I211">IFERROR(INDEX(Data_Input!$A$1:$ZZ$502, MATCH("평가금액", INDEX(Data_Input!$A$1:$ZZ$502, 0, MATCH(1, (Data_Input!$7:$7=$F$3)*(Data_Input!$8:$8=$B211), 0)), 0) + 1, MATCH(1, (Data_Input!$7:$7=$F$3)*(Data_Input!$8:$8=$B211), 0)),"")</f>
        <v/>
      </c>
      <c r="J211" s="20" t="str" cm="1">
        <f t="array" ref="J211">IFERROR(INDEX(Data_Input!$A$1:$ZZ$502, MATCH("평가손익", INDEX(Data_Input!$A$1:$ZZ$502, 0, MATCH(1, (Data_Input!$7:$7=$F$3)*(Data_Input!$8:$8=$B211), 0)), 0) + 1, MATCH(1, (Data_Input!$7:$7=$F$3)*(Data_Input!$8:$8=$B211), 0)),"")</f>
        <v/>
      </c>
      <c r="K211" s="14" t="str" cm="1">
        <f t="array" ref="K211">IFERROR(INDEX(Data_Input!$A$1:$ZZ$502, MATCH("총수익률", INDEX(Data_Input!$A$1:$ZZ$502, 0, MATCH(1, (Data_Input!$7:$7=$F$3)*(Data_Input!$8:$8=$B211), 0)), 0) + 1, MATCH(1, (Data_Input!$7:$7=$F$3)*(Data_Input!$8:$8=$B211), 0)),"")</f>
        <v/>
      </c>
      <c r="L211" t="str" cm="1">
        <f t="array" ref="L211">IFERROR(_xlfn.LET(
    _xlpm.targetDate, B211,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12" spans="1:12" x14ac:dyDescent="0.3">
      <c r="A212" s="16" t="str">
        <f t="shared" si="7"/>
        <v/>
      </c>
      <c r="B212" s="8"/>
      <c r="C212" s="17" t="str">
        <f t="shared" si="8"/>
        <v/>
      </c>
      <c r="D212" s="29" t="str" cm="1">
        <f t="array" ref="D212">IFERROR(INDEX(Data_Input!$1:$100, 10, MATCH(1, (Data_Input!$F$7:$ZZ$7=$F$3) * (Data_Input!$F$8:$ZZ$8=$B212), 0)),"")</f>
        <v/>
      </c>
      <c r="E212" s="29" t="str" cm="1">
        <f t="array" ref="E212">IFERROR(INDEX(Data_Input!$1:$100, 9, MATCH(1, (Data_Input!$7:$7=$F$3) * (Data_Input!$8:$8=$B212), 0)),"")</f>
        <v/>
      </c>
      <c r="F212" s="20" t="str" cm="1">
        <f t="array" ref="F212">IFERROR(INDEX(Data_Input!$A$1:$ZZ$502, MATCH("예수금", INDEX(Data_Input!$A$1:$ZZ$502, 0, MATCH(1, (Data_Input!$7:$7=$F$3)*(Data_Input!$8:$8=$B212), 0)), 0) + 1, MATCH(1, (Data_Input!$7:$7=$F$3)*(Data_Input!$8:$8=$B212), 0)),"")</f>
        <v/>
      </c>
      <c r="G212" s="20" t="str" cm="1">
        <f t="array" ref="G212">IFERROR(INDEX(Data_Input!$A$1:$ZZ$502, MATCH("총자산", INDEX(Data_Input!$A$1:$ZZ$502, 0, MATCH(1, (Data_Input!$7:$7=$F$3)*(Data_Input!$8:$8=$B212), 0)), 0) + 1, MATCH(1, (Data_Input!$7:$7=$F$3)*(Data_Input!$8:$8=$B212), 0)),"")</f>
        <v/>
      </c>
      <c r="H212" s="20" t="str" cm="1">
        <f t="array" ref="H212">IFERROR(INDEX(Data_Input!$A$1:$ZZ$502, MATCH("매입금액", INDEX(Data_Input!$A$1:$ZZ$502, 0, MATCH(1, (Data_Input!$7:$7=$F$3)*(Data_Input!$8:$8=$B212), 0)), 0) + 1, MATCH(1, (Data_Input!$7:$7=$F$3)*(Data_Input!$8:$8=$B212), 0)),"")</f>
        <v/>
      </c>
      <c r="I212" s="20" t="str" cm="1">
        <f t="array" ref="I212">IFERROR(INDEX(Data_Input!$A$1:$ZZ$502, MATCH("평가금액", INDEX(Data_Input!$A$1:$ZZ$502, 0, MATCH(1, (Data_Input!$7:$7=$F$3)*(Data_Input!$8:$8=$B212), 0)), 0) + 1, MATCH(1, (Data_Input!$7:$7=$F$3)*(Data_Input!$8:$8=$B212), 0)),"")</f>
        <v/>
      </c>
      <c r="J212" s="20" t="str" cm="1">
        <f t="array" ref="J212">IFERROR(INDEX(Data_Input!$A$1:$ZZ$502, MATCH("평가손익", INDEX(Data_Input!$A$1:$ZZ$502, 0, MATCH(1, (Data_Input!$7:$7=$F$3)*(Data_Input!$8:$8=$B212), 0)), 0) + 1, MATCH(1, (Data_Input!$7:$7=$F$3)*(Data_Input!$8:$8=$B212), 0)),"")</f>
        <v/>
      </c>
      <c r="K212" s="14" t="str" cm="1">
        <f t="array" ref="K212">IFERROR(INDEX(Data_Input!$A$1:$ZZ$502, MATCH("총수익률", INDEX(Data_Input!$A$1:$ZZ$502, 0, MATCH(1, (Data_Input!$7:$7=$F$3)*(Data_Input!$8:$8=$B212), 0)), 0) + 1, MATCH(1, (Data_Input!$7:$7=$F$3)*(Data_Input!$8:$8=$B212), 0)),"")</f>
        <v/>
      </c>
      <c r="L212" t="str" cm="1">
        <f t="array" ref="L212">IFERROR(_xlfn.LET(
    _xlpm.targetDate, B212,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13" spans="1:12" x14ac:dyDescent="0.3">
      <c r="A213" s="16" t="str">
        <f t="shared" si="7"/>
        <v/>
      </c>
      <c r="B213" s="8"/>
      <c r="C213" s="17" t="str">
        <f t="shared" si="8"/>
        <v/>
      </c>
      <c r="D213" s="29" t="str" cm="1">
        <f t="array" ref="D213">IFERROR(INDEX(Data_Input!$1:$100, 10, MATCH(1, (Data_Input!$F$7:$ZZ$7=$F$3) * (Data_Input!$F$8:$ZZ$8=$B213), 0)),"")</f>
        <v/>
      </c>
      <c r="E213" s="29" t="str" cm="1">
        <f t="array" ref="E213">IFERROR(INDEX(Data_Input!$1:$100, 9, MATCH(1, (Data_Input!$7:$7=$F$3) * (Data_Input!$8:$8=$B213), 0)),"")</f>
        <v/>
      </c>
      <c r="F213" s="20" t="str" cm="1">
        <f t="array" ref="F213">IFERROR(INDEX(Data_Input!$A$1:$ZZ$502, MATCH("예수금", INDEX(Data_Input!$A$1:$ZZ$502, 0, MATCH(1, (Data_Input!$7:$7=$F$3)*(Data_Input!$8:$8=$B213), 0)), 0) + 1, MATCH(1, (Data_Input!$7:$7=$F$3)*(Data_Input!$8:$8=$B213), 0)),"")</f>
        <v/>
      </c>
      <c r="G213" s="20" t="str" cm="1">
        <f t="array" ref="G213">IFERROR(INDEX(Data_Input!$A$1:$ZZ$502, MATCH("총자산", INDEX(Data_Input!$A$1:$ZZ$502, 0, MATCH(1, (Data_Input!$7:$7=$F$3)*(Data_Input!$8:$8=$B213), 0)), 0) + 1, MATCH(1, (Data_Input!$7:$7=$F$3)*(Data_Input!$8:$8=$B213), 0)),"")</f>
        <v/>
      </c>
      <c r="H213" s="20" t="str" cm="1">
        <f t="array" ref="H213">IFERROR(INDEX(Data_Input!$A$1:$ZZ$502, MATCH("매입금액", INDEX(Data_Input!$A$1:$ZZ$502, 0, MATCH(1, (Data_Input!$7:$7=$F$3)*(Data_Input!$8:$8=$B213), 0)), 0) + 1, MATCH(1, (Data_Input!$7:$7=$F$3)*(Data_Input!$8:$8=$B213), 0)),"")</f>
        <v/>
      </c>
      <c r="I213" s="20" t="str" cm="1">
        <f t="array" ref="I213">IFERROR(INDEX(Data_Input!$A$1:$ZZ$502, MATCH("평가금액", INDEX(Data_Input!$A$1:$ZZ$502, 0, MATCH(1, (Data_Input!$7:$7=$F$3)*(Data_Input!$8:$8=$B213), 0)), 0) + 1, MATCH(1, (Data_Input!$7:$7=$F$3)*(Data_Input!$8:$8=$B213), 0)),"")</f>
        <v/>
      </c>
      <c r="J213" s="20" t="str" cm="1">
        <f t="array" ref="J213">IFERROR(INDEX(Data_Input!$A$1:$ZZ$502, MATCH("평가손익", INDEX(Data_Input!$A$1:$ZZ$502, 0, MATCH(1, (Data_Input!$7:$7=$F$3)*(Data_Input!$8:$8=$B213), 0)), 0) + 1, MATCH(1, (Data_Input!$7:$7=$F$3)*(Data_Input!$8:$8=$B213), 0)),"")</f>
        <v/>
      </c>
      <c r="K213" s="14" t="str" cm="1">
        <f t="array" ref="K213">IFERROR(INDEX(Data_Input!$A$1:$ZZ$502, MATCH("총수익률", INDEX(Data_Input!$A$1:$ZZ$502, 0, MATCH(1, (Data_Input!$7:$7=$F$3)*(Data_Input!$8:$8=$B213), 0)), 0) + 1, MATCH(1, (Data_Input!$7:$7=$F$3)*(Data_Input!$8:$8=$B213), 0)),"")</f>
        <v/>
      </c>
      <c r="L213" t="str" cm="1">
        <f t="array" ref="L213">IFERROR(_xlfn.LET(
    _xlpm.targetDate, B213,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14" spans="1:12" x14ac:dyDescent="0.3">
      <c r="A214" s="16" t="str">
        <f t="shared" si="7"/>
        <v/>
      </c>
      <c r="B214" s="8"/>
      <c r="C214" s="17" t="str">
        <f t="shared" si="8"/>
        <v/>
      </c>
      <c r="D214" s="29" t="str" cm="1">
        <f t="array" ref="D214">IFERROR(INDEX(Data_Input!$1:$100, 10, MATCH(1, (Data_Input!$F$7:$ZZ$7=$F$3) * (Data_Input!$F$8:$ZZ$8=$B214), 0)),"")</f>
        <v/>
      </c>
      <c r="E214" s="29" t="str" cm="1">
        <f t="array" ref="E214">IFERROR(INDEX(Data_Input!$1:$100, 9, MATCH(1, (Data_Input!$7:$7=$F$3) * (Data_Input!$8:$8=$B214), 0)),"")</f>
        <v/>
      </c>
      <c r="F214" s="20" t="str" cm="1">
        <f t="array" ref="F214">IFERROR(INDEX(Data_Input!$A$1:$ZZ$502, MATCH("예수금", INDEX(Data_Input!$A$1:$ZZ$502, 0, MATCH(1, (Data_Input!$7:$7=$F$3)*(Data_Input!$8:$8=$B214), 0)), 0) + 1, MATCH(1, (Data_Input!$7:$7=$F$3)*(Data_Input!$8:$8=$B214), 0)),"")</f>
        <v/>
      </c>
      <c r="G214" s="20" t="str" cm="1">
        <f t="array" ref="G214">IFERROR(INDEX(Data_Input!$A$1:$ZZ$502, MATCH("총자산", INDEX(Data_Input!$A$1:$ZZ$502, 0, MATCH(1, (Data_Input!$7:$7=$F$3)*(Data_Input!$8:$8=$B214), 0)), 0) + 1, MATCH(1, (Data_Input!$7:$7=$F$3)*(Data_Input!$8:$8=$B214), 0)),"")</f>
        <v/>
      </c>
      <c r="H214" s="20" t="str" cm="1">
        <f t="array" ref="H214">IFERROR(INDEX(Data_Input!$A$1:$ZZ$502, MATCH("매입금액", INDEX(Data_Input!$A$1:$ZZ$502, 0, MATCH(1, (Data_Input!$7:$7=$F$3)*(Data_Input!$8:$8=$B214), 0)), 0) + 1, MATCH(1, (Data_Input!$7:$7=$F$3)*(Data_Input!$8:$8=$B214), 0)),"")</f>
        <v/>
      </c>
      <c r="I214" s="20" t="str" cm="1">
        <f t="array" ref="I214">IFERROR(INDEX(Data_Input!$A$1:$ZZ$502, MATCH("평가금액", INDEX(Data_Input!$A$1:$ZZ$502, 0, MATCH(1, (Data_Input!$7:$7=$F$3)*(Data_Input!$8:$8=$B214), 0)), 0) + 1, MATCH(1, (Data_Input!$7:$7=$F$3)*(Data_Input!$8:$8=$B214), 0)),"")</f>
        <v/>
      </c>
      <c r="J214" s="20" t="str" cm="1">
        <f t="array" ref="J214">IFERROR(INDEX(Data_Input!$A$1:$ZZ$502, MATCH("평가손익", INDEX(Data_Input!$A$1:$ZZ$502, 0, MATCH(1, (Data_Input!$7:$7=$F$3)*(Data_Input!$8:$8=$B214), 0)), 0) + 1, MATCH(1, (Data_Input!$7:$7=$F$3)*(Data_Input!$8:$8=$B214), 0)),"")</f>
        <v/>
      </c>
      <c r="K214" s="14" t="str" cm="1">
        <f t="array" ref="K214">IFERROR(INDEX(Data_Input!$A$1:$ZZ$502, MATCH("총수익률", INDEX(Data_Input!$A$1:$ZZ$502, 0, MATCH(1, (Data_Input!$7:$7=$F$3)*(Data_Input!$8:$8=$B214), 0)), 0) + 1, MATCH(1, (Data_Input!$7:$7=$F$3)*(Data_Input!$8:$8=$B214), 0)),"")</f>
        <v/>
      </c>
      <c r="L214" t="str" cm="1">
        <f t="array" ref="L214">IFERROR(_xlfn.LET(
    _xlpm.targetDate, B214,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15" spans="1:12" x14ac:dyDescent="0.3">
      <c r="A215" s="16" t="str">
        <f t="shared" si="7"/>
        <v/>
      </c>
      <c r="B215" s="8"/>
      <c r="C215" s="17" t="str">
        <f t="shared" si="8"/>
        <v/>
      </c>
      <c r="D215" s="29" t="str" cm="1">
        <f t="array" ref="D215">IFERROR(INDEX(Data_Input!$1:$100, 10, MATCH(1, (Data_Input!$F$7:$ZZ$7=$F$3) * (Data_Input!$F$8:$ZZ$8=$B215), 0)),"")</f>
        <v/>
      </c>
      <c r="E215" s="29" t="str" cm="1">
        <f t="array" ref="E215">IFERROR(INDEX(Data_Input!$1:$100, 9, MATCH(1, (Data_Input!$7:$7=$F$3) * (Data_Input!$8:$8=$B215), 0)),"")</f>
        <v/>
      </c>
      <c r="F215" s="20" t="str" cm="1">
        <f t="array" ref="F215">IFERROR(INDEX(Data_Input!$A$1:$ZZ$502, MATCH("예수금", INDEX(Data_Input!$A$1:$ZZ$502, 0, MATCH(1, (Data_Input!$7:$7=$F$3)*(Data_Input!$8:$8=$B215), 0)), 0) + 1, MATCH(1, (Data_Input!$7:$7=$F$3)*(Data_Input!$8:$8=$B215), 0)),"")</f>
        <v/>
      </c>
      <c r="G215" s="20" t="str" cm="1">
        <f t="array" ref="G215">IFERROR(INDEX(Data_Input!$A$1:$ZZ$502, MATCH("총자산", INDEX(Data_Input!$A$1:$ZZ$502, 0, MATCH(1, (Data_Input!$7:$7=$F$3)*(Data_Input!$8:$8=$B215), 0)), 0) + 1, MATCH(1, (Data_Input!$7:$7=$F$3)*(Data_Input!$8:$8=$B215), 0)),"")</f>
        <v/>
      </c>
      <c r="H215" s="20" t="str" cm="1">
        <f t="array" ref="H215">IFERROR(INDEX(Data_Input!$A$1:$ZZ$502, MATCH("매입금액", INDEX(Data_Input!$A$1:$ZZ$502, 0, MATCH(1, (Data_Input!$7:$7=$F$3)*(Data_Input!$8:$8=$B215), 0)), 0) + 1, MATCH(1, (Data_Input!$7:$7=$F$3)*(Data_Input!$8:$8=$B215), 0)),"")</f>
        <v/>
      </c>
      <c r="I215" s="20" t="str" cm="1">
        <f t="array" ref="I215">IFERROR(INDEX(Data_Input!$A$1:$ZZ$502, MATCH("평가금액", INDEX(Data_Input!$A$1:$ZZ$502, 0, MATCH(1, (Data_Input!$7:$7=$F$3)*(Data_Input!$8:$8=$B215), 0)), 0) + 1, MATCH(1, (Data_Input!$7:$7=$F$3)*(Data_Input!$8:$8=$B215), 0)),"")</f>
        <v/>
      </c>
      <c r="J215" s="20" t="str" cm="1">
        <f t="array" ref="J215">IFERROR(INDEX(Data_Input!$A$1:$ZZ$502, MATCH("평가손익", INDEX(Data_Input!$A$1:$ZZ$502, 0, MATCH(1, (Data_Input!$7:$7=$F$3)*(Data_Input!$8:$8=$B215), 0)), 0) + 1, MATCH(1, (Data_Input!$7:$7=$F$3)*(Data_Input!$8:$8=$B215), 0)),"")</f>
        <v/>
      </c>
      <c r="K215" s="14" t="str" cm="1">
        <f t="array" ref="K215">IFERROR(INDEX(Data_Input!$A$1:$ZZ$502, MATCH("총수익률", INDEX(Data_Input!$A$1:$ZZ$502, 0, MATCH(1, (Data_Input!$7:$7=$F$3)*(Data_Input!$8:$8=$B215), 0)), 0) + 1, MATCH(1, (Data_Input!$7:$7=$F$3)*(Data_Input!$8:$8=$B215), 0)),"")</f>
        <v/>
      </c>
      <c r="L215" t="str" cm="1">
        <f t="array" ref="L215">IFERROR(_xlfn.LET(
    _xlpm.targetDate, B215,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16" spans="1:12" x14ac:dyDescent="0.3">
      <c r="A216" s="16" t="str">
        <f t="shared" si="7"/>
        <v/>
      </c>
      <c r="B216" s="8"/>
      <c r="C216" s="17" t="str">
        <f t="shared" si="8"/>
        <v/>
      </c>
      <c r="D216" s="29" t="str" cm="1">
        <f t="array" ref="D216">IFERROR(INDEX(Data_Input!$1:$100, 10, MATCH(1, (Data_Input!$F$7:$ZZ$7=$F$3) * (Data_Input!$F$8:$ZZ$8=$B216), 0)),"")</f>
        <v/>
      </c>
      <c r="E216" s="29" t="str" cm="1">
        <f t="array" ref="E216">IFERROR(INDEX(Data_Input!$1:$100, 9, MATCH(1, (Data_Input!$7:$7=$F$3) * (Data_Input!$8:$8=$B216), 0)),"")</f>
        <v/>
      </c>
      <c r="F216" s="20" t="str" cm="1">
        <f t="array" ref="F216">IFERROR(INDEX(Data_Input!$A$1:$ZZ$502, MATCH("예수금", INDEX(Data_Input!$A$1:$ZZ$502, 0, MATCH(1, (Data_Input!$7:$7=$F$3)*(Data_Input!$8:$8=$B216), 0)), 0) + 1, MATCH(1, (Data_Input!$7:$7=$F$3)*(Data_Input!$8:$8=$B216), 0)),"")</f>
        <v/>
      </c>
      <c r="G216" s="20" t="str" cm="1">
        <f t="array" ref="G216">IFERROR(INDEX(Data_Input!$A$1:$ZZ$502, MATCH("총자산", INDEX(Data_Input!$A$1:$ZZ$502, 0, MATCH(1, (Data_Input!$7:$7=$F$3)*(Data_Input!$8:$8=$B216), 0)), 0) + 1, MATCH(1, (Data_Input!$7:$7=$F$3)*(Data_Input!$8:$8=$B216), 0)),"")</f>
        <v/>
      </c>
      <c r="H216" s="20" t="str" cm="1">
        <f t="array" ref="H216">IFERROR(INDEX(Data_Input!$A$1:$ZZ$502, MATCH("매입금액", INDEX(Data_Input!$A$1:$ZZ$502, 0, MATCH(1, (Data_Input!$7:$7=$F$3)*(Data_Input!$8:$8=$B216), 0)), 0) + 1, MATCH(1, (Data_Input!$7:$7=$F$3)*(Data_Input!$8:$8=$B216), 0)),"")</f>
        <v/>
      </c>
      <c r="I216" s="20" t="str" cm="1">
        <f t="array" ref="I216">IFERROR(INDEX(Data_Input!$A$1:$ZZ$502, MATCH("평가금액", INDEX(Data_Input!$A$1:$ZZ$502, 0, MATCH(1, (Data_Input!$7:$7=$F$3)*(Data_Input!$8:$8=$B216), 0)), 0) + 1, MATCH(1, (Data_Input!$7:$7=$F$3)*(Data_Input!$8:$8=$B216), 0)),"")</f>
        <v/>
      </c>
      <c r="J216" s="20" t="str" cm="1">
        <f t="array" ref="J216">IFERROR(INDEX(Data_Input!$A$1:$ZZ$502, MATCH("평가손익", INDEX(Data_Input!$A$1:$ZZ$502, 0, MATCH(1, (Data_Input!$7:$7=$F$3)*(Data_Input!$8:$8=$B216), 0)), 0) + 1, MATCH(1, (Data_Input!$7:$7=$F$3)*(Data_Input!$8:$8=$B216), 0)),"")</f>
        <v/>
      </c>
      <c r="K216" s="14" t="str" cm="1">
        <f t="array" ref="K216">IFERROR(INDEX(Data_Input!$A$1:$ZZ$502, MATCH("총수익률", INDEX(Data_Input!$A$1:$ZZ$502, 0, MATCH(1, (Data_Input!$7:$7=$F$3)*(Data_Input!$8:$8=$B216), 0)), 0) + 1, MATCH(1, (Data_Input!$7:$7=$F$3)*(Data_Input!$8:$8=$B216), 0)),"")</f>
        <v/>
      </c>
      <c r="L216" t="str" cm="1">
        <f t="array" ref="L216">IFERROR(_xlfn.LET(
    _xlpm.targetDate, B216,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17" spans="1:12" x14ac:dyDescent="0.3">
      <c r="A217" s="16" t="str">
        <f t="shared" si="7"/>
        <v/>
      </c>
      <c r="B217" s="8"/>
      <c r="C217" s="17" t="str">
        <f t="shared" si="8"/>
        <v/>
      </c>
      <c r="D217" s="29" t="str" cm="1">
        <f t="array" ref="D217">IFERROR(INDEX(Data_Input!$1:$100, 10, MATCH(1, (Data_Input!$F$7:$ZZ$7=$F$3) * (Data_Input!$F$8:$ZZ$8=$B217), 0)),"")</f>
        <v/>
      </c>
      <c r="E217" s="29" t="str" cm="1">
        <f t="array" ref="E217">IFERROR(INDEX(Data_Input!$1:$100, 9, MATCH(1, (Data_Input!$7:$7=$F$3) * (Data_Input!$8:$8=$B217), 0)),"")</f>
        <v/>
      </c>
      <c r="F217" s="20" t="str" cm="1">
        <f t="array" ref="F217">IFERROR(INDEX(Data_Input!$A$1:$ZZ$502, MATCH("예수금", INDEX(Data_Input!$A$1:$ZZ$502, 0, MATCH(1, (Data_Input!$7:$7=$F$3)*(Data_Input!$8:$8=$B217), 0)), 0) + 1, MATCH(1, (Data_Input!$7:$7=$F$3)*(Data_Input!$8:$8=$B217), 0)),"")</f>
        <v/>
      </c>
      <c r="G217" s="20" t="str" cm="1">
        <f t="array" ref="G217">IFERROR(INDEX(Data_Input!$A$1:$ZZ$502, MATCH("총자산", INDEX(Data_Input!$A$1:$ZZ$502, 0, MATCH(1, (Data_Input!$7:$7=$F$3)*(Data_Input!$8:$8=$B217), 0)), 0) + 1, MATCH(1, (Data_Input!$7:$7=$F$3)*(Data_Input!$8:$8=$B217), 0)),"")</f>
        <v/>
      </c>
      <c r="H217" s="20" t="str" cm="1">
        <f t="array" ref="H217">IFERROR(INDEX(Data_Input!$A$1:$ZZ$502, MATCH("매입금액", INDEX(Data_Input!$A$1:$ZZ$502, 0, MATCH(1, (Data_Input!$7:$7=$F$3)*(Data_Input!$8:$8=$B217), 0)), 0) + 1, MATCH(1, (Data_Input!$7:$7=$F$3)*(Data_Input!$8:$8=$B217), 0)),"")</f>
        <v/>
      </c>
      <c r="I217" s="20" t="str" cm="1">
        <f t="array" ref="I217">IFERROR(INDEX(Data_Input!$A$1:$ZZ$502, MATCH("평가금액", INDEX(Data_Input!$A$1:$ZZ$502, 0, MATCH(1, (Data_Input!$7:$7=$F$3)*(Data_Input!$8:$8=$B217), 0)), 0) + 1, MATCH(1, (Data_Input!$7:$7=$F$3)*(Data_Input!$8:$8=$B217), 0)),"")</f>
        <v/>
      </c>
      <c r="J217" s="20" t="str" cm="1">
        <f t="array" ref="J217">IFERROR(INDEX(Data_Input!$A$1:$ZZ$502, MATCH("평가손익", INDEX(Data_Input!$A$1:$ZZ$502, 0, MATCH(1, (Data_Input!$7:$7=$F$3)*(Data_Input!$8:$8=$B217), 0)), 0) + 1, MATCH(1, (Data_Input!$7:$7=$F$3)*(Data_Input!$8:$8=$B217), 0)),"")</f>
        <v/>
      </c>
      <c r="K217" s="14" t="str" cm="1">
        <f t="array" ref="K217">IFERROR(INDEX(Data_Input!$A$1:$ZZ$502, MATCH("총수익률", INDEX(Data_Input!$A$1:$ZZ$502, 0, MATCH(1, (Data_Input!$7:$7=$F$3)*(Data_Input!$8:$8=$B217), 0)), 0) + 1, MATCH(1, (Data_Input!$7:$7=$F$3)*(Data_Input!$8:$8=$B217), 0)),"")</f>
        <v/>
      </c>
      <c r="L217" t="str" cm="1">
        <f t="array" ref="L217">IFERROR(_xlfn.LET(
    _xlpm.targetDate, B217,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18" spans="1:12" x14ac:dyDescent="0.3">
      <c r="A218" s="16" t="str">
        <f t="shared" si="7"/>
        <v/>
      </c>
      <c r="B218" s="8"/>
      <c r="C218" s="17" t="str">
        <f t="shared" si="8"/>
        <v/>
      </c>
      <c r="D218" s="29" t="str" cm="1">
        <f t="array" ref="D218">IFERROR(INDEX(Data_Input!$1:$100, 10, MATCH(1, (Data_Input!$F$7:$ZZ$7=$F$3) * (Data_Input!$F$8:$ZZ$8=$B218), 0)),"")</f>
        <v/>
      </c>
      <c r="E218" s="29" t="str" cm="1">
        <f t="array" ref="E218">IFERROR(INDEX(Data_Input!$1:$100, 9, MATCH(1, (Data_Input!$7:$7=$F$3) * (Data_Input!$8:$8=$B218), 0)),"")</f>
        <v/>
      </c>
      <c r="F218" s="20" t="str" cm="1">
        <f t="array" ref="F218">IFERROR(INDEX(Data_Input!$A$1:$ZZ$502, MATCH("예수금", INDEX(Data_Input!$A$1:$ZZ$502, 0, MATCH(1, (Data_Input!$7:$7=$F$3)*(Data_Input!$8:$8=$B218), 0)), 0) + 1, MATCH(1, (Data_Input!$7:$7=$F$3)*(Data_Input!$8:$8=$B218), 0)),"")</f>
        <v/>
      </c>
      <c r="G218" s="20" t="str" cm="1">
        <f t="array" ref="G218">IFERROR(INDEX(Data_Input!$A$1:$ZZ$502, MATCH("총자산", INDEX(Data_Input!$A$1:$ZZ$502, 0, MATCH(1, (Data_Input!$7:$7=$F$3)*(Data_Input!$8:$8=$B218), 0)), 0) + 1, MATCH(1, (Data_Input!$7:$7=$F$3)*(Data_Input!$8:$8=$B218), 0)),"")</f>
        <v/>
      </c>
      <c r="H218" s="20" t="str" cm="1">
        <f t="array" ref="H218">IFERROR(INDEX(Data_Input!$A$1:$ZZ$502, MATCH("매입금액", INDEX(Data_Input!$A$1:$ZZ$502, 0, MATCH(1, (Data_Input!$7:$7=$F$3)*(Data_Input!$8:$8=$B218), 0)), 0) + 1, MATCH(1, (Data_Input!$7:$7=$F$3)*(Data_Input!$8:$8=$B218), 0)),"")</f>
        <v/>
      </c>
      <c r="I218" s="20" t="str" cm="1">
        <f t="array" ref="I218">IFERROR(INDEX(Data_Input!$A$1:$ZZ$502, MATCH("평가금액", INDEX(Data_Input!$A$1:$ZZ$502, 0, MATCH(1, (Data_Input!$7:$7=$F$3)*(Data_Input!$8:$8=$B218), 0)), 0) + 1, MATCH(1, (Data_Input!$7:$7=$F$3)*(Data_Input!$8:$8=$B218), 0)),"")</f>
        <v/>
      </c>
      <c r="J218" s="20" t="str" cm="1">
        <f t="array" ref="J218">IFERROR(INDEX(Data_Input!$A$1:$ZZ$502, MATCH("평가손익", INDEX(Data_Input!$A$1:$ZZ$502, 0, MATCH(1, (Data_Input!$7:$7=$F$3)*(Data_Input!$8:$8=$B218), 0)), 0) + 1, MATCH(1, (Data_Input!$7:$7=$F$3)*(Data_Input!$8:$8=$B218), 0)),"")</f>
        <v/>
      </c>
      <c r="K218" s="14" t="str" cm="1">
        <f t="array" ref="K218">IFERROR(INDEX(Data_Input!$A$1:$ZZ$502, MATCH("총수익률", INDEX(Data_Input!$A$1:$ZZ$502, 0, MATCH(1, (Data_Input!$7:$7=$F$3)*(Data_Input!$8:$8=$B218), 0)), 0) + 1, MATCH(1, (Data_Input!$7:$7=$F$3)*(Data_Input!$8:$8=$B218), 0)),"")</f>
        <v/>
      </c>
      <c r="L218" t="str" cm="1">
        <f t="array" ref="L218">IFERROR(_xlfn.LET(
    _xlpm.targetDate, B218,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19" spans="1:12" x14ac:dyDescent="0.3">
      <c r="A219" s="16" t="str">
        <f t="shared" si="7"/>
        <v/>
      </c>
      <c r="B219" s="8"/>
      <c r="C219" s="17" t="str">
        <f t="shared" si="8"/>
        <v/>
      </c>
      <c r="D219" s="29" t="str" cm="1">
        <f t="array" ref="D219">IFERROR(INDEX(Data_Input!$1:$100, 10, MATCH(1, (Data_Input!$F$7:$ZZ$7=$F$3) * (Data_Input!$F$8:$ZZ$8=$B219), 0)),"")</f>
        <v/>
      </c>
      <c r="E219" s="29" t="str" cm="1">
        <f t="array" ref="E219">IFERROR(INDEX(Data_Input!$1:$100, 9, MATCH(1, (Data_Input!$7:$7=$F$3) * (Data_Input!$8:$8=$B219), 0)),"")</f>
        <v/>
      </c>
      <c r="F219" s="20" t="str" cm="1">
        <f t="array" ref="F219">IFERROR(INDEX(Data_Input!$A$1:$ZZ$502, MATCH("예수금", INDEX(Data_Input!$A$1:$ZZ$502, 0, MATCH(1, (Data_Input!$7:$7=$F$3)*(Data_Input!$8:$8=$B219), 0)), 0) + 1, MATCH(1, (Data_Input!$7:$7=$F$3)*(Data_Input!$8:$8=$B219), 0)),"")</f>
        <v/>
      </c>
      <c r="G219" s="20" t="str" cm="1">
        <f t="array" ref="G219">IFERROR(INDEX(Data_Input!$A$1:$ZZ$502, MATCH("총자산", INDEX(Data_Input!$A$1:$ZZ$502, 0, MATCH(1, (Data_Input!$7:$7=$F$3)*(Data_Input!$8:$8=$B219), 0)), 0) + 1, MATCH(1, (Data_Input!$7:$7=$F$3)*(Data_Input!$8:$8=$B219), 0)),"")</f>
        <v/>
      </c>
      <c r="H219" s="20" t="str" cm="1">
        <f t="array" ref="H219">IFERROR(INDEX(Data_Input!$A$1:$ZZ$502, MATCH("매입금액", INDEX(Data_Input!$A$1:$ZZ$502, 0, MATCH(1, (Data_Input!$7:$7=$F$3)*(Data_Input!$8:$8=$B219), 0)), 0) + 1, MATCH(1, (Data_Input!$7:$7=$F$3)*(Data_Input!$8:$8=$B219), 0)),"")</f>
        <v/>
      </c>
      <c r="I219" s="20" t="str" cm="1">
        <f t="array" ref="I219">IFERROR(INDEX(Data_Input!$A$1:$ZZ$502, MATCH("평가금액", INDEX(Data_Input!$A$1:$ZZ$502, 0, MATCH(1, (Data_Input!$7:$7=$F$3)*(Data_Input!$8:$8=$B219), 0)), 0) + 1, MATCH(1, (Data_Input!$7:$7=$F$3)*(Data_Input!$8:$8=$B219), 0)),"")</f>
        <v/>
      </c>
      <c r="J219" s="20" t="str" cm="1">
        <f t="array" ref="J219">IFERROR(INDEX(Data_Input!$A$1:$ZZ$502, MATCH("평가손익", INDEX(Data_Input!$A$1:$ZZ$502, 0, MATCH(1, (Data_Input!$7:$7=$F$3)*(Data_Input!$8:$8=$B219), 0)), 0) + 1, MATCH(1, (Data_Input!$7:$7=$F$3)*(Data_Input!$8:$8=$B219), 0)),"")</f>
        <v/>
      </c>
      <c r="K219" s="14" t="str" cm="1">
        <f t="array" ref="K219">IFERROR(INDEX(Data_Input!$A$1:$ZZ$502, MATCH("총수익률", INDEX(Data_Input!$A$1:$ZZ$502, 0, MATCH(1, (Data_Input!$7:$7=$F$3)*(Data_Input!$8:$8=$B219), 0)), 0) + 1, MATCH(1, (Data_Input!$7:$7=$F$3)*(Data_Input!$8:$8=$B219), 0)),"")</f>
        <v/>
      </c>
      <c r="L219" t="str" cm="1">
        <f t="array" ref="L219">IFERROR(_xlfn.LET(
    _xlpm.targetDate, B219,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20" spans="1:12" x14ac:dyDescent="0.3">
      <c r="A220" s="16" t="str">
        <f t="shared" si="7"/>
        <v/>
      </c>
      <c r="B220" s="8"/>
      <c r="C220" s="17" t="str">
        <f t="shared" si="8"/>
        <v/>
      </c>
      <c r="D220" s="29" t="str" cm="1">
        <f t="array" ref="D220">IFERROR(INDEX(Data_Input!$1:$100, 10, MATCH(1, (Data_Input!$F$7:$ZZ$7=$F$3) * (Data_Input!$F$8:$ZZ$8=$B220), 0)),"")</f>
        <v/>
      </c>
      <c r="E220" s="29" t="str" cm="1">
        <f t="array" ref="E220">IFERROR(INDEX(Data_Input!$1:$100, 9, MATCH(1, (Data_Input!$7:$7=$F$3) * (Data_Input!$8:$8=$B220), 0)),"")</f>
        <v/>
      </c>
      <c r="F220" s="20" t="str" cm="1">
        <f t="array" ref="F220">IFERROR(INDEX(Data_Input!$A$1:$ZZ$502, MATCH("예수금", INDEX(Data_Input!$A$1:$ZZ$502, 0, MATCH(1, (Data_Input!$7:$7=$F$3)*(Data_Input!$8:$8=$B220), 0)), 0) + 1, MATCH(1, (Data_Input!$7:$7=$F$3)*(Data_Input!$8:$8=$B220), 0)),"")</f>
        <v/>
      </c>
      <c r="G220" s="20" t="str" cm="1">
        <f t="array" ref="G220">IFERROR(INDEX(Data_Input!$A$1:$ZZ$502, MATCH("총자산", INDEX(Data_Input!$A$1:$ZZ$502, 0, MATCH(1, (Data_Input!$7:$7=$F$3)*(Data_Input!$8:$8=$B220), 0)), 0) + 1, MATCH(1, (Data_Input!$7:$7=$F$3)*(Data_Input!$8:$8=$B220), 0)),"")</f>
        <v/>
      </c>
      <c r="H220" s="20" t="str" cm="1">
        <f t="array" ref="H220">IFERROR(INDEX(Data_Input!$A$1:$ZZ$502, MATCH("매입금액", INDEX(Data_Input!$A$1:$ZZ$502, 0, MATCH(1, (Data_Input!$7:$7=$F$3)*(Data_Input!$8:$8=$B220), 0)), 0) + 1, MATCH(1, (Data_Input!$7:$7=$F$3)*(Data_Input!$8:$8=$B220), 0)),"")</f>
        <v/>
      </c>
      <c r="I220" s="20" t="str" cm="1">
        <f t="array" ref="I220">IFERROR(INDEX(Data_Input!$A$1:$ZZ$502, MATCH("평가금액", INDEX(Data_Input!$A$1:$ZZ$502, 0, MATCH(1, (Data_Input!$7:$7=$F$3)*(Data_Input!$8:$8=$B220), 0)), 0) + 1, MATCH(1, (Data_Input!$7:$7=$F$3)*(Data_Input!$8:$8=$B220), 0)),"")</f>
        <v/>
      </c>
      <c r="J220" s="20" t="str" cm="1">
        <f t="array" ref="J220">IFERROR(INDEX(Data_Input!$A$1:$ZZ$502, MATCH("평가손익", INDEX(Data_Input!$A$1:$ZZ$502, 0, MATCH(1, (Data_Input!$7:$7=$F$3)*(Data_Input!$8:$8=$B220), 0)), 0) + 1, MATCH(1, (Data_Input!$7:$7=$F$3)*(Data_Input!$8:$8=$B220), 0)),"")</f>
        <v/>
      </c>
      <c r="K220" s="14" t="str" cm="1">
        <f t="array" ref="K220">IFERROR(INDEX(Data_Input!$A$1:$ZZ$502, MATCH("총수익률", INDEX(Data_Input!$A$1:$ZZ$502, 0, MATCH(1, (Data_Input!$7:$7=$F$3)*(Data_Input!$8:$8=$B220), 0)), 0) + 1, MATCH(1, (Data_Input!$7:$7=$F$3)*(Data_Input!$8:$8=$B220), 0)),"")</f>
        <v/>
      </c>
      <c r="L220" t="str" cm="1">
        <f t="array" ref="L220">IFERROR(_xlfn.LET(
    _xlpm.targetDate, B220,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21" spans="1:12" x14ac:dyDescent="0.3">
      <c r="A221" s="16" t="str">
        <f t="shared" si="7"/>
        <v/>
      </c>
      <c r="B221" s="8"/>
      <c r="C221" s="17" t="str">
        <f t="shared" si="8"/>
        <v/>
      </c>
      <c r="D221" s="29" t="str" cm="1">
        <f t="array" ref="D221">IFERROR(INDEX(Data_Input!$1:$100, 10, MATCH(1, (Data_Input!$F$7:$ZZ$7=$F$3) * (Data_Input!$F$8:$ZZ$8=$B221), 0)),"")</f>
        <v/>
      </c>
      <c r="E221" s="29" t="str" cm="1">
        <f t="array" ref="E221">IFERROR(INDEX(Data_Input!$1:$100, 9, MATCH(1, (Data_Input!$7:$7=$F$3) * (Data_Input!$8:$8=$B221), 0)),"")</f>
        <v/>
      </c>
      <c r="F221" s="20" t="str" cm="1">
        <f t="array" ref="F221">IFERROR(INDEX(Data_Input!$A$1:$ZZ$502, MATCH("예수금", INDEX(Data_Input!$A$1:$ZZ$502, 0, MATCH(1, (Data_Input!$7:$7=$F$3)*(Data_Input!$8:$8=$B221), 0)), 0) + 1, MATCH(1, (Data_Input!$7:$7=$F$3)*(Data_Input!$8:$8=$B221), 0)),"")</f>
        <v/>
      </c>
      <c r="G221" s="20" t="str" cm="1">
        <f t="array" ref="G221">IFERROR(INDEX(Data_Input!$A$1:$ZZ$502, MATCH("총자산", INDEX(Data_Input!$A$1:$ZZ$502, 0, MATCH(1, (Data_Input!$7:$7=$F$3)*(Data_Input!$8:$8=$B221), 0)), 0) + 1, MATCH(1, (Data_Input!$7:$7=$F$3)*(Data_Input!$8:$8=$B221), 0)),"")</f>
        <v/>
      </c>
      <c r="H221" s="20" t="str" cm="1">
        <f t="array" ref="H221">IFERROR(INDEX(Data_Input!$A$1:$ZZ$502, MATCH("매입금액", INDEX(Data_Input!$A$1:$ZZ$502, 0, MATCH(1, (Data_Input!$7:$7=$F$3)*(Data_Input!$8:$8=$B221), 0)), 0) + 1, MATCH(1, (Data_Input!$7:$7=$F$3)*(Data_Input!$8:$8=$B221), 0)),"")</f>
        <v/>
      </c>
      <c r="I221" s="20" t="str" cm="1">
        <f t="array" ref="I221">IFERROR(INDEX(Data_Input!$A$1:$ZZ$502, MATCH("평가금액", INDEX(Data_Input!$A$1:$ZZ$502, 0, MATCH(1, (Data_Input!$7:$7=$F$3)*(Data_Input!$8:$8=$B221), 0)), 0) + 1, MATCH(1, (Data_Input!$7:$7=$F$3)*(Data_Input!$8:$8=$B221), 0)),"")</f>
        <v/>
      </c>
      <c r="J221" s="20" t="str" cm="1">
        <f t="array" ref="J221">IFERROR(INDEX(Data_Input!$A$1:$ZZ$502, MATCH("평가손익", INDEX(Data_Input!$A$1:$ZZ$502, 0, MATCH(1, (Data_Input!$7:$7=$F$3)*(Data_Input!$8:$8=$B221), 0)), 0) + 1, MATCH(1, (Data_Input!$7:$7=$F$3)*(Data_Input!$8:$8=$B221), 0)),"")</f>
        <v/>
      </c>
      <c r="K221" s="14" t="str" cm="1">
        <f t="array" ref="K221">IFERROR(INDEX(Data_Input!$A$1:$ZZ$502, MATCH("총수익률", INDEX(Data_Input!$A$1:$ZZ$502, 0, MATCH(1, (Data_Input!$7:$7=$F$3)*(Data_Input!$8:$8=$B221), 0)), 0) + 1, MATCH(1, (Data_Input!$7:$7=$F$3)*(Data_Input!$8:$8=$B221), 0)),"")</f>
        <v/>
      </c>
      <c r="L221" t="str" cm="1">
        <f t="array" ref="L221">IFERROR(_xlfn.LET(
    _xlpm.targetDate, B221,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22" spans="1:12" x14ac:dyDescent="0.3">
      <c r="A222" s="16" t="str">
        <f t="shared" si="7"/>
        <v/>
      </c>
      <c r="B222" s="8"/>
      <c r="C222" s="17" t="str">
        <f t="shared" si="8"/>
        <v/>
      </c>
      <c r="D222" s="29" t="str" cm="1">
        <f t="array" ref="D222">IFERROR(INDEX(Data_Input!$1:$100, 10, MATCH(1, (Data_Input!$F$7:$ZZ$7=$F$3) * (Data_Input!$F$8:$ZZ$8=$B222), 0)),"")</f>
        <v/>
      </c>
      <c r="E222" s="29" t="str" cm="1">
        <f t="array" ref="E222">IFERROR(INDEX(Data_Input!$1:$100, 9, MATCH(1, (Data_Input!$7:$7=$F$3) * (Data_Input!$8:$8=$B222), 0)),"")</f>
        <v/>
      </c>
      <c r="F222" s="20" t="str" cm="1">
        <f t="array" ref="F222">IFERROR(INDEX(Data_Input!$A$1:$ZZ$502, MATCH("예수금", INDEX(Data_Input!$A$1:$ZZ$502, 0, MATCH(1, (Data_Input!$7:$7=$F$3)*(Data_Input!$8:$8=$B222), 0)), 0) + 1, MATCH(1, (Data_Input!$7:$7=$F$3)*(Data_Input!$8:$8=$B222), 0)),"")</f>
        <v/>
      </c>
      <c r="G222" s="20" t="str" cm="1">
        <f t="array" ref="G222">IFERROR(INDEX(Data_Input!$A$1:$ZZ$502, MATCH("총자산", INDEX(Data_Input!$A$1:$ZZ$502, 0, MATCH(1, (Data_Input!$7:$7=$F$3)*(Data_Input!$8:$8=$B222), 0)), 0) + 1, MATCH(1, (Data_Input!$7:$7=$F$3)*(Data_Input!$8:$8=$B222), 0)),"")</f>
        <v/>
      </c>
      <c r="H222" s="20" t="str" cm="1">
        <f t="array" ref="H222">IFERROR(INDEX(Data_Input!$A$1:$ZZ$502, MATCH("매입금액", INDEX(Data_Input!$A$1:$ZZ$502, 0, MATCH(1, (Data_Input!$7:$7=$F$3)*(Data_Input!$8:$8=$B222), 0)), 0) + 1, MATCH(1, (Data_Input!$7:$7=$F$3)*(Data_Input!$8:$8=$B222), 0)),"")</f>
        <v/>
      </c>
      <c r="I222" s="20" t="str" cm="1">
        <f t="array" ref="I222">IFERROR(INDEX(Data_Input!$A$1:$ZZ$502, MATCH("평가금액", INDEX(Data_Input!$A$1:$ZZ$502, 0, MATCH(1, (Data_Input!$7:$7=$F$3)*(Data_Input!$8:$8=$B222), 0)), 0) + 1, MATCH(1, (Data_Input!$7:$7=$F$3)*(Data_Input!$8:$8=$B222), 0)),"")</f>
        <v/>
      </c>
      <c r="J222" s="20" t="str" cm="1">
        <f t="array" ref="J222">IFERROR(INDEX(Data_Input!$A$1:$ZZ$502, MATCH("평가손익", INDEX(Data_Input!$A$1:$ZZ$502, 0, MATCH(1, (Data_Input!$7:$7=$F$3)*(Data_Input!$8:$8=$B222), 0)), 0) + 1, MATCH(1, (Data_Input!$7:$7=$F$3)*(Data_Input!$8:$8=$B222), 0)),"")</f>
        <v/>
      </c>
      <c r="K222" s="14" t="str" cm="1">
        <f t="array" ref="K222">IFERROR(INDEX(Data_Input!$A$1:$ZZ$502, MATCH("총수익률", INDEX(Data_Input!$A$1:$ZZ$502, 0, MATCH(1, (Data_Input!$7:$7=$F$3)*(Data_Input!$8:$8=$B222), 0)), 0) + 1, MATCH(1, (Data_Input!$7:$7=$F$3)*(Data_Input!$8:$8=$B222), 0)),"")</f>
        <v/>
      </c>
      <c r="L222" t="str" cm="1">
        <f t="array" ref="L222">IFERROR(_xlfn.LET(
    _xlpm.targetDate, B222,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23" spans="1:12" x14ac:dyDescent="0.3">
      <c r="A223" s="16" t="str">
        <f t="shared" si="7"/>
        <v/>
      </c>
      <c r="B223" s="8"/>
      <c r="C223" s="17" t="str">
        <f t="shared" si="8"/>
        <v/>
      </c>
      <c r="D223" s="29" t="str" cm="1">
        <f t="array" ref="D223">IFERROR(INDEX(Data_Input!$1:$100, 10, MATCH(1, (Data_Input!$F$7:$ZZ$7=$F$3) * (Data_Input!$F$8:$ZZ$8=$B223), 0)),"")</f>
        <v/>
      </c>
      <c r="E223" s="29" t="str" cm="1">
        <f t="array" ref="E223">IFERROR(INDEX(Data_Input!$1:$100, 9, MATCH(1, (Data_Input!$7:$7=$F$3) * (Data_Input!$8:$8=$B223), 0)),"")</f>
        <v/>
      </c>
      <c r="F223" s="20" t="str" cm="1">
        <f t="array" ref="F223">IFERROR(INDEX(Data_Input!$A$1:$ZZ$502, MATCH("예수금", INDEX(Data_Input!$A$1:$ZZ$502, 0, MATCH(1, (Data_Input!$7:$7=$F$3)*(Data_Input!$8:$8=$B223), 0)), 0) + 1, MATCH(1, (Data_Input!$7:$7=$F$3)*(Data_Input!$8:$8=$B223), 0)),"")</f>
        <v/>
      </c>
      <c r="G223" s="20" t="str" cm="1">
        <f t="array" ref="G223">IFERROR(INDEX(Data_Input!$A$1:$ZZ$502, MATCH("총자산", INDEX(Data_Input!$A$1:$ZZ$502, 0, MATCH(1, (Data_Input!$7:$7=$F$3)*(Data_Input!$8:$8=$B223), 0)), 0) + 1, MATCH(1, (Data_Input!$7:$7=$F$3)*(Data_Input!$8:$8=$B223), 0)),"")</f>
        <v/>
      </c>
      <c r="H223" s="20" t="str" cm="1">
        <f t="array" ref="H223">IFERROR(INDEX(Data_Input!$A$1:$ZZ$502, MATCH("매입금액", INDEX(Data_Input!$A$1:$ZZ$502, 0, MATCH(1, (Data_Input!$7:$7=$F$3)*(Data_Input!$8:$8=$B223), 0)), 0) + 1, MATCH(1, (Data_Input!$7:$7=$F$3)*(Data_Input!$8:$8=$B223), 0)),"")</f>
        <v/>
      </c>
      <c r="I223" s="20" t="str" cm="1">
        <f t="array" ref="I223">IFERROR(INDEX(Data_Input!$A$1:$ZZ$502, MATCH("평가금액", INDEX(Data_Input!$A$1:$ZZ$502, 0, MATCH(1, (Data_Input!$7:$7=$F$3)*(Data_Input!$8:$8=$B223), 0)), 0) + 1, MATCH(1, (Data_Input!$7:$7=$F$3)*(Data_Input!$8:$8=$B223), 0)),"")</f>
        <v/>
      </c>
      <c r="J223" s="20" t="str" cm="1">
        <f t="array" ref="J223">IFERROR(INDEX(Data_Input!$A$1:$ZZ$502, MATCH("평가손익", INDEX(Data_Input!$A$1:$ZZ$502, 0, MATCH(1, (Data_Input!$7:$7=$F$3)*(Data_Input!$8:$8=$B223), 0)), 0) + 1, MATCH(1, (Data_Input!$7:$7=$F$3)*(Data_Input!$8:$8=$B223), 0)),"")</f>
        <v/>
      </c>
      <c r="K223" s="14" t="str" cm="1">
        <f t="array" ref="K223">IFERROR(INDEX(Data_Input!$A$1:$ZZ$502, MATCH("총수익률", INDEX(Data_Input!$A$1:$ZZ$502, 0, MATCH(1, (Data_Input!$7:$7=$F$3)*(Data_Input!$8:$8=$B223), 0)), 0) + 1, MATCH(1, (Data_Input!$7:$7=$F$3)*(Data_Input!$8:$8=$B223), 0)),"")</f>
        <v/>
      </c>
      <c r="L223" t="str" cm="1">
        <f t="array" ref="L223">IFERROR(_xlfn.LET(
    _xlpm.targetDate, B223,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24" spans="1:12" x14ac:dyDescent="0.3">
      <c r="A224" s="16" t="str">
        <f t="shared" si="7"/>
        <v/>
      </c>
      <c r="B224" s="8"/>
      <c r="C224" s="17" t="str">
        <f t="shared" si="8"/>
        <v/>
      </c>
      <c r="D224" s="29" t="str" cm="1">
        <f t="array" ref="D224">IFERROR(INDEX(Data_Input!$1:$100, 10, MATCH(1, (Data_Input!$F$7:$ZZ$7=$F$3) * (Data_Input!$F$8:$ZZ$8=$B224), 0)),"")</f>
        <v/>
      </c>
      <c r="E224" s="29" t="str" cm="1">
        <f t="array" ref="E224">IFERROR(INDEX(Data_Input!$1:$100, 9, MATCH(1, (Data_Input!$7:$7=$F$3) * (Data_Input!$8:$8=$B224), 0)),"")</f>
        <v/>
      </c>
      <c r="F224" s="20" t="str" cm="1">
        <f t="array" ref="F224">IFERROR(INDEX(Data_Input!$A$1:$ZZ$502, MATCH("예수금", INDEX(Data_Input!$A$1:$ZZ$502, 0, MATCH(1, (Data_Input!$7:$7=$F$3)*(Data_Input!$8:$8=$B224), 0)), 0) + 1, MATCH(1, (Data_Input!$7:$7=$F$3)*(Data_Input!$8:$8=$B224), 0)),"")</f>
        <v/>
      </c>
      <c r="G224" s="20" t="str" cm="1">
        <f t="array" ref="G224">IFERROR(INDEX(Data_Input!$A$1:$ZZ$502, MATCH("총자산", INDEX(Data_Input!$A$1:$ZZ$502, 0, MATCH(1, (Data_Input!$7:$7=$F$3)*(Data_Input!$8:$8=$B224), 0)), 0) + 1, MATCH(1, (Data_Input!$7:$7=$F$3)*(Data_Input!$8:$8=$B224), 0)),"")</f>
        <v/>
      </c>
      <c r="H224" s="20" t="str" cm="1">
        <f t="array" ref="H224">IFERROR(INDEX(Data_Input!$A$1:$ZZ$502, MATCH("매입금액", INDEX(Data_Input!$A$1:$ZZ$502, 0, MATCH(1, (Data_Input!$7:$7=$F$3)*(Data_Input!$8:$8=$B224), 0)), 0) + 1, MATCH(1, (Data_Input!$7:$7=$F$3)*(Data_Input!$8:$8=$B224), 0)),"")</f>
        <v/>
      </c>
      <c r="I224" s="20" t="str" cm="1">
        <f t="array" ref="I224">IFERROR(INDEX(Data_Input!$A$1:$ZZ$502, MATCH("평가금액", INDEX(Data_Input!$A$1:$ZZ$502, 0, MATCH(1, (Data_Input!$7:$7=$F$3)*(Data_Input!$8:$8=$B224), 0)), 0) + 1, MATCH(1, (Data_Input!$7:$7=$F$3)*(Data_Input!$8:$8=$B224), 0)),"")</f>
        <v/>
      </c>
      <c r="J224" s="20" t="str" cm="1">
        <f t="array" ref="J224">IFERROR(INDEX(Data_Input!$A$1:$ZZ$502, MATCH("평가손익", INDEX(Data_Input!$A$1:$ZZ$502, 0, MATCH(1, (Data_Input!$7:$7=$F$3)*(Data_Input!$8:$8=$B224), 0)), 0) + 1, MATCH(1, (Data_Input!$7:$7=$F$3)*(Data_Input!$8:$8=$B224), 0)),"")</f>
        <v/>
      </c>
      <c r="K224" s="14" t="str" cm="1">
        <f t="array" ref="K224">IFERROR(INDEX(Data_Input!$A$1:$ZZ$502, MATCH("총수익률", INDEX(Data_Input!$A$1:$ZZ$502, 0, MATCH(1, (Data_Input!$7:$7=$F$3)*(Data_Input!$8:$8=$B224), 0)), 0) + 1, MATCH(1, (Data_Input!$7:$7=$F$3)*(Data_Input!$8:$8=$B224), 0)),"")</f>
        <v/>
      </c>
      <c r="L224" t="str" cm="1">
        <f t="array" ref="L224">IFERROR(_xlfn.LET(
    _xlpm.targetDate, B224,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25" spans="1:12" x14ac:dyDescent="0.3">
      <c r="A225" s="16" t="str">
        <f t="shared" si="7"/>
        <v/>
      </c>
      <c r="B225" s="8"/>
      <c r="C225" s="17" t="str">
        <f t="shared" si="8"/>
        <v/>
      </c>
      <c r="D225" s="29" t="str" cm="1">
        <f t="array" ref="D225">IFERROR(INDEX(Data_Input!$1:$100, 10, MATCH(1, (Data_Input!$F$7:$ZZ$7=$F$3) * (Data_Input!$F$8:$ZZ$8=$B225), 0)),"")</f>
        <v/>
      </c>
      <c r="E225" s="29" t="str" cm="1">
        <f t="array" ref="E225">IFERROR(INDEX(Data_Input!$1:$100, 9, MATCH(1, (Data_Input!$7:$7=$F$3) * (Data_Input!$8:$8=$B225), 0)),"")</f>
        <v/>
      </c>
      <c r="F225" s="20" t="str" cm="1">
        <f t="array" ref="F225">IFERROR(INDEX(Data_Input!$A$1:$ZZ$502, MATCH("예수금", INDEX(Data_Input!$A$1:$ZZ$502, 0, MATCH(1, (Data_Input!$7:$7=$F$3)*(Data_Input!$8:$8=$B225), 0)), 0) + 1, MATCH(1, (Data_Input!$7:$7=$F$3)*(Data_Input!$8:$8=$B225), 0)),"")</f>
        <v/>
      </c>
      <c r="G225" s="20" t="str" cm="1">
        <f t="array" ref="G225">IFERROR(INDEX(Data_Input!$A$1:$ZZ$502, MATCH("총자산", INDEX(Data_Input!$A$1:$ZZ$502, 0, MATCH(1, (Data_Input!$7:$7=$F$3)*(Data_Input!$8:$8=$B225), 0)), 0) + 1, MATCH(1, (Data_Input!$7:$7=$F$3)*(Data_Input!$8:$8=$B225), 0)),"")</f>
        <v/>
      </c>
      <c r="H225" s="20" t="str" cm="1">
        <f t="array" ref="H225">IFERROR(INDEX(Data_Input!$A$1:$ZZ$502, MATCH("매입금액", INDEX(Data_Input!$A$1:$ZZ$502, 0, MATCH(1, (Data_Input!$7:$7=$F$3)*(Data_Input!$8:$8=$B225), 0)), 0) + 1, MATCH(1, (Data_Input!$7:$7=$F$3)*(Data_Input!$8:$8=$B225), 0)),"")</f>
        <v/>
      </c>
      <c r="I225" s="20" t="str" cm="1">
        <f t="array" ref="I225">IFERROR(INDEX(Data_Input!$A$1:$ZZ$502, MATCH("평가금액", INDEX(Data_Input!$A$1:$ZZ$502, 0, MATCH(1, (Data_Input!$7:$7=$F$3)*(Data_Input!$8:$8=$B225), 0)), 0) + 1, MATCH(1, (Data_Input!$7:$7=$F$3)*(Data_Input!$8:$8=$B225), 0)),"")</f>
        <v/>
      </c>
      <c r="J225" s="20" t="str" cm="1">
        <f t="array" ref="J225">IFERROR(INDEX(Data_Input!$A$1:$ZZ$502, MATCH("평가손익", INDEX(Data_Input!$A$1:$ZZ$502, 0, MATCH(1, (Data_Input!$7:$7=$F$3)*(Data_Input!$8:$8=$B225), 0)), 0) + 1, MATCH(1, (Data_Input!$7:$7=$F$3)*(Data_Input!$8:$8=$B225), 0)),"")</f>
        <v/>
      </c>
      <c r="K225" s="14" t="str" cm="1">
        <f t="array" ref="K225">IFERROR(INDEX(Data_Input!$A$1:$ZZ$502, MATCH("총수익률", INDEX(Data_Input!$A$1:$ZZ$502, 0, MATCH(1, (Data_Input!$7:$7=$F$3)*(Data_Input!$8:$8=$B225), 0)), 0) + 1, MATCH(1, (Data_Input!$7:$7=$F$3)*(Data_Input!$8:$8=$B225), 0)),"")</f>
        <v/>
      </c>
      <c r="L225" t="str" cm="1">
        <f t="array" ref="L225">IFERROR(_xlfn.LET(
    _xlpm.targetDate, B225,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26" spans="1:12" x14ac:dyDescent="0.3">
      <c r="A226" s="16" t="str">
        <f t="shared" si="7"/>
        <v/>
      </c>
      <c r="B226" s="8"/>
      <c r="C226" s="17" t="str">
        <f t="shared" si="8"/>
        <v/>
      </c>
      <c r="D226" s="29" t="str" cm="1">
        <f t="array" ref="D226">IFERROR(INDEX(Data_Input!$1:$100, 10, MATCH(1, (Data_Input!$F$7:$ZZ$7=$F$3) * (Data_Input!$F$8:$ZZ$8=$B226), 0)),"")</f>
        <v/>
      </c>
      <c r="E226" s="29" t="str" cm="1">
        <f t="array" ref="E226">IFERROR(INDEX(Data_Input!$1:$100, 9, MATCH(1, (Data_Input!$7:$7=$F$3) * (Data_Input!$8:$8=$B226), 0)),"")</f>
        <v/>
      </c>
      <c r="F226" s="20" t="str" cm="1">
        <f t="array" ref="F226">IFERROR(INDEX(Data_Input!$A$1:$ZZ$502, MATCH("예수금", INDEX(Data_Input!$A$1:$ZZ$502, 0, MATCH(1, (Data_Input!$7:$7=$F$3)*(Data_Input!$8:$8=$B226), 0)), 0) + 1, MATCH(1, (Data_Input!$7:$7=$F$3)*(Data_Input!$8:$8=$B226), 0)),"")</f>
        <v/>
      </c>
      <c r="G226" s="20" t="str" cm="1">
        <f t="array" ref="G226">IFERROR(INDEX(Data_Input!$A$1:$ZZ$502, MATCH("총자산", INDEX(Data_Input!$A$1:$ZZ$502, 0, MATCH(1, (Data_Input!$7:$7=$F$3)*(Data_Input!$8:$8=$B226), 0)), 0) + 1, MATCH(1, (Data_Input!$7:$7=$F$3)*(Data_Input!$8:$8=$B226), 0)),"")</f>
        <v/>
      </c>
      <c r="H226" s="20" t="str" cm="1">
        <f t="array" ref="H226">IFERROR(INDEX(Data_Input!$A$1:$ZZ$502, MATCH("매입금액", INDEX(Data_Input!$A$1:$ZZ$502, 0, MATCH(1, (Data_Input!$7:$7=$F$3)*(Data_Input!$8:$8=$B226), 0)), 0) + 1, MATCH(1, (Data_Input!$7:$7=$F$3)*(Data_Input!$8:$8=$B226), 0)),"")</f>
        <v/>
      </c>
      <c r="I226" s="20" t="str" cm="1">
        <f t="array" ref="I226">IFERROR(INDEX(Data_Input!$A$1:$ZZ$502, MATCH("평가금액", INDEX(Data_Input!$A$1:$ZZ$502, 0, MATCH(1, (Data_Input!$7:$7=$F$3)*(Data_Input!$8:$8=$B226), 0)), 0) + 1, MATCH(1, (Data_Input!$7:$7=$F$3)*(Data_Input!$8:$8=$B226), 0)),"")</f>
        <v/>
      </c>
      <c r="J226" s="20" t="str" cm="1">
        <f t="array" ref="J226">IFERROR(INDEX(Data_Input!$A$1:$ZZ$502, MATCH("평가손익", INDEX(Data_Input!$A$1:$ZZ$502, 0, MATCH(1, (Data_Input!$7:$7=$F$3)*(Data_Input!$8:$8=$B226), 0)), 0) + 1, MATCH(1, (Data_Input!$7:$7=$F$3)*(Data_Input!$8:$8=$B226), 0)),"")</f>
        <v/>
      </c>
      <c r="K226" s="14" t="str" cm="1">
        <f t="array" ref="K226">IFERROR(INDEX(Data_Input!$A$1:$ZZ$502, MATCH("총수익률", INDEX(Data_Input!$A$1:$ZZ$502, 0, MATCH(1, (Data_Input!$7:$7=$F$3)*(Data_Input!$8:$8=$B226), 0)), 0) + 1, MATCH(1, (Data_Input!$7:$7=$F$3)*(Data_Input!$8:$8=$B226), 0)),"")</f>
        <v/>
      </c>
      <c r="L226" t="str" cm="1">
        <f t="array" ref="L226">IFERROR(_xlfn.LET(
    _xlpm.targetDate, B226,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27" spans="1:12" x14ac:dyDescent="0.3">
      <c r="A227" s="16" t="str">
        <f t="shared" si="7"/>
        <v/>
      </c>
      <c r="B227" s="8"/>
      <c r="C227" s="17" t="str">
        <f t="shared" si="8"/>
        <v/>
      </c>
      <c r="D227" s="29" t="str" cm="1">
        <f t="array" ref="D227">IFERROR(INDEX(Data_Input!$1:$100, 10, MATCH(1, (Data_Input!$F$7:$ZZ$7=$F$3) * (Data_Input!$F$8:$ZZ$8=$B227), 0)),"")</f>
        <v/>
      </c>
      <c r="E227" s="29" t="str" cm="1">
        <f t="array" ref="E227">IFERROR(INDEX(Data_Input!$1:$100, 9, MATCH(1, (Data_Input!$7:$7=$F$3) * (Data_Input!$8:$8=$B227), 0)),"")</f>
        <v/>
      </c>
      <c r="F227" s="20" t="str" cm="1">
        <f t="array" ref="F227">IFERROR(INDEX(Data_Input!$A$1:$ZZ$502, MATCH("예수금", INDEX(Data_Input!$A$1:$ZZ$502, 0, MATCH(1, (Data_Input!$7:$7=$F$3)*(Data_Input!$8:$8=$B227), 0)), 0) + 1, MATCH(1, (Data_Input!$7:$7=$F$3)*(Data_Input!$8:$8=$B227), 0)),"")</f>
        <v/>
      </c>
      <c r="G227" s="20" t="str" cm="1">
        <f t="array" ref="G227">IFERROR(INDEX(Data_Input!$A$1:$ZZ$502, MATCH("총자산", INDEX(Data_Input!$A$1:$ZZ$502, 0, MATCH(1, (Data_Input!$7:$7=$F$3)*(Data_Input!$8:$8=$B227), 0)), 0) + 1, MATCH(1, (Data_Input!$7:$7=$F$3)*(Data_Input!$8:$8=$B227), 0)),"")</f>
        <v/>
      </c>
      <c r="H227" s="20" t="str" cm="1">
        <f t="array" ref="H227">IFERROR(INDEX(Data_Input!$A$1:$ZZ$502, MATCH("매입금액", INDEX(Data_Input!$A$1:$ZZ$502, 0, MATCH(1, (Data_Input!$7:$7=$F$3)*(Data_Input!$8:$8=$B227), 0)), 0) + 1, MATCH(1, (Data_Input!$7:$7=$F$3)*(Data_Input!$8:$8=$B227), 0)),"")</f>
        <v/>
      </c>
      <c r="I227" s="20" t="str" cm="1">
        <f t="array" ref="I227">IFERROR(INDEX(Data_Input!$A$1:$ZZ$502, MATCH("평가금액", INDEX(Data_Input!$A$1:$ZZ$502, 0, MATCH(1, (Data_Input!$7:$7=$F$3)*(Data_Input!$8:$8=$B227), 0)), 0) + 1, MATCH(1, (Data_Input!$7:$7=$F$3)*(Data_Input!$8:$8=$B227), 0)),"")</f>
        <v/>
      </c>
      <c r="J227" s="20" t="str" cm="1">
        <f t="array" ref="J227">IFERROR(INDEX(Data_Input!$A$1:$ZZ$502, MATCH("평가손익", INDEX(Data_Input!$A$1:$ZZ$502, 0, MATCH(1, (Data_Input!$7:$7=$F$3)*(Data_Input!$8:$8=$B227), 0)), 0) + 1, MATCH(1, (Data_Input!$7:$7=$F$3)*(Data_Input!$8:$8=$B227), 0)),"")</f>
        <v/>
      </c>
      <c r="K227" s="14" t="str" cm="1">
        <f t="array" ref="K227">IFERROR(INDEX(Data_Input!$A$1:$ZZ$502, MATCH("총수익률", INDEX(Data_Input!$A$1:$ZZ$502, 0, MATCH(1, (Data_Input!$7:$7=$F$3)*(Data_Input!$8:$8=$B227), 0)), 0) + 1, MATCH(1, (Data_Input!$7:$7=$F$3)*(Data_Input!$8:$8=$B227), 0)),"")</f>
        <v/>
      </c>
      <c r="L227" t="str" cm="1">
        <f t="array" ref="L227">IFERROR(_xlfn.LET(
    _xlpm.targetDate, B227,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28" spans="1:12" x14ac:dyDescent="0.3">
      <c r="A228" s="16" t="str">
        <f t="shared" si="7"/>
        <v/>
      </c>
      <c r="B228" s="8"/>
      <c r="C228" s="17" t="str">
        <f t="shared" si="8"/>
        <v/>
      </c>
      <c r="D228" s="29" t="str" cm="1">
        <f t="array" ref="D228">IFERROR(INDEX(Data_Input!$1:$100, 10, MATCH(1, (Data_Input!$F$7:$ZZ$7=$F$3) * (Data_Input!$F$8:$ZZ$8=$B228), 0)),"")</f>
        <v/>
      </c>
      <c r="E228" s="29" t="str" cm="1">
        <f t="array" ref="E228">IFERROR(INDEX(Data_Input!$1:$100, 9, MATCH(1, (Data_Input!$7:$7=$F$3) * (Data_Input!$8:$8=$B228), 0)),"")</f>
        <v/>
      </c>
      <c r="F228" s="20" t="str" cm="1">
        <f t="array" ref="F228">IFERROR(INDEX(Data_Input!$A$1:$ZZ$502, MATCH("예수금", INDEX(Data_Input!$A$1:$ZZ$502, 0, MATCH(1, (Data_Input!$7:$7=$F$3)*(Data_Input!$8:$8=$B228), 0)), 0) + 1, MATCH(1, (Data_Input!$7:$7=$F$3)*(Data_Input!$8:$8=$B228), 0)),"")</f>
        <v/>
      </c>
      <c r="G228" s="20" t="str" cm="1">
        <f t="array" ref="G228">IFERROR(INDEX(Data_Input!$A$1:$ZZ$502, MATCH("총자산", INDEX(Data_Input!$A$1:$ZZ$502, 0, MATCH(1, (Data_Input!$7:$7=$F$3)*(Data_Input!$8:$8=$B228), 0)), 0) + 1, MATCH(1, (Data_Input!$7:$7=$F$3)*(Data_Input!$8:$8=$B228), 0)),"")</f>
        <v/>
      </c>
      <c r="H228" s="20" t="str" cm="1">
        <f t="array" ref="H228">IFERROR(INDEX(Data_Input!$A$1:$ZZ$502, MATCH("매입금액", INDEX(Data_Input!$A$1:$ZZ$502, 0, MATCH(1, (Data_Input!$7:$7=$F$3)*(Data_Input!$8:$8=$B228), 0)), 0) + 1, MATCH(1, (Data_Input!$7:$7=$F$3)*(Data_Input!$8:$8=$B228), 0)),"")</f>
        <v/>
      </c>
      <c r="I228" s="20" t="str" cm="1">
        <f t="array" ref="I228">IFERROR(INDEX(Data_Input!$A$1:$ZZ$502, MATCH("평가금액", INDEX(Data_Input!$A$1:$ZZ$502, 0, MATCH(1, (Data_Input!$7:$7=$F$3)*(Data_Input!$8:$8=$B228), 0)), 0) + 1, MATCH(1, (Data_Input!$7:$7=$F$3)*(Data_Input!$8:$8=$B228), 0)),"")</f>
        <v/>
      </c>
      <c r="J228" s="20" t="str" cm="1">
        <f t="array" ref="J228">IFERROR(INDEX(Data_Input!$A$1:$ZZ$502, MATCH("평가손익", INDEX(Data_Input!$A$1:$ZZ$502, 0, MATCH(1, (Data_Input!$7:$7=$F$3)*(Data_Input!$8:$8=$B228), 0)), 0) + 1, MATCH(1, (Data_Input!$7:$7=$F$3)*(Data_Input!$8:$8=$B228), 0)),"")</f>
        <v/>
      </c>
      <c r="K228" s="14" t="str" cm="1">
        <f t="array" ref="K228">IFERROR(INDEX(Data_Input!$A$1:$ZZ$502, MATCH("총수익률", INDEX(Data_Input!$A$1:$ZZ$502, 0, MATCH(1, (Data_Input!$7:$7=$F$3)*(Data_Input!$8:$8=$B228), 0)), 0) + 1, MATCH(1, (Data_Input!$7:$7=$F$3)*(Data_Input!$8:$8=$B228), 0)),"")</f>
        <v/>
      </c>
      <c r="L228" t="str" cm="1">
        <f t="array" ref="L228">IFERROR(_xlfn.LET(
    _xlpm.targetDate, B228,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29" spans="1:12" x14ac:dyDescent="0.3">
      <c r="A229" s="16" t="str">
        <f t="shared" si="7"/>
        <v/>
      </c>
      <c r="B229" s="8"/>
      <c r="C229" s="17" t="str">
        <f t="shared" si="8"/>
        <v/>
      </c>
      <c r="D229" s="29" t="str" cm="1">
        <f t="array" ref="D229">IFERROR(INDEX(Data_Input!$1:$100, 10, MATCH(1, (Data_Input!$F$7:$ZZ$7=$F$3) * (Data_Input!$F$8:$ZZ$8=$B229), 0)),"")</f>
        <v/>
      </c>
      <c r="E229" s="29" t="str" cm="1">
        <f t="array" ref="E229">IFERROR(INDEX(Data_Input!$1:$100, 9, MATCH(1, (Data_Input!$7:$7=$F$3) * (Data_Input!$8:$8=$B229), 0)),"")</f>
        <v/>
      </c>
      <c r="F229" s="20" t="str" cm="1">
        <f t="array" ref="F229">IFERROR(INDEX(Data_Input!$A$1:$ZZ$502, MATCH("예수금", INDEX(Data_Input!$A$1:$ZZ$502, 0, MATCH(1, (Data_Input!$7:$7=$F$3)*(Data_Input!$8:$8=$B229), 0)), 0) + 1, MATCH(1, (Data_Input!$7:$7=$F$3)*(Data_Input!$8:$8=$B229), 0)),"")</f>
        <v/>
      </c>
      <c r="G229" s="20" t="str" cm="1">
        <f t="array" ref="G229">IFERROR(INDEX(Data_Input!$A$1:$ZZ$502, MATCH("총자산", INDEX(Data_Input!$A$1:$ZZ$502, 0, MATCH(1, (Data_Input!$7:$7=$F$3)*(Data_Input!$8:$8=$B229), 0)), 0) + 1, MATCH(1, (Data_Input!$7:$7=$F$3)*(Data_Input!$8:$8=$B229), 0)),"")</f>
        <v/>
      </c>
      <c r="H229" s="20" t="str" cm="1">
        <f t="array" ref="H229">IFERROR(INDEX(Data_Input!$A$1:$ZZ$502, MATCH("매입금액", INDEX(Data_Input!$A$1:$ZZ$502, 0, MATCH(1, (Data_Input!$7:$7=$F$3)*(Data_Input!$8:$8=$B229), 0)), 0) + 1, MATCH(1, (Data_Input!$7:$7=$F$3)*(Data_Input!$8:$8=$B229), 0)),"")</f>
        <v/>
      </c>
      <c r="I229" s="20" t="str" cm="1">
        <f t="array" ref="I229">IFERROR(INDEX(Data_Input!$A$1:$ZZ$502, MATCH("평가금액", INDEX(Data_Input!$A$1:$ZZ$502, 0, MATCH(1, (Data_Input!$7:$7=$F$3)*(Data_Input!$8:$8=$B229), 0)), 0) + 1, MATCH(1, (Data_Input!$7:$7=$F$3)*(Data_Input!$8:$8=$B229), 0)),"")</f>
        <v/>
      </c>
      <c r="J229" s="20" t="str" cm="1">
        <f t="array" ref="J229">IFERROR(INDEX(Data_Input!$A$1:$ZZ$502, MATCH("평가손익", INDEX(Data_Input!$A$1:$ZZ$502, 0, MATCH(1, (Data_Input!$7:$7=$F$3)*(Data_Input!$8:$8=$B229), 0)), 0) + 1, MATCH(1, (Data_Input!$7:$7=$F$3)*(Data_Input!$8:$8=$B229), 0)),"")</f>
        <v/>
      </c>
      <c r="K229" s="14" t="str" cm="1">
        <f t="array" ref="K229">IFERROR(INDEX(Data_Input!$A$1:$ZZ$502, MATCH("총수익률", INDEX(Data_Input!$A$1:$ZZ$502, 0, MATCH(1, (Data_Input!$7:$7=$F$3)*(Data_Input!$8:$8=$B229), 0)), 0) + 1, MATCH(1, (Data_Input!$7:$7=$F$3)*(Data_Input!$8:$8=$B229), 0)),"")</f>
        <v/>
      </c>
      <c r="L229" t="str" cm="1">
        <f t="array" ref="L229">IFERROR(_xlfn.LET(
    _xlpm.targetDate, B229,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30" spans="1:12" x14ac:dyDescent="0.3">
      <c r="A230" s="16" t="str">
        <f t="shared" si="7"/>
        <v/>
      </c>
      <c r="B230" s="8"/>
      <c r="C230" s="17" t="str">
        <f t="shared" si="8"/>
        <v/>
      </c>
      <c r="D230" s="29" t="str" cm="1">
        <f t="array" ref="D230">IFERROR(INDEX(Data_Input!$1:$100, 10, MATCH(1, (Data_Input!$F$7:$ZZ$7=$F$3) * (Data_Input!$F$8:$ZZ$8=$B230), 0)),"")</f>
        <v/>
      </c>
      <c r="E230" s="29" t="str" cm="1">
        <f t="array" ref="E230">IFERROR(INDEX(Data_Input!$1:$100, 9, MATCH(1, (Data_Input!$7:$7=$F$3) * (Data_Input!$8:$8=$B230), 0)),"")</f>
        <v/>
      </c>
      <c r="F230" s="20" t="str" cm="1">
        <f t="array" ref="F230">IFERROR(INDEX(Data_Input!$A$1:$ZZ$502, MATCH("예수금", INDEX(Data_Input!$A$1:$ZZ$502, 0, MATCH(1, (Data_Input!$7:$7=$F$3)*(Data_Input!$8:$8=$B230), 0)), 0) + 1, MATCH(1, (Data_Input!$7:$7=$F$3)*(Data_Input!$8:$8=$B230), 0)),"")</f>
        <v/>
      </c>
      <c r="G230" s="20" t="str" cm="1">
        <f t="array" ref="G230">IFERROR(INDEX(Data_Input!$A$1:$ZZ$502, MATCH("총자산", INDEX(Data_Input!$A$1:$ZZ$502, 0, MATCH(1, (Data_Input!$7:$7=$F$3)*(Data_Input!$8:$8=$B230), 0)), 0) + 1, MATCH(1, (Data_Input!$7:$7=$F$3)*(Data_Input!$8:$8=$B230), 0)),"")</f>
        <v/>
      </c>
      <c r="H230" s="20" t="str" cm="1">
        <f t="array" ref="H230">IFERROR(INDEX(Data_Input!$A$1:$ZZ$502, MATCH("매입금액", INDEX(Data_Input!$A$1:$ZZ$502, 0, MATCH(1, (Data_Input!$7:$7=$F$3)*(Data_Input!$8:$8=$B230), 0)), 0) + 1, MATCH(1, (Data_Input!$7:$7=$F$3)*(Data_Input!$8:$8=$B230), 0)),"")</f>
        <v/>
      </c>
      <c r="I230" s="20" t="str" cm="1">
        <f t="array" ref="I230">IFERROR(INDEX(Data_Input!$A$1:$ZZ$502, MATCH("평가금액", INDEX(Data_Input!$A$1:$ZZ$502, 0, MATCH(1, (Data_Input!$7:$7=$F$3)*(Data_Input!$8:$8=$B230), 0)), 0) + 1, MATCH(1, (Data_Input!$7:$7=$F$3)*(Data_Input!$8:$8=$B230), 0)),"")</f>
        <v/>
      </c>
      <c r="J230" s="20" t="str" cm="1">
        <f t="array" ref="J230">IFERROR(INDEX(Data_Input!$A$1:$ZZ$502, MATCH("평가손익", INDEX(Data_Input!$A$1:$ZZ$502, 0, MATCH(1, (Data_Input!$7:$7=$F$3)*(Data_Input!$8:$8=$B230), 0)), 0) + 1, MATCH(1, (Data_Input!$7:$7=$F$3)*(Data_Input!$8:$8=$B230), 0)),"")</f>
        <v/>
      </c>
      <c r="K230" s="14" t="str" cm="1">
        <f t="array" ref="K230">IFERROR(INDEX(Data_Input!$A$1:$ZZ$502, MATCH("총수익률", INDEX(Data_Input!$A$1:$ZZ$502, 0, MATCH(1, (Data_Input!$7:$7=$F$3)*(Data_Input!$8:$8=$B230), 0)), 0) + 1, MATCH(1, (Data_Input!$7:$7=$F$3)*(Data_Input!$8:$8=$B230), 0)),"")</f>
        <v/>
      </c>
      <c r="L230" t="str" cm="1">
        <f t="array" ref="L230">IFERROR(_xlfn.LET(
    _xlpm.targetDate, B230,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31" spans="1:12" x14ac:dyDescent="0.3">
      <c r="A231" s="16" t="str">
        <f t="shared" si="7"/>
        <v/>
      </c>
      <c r="B231" s="8"/>
      <c r="C231" s="17" t="str">
        <f t="shared" si="8"/>
        <v/>
      </c>
      <c r="D231" s="29" t="str" cm="1">
        <f t="array" ref="D231">IFERROR(INDEX(Data_Input!$1:$100, 10, MATCH(1, (Data_Input!$F$7:$ZZ$7=$F$3) * (Data_Input!$F$8:$ZZ$8=$B231), 0)),"")</f>
        <v/>
      </c>
      <c r="E231" s="29" t="str" cm="1">
        <f t="array" ref="E231">IFERROR(INDEX(Data_Input!$1:$100, 9, MATCH(1, (Data_Input!$7:$7=$F$3) * (Data_Input!$8:$8=$B231), 0)),"")</f>
        <v/>
      </c>
      <c r="F231" s="20" t="str" cm="1">
        <f t="array" ref="F231">IFERROR(INDEX(Data_Input!$A$1:$ZZ$502, MATCH("예수금", INDEX(Data_Input!$A$1:$ZZ$502, 0, MATCH(1, (Data_Input!$7:$7=$F$3)*(Data_Input!$8:$8=$B231), 0)), 0) + 1, MATCH(1, (Data_Input!$7:$7=$F$3)*(Data_Input!$8:$8=$B231), 0)),"")</f>
        <v/>
      </c>
      <c r="G231" s="20" t="str" cm="1">
        <f t="array" ref="G231">IFERROR(INDEX(Data_Input!$A$1:$ZZ$502, MATCH("총자산", INDEX(Data_Input!$A$1:$ZZ$502, 0, MATCH(1, (Data_Input!$7:$7=$F$3)*(Data_Input!$8:$8=$B231), 0)), 0) + 1, MATCH(1, (Data_Input!$7:$7=$F$3)*(Data_Input!$8:$8=$B231), 0)),"")</f>
        <v/>
      </c>
      <c r="H231" s="20" t="str" cm="1">
        <f t="array" ref="H231">IFERROR(INDEX(Data_Input!$A$1:$ZZ$502, MATCH("매입금액", INDEX(Data_Input!$A$1:$ZZ$502, 0, MATCH(1, (Data_Input!$7:$7=$F$3)*(Data_Input!$8:$8=$B231), 0)), 0) + 1, MATCH(1, (Data_Input!$7:$7=$F$3)*(Data_Input!$8:$8=$B231), 0)),"")</f>
        <v/>
      </c>
      <c r="I231" s="20" t="str" cm="1">
        <f t="array" ref="I231">IFERROR(INDEX(Data_Input!$A$1:$ZZ$502, MATCH("평가금액", INDEX(Data_Input!$A$1:$ZZ$502, 0, MATCH(1, (Data_Input!$7:$7=$F$3)*(Data_Input!$8:$8=$B231), 0)), 0) + 1, MATCH(1, (Data_Input!$7:$7=$F$3)*(Data_Input!$8:$8=$B231), 0)),"")</f>
        <v/>
      </c>
      <c r="J231" s="20" t="str" cm="1">
        <f t="array" ref="J231">IFERROR(INDEX(Data_Input!$A$1:$ZZ$502, MATCH("평가손익", INDEX(Data_Input!$A$1:$ZZ$502, 0, MATCH(1, (Data_Input!$7:$7=$F$3)*(Data_Input!$8:$8=$B231), 0)), 0) + 1, MATCH(1, (Data_Input!$7:$7=$F$3)*(Data_Input!$8:$8=$B231), 0)),"")</f>
        <v/>
      </c>
      <c r="K231" s="14" t="str" cm="1">
        <f t="array" ref="K231">IFERROR(INDEX(Data_Input!$A$1:$ZZ$502, MATCH("총수익률", INDEX(Data_Input!$A$1:$ZZ$502, 0, MATCH(1, (Data_Input!$7:$7=$F$3)*(Data_Input!$8:$8=$B231), 0)), 0) + 1, MATCH(1, (Data_Input!$7:$7=$F$3)*(Data_Input!$8:$8=$B231), 0)),"")</f>
        <v/>
      </c>
      <c r="L231" t="str" cm="1">
        <f t="array" ref="L231">IFERROR(_xlfn.LET(
    _xlpm.targetDate, B231,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32" spans="1:12" x14ac:dyDescent="0.3">
      <c r="A232" s="16" t="str">
        <f t="shared" si="7"/>
        <v/>
      </c>
      <c r="B232" s="8"/>
      <c r="C232" s="17" t="str">
        <f t="shared" si="8"/>
        <v/>
      </c>
      <c r="D232" s="29" t="str" cm="1">
        <f t="array" ref="D232">IFERROR(INDEX(Data_Input!$1:$100, 10, MATCH(1, (Data_Input!$F$7:$ZZ$7=$F$3) * (Data_Input!$F$8:$ZZ$8=$B232), 0)),"")</f>
        <v/>
      </c>
      <c r="E232" s="29" t="str" cm="1">
        <f t="array" ref="E232">IFERROR(INDEX(Data_Input!$1:$100, 9, MATCH(1, (Data_Input!$7:$7=$F$3) * (Data_Input!$8:$8=$B232), 0)),"")</f>
        <v/>
      </c>
      <c r="F232" s="20" t="str" cm="1">
        <f t="array" ref="F232">IFERROR(INDEX(Data_Input!$A$1:$ZZ$502, MATCH("예수금", INDEX(Data_Input!$A$1:$ZZ$502, 0, MATCH(1, (Data_Input!$7:$7=$F$3)*(Data_Input!$8:$8=$B232), 0)), 0) + 1, MATCH(1, (Data_Input!$7:$7=$F$3)*(Data_Input!$8:$8=$B232), 0)),"")</f>
        <v/>
      </c>
      <c r="G232" s="20" t="str" cm="1">
        <f t="array" ref="G232">IFERROR(INDEX(Data_Input!$A$1:$ZZ$502, MATCH("총자산", INDEX(Data_Input!$A$1:$ZZ$502, 0, MATCH(1, (Data_Input!$7:$7=$F$3)*(Data_Input!$8:$8=$B232), 0)), 0) + 1, MATCH(1, (Data_Input!$7:$7=$F$3)*(Data_Input!$8:$8=$B232), 0)),"")</f>
        <v/>
      </c>
      <c r="H232" s="20" t="str" cm="1">
        <f t="array" ref="H232">IFERROR(INDEX(Data_Input!$A$1:$ZZ$502, MATCH("매입금액", INDEX(Data_Input!$A$1:$ZZ$502, 0, MATCH(1, (Data_Input!$7:$7=$F$3)*(Data_Input!$8:$8=$B232), 0)), 0) + 1, MATCH(1, (Data_Input!$7:$7=$F$3)*(Data_Input!$8:$8=$B232), 0)),"")</f>
        <v/>
      </c>
      <c r="I232" s="20" t="str" cm="1">
        <f t="array" ref="I232">IFERROR(INDEX(Data_Input!$A$1:$ZZ$502, MATCH("평가금액", INDEX(Data_Input!$A$1:$ZZ$502, 0, MATCH(1, (Data_Input!$7:$7=$F$3)*(Data_Input!$8:$8=$B232), 0)), 0) + 1, MATCH(1, (Data_Input!$7:$7=$F$3)*(Data_Input!$8:$8=$B232), 0)),"")</f>
        <v/>
      </c>
      <c r="J232" s="20" t="str" cm="1">
        <f t="array" ref="J232">IFERROR(INDEX(Data_Input!$A$1:$ZZ$502, MATCH("평가손익", INDEX(Data_Input!$A$1:$ZZ$502, 0, MATCH(1, (Data_Input!$7:$7=$F$3)*(Data_Input!$8:$8=$B232), 0)), 0) + 1, MATCH(1, (Data_Input!$7:$7=$F$3)*(Data_Input!$8:$8=$B232), 0)),"")</f>
        <v/>
      </c>
      <c r="K232" s="14" t="str" cm="1">
        <f t="array" ref="K232">IFERROR(INDEX(Data_Input!$A$1:$ZZ$502, MATCH("총수익률", INDEX(Data_Input!$A$1:$ZZ$502, 0, MATCH(1, (Data_Input!$7:$7=$F$3)*(Data_Input!$8:$8=$B232), 0)), 0) + 1, MATCH(1, (Data_Input!$7:$7=$F$3)*(Data_Input!$8:$8=$B232), 0)),"")</f>
        <v/>
      </c>
      <c r="L232" t="str" cm="1">
        <f t="array" ref="L232">IFERROR(_xlfn.LET(
    _xlpm.targetDate, B232,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33" spans="1:12" x14ac:dyDescent="0.3">
      <c r="A233" s="16" t="str">
        <f t="shared" si="7"/>
        <v/>
      </c>
      <c r="B233" s="8"/>
      <c r="C233" s="17" t="str">
        <f t="shared" si="8"/>
        <v/>
      </c>
      <c r="D233" s="29" t="str" cm="1">
        <f t="array" ref="D233">IFERROR(INDEX(Data_Input!$1:$100, 10, MATCH(1, (Data_Input!$F$7:$ZZ$7=$F$3) * (Data_Input!$F$8:$ZZ$8=$B233), 0)),"")</f>
        <v/>
      </c>
      <c r="E233" s="29" t="str" cm="1">
        <f t="array" ref="E233">IFERROR(INDEX(Data_Input!$1:$100, 9, MATCH(1, (Data_Input!$7:$7=$F$3) * (Data_Input!$8:$8=$B233), 0)),"")</f>
        <v/>
      </c>
      <c r="F233" s="20" t="str" cm="1">
        <f t="array" ref="F233">IFERROR(INDEX(Data_Input!$A$1:$ZZ$502, MATCH("예수금", INDEX(Data_Input!$A$1:$ZZ$502, 0, MATCH(1, (Data_Input!$7:$7=$F$3)*(Data_Input!$8:$8=$B233), 0)), 0) + 1, MATCH(1, (Data_Input!$7:$7=$F$3)*(Data_Input!$8:$8=$B233), 0)),"")</f>
        <v/>
      </c>
      <c r="G233" s="20" t="str" cm="1">
        <f t="array" ref="G233">IFERROR(INDEX(Data_Input!$A$1:$ZZ$502, MATCH("총자산", INDEX(Data_Input!$A$1:$ZZ$502, 0, MATCH(1, (Data_Input!$7:$7=$F$3)*(Data_Input!$8:$8=$B233), 0)), 0) + 1, MATCH(1, (Data_Input!$7:$7=$F$3)*(Data_Input!$8:$8=$B233), 0)),"")</f>
        <v/>
      </c>
      <c r="H233" s="20" t="str" cm="1">
        <f t="array" ref="H233">IFERROR(INDEX(Data_Input!$A$1:$ZZ$502, MATCH("매입금액", INDEX(Data_Input!$A$1:$ZZ$502, 0, MATCH(1, (Data_Input!$7:$7=$F$3)*(Data_Input!$8:$8=$B233), 0)), 0) + 1, MATCH(1, (Data_Input!$7:$7=$F$3)*(Data_Input!$8:$8=$B233), 0)),"")</f>
        <v/>
      </c>
      <c r="I233" s="20" t="str" cm="1">
        <f t="array" ref="I233">IFERROR(INDEX(Data_Input!$A$1:$ZZ$502, MATCH("평가금액", INDEX(Data_Input!$A$1:$ZZ$502, 0, MATCH(1, (Data_Input!$7:$7=$F$3)*(Data_Input!$8:$8=$B233), 0)), 0) + 1, MATCH(1, (Data_Input!$7:$7=$F$3)*(Data_Input!$8:$8=$B233), 0)),"")</f>
        <v/>
      </c>
      <c r="J233" s="20" t="str" cm="1">
        <f t="array" ref="J233">IFERROR(INDEX(Data_Input!$A$1:$ZZ$502, MATCH("평가손익", INDEX(Data_Input!$A$1:$ZZ$502, 0, MATCH(1, (Data_Input!$7:$7=$F$3)*(Data_Input!$8:$8=$B233), 0)), 0) + 1, MATCH(1, (Data_Input!$7:$7=$F$3)*(Data_Input!$8:$8=$B233), 0)),"")</f>
        <v/>
      </c>
      <c r="K233" s="14" t="str" cm="1">
        <f t="array" ref="K233">IFERROR(INDEX(Data_Input!$A$1:$ZZ$502, MATCH("총수익률", INDEX(Data_Input!$A$1:$ZZ$502, 0, MATCH(1, (Data_Input!$7:$7=$F$3)*(Data_Input!$8:$8=$B233), 0)), 0) + 1, MATCH(1, (Data_Input!$7:$7=$F$3)*(Data_Input!$8:$8=$B233), 0)),"")</f>
        <v/>
      </c>
      <c r="L233" t="str" cm="1">
        <f t="array" ref="L233">IFERROR(_xlfn.LET(
    _xlpm.targetDate, B233,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34" spans="1:12" x14ac:dyDescent="0.3">
      <c r="A234" s="16" t="str">
        <f t="shared" si="7"/>
        <v/>
      </c>
      <c r="B234" s="8"/>
      <c r="C234" s="17" t="str">
        <f t="shared" si="8"/>
        <v/>
      </c>
      <c r="D234" s="29" t="str" cm="1">
        <f t="array" ref="D234">IFERROR(INDEX(Data_Input!$1:$100, 10, MATCH(1, (Data_Input!$F$7:$ZZ$7=$F$3) * (Data_Input!$F$8:$ZZ$8=$B234), 0)),"")</f>
        <v/>
      </c>
      <c r="E234" s="29" t="str" cm="1">
        <f t="array" ref="E234">IFERROR(INDEX(Data_Input!$1:$100, 9, MATCH(1, (Data_Input!$7:$7=$F$3) * (Data_Input!$8:$8=$B234), 0)),"")</f>
        <v/>
      </c>
      <c r="F234" s="20" t="str" cm="1">
        <f t="array" ref="F234">IFERROR(INDEX(Data_Input!$A$1:$ZZ$502, MATCH("예수금", INDEX(Data_Input!$A$1:$ZZ$502, 0, MATCH(1, (Data_Input!$7:$7=$F$3)*(Data_Input!$8:$8=$B234), 0)), 0) + 1, MATCH(1, (Data_Input!$7:$7=$F$3)*(Data_Input!$8:$8=$B234), 0)),"")</f>
        <v/>
      </c>
      <c r="G234" s="20" t="str" cm="1">
        <f t="array" ref="G234">IFERROR(INDEX(Data_Input!$A$1:$ZZ$502, MATCH("총자산", INDEX(Data_Input!$A$1:$ZZ$502, 0, MATCH(1, (Data_Input!$7:$7=$F$3)*(Data_Input!$8:$8=$B234), 0)), 0) + 1, MATCH(1, (Data_Input!$7:$7=$F$3)*(Data_Input!$8:$8=$B234), 0)),"")</f>
        <v/>
      </c>
      <c r="H234" s="20" t="str" cm="1">
        <f t="array" ref="H234">IFERROR(INDEX(Data_Input!$A$1:$ZZ$502, MATCH("매입금액", INDEX(Data_Input!$A$1:$ZZ$502, 0, MATCH(1, (Data_Input!$7:$7=$F$3)*(Data_Input!$8:$8=$B234), 0)), 0) + 1, MATCH(1, (Data_Input!$7:$7=$F$3)*(Data_Input!$8:$8=$B234), 0)),"")</f>
        <v/>
      </c>
      <c r="I234" s="20" t="str" cm="1">
        <f t="array" ref="I234">IFERROR(INDEX(Data_Input!$A$1:$ZZ$502, MATCH("평가금액", INDEX(Data_Input!$A$1:$ZZ$502, 0, MATCH(1, (Data_Input!$7:$7=$F$3)*(Data_Input!$8:$8=$B234), 0)), 0) + 1, MATCH(1, (Data_Input!$7:$7=$F$3)*(Data_Input!$8:$8=$B234), 0)),"")</f>
        <v/>
      </c>
      <c r="J234" s="20" t="str" cm="1">
        <f t="array" ref="J234">IFERROR(INDEX(Data_Input!$A$1:$ZZ$502, MATCH("평가손익", INDEX(Data_Input!$A$1:$ZZ$502, 0, MATCH(1, (Data_Input!$7:$7=$F$3)*(Data_Input!$8:$8=$B234), 0)), 0) + 1, MATCH(1, (Data_Input!$7:$7=$F$3)*(Data_Input!$8:$8=$B234), 0)),"")</f>
        <v/>
      </c>
      <c r="K234" s="14" t="str" cm="1">
        <f t="array" ref="K234">IFERROR(INDEX(Data_Input!$A$1:$ZZ$502, MATCH("총수익률", INDEX(Data_Input!$A$1:$ZZ$502, 0, MATCH(1, (Data_Input!$7:$7=$F$3)*(Data_Input!$8:$8=$B234), 0)), 0) + 1, MATCH(1, (Data_Input!$7:$7=$F$3)*(Data_Input!$8:$8=$B234), 0)),"")</f>
        <v/>
      </c>
      <c r="L234" t="str" cm="1">
        <f t="array" ref="L234">IFERROR(_xlfn.LET(
    _xlpm.targetDate, B234,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35" spans="1:12" x14ac:dyDescent="0.3">
      <c r="A235" s="16" t="str">
        <f t="shared" si="7"/>
        <v/>
      </c>
      <c r="B235" s="8"/>
      <c r="C235" s="17" t="str">
        <f t="shared" si="8"/>
        <v/>
      </c>
      <c r="D235" s="29" t="str" cm="1">
        <f t="array" ref="D235">IFERROR(INDEX(Data_Input!$1:$100, 10, MATCH(1, (Data_Input!$F$7:$ZZ$7=$F$3) * (Data_Input!$F$8:$ZZ$8=$B235), 0)),"")</f>
        <v/>
      </c>
      <c r="E235" s="29" t="str" cm="1">
        <f t="array" ref="E235">IFERROR(INDEX(Data_Input!$1:$100, 9, MATCH(1, (Data_Input!$7:$7=$F$3) * (Data_Input!$8:$8=$B235), 0)),"")</f>
        <v/>
      </c>
      <c r="F235" s="20" t="str" cm="1">
        <f t="array" ref="F235">IFERROR(INDEX(Data_Input!$A$1:$ZZ$502, MATCH("예수금", INDEX(Data_Input!$A$1:$ZZ$502, 0, MATCH(1, (Data_Input!$7:$7=$F$3)*(Data_Input!$8:$8=$B235), 0)), 0) + 1, MATCH(1, (Data_Input!$7:$7=$F$3)*(Data_Input!$8:$8=$B235), 0)),"")</f>
        <v/>
      </c>
      <c r="G235" s="20" t="str" cm="1">
        <f t="array" ref="G235">IFERROR(INDEX(Data_Input!$A$1:$ZZ$502, MATCH("총자산", INDEX(Data_Input!$A$1:$ZZ$502, 0, MATCH(1, (Data_Input!$7:$7=$F$3)*(Data_Input!$8:$8=$B235), 0)), 0) + 1, MATCH(1, (Data_Input!$7:$7=$F$3)*(Data_Input!$8:$8=$B235), 0)),"")</f>
        <v/>
      </c>
      <c r="H235" s="20" t="str" cm="1">
        <f t="array" ref="H235">IFERROR(INDEX(Data_Input!$A$1:$ZZ$502, MATCH("매입금액", INDEX(Data_Input!$A$1:$ZZ$502, 0, MATCH(1, (Data_Input!$7:$7=$F$3)*(Data_Input!$8:$8=$B235), 0)), 0) + 1, MATCH(1, (Data_Input!$7:$7=$F$3)*(Data_Input!$8:$8=$B235), 0)),"")</f>
        <v/>
      </c>
      <c r="I235" s="20" t="str" cm="1">
        <f t="array" ref="I235">IFERROR(INDEX(Data_Input!$A$1:$ZZ$502, MATCH("평가금액", INDEX(Data_Input!$A$1:$ZZ$502, 0, MATCH(1, (Data_Input!$7:$7=$F$3)*(Data_Input!$8:$8=$B235), 0)), 0) + 1, MATCH(1, (Data_Input!$7:$7=$F$3)*(Data_Input!$8:$8=$B235), 0)),"")</f>
        <v/>
      </c>
      <c r="J235" s="20" t="str" cm="1">
        <f t="array" ref="J235">IFERROR(INDEX(Data_Input!$A$1:$ZZ$502, MATCH("평가손익", INDEX(Data_Input!$A$1:$ZZ$502, 0, MATCH(1, (Data_Input!$7:$7=$F$3)*(Data_Input!$8:$8=$B235), 0)), 0) + 1, MATCH(1, (Data_Input!$7:$7=$F$3)*(Data_Input!$8:$8=$B235), 0)),"")</f>
        <v/>
      </c>
      <c r="K235" s="14" t="str" cm="1">
        <f t="array" ref="K235">IFERROR(INDEX(Data_Input!$A$1:$ZZ$502, MATCH("총수익률", INDEX(Data_Input!$A$1:$ZZ$502, 0, MATCH(1, (Data_Input!$7:$7=$F$3)*(Data_Input!$8:$8=$B235), 0)), 0) + 1, MATCH(1, (Data_Input!$7:$7=$F$3)*(Data_Input!$8:$8=$B235), 0)),"")</f>
        <v/>
      </c>
      <c r="L235" t="str" cm="1">
        <f t="array" ref="L235">IFERROR(_xlfn.LET(
    _xlpm.targetDate, B235,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36" spans="1:12" x14ac:dyDescent="0.3">
      <c r="A236" s="16" t="str">
        <f t="shared" si="7"/>
        <v/>
      </c>
      <c r="B236" s="8"/>
      <c r="C236" s="17" t="str">
        <f t="shared" si="8"/>
        <v/>
      </c>
      <c r="D236" s="29" t="str" cm="1">
        <f t="array" ref="D236">IFERROR(INDEX(Data_Input!$1:$100, 10, MATCH(1, (Data_Input!$F$7:$ZZ$7=$F$3) * (Data_Input!$F$8:$ZZ$8=$B236), 0)),"")</f>
        <v/>
      </c>
      <c r="E236" s="29" t="str" cm="1">
        <f t="array" ref="E236">IFERROR(INDEX(Data_Input!$1:$100, 9, MATCH(1, (Data_Input!$7:$7=$F$3) * (Data_Input!$8:$8=$B236), 0)),"")</f>
        <v/>
      </c>
      <c r="F236" s="20" t="str" cm="1">
        <f t="array" ref="F236">IFERROR(INDEX(Data_Input!$A$1:$ZZ$502, MATCH("예수금", INDEX(Data_Input!$A$1:$ZZ$502, 0, MATCH(1, (Data_Input!$7:$7=$F$3)*(Data_Input!$8:$8=$B236), 0)), 0) + 1, MATCH(1, (Data_Input!$7:$7=$F$3)*(Data_Input!$8:$8=$B236), 0)),"")</f>
        <v/>
      </c>
      <c r="G236" s="20" t="str" cm="1">
        <f t="array" ref="G236">IFERROR(INDEX(Data_Input!$A$1:$ZZ$502, MATCH("총자산", INDEX(Data_Input!$A$1:$ZZ$502, 0, MATCH(1, (Data_Input!$7:$7=$F$3)*(Data_Input!$8:$8=$B236), 0)), 0) + 1, MATCH(1, (Data_Input!$7:$7=$F$3)*(Data_Input!$8:$8=$B236), 0)),"")</f>
        <v/>
      </c>
      <c r="H236" s="20" t="str" cm="1">
        <f t="array" ref="H236">IFERROR(INDEX(Data_Input!$A$1:$ZZ$502, MATCH("매입금액", INDEX(Data_Input!$A$1:$ZZ$502, 0, MATCH(1, (Data_Input!$7:$7=$F$3)*(Data_Input!$8:$8=$B236), 0)), 0) + 1, MATCH(1, (Data_Input!$7:$7=$F$3)*(Data_Input!$8:$8=$B236), 0)),"")</f>
        <v/>
      </c>
      <c r="I236" s="20" t="str" cm="1">
        <f t="array" ref="I236">IFERROR(INDEX(Data_Input!$A$1:$ZZ$502, MATCH("평가금액", INDEX(Data_Input!$A$1:$ZZ$502, 0, MATCH(1, (Data_Input!$7:$7=$F$3)*(Data_Input!$8:$8=$B236), 0)), 0) + 1, MATCH(1, (Data_Input!$7:$7=$F$3)*(Data_Input!$8:$8=$B236), 0)),"")</f>
        <v/>
      </c>
      <c r="J236" s="20" t="str" cm="1">
        <f t="array" ref="J236">IFERROR(INDEX(Data_Input!$A$1:$ZZ$502, MATCH("평가손익", INDEX(Data_Input!$A$1:$ZZ$502, 0, MATCH(1, (Data_Input!$7:$7=$F$3)*(Data_Input!$8:$8=$B236), 0)), 0) + 1, MATCH(1, (Data_Input!$7:$7=$F$3)*(Data_Input!$8:$8=$B236), 0)),"")</f>
        <v/>
      </c>
      <c r="K236" s="14" t="str" cm="1">
        <f t="array" ref="K236">IFERROR(INDEX(Data_Input!$A$1:$ZZ$502, MATCH("총수익률", INDEX(Data_Input!$A$1:$ZZ$502, 0, MATCH(1, (Data_Input!$7:$7=$F$3)*(Data_Input!$8:$8=$B236), 0)), 0) + 1, MATCH(1, (Data_Input!$7:$7=$F$3)*(Data_Input!$8:$8=$B236), 0)),"")</f>
        <v/>
      </c>
      <c r="L236" t="str" cm="1">
        <f t="array" ref="L236">IFERROR(_xlfn.LET(
    _xlpm.targetDate, B236,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37" spans="1:12" x14ac:dyDescent="0.3">
      <c r="A237" s="16" t="str">
        <f t="shared" si="7"/>
        <v/>
      </c>
      <c r="B237" s="8"/>
      <c r="C237" s="17" t="str">
        <f t="shared" si="8"/>
        <v/>
      </c>
      <c r="D237" s="29" t="str" cm="1">
        <f t="array" ref="D237">IFERROR(INDEX(Data_Input!$1:$100, 10, MATCH(1, (Data_Input!$F$7:$ZZ$7=$F$3) * (Data_Input!$F$8:$ZZ$8=$B237), 0)),"")</f>
        <v/>
      </c>
      <c r="E237" s="29" t="str" cm="1">
        <f t="array" ref="E237">IFERROR(INDEX(Data_Input!$1:$100, 9, MATCH(1, (Data_Input!$7:$7=$F$3) * (Data_Input!$8:$8=$B237), 0)),"")</f>
        <v/>
      </c>
      <c r="F237" s="20" t="str" cm="1">
        <f t="array" ref="F237">IFERROR(INDEX(Data_Input!$A$1:$ZZ$502, MATCH("예수금", INDEX(Data_Input!$A$1:$ZZ$502, 0, MATCH(1, (Data_Input!$7:$7=$F$3)*(Data_Input!$8:$8=$B237), 0)), 0) + 1, MATCH(1, (Data_Input!$7:$7=$F$3)*(Data_Input!$8:$8=$B237), 0)),"")</f>
        <v/>
      </c>
      <c r="G237" s="20" t="str" cm="1">
        <f t="array" ref="G237">IFERROR(INDEX(Data_Input!$A$1:$ZZ$502, MATCH("총자산", INDEX(Data_Input!$A$1:$ZZ$502, 0, MATCH(1, (Data_Input!$7:$7=$F$3)*(Data_Input!$8:$8=$B237), 0)), 0) + 1, MATCH(1, (Data_Input!$7:$7=$F$3)*(Data_Input!$8:$8=$B237), 0)),"")</f>
        <v/>
      </c>
      <c r="H237" s="20" t="str" cm="1">
        <f t="array" ref="H237">IFERROR(INDEX(Data_Input!$A$1:$ZZ$502, MATCH("매입금액", INDEX(Data_Input!$A$1:$ZZ$502, 0, MATCH(1, (Data_Input!$7:$7=$F$3)*(Data_Input!$8:$8=$B237), 0)), 0) + 1, MATCH(1, (Data_Input!$7:$7=$F$3)*(Data_Input!$8:$8=$B237), 0)),"")</f>
        <v/>
      </c>
      <c r="I237" s="20" t="str" cm="1">
        <f t="array" ref="I237">IFERROR(INDEX(Data_Input!$A$1:$ZZ$502, MATCH("평가금액", INDEX(Data_Input!$A$1:$ZZ$502, 0, MATCH(1, (Data_Input!$7:$7=$F$3)*(Data_Input!$8:$8=$B237), 0)), 0) + 1, MATCH(1, (Data_Input!$7:$7=$F$3)*(Data_Input!$8:$8=$B237), 0)),"")</f>
        <v/>
      </c>
      <c r="J237" s="20" t="str" cm="1">
        <f t="array" ref="J237">IFERROR(INDEX(Data_Input!$A$1:$ZZ$502, MATCH("평가손익", INDEX(Data_Input!$A$1:$ZZ$502, 0, MATCH(1, (Data_Input!$7:$7=$F$3)*(Data_Input!$8:$8=$B237), 0)), 0) + 1, MATCH(1, (Data_Input!$7:$7=$F$3)*(Data_Input!$8:$8=$B237), 0)),"")</f>
        <v/>
      </c>
      <c r="K237" s="14" t="str" cm="1">
        <f t="array" ref="K237">IFERROR(INDEX(Data_Input!$A$1:$ZZ$502, MATCH("총수익률", INDEX(Data_Input!$A$1:$ZZ$502, 0, MATCH(1, (Data_Input!$7:$7=$F$3)*(Data_Input!$8:$8=$B237), 0)), 0) + 1, MATCH(1, (Data_Input!$7:$7=$F$3)*(Data_Input!$8:$8=$B237), 0)),"")</f>
        <v/>
      </c>
      <c r="L237" t="str" cm="1">
        <f t="array" ref="L237">IFERROR(_xlfn.LET(
    _xlpm.targetDate, B237,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38" spans="1:12" x14ac:dyDescent="0.3">
      <c r="A238" s="16" t="str">
        <f t="shared" si="7"/>
        <v/>
      </c>
      <c r="B238" s="8"/>
      <c r="C238" s="17" t="str">
        <f t="shared" si="8"/>
        <v/>
      </c>
      <c r="D238" s="29" t="str" cm="1">
        <f t="array" ref="D238">IFERROR(INDEX(Data_Input!$1:$100, 10, MATCH(1, (Data_Input!$F$7:$ZZ$7=$F$3) * (Data_Input!$F$8:$ZZ$8=$B238), 0)),"")</f>
        <v/>
      </c>
      <c r="E238" s="29" t="str" cm="1">
        <f t="array" ref="E238">IFERROR(INDEX(Data_Input!$1:$100, 9, MATCH(1, (Data_Input!$7:$7=$F$3) * (Data_Input!$8:$8=$B238), 0)),"")</f>
        <v/>
      </c>
      <c r="F238" s="20" t="str" cm="1">
        <f t="array" ref="F238">IFERROR(INDEX(Data_Input!$A$1:$ZZ$502, MATCH("예수금", INDEX(Data_Input!$A$1:$ZZ$502, 0, MATCH(1, (Data_Input!$7:$7=$F$3)*(Data_Input!$8:$8=$B238), 0)), 0) + 1, MATCH(1, (Data_Input!$7:$7=$F$3)*(Data_Input!$8:$8=$B238), 0)),"")</f>
        <v/>
      </c>
      <c r="G238" s="20" t="str" cm="1">
        <f t="array" ref="G238">IFERROR(INDEX(Data_Input!$A$1:$ZZ$502, MATCH("총자산", INDEX(Data_Input!$A$1:$ZZ$502, 0, MATCH(1, (Data_Input!$7:$7=$F$3)*(Data_Input!$8:$8=$B238), 0)), 0) + 1, MATCH(1, (Data_Input!$7:$7=$F$3)*(Data_Input!$8:$8=$B238), 0)),"")</f>
        <v/>
      </c>
      <c r="H238" s="20" t="str" cm="1">
        <f t="array" ref="H238">IFERROR(INDEX(Data_Input!$A$1:$ZZ$502, MATCH("매입금액", INDEX(Data_Input!$A$1:$ZZ$502, 0, MATCH(1, (Data_Input!$7:$7=$F$3)*(Data_Input!$8:$8=$B238), 0)), 0) + 1, MATCH(1, (Data_Input!$7:$7=$F$3)*(Data_Input!$8:$8=$B238), 0)),"")</f>
        <v/>
      </c>
      <c r="I238" s="20" t="str" cm="1">
        <f t="array" ref="I238">IFERROR(INDEX(Data_Input!$A$1:$ZZ$502, MATCH("평가금액", INDEX(Data_Input!$A$1:$ZZ$502, 0, MATCH(1, (Data_Input!$7:$7=$F$3)*(Data_Input!$8:$8=$B238), 0)), 0) + 1, MATCH(1, (Data_Input!$7:$7=$F$3)*(Data_Input!$8:$8=$B238), 0)),"")</f>
        <v/>
      </c>
      <c r="J238" s="20" t="str" cm="1">
        <f t="array" ref="J238">IFERROR(INDEX(Data_Input!$A$1:$ZZ$502, MATCH("평가손익", INDEX(Data_Input!$A$1:$ZZ$502, 0, MATCH(1, (Data_Input!$7:$7=$F$3)*(Data_Input!$8:$8=$B238), 0)), 0) + 1, MATCH(1, (Data_Input!$7:$7=$F$3)*(Data_Input!$8:$8=$B238), 0)),"")</f>
        <v/>
      </c>
      <c r="K238" s="14" t="str" cm="1">
        <f t="array" ref="K238">IFERROR(INDEX(Data_Input!$A$1:$ZZ$502, MATCH("총수익률", INDEX(Data_Input!$A$1:$ZZ$502, 0, MATCH(1, (Data_Input!$7:$7=$F$3)*(Data_Input!$8:$8=$B238), 0)), 0) + 1, MATCH(1, (Data_Input!$7:$7=$F$3)*(Data_Input!$8:$8=$B238), 0)),"")</f>
        <v/>
      </c>
      <c r="L238" t="str" cm="1">
        <f t="array" ref="L238">IFERROR(_xlfn.LET(
    _xlpm.targetDate, B238,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39" spans="1:12" x14ac:dyDescent="0.3">
      <c r="A239" s="16" t="str">
        <f t="shared" si="7"/>
        <v/>
      </c>
      <c r="B239" s="8"/>
      <c r="C239" s="17" t="str">
        <f t="shared" si="8"/>
        <v/>
      </c>
      <c r="D239" s="29" t="str" cm="1">
        <f t="array" ref="D239">IFERROR(INDEX(Data_Input!$1:$100, 10, MATCH(1, (Data_Input!$F$7:$ZZ$7=$F$3) * (Data_Input!$F$8:$ZZ$8=$B239), 0)),"")</f>
        <v/>
      </c>
      <c r="E239" s="29" t="str" cm="1">
        <f t="array" ref="E239">IFERROR(INDEX(Data_Input!$1:$100, 9, MATCH(1, (Data_Input!$7:$7=$F$3) * (Data_Input!$8:$8=$B239), 0)),"")</f>
        <v/>
      </c>
      <c r="F239" s="20" t="str" cm="1">
        <f t="array" ref="F239">IFERROR(INDEX(Data_Input!$A$1:$ZZ$502, MATCH("예수금", INDEX(Data_Input!$A$1:$ZZ$502, 0, MATCH(1, (Data_Input!$7:$7=$F$3)*(Data_Input!$8:$8=$B239), 0)), 0) + 1, MATCH(1, (Data_Input!$7:$7=$F$3)*(Data_Input!$8:$8=$B239), 0)),"")</f>
        <v/>
      </c>
      <c r="G239" s="20" t="str" cm="1">
        <f t="array" ref="G239">IFERROR(INDEX(Data_Input!$A$1:$ZZ$502, MATCH("총자산", INDEX(Data_Input!$A$1:$ZZ$502, 0, MATCH(1, (Data_Input!$7:$7=$F$3)*(Data_Input!$8:$8=$B239), 0)), 0) + 1, MATCH(1, (Data_Input!$7:$7=$F$3)*(Data_Input!$8:$8=$B239), 0)),"")</f>
        <v/>
      </c>
      <c r="H239" s="20" t="str" cm="1">
        <f t="array" ref="H239">IFERROR(INDEX(Data_Input!$A$1:$ZZ$502, MATCH("매입금액", INDEX(Data_Input!$A$1:$ZZ$502, 0, MATCH(1, (Data_Input!$7:$7=$F$3)*(Data_Input!$8:$8=$B239), 0)), 0) + 1, MATCH(1, (Data_Input!$7:$7=$F$3)*(Data_Input!$8:$8=$B239), 0)),"")</f>
        <v/>
      </c>
      <c r="I239" s="20" t="str" cm="1">
        <f t="array" ref="I239">IFERROR(INDEX(Data_Input!$A$1:$ZZ$502, MATCH("평가금액", INDEX(Data_Input!$A$1:$ZZ$502, 0, MATCH(1, (Data_Input!$7:$7=$F$3)*(Data_Input!$8:$8=$B239), 0)), 0) + 1, MATCH(1, (Data_Input!$7:$7=$F$3)*(Data_Input!$8:$8=$B239), 0)),"")</f>
        <v/>
      </c>
      <c r="J239" s="20" t="str" cm="1">
        <f t="array" ref="J239">IFERROR(INDEX(Data_Input!$A$1:$ZZ$502, MATCH("평가손익", INDEX(Data_Input!$A$1:$ZZ$502, 0, MATCH(1, (Data_Input!$7:$7=$F$3)*(Data_Input!$8:$8=$B239), 0)), 0) + 1, MATCH(1, (Data_Input!$7:$7=$F$3)*(Data_Input!$8:$8=$B239), 0)),"")</f>
        <v/>
      </c>
      <c r="K239" s="14" t="str" cm="1">
        <f t="array" ref="K239">IFERROR(INDEX(Data_Input!$A$1:$ZZ$502, MATCH("총수익률", INDEX(Data_Input!$A$1:$ZZ$502, 0, MATCH(1, (Data_Input!$7:$7=$F$3)*(Data_Input!$8:$8=$B239), 0)), 0) + 1, MATCH(1, (Data_Input!$7:$7=$F$3)*(Data_Input!$8:$8=$B239), 0)),"")</f>
        <v/>
      </c>
      <c r="L239" t="str" cm="1">
        <f t="array" ref="L239">IFERROR(_xlfn.LET(
    _xlpm.targetDate, B239,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40" spans="1:12" x14ac:dyDescent="0.3">
      <c r="A240" s="16" t="str">
        <f t="shared" si="7"/>
        <v/>
      </c>
      <c r="B240" s="8"/>
      <c r="C240" s="17" t="str">
        <f t="shared" si="8"/>
        <v/>
      </c>
      <c r="D240" s="29" t="str" cm="1">
        <f t="array" ref="D240">IFERROR(INDEX(Data_Input!$1:$100, 10, MATCH(1, (Data_Input!$F$7:$ZZ$7=$F$3) * (Data_Input!$F$8:$ZZ$8=$B240), 0)),"")</f>
        <v/>
      </c>
      <c r="E240" s="29" t="str" cm="1">
        <f t="array" ref="E240">IFERROR(INDEX(Data_Input!$1:$100, 9, MATCH(1, (Data_Input!$7:$7=$F$3) * (Data_Input!$8:$8=$B240), 0)),"")</f>
        <v/>
      </c>
      <c r="F240" s="20" t="str" cm="1">
        <f t="array" ref="F240">IFERROR(INDEX(Data_Input!$A$1:$ZZ$502, MATCH("예수금", INDEX(Data_Input!$A$1:$ZZ$502, 0, MATCH(1, (Data_Input!$7:$7=$F$3)*(Data_Input!$8:$8=$B240), 0)), 0) + 1, MATCH(1, (Data_Input!$7:$7=$F$3)*(Data_Input!$8:$8=$B240), 0)),"")</f>
        <v/>
      </c>
      <c r="G240" s="20" t="str" cm="1">
        <f t="array" ref="G240">IFERROR(INDEX(Data_Input!$A$1:$ZZ$502, MATCH("총자산", INDEX(Data_Input!$A$1:$ZZ$502, 0, MATCH(1, (Data_Input!$7:$7=$F$3)*(Data_Input!$8:$8=$B240), 0)), 0) + 1, MATCH(1, (Data_Input!$7:$7=$F$3)*(Data_Input!$8:$8=$B240), 0)),"")</f>
        <v/>
      </c>
      <c r="H240" s="20" t="str" cm="1">
        <f t="array" ref="H240">IFERROR(INDEX(Data_Input!$A$1:$ZZ$502, MATCH("매입금액", INDEX(Data_Input!$A$1:$ZZ$502, 0, MATCH(1, (Data_Input!$7:$7=$F$3)*(Data_Input!$8:$8=$B240), 0)), 0) + 1, MATCH(1, (Data_Input!$7:$7=$F$3)*(Data_Input!$8:$8=$B240), 0)),"")</f>
        <v/>
      </c>
      <c r="I240" s="20" t="str" cm="1">
        <f t="array" ref="I240">IFERROR(INDEX(Data_Input!$A$1:$ZZ$502, MATCH("평가금액", INDEX(Data_Input!$A$1:$ZZ$502, 0, MATCH(1, (Data_Input!$7:$7=$F$3)*(Data_Input!$8:$8=$B240), 0)), 0) + 1, MATCH(1, (Data_Input!$7:$7=$F$3)*(Data_Input!$8:$8=$B240), 0)),"")</f>
        <v/>
      </c>
      <c r="J240" s="20" t="str" cm="1">
        <f t="array" ref="J240">IFERROR(INDEX(Data_Input!$A$1:$ZZ$502, MATCH("평가손익", INDEX(Data_Input!$A$1:$ZZ$502, 0, MATCH(1, (Data_Input!$7:$7=$F$3)*(Data_Input!$8:$8=$B240), 0)), 0) + 1, MATCH(1, (Data_Input!$7:$7=$F$3)*(Data_Input!$8:$8=$B240), 0)),"")</f>
        <v/>
      </c>
      <c r="K240" s="14" t="str" cm="1">
        <f t="array" ref="K240">IFERROR(INDEX(Data_Input!$A$1:$ZZ$502, MATCH("총수익률", INDEX(Data_Input!$A$1:$ZZ$502, 0, MATCH(1, (Data_Input!$7:$7=$F$3)*(Data_Input!$8:$8=$B240), 0)), 0) + 1, MATCH(1, (Data_Input!$7:$7=$F$3)*(Data_Input!$8:$8=$B240), 0)),"")</f>
        <v/>
      </c>
      <c r="L240" t="str" cm="1">
        <f t="array" ref="L240">IFERROR(_xlfn.LET(
    _xlpm.targetDate, B240,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41" spans="1:12" x14ac:dyDescent="0.3">
      <c r="A241" s="16" t="str">
        <f t="shared" si="7"/>
        <v/>
      </c>
      <c r="B241" s="8"/>
      <c r="C241" s="17" t="str">
        <f t="shared" si="8"/>
        <v/>
      </c>
      <c r="D241" s="29" t="str" cm="1">
        <f t="array" ref="D241">IFERROR(INDEX(Data_Input!$1:$100, 10, MATCH(1, (Data_Input!$F$7:$ZZ$7=$F$3) * (Data_Input!$F$8:$ZZ$8=$B241), 0)),"")</f>
        <v/>
      </c>
      <c r="E241" s="29" t="str" cm="1">
        <f t="array" ref="E241">IFERROR(INDEX(Data_Input!$1:$100, 9, MATCH(1, (Data_Input!$7:$7=$F$3) * (Data_Input!$8:$8=$B241), 0)),"")</f>
        <v/>
      </c>
      <c r="F241" s="20" t="str" cm="1">
        <f t="array" ref="F241">IFERROR(INDEX(Data_Input!$A$1:$ZZ$502, MATCH("예수금", INDEX(Data_Input!$A$1:$ZZ$502, 0, MATCH(1, (Data_Input!$7:$7=$F$3)*(Data_Input!$8:$8=$B241), 0)), 0) + 1, MATCH(1, (Data_Input!$7:$7=$F$3)*(Data_Input!$8:$8=$B241), 0)),"")</f>
        <v/>
      </c>
      <c r="G241" s="20" t="str" cm="1">
        <f t="array" ref="G241">IFERROR(INDEX(Data_Input!$A$1:$ZZ$502, MATCH("총자산", INDEX(Data_Input!$A$1:$ZZ$502, 0, MATCH(1, (Data_Input!$7:$7=$F$3)*(Data_Input!$8:$8=$B241), 0)), 0) + 1, MATCH(1, (Data_Input!$7:$7=$F$3)*(Data_Input!$8:$8=$B241), 0)),"")</f>
        <v/>
      </c>
      <c r="H241" s="20" t="str" cm="1">
        <f t="array" ref="H241">IFERROR(INDEX(Data_Input!$A$1:$ZZ$502, MATCH("매입금액", INDEX(Data_Input!$A$1:$ZZ$502, 0, MATCH(1, (Data_Input!$7:$7=$F$3)*(Data_Input!$8:$8=$B241), 0)), 0) + 1, MATCH(1, (Data_Input!$7:$7=$F$3)*(Data_Input!$8:$8=$B241), 0)),"")</f>
        <v/>
      </c>
      <c r="I241" s="20" t="str" cm="1">
        <f t="array" ref="I241">IFERROR(INDEX(Data_Input!$A$1:$ZZ$502, MATCH("평가금액", INDEX(Data_Input!$A$1:$ZZ$502, 0, MATCH(1, (Data_Input!$7:$7=$F$3)*(Data_Input!$8:$8=$B241), 0)), 0) + 1, MATCH(1, (Data_Input!$7:$7=$F$3)*(Data_Input!$8:$8=$B241), 0)),"")</f>
        <v/>
      </c>
      <c r="J241" s="20" t="str" cm="1">
        <f t="array" ref="J241">IFERROR(INDEX(Data_Input!$A$1:$ZZ$502, MATCH("평가손익", INDEX(Data_Input!$A$1:$ZZ$502, 0, MATCH(1, (Data_Input!$7:$7=$F$3)*(Data_Input!$8:$8=$B241), 0)), 0) + 1, MATCH(1, (Data_Input!$7:$7=$F$3)*(Data_Input!$8:$8=$B241), 0)),"")</f>
        <v/>
      </c>
      <c r="K241" s="14" t="str" cm="1">
        <f t="array" ref="K241">IFERROR(INDEX(Data_Input!$A$1:$ZZ$502, MATCH("총수익률", INDEX(Data_Input!$A$1:$ZZ$502, 0, MATCH(1, (Data_Input!$7:$7=$F$3)*(Data_Input!$8:$8=$B241), 0)), 0) + 1, MATCH(1, (Data_Input!$7:$7=$F$3)*(Data_Input!$8:$8=$B241), 0)),"")</f>
        <v/>
      </c>
      <c r="L241" t="str" cm="1">
        <f t="array" ref="L241">IFERROR(_xlfn.LET(
    _xlpm.targetDate, B241,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42" spans="1:12" x14ac:dyDescent="0.3">
      <c r="A242" s="16" t="str">
        <f t="shared" si="7"/>
        <v/>
      </c>
      <c r="B242" s="8"/>
      <c r="C242" s="17" t="str">
        <f t="shared" si="8"/>
        <v/>
      </c>
      <c r="D242" s="29" t="str" cm="1">
        <f t="array" ref="D242">IFERROR(INDEX(Data_Input!$1:$100, 10, MATCH(1, (Data_Input!$F$7:$ZZ$7=$F$3) * (Data_Input!$F$8:$ZZ$8=$B242), 0)),"")</f>
        <v/>
      </c>
      <c r="E242" s="29" t="str" cm="1">
        <f t="array" ref="E242">IFERROR(INDEX(Data_Input!$1:$100, 9, MATCH(1, (Data_Input!$7:$7=$F$3) * (Data_Input!$8:$8=$B242), 0)),"")</f>
        <v/>
      </c>
      <c r="F242" s="20" t="str" cm="1">
        <f t="array" ref="F242">IFERROR(INDEX(Data_Input!$A$1:$ZZ$502, MATCH("예수금", INDEX(Data_Input!$A$1:$ZZ$502, 0, MATCH(1, (Data_Input!$7:$7=$F$3)*(Data_Input!$8:$8=$B242), 0)), 0) + 1, MATCH(1, (Data_Input!$7:$7=$F$3)*(Data_Input!$8:$8=$B242), 0)),"")</f>
        <v/>
      </c>
      <c r="G242" s="20" t="str" cm="1">
        <f t="array" ref="G242">IFERROR(INDEX(Data_Input!$A$1:$ZZ$502, MATCH("총자산", INDEX(Data_Input!$A$1:$ZZ$502, 0, MATCH(1, (Data_Input!$7:$7=$F$3)*(Data_Input!$8:$8=$B242), 0)), 0) + 1, MATCH(1, (Data_Input!$7:$7=$F$3)*(Data_Input!$8:$8=$B242), 0)),"")</f>
        <v/>
      </c>
      <c r="H242" s="20" t="str" cm="1">
        <f t="array" ref="H242">IFERROR(INDEX(Data_Input!$A$1:$ZZ$502, MATCH("매입금액", INDEX(Data_Input!$A$1:$ZZ$502, 0, MATCH(1, (Data_Input!$7:$7=$F$3)*(Data_Input!$8:$8=$B242), 0)), 0) + 1, MATCH(1, (Data_Input!$7:$7=$F$3)*(Data_Input!$8:$8=$B242), 0)),"")</f>
        <v/>
      </c>
      <c r="I242" s="20" t="str" cm="1">
        <f t="array" ref="I242">IFERROR(INDEX(Data_Input!$A$1:$ZZ$502, MATCH("평가금액", INDEX(Data_Input!$A$1:$ZZ$502, 0, MATCH(1, (Data_Input!$7:$7=$F$3)*(Data_Input!$8:$8=$B242), 0)), 0) + 1, MATCH(1, (Data_Input!$7:$7=$F$3)*(Data_Input!$8:$8=$B242), 0)),"")</f>
        <v/>
      </c>
      <c r="J242" s="20" t="str" cm="1">
        <f t="array" ref="J242">IFERROR(INDEX(Data_Input!$A$1:$ZZ$502, MATCH("평가손익", INDEX(Data_Input!$A$1:$ZZ$502, 0, MATCH(1, (Data_Input!$7:$7=$F$3)*(Data_Input!$8:$8=$B242), 0)), 0) + 1, MATCH(1, (Data_Input!$7:$7=$F$3)*(Data_Input!$8:$8=$B242), 0)),"")</f>
        <v/>
      </c>
      <c r="K242" s="14" t="str" cm="1">
        <f t="array" ref="K242">IFERROR(INDEX(Data_Input!$A$1:$ZZ$502, MATCH("총수익률", INDEX(Data_Input!$A$1:$ZZ$502, 0, MATCH(1, (Data_Input!$7:$7=$F$3)*(Data_Input!$8:$8=$B242), 0)), 0) + 1, MATCH(1, (Data_Input!$7:$7=$F$3)*(Data_Input!$8:$8=$B242), 0)),"")</f>
        <v/>
      </c>
      <c r="L242" t="str" cm="1">
        <f t="array" ref="L242">IFERROR(_xlfn.LET(
    _xlpm.targetDate, B242,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43" spans="1:12" x14ac:dyDescent="0.3">
      <c r="A243" s="16" t="str">
        <f t="shared" si="7"/>
        <v/>
      </c>
      <c r="B243" s="8"/>
      <c r="C243" s="17" t="str">
        <f t="shared" si="8"/>
        <v/>
      </c>
      <c r="D243" s="29" t="str" cm="1">
        <f t="array" ref="D243">IFERROR(INDEX(Data_Input!$1:$100, 10, MATCH(1, (Data_Input!$F$7:$ZZ$7=$F$3) * (Data_Input!$F$8:$ZZ$8=$B243), 0)),"")</f>
        <v/>
      </c>
      <c r="E243" s="29" t="str" cm="1">
        <f t="array" ref="E243">IFERROR(INDEX(Data_Input!$1:$100, 9, MATCH(1, (Data_Input!$7:$7=$F$3) * (Data_Input!$8:$8=$B243), 0)),"")</f>
        <v/>
      </c>
      <c r="F243" s="20" t="str" cm="1">
        <f t="array" ref="F243">IFERROR(INDEX(Data_Input!$A$1:$ZZ$502, MATCH("예수금", INDEX(Data_Input!$A$1:$ZZ$502, 0, MATCH(1, (Data_Input!$7:$7=$F$3)*(Data_Input!$8:$8=$B243), 0)), 0) + 1, MATCH(1, (Data_Input!$7:$7=$F$3)*(Data_Input!$8:$8=$B243), 0)),"")</f>
        <v/>
      </c>
      <c r="G243" s="20" t="str" cm="1">
        <f t="array" ref="G243">IFERROR(INDEX(Data_Input!$A$1:$ZZ$502, MATCH("총자산", INDEX(Data_Input!$A$1:$ZZ$502, 0, MATCH(1, (Data_Input!$7:$7=$F$3)*(Data_Input!$8:$8=$B243), 0)), 0) + 1, MATCH(1, (Data_Input!$7:$7=$F$3)*(Data_Input!$8:$8=$B243), 0)),"")</f>
        <v/>
      </c>
      <c r="H243" s="20" t="str" cm="1">
        <f t="array" ref="H243">IFERROR(INDEX(Data_Input!$A$1:$ZZ$502, MATCH("매입금액", INDEX(Data_Input!$A$1:$ZZ$502, 0, MATCH(1, (Data_Input!$7:$7=$F$3)*(Data_Input!$8:$8=$B243), 0)), 0) + 1, MATCH(1, (Data_Input!$7:$7=$F$3)*(Data_Input!$8:$8=$B243), 0)),"")</f>
        <v/>
      </c>
      <c r="I243" s="20" t="str" cm="1">
        <f t="array" ref="I243">IFERROR(INDEX(Data_Input!$A$1:$ZZ$502, MATCH("평가금액", INDEX(Data_Input!$A$1:$ZZ$502, 0, MATCH(1, (Data_Input!$7:$7=$F$3)*(Data_Input!$8:$8=$B243), 0)), 0) + 1, MATCH(1, (Data_Input!$7:$7=$F$3)*(Data_Input!$8:$8=$B243), 0)),"")</f>
        <v/>
      </c>
      <c r="J243" s="20" t="str" cm="1">
        <f t="array" ref="J243">IFERROR(INDEX(Data_Input!$A$1:$ZZ$502, MATCH("평가손익", INDEX(Data_Input!$A$1:$ZZ$502, 0, MATCH(1, (Data_Input!$7:$7=$F$3)*(Data_Input!$8:$8=$B243), 0)), 0) + 1, MATCH(1, (Data_Input!$7:$7=$F$3)*(Data_Input!$8:$8=$B243), 0)),"")</f>
        <v/>
      </c>
      <c r="K243" s="14" t="str" cm="1">
        <f t="array" ref="K243">IFERROR(INDEX(Data_Input!$A$1:$ZZ$502, MATCH("총수익률", INDEX(Data_Input!$A$1:$ZZ$502, 0, MATCH(1, (Data_Input!$7:$7=$F$3)*(Data_Input!$8:$8=$B243), 0)), 0) + 1, MATCH(1, (Data_Input!$7:$7=$F$3)*(Data_Input!$8:$8=$B243), 0)),"")</f>
        <v/>
      </c>
      <c r="L243" t="str" cm="1">
        <f t="array" ref="L243">IFERROR(_xlfn.LET(
    _xlpm.targetDate, B243,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44" spans="1:12" x14ac:dyDescent="0.3">
      <c r="A244" s="16" t="str">
        <f t="shared" si="7"/>
        <v/>
      </c>
      <c r="B244" s="8"/>
      <c r="C244" s="17" t="str">
        <f t="shared" si="8"/>
        <v/>
      </c>
      <c r="D244" s="29" t="str" cm="1">
        <f t="array" ref="D244">IFERROR(INDEX(Data_Input!$1:$100, 10, MATCH(1, (Data_Input!$F$7:$ZZ$7=$F$3) * (Data_Input!$F$8:$ZZ$8=$B244), 0)),"")</f>
        <v/>
      </c>
      <c r="E244" s="29" t="str" cm="1">
        <f t="array" ref="E244">IFERROR(INDEX(Data_Input!$1:$100, 9, MATCH(1, (Data_Input!$7:$7=$F$3) * (Data_Input!$8:$8=$B244), 0)),"")</f>
        <v/>
      </c>
      <c r="F244" s="20" t="str" cm="1">
        <f t="array" ref="F244">IFERROR(INDEX(Data_Input!$A$1:$ZZ$502, MATCH("예수금", INDEX(Data_Input!$A$1:$ZZ$502, 0, MATCH(1, (Data_Input!$7:$7=$F$3)*(Data_Input!$8:$8=$B244), 0)), 0) + 1, MATCH(1, (Data_Input!$7:$7=$F$3)*(Data_Input!$8:$8=$B244), 0)),"")</f>
        <v/>
      </c>
      <c r="G244" s="20" t="str" cm="1">
        <f t="array" ref="G244">IFERROR(INDEX(Data_Input!$A$1:$ZZ$502, MATCH("총자산", INDEX(Data_Input!$A$1:$ZZ$502, 0, MATCH(1, (Data_Input!$7:$7=$F$3)*(Data_Input!$8:$8=$B244), 0)), 0) + 1, MATCH(1, (Data_Input!$7:$7=$F$3)*(Data_Input!$8:$8=$B244), 0)),"")</f>
        <v/>
      </c>
      <c r="H244" s="20" t="str" cm="1">
        <f t="array" ref="H244">IFERROR(INDEX(Data_Input!$A$1:$ZZ$502, MATCH("매입금액", INDEX(Data_Input!$A$1:$ZZ$502, 0, MATCH(1, (Data_Input!$7:$7=$F$3)*(Data_Input!$8:$8=$B244), 0)), 0) + 1, MATCH(1, (Data_Input!$7:$7=$F$3)*(Data_Input!$8:$8=$B244), 0)),"")</f>
        <v/>
      </c>
      <c r="I244" s="20" t="str" cm="1">
        <f t="array" ref="I244">IFERROR(INDEX(Data_Input!$A$1:$ZZ$502, MATCH("평가금액", INDEX(Data_Input!$A$1:$ZZ$502, 0, MATCH(1, (Data_Input!$7:$7=$F$3)*(Data_Input!$8:$8=$B244), 0)), 0) + 1, MATCH(1, (Data_Input!$7:$7=$F$3)*(Data_Input!$8:$8=$B244), 0)),"")</f>
        <v/>
      </c>
      <c r="J244" s="20" t="str" cm="1">
        <f t="array" ref="J244">IFERROR(INDEX(Data_Input!$A$1:$ZZ$502, MATCH("평가손익", INDEX(Data_Input!$A$1:$ZZ$502, 0, MATCH(1, (Data_Input!$7:$7=$F$3)*(Data_Input!$8:$8=$B244), 0)), 0) + 1, MATCH(1, (Data_Input!$7:$7=$F$3)*(Data_Input!$8:$8=$B244), 0)),"")</f>
        <v/>
      </c>
      <c r="K244" s="14" t="str" cm="1">
        <f t="array" ref="K244">IFERROR(INDEX(Data_Input!$A$1:$ZZ$502, MATCH("총수익률", INDEX(Data_Input!$A$1:$ZZ$502, 0, MATCH(1, (Data_Input!$7:$7=$F$3)*(Data_Input!$8:$8=$B244), 0)), 0) + 1, MATCH(1, (Data_Input!$7:$7=$F$3)*(Data_Input!$8:$8=$B244), 0)),"")</f>
        <v/>
      </c>
      <c r="L244" t="str" cm="1">
        <f t="array" ref="L244">IFERROR(_xlfn.LET(
    _xlpm.targetDate, B244,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45" spans="1:12" x14ac:dyDescent="0.3">
      <c r="A245" s="16" t="str">
        <f t="shared" si="7"/>
        <v/>
      </c>
      <c r="B245" s="8"/>
      <c r="C245" s="17" t="str">
        <f t="shared" si="8"/>
        <v/>
      </c>
      <c r="D245" s="29" t="str" cm="1">
        <f t="array" ref="D245">IFERROR(INDEX(Data_Input!$1:$100, 10, MATCH(1, (Data_Input!$F$7:$ZZ$7=$F$3) * (Data_Input!$F$8:$ZZ$8=$B245), 0)),"")</f>
        <v/>
      </c>
      <c r="E245" s="29" t="str" cm="1">
        <f t="array" ref="E245">IFERROR(INDEX(Data_Input!$1:$100, 9, MATCH(1, (Data_Input!$7:$7=$F$3) * (Data_Input!$8:$8=$B245), 0)),"")</f>
        <v/>
      </c>
      <c r="F245" s="20" t="str" cm="1">
        <f t="array" ref="F245">IFERROR(INDEX(Data_Input!$A$1:$ZZ$502, MATCH("예수금", INDEX(Data_Input!$A$1:$ZZ$502, 0, MATCH(1, (Data_Input!$7:$7=$F$3)*(Data_Input!$8:$8=$B245), 0)), 0) + 1, MATCH(1, (Data_Input!$7:$7=$F$3)*(Data_Input!$8:$8=$B245), 0)),"")</f>
        <v/>
      </c>
      <c r="G245" s="20" t="str" cm="1">
        <f t="array" ref="G245">IFERROR(INDEX(Data_Input!$A$1:$ZZ$502, MATCH("총자산", INDEX(Data_Input!$A$1:$ZZ$502, 0, MATCH(1, (Data_Input!$7:$7=$F$3)*(Data_Input!$8:$8=$B245), 0)), 0) + 1, MATCH(1, (Data_Input!$7:$7=$F$3)*(Data_Input!$8:$8=$B245), 0)),"")</f>
        <v/>
      </c>
      <c r="H245" s="20" t="str" cm="1">
        <f t="array" ref="H245">IFERROR(INDEX(Data_Input!$A$1:$ZZ$502, MATCH("매입금액", INDEX(Data_Input!$A$1:$ZZ$502, 0, MATCH(1, (Data_Input!$7:$7=$F$3)*(Data_Input!$8:$8=$B245), 0)), 0) + 1, MATCH(1, (Data_Input!$7:$7=$F$3)*(Data_Input!$8:$8=$B245), 0)),"")</f>
        <v/>
      </c>
      <c r="I245" s="20" t="str" cm="1">
        <f t="array" ref="I245">IFERROR(INDEX(Data_Input!$A$1:$ZZ$502, MATCH("평가금액", INDEX(Data_Input!$A$1:$ZZ$502, 0, MATCH(1, (Data_Input!$7:$7=$F$3)*(Data_Input!$8:$8=$B245), 0)), 0) + 1, MATCH(1, (Data_Input!$7:$7=$F$3)*(Data_Input!$8:$8=$B245), 0)),"")</f>
        <v/>
      </c>
      <c r="J245" s="20" t="str" cm="1">
        <f t="array" ref="J245">IFERROR(INDEX(Data_Input!$A$1:$ZZ$502, MATCH("평가손익", INDEX(Data_Input!$A$1:$ZZ$502, 0, MATCH(1, (Data_Input!$7:$7=$F$3)*(Data_Input!$8:$8=$B245), 0)), 0) + 1, MATCH(1, (Data_Input!$7:$7=$F$3)*(Data_Input!$8:$8=$B245), 0)),"")</f>
        <v/>
      </c>
      <c r="K245" s="14" t="str" cm="1">
        <f t="array" ref="K245">IFERROR(INDEX(Data_Input!$A$1:$ZZ$502, MATCH("총수익률", INDEX(Data_Input!$A$1:$ZZ$502, 0, MATCH(1, (Data_Input!$7:$7=$F$3)*(Data_Input!$8:$8=$B245), 0)), 0) + 1, MATCH(1, (Data_Input!$7:$7=$F$3)*(Data_Input!$8:$8=$B245), 0)),"")</f>
        <v/>
      </c>
      <c r="L245" t="str" cm="1">
        <f t="array" ref="L245">IFERROR(_xlfn.LET(
    _xlpm.targetDate, B245,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46" spans="1:12" x14ac:dyDescent="0.3">
      <c r="A246" s="16" t="str">
        <f t="shared" si="7"/>
        <v/>
      </c>
      <c r="B246" s="8"/>
      <c r="C246" s="17" t="str">
        <f t="shared" si="8"/>
        <v/>
      </c>
      <c r="D246" s="29" t="str" cm="1">
        <f t="array" ref="D246">IFERROR(INDEX(Data_Input!$1:$100, 10, MATCH(1, (Data_Input!$F$7:$ZZ$7=$F$3) * (Data_Input!$F$8:$ZZ$8=$B246), 0)),"")</f>
        <v/>
      </c>
      <c r="E246" s="29" t="str" cm="1">
        <f t="array" ref="E246">IFERROR(INDEX(Data_Input!$1:$100, 9, MATCH(1, (Data_Input!$7:$7=$F$3) * (Data_Input!$8:$8=$B246), 0)),"")</f>
        <v/>
      </c>
      <c r="F246" s="20" t="str" cm="1">
        <f t="array" ref="F246">IFERROR(INDEX(Data_Input!$A$1:$ZZ$502, MATCH("예수금", INDEX(Data_Input!$A$1:$ZZ$502, 0, MATCH(1, (Data_Input!$7:$7=$F$3)*(Data_Input!$8:$8=$B246), 0)), 0) + 1, MATCH(1, (Data_Input!$7:$7=$F$3)*(Data_Input!$8:$8=$B246), 0)),"")</f>
        <v/>
      </c>
      <c r="G246" s="20" t="str" cm="1">
        <f t="array" ref="G246">IFERROR(INDEX(Data_Input!$A$1:$ZZ$502, MATCH("총자산", INDEX(Data_Input!$A$1:$ZZ$502, 0, MATCH(1, (Data_Input!$7:$7=$F$3)*(Data_Input!$8:$8=$B246), 0)), 0) + 1, MATCH(1, (Data_Input!$7:$7=$F$3)*(Data_Input!$8:$8=$B246), 0)),"")</f>
        <v/>
      </c>
      <c r="H246" s="20" t="str" cm="1">
        <f t="array" ref="H246">IFERROR(INDEX(Data_Input!$A$1:$ZZ$502, MATCH("매입금액", INDEX(Data_Input!$A$1:$ZZ$502, 0, MATCH(1, (Data_Input!$7:$7=$F$3)*(Data_Input!$8:$8=$B246), 0)), 0) + 1, MATCH(1, (Data_Input!$7:$7=$F$3)*(Data_Input!$8:$8=$B246), 0)),"")</f>
        <v/>
      </c>
      <c r="I246" s="20" t="str" cm="1">
        <f t="array" ref="I246">IFERROR(INDEX(Data_Input!$A$1:$ZZ$502, MATCH("평가금액", INDEX(Data_Input!$A$1:$ZZ$502, 0, MATCH(1, (Data_Input!$7:$7=$F$3)*(Data_Input!$8:$8=$B246), 0)), 0) + 1, MATCH(1, (Data_Input!$7:$7=$F$3)*(Data_Input!$8:$8=$B246), 0)),"")</f>
        <v/>
      </c>
      <c r="J246" s="20" t="str" cm="1">
        <f t="array" ref="J246">IFERROR(INDEX(Data_Input!$A$1:$ZZ$502, MATCH("평가손익", INDEX(Data_Input!$A$1:$ZZ$502, 0, MATCH(1, (Data_Input!$7:$7=$F$3)*(Data_Input!$8:$8=$B246), 0)), 0) + 1, MATCH(1, (Data_Input!$7:$7=$F$3)*(Data_Input!$8:$8=$B246), 0)),"")</f>
        <v/>
      </c>
      <c r="K246" s="14" t="str" cm="1">
        <f t="array" ref="K246">IFERROR(INDEX(Data_Input!$A$1:$ZZ$502, MATCH("총수익률", INDEX(Data_Input!$A$1:$ZZ$502, 0, MATCH(1, (Data_Input!$7:$7=$F$3)*(Data_Input!$8:$8=$B246), 0)), 0) + 1, MATCH(1, (Data_Input!$7:$7=$F$3)*(Data_Input!$8:$8=$B246), 0)),"")</f>
        <v/>
      </c>
      <c r="L246" t="str" cm="1">
        <f t="array" ref="L246">IFERROR(_xlfn.LET(
    _xlpm.targetDate, B246,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47" spans="1:12" x14ac:dyDescent="0.3">
      <c r="A247" s="16" t="str">
        <f t="shared" si="7"/>
        <v/>
      </c>
      <c r="B247" s="8"/>
      <c r="C247" s="17" t="str">
        <f t="shared" si="8"/>
        <v/>
      </c>
      <c r="D247" s="29" t="str" cm="1">
        <f t="array" ref="D247">IFERROR(INDEX(Data_Input!$1:$100, 10, MATCH(1, (Data_Input!$F$7:$ZZ$7=$F$3) * (Data_Input!$F$8:$ZZ$8=$B247), 0)),"")</f>
        <v/>
      </c>
      <c r="E247" s="29" t="str" cm="1">
        <f t="array" ref="E247">IFERROR(INDEX(Data_Input!$1:$100, 9, MATCH(1, (Data_Input!$7:$7=$F$3) * (Data_Input!$8:$8=$B247), 0)),"")</f>
        <v/>
      </c>
      <c r="F247" s="20" t="str" cm="1">
        <f t="array" ref="F247">IFERROR(INDEX(Data_Input!$A$1:$ZZ$502, MATCH("예수금", INDEX(Data_Input!$A$1:$ZZ$502, 0, MATCH(1, (Data_Input!$7:$7=$F$3)*(Data_Input!$8:$8=$B247), 0)), 0) + 1, MATCH(1, (Data_Input!$7:$7=$F$3)*(Data_Input!$8:$8=$B247), 0)),"")</f>
        <v/>
      </c>
      <c r="G247" s="20" t="str" cm="1">
        <f t="array" ref="G247">IFERROR(INDEX(Data_Input!$A$1:$ZZ$502, MATCH("총자산", INDEX(Data_Input!$A$1:$ZZ$502, 0, MATCH(1, (Data_Input!$7:$7=$F$3)*(Data_Input!$8:$8=$B247), 0)), 0) + 1, MATCH(1, (Data_Input!$7:$7=$F$3)*(Data_Input!$8:$8=$B247), 0)),"")</f>
        <v/>
      </c>
      <c r="H247" s="20" t="str" cm="1">
        <f t="array" ref="H247">IFERROR(INDEX(Data_Input!$A$1:$ZZ$502, MATCH("매입금액", INDEX(Data_Input!$A$1:$ZZ$502, 0, MATCH(1, (Data_Input!$7:$7=$F$3)*(Data_Input!$8:$8=$B247), 0)), 0) + 1, MATCH(1, (Data_Input!$7:$7=$F$3)*(Data_Input!$8:$8=$B247), 0)),"")</f>
        <v/>
      </c>
      <c r="I247" s="20" t="str" cm="1">
        <f t="array" ref="I247">IFERROR(INDEX(Data_Input!$A$1:$ZZ$502, MATCH("평가금액", INDEX(Data_Input!$A$1:$ZZ$502, 0, MATCH(1, (Data_Input!$7:$7=$F$3)*(Data_Input!$8:$8=$B247), 0)), 0) + 1, MATCH(1, (Data_Input!$7:$7=$F$3)*(Data_Input!$8:$8=$B247), 0)),"")</f>
        <v/>
      </c>
      <c r="J247" s="20" t="str" cm="1">
        <f t="array" ref="J247">IFERROR(INDEX(Data_Input!$A$1:$ZZ$502, MATCH("평가손익", INDEX(Data_Input!$A$1:$ZZ$502, 0, MATCH(1, (Data_Input!$7:$7=$F$3)*(Data_Input!$8:$8=$B247), 0)), 0) + 1, MATCH(1, (Data_Input!$7:$7=$F$3)*(Data_Input!$8:$8=$B247), 0)),"")</f>
        <v/>
      </c>
      <c r="K247" s="14" t="str" cm="1">
        <f t="array" ref="K247">IFERROR(INDEX(Data_Input!$A$1:$ZZ$502, MATCH("총수익률", INDEX(Data_Input!$A$1:$ZZ$502, 0, MATCH(1, (Data_Input!$7:$7=$F$3)*(Data_Input!$8:$8=$B247), 0)), 0) + 1, MATCH(1, (Data_Input!$7:$7=$F$3)*(Data_Input!$8:$8=$B247), 0)),"")</f>
        <v/>
      </c>
      <c r="L247" t="str" cm="1">
        <f t="array" ref="L247">IFERROR(_xlfn.LET(
    _xlpm.targetDate, B247,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48" spans="1:12" x14ac:dyDescent="0.3">
      <c r="A248" s="16" t="str">
        <f t="shared" si="7"/>
        <v/>
      </c>
      <c r="B248" s="8"/>
      <c r="C248" s="17" t="str">
        <f t="shared" si="8"/>
        <v/>
      </c>
      <c r="D248" s="29" t="str" cm="1">
        <f t="array" ref="D248">IFERROR(INDEX(Data_Input!$1:$100, 10, MATCH(1, (Data_Input!$F$7:$ZZ$7=$F$3) * (Data_Input!$F$8:$ZZ$8=$B248), 0)),"")</f>
        <v/>
      </c>
      <c r="E248" s="29" t="str" cm="1">
        <f t="array" ref="E248">IFERROR(INDEX(Data_Input!$1:$100, 9, MATCH(1, (Data_Input!$7:$7=$F$3) * (Data_Input!$8:$8=$B248), 0)),"")</f>
        <v/>
      </c>
      <c r="F248" s="20" t="str" cm="1">
        <f t="array" ref="F248">IFERROR(INDEX(Data_Input!$A$1:$ZZ$502, MATCH("예수금", INDEX(Data_Input!$A$1:$ZZ$502, 0, MATCH(1, (Data_Input!$7:$7=$F$3)*(Data_Input!$8:$8=$B248), 0)), 0) + 1, MATCH(1, (Data_Input!$7:$7=$F$3)*(Data_Input!$8:$8=$B248), 0)),"")</f>
        <v/>
      </c>
      <c r="G248" s="20" t="str" cm="1">
        <f t="array" ref="G248">IFERROR(INDEX(Data_Input!$A$1:$ZZ$502, MATCH("총자산", INDEX(Data_Input!$A$1:$ZZ$502, 0, MATCH(1, (Data_Input!$7:$7=$F$3)*(Data_Input!$8:$8=$B248), 0)), 0) + 1, MATCH(1, (Data_Input!$7:$7=$F$3)*(Data_Input!$8:$8=$B248), 0)),"")</f>
        <v/>
      </c>
      <c r="H248" s="20" t="str" cm="1">
        <f t="array" ref="H248">IFERROR(INDEX(Data_Input!$A$1:$ZZ$502, MATCH("매입금액", INDEX(Data_Input!$A$1:$ZZ$502, 0, MATCH(1, (Data_Input!$7:$7=$F$3)*(Data_Input!$8:$8=$B248), 0)), 0) + 1, MATCH(1, (Data_Input!$7:$7=$F$3)*(Data_Input!$8:$8=$B248), 0)),"")</f>
        <v/>
      </c>
      <c r="I248" s="20" t="str" cm="1">
        <f t="array" ref="I248">IFERROR(INDEX(Data_Input!$A$1:$ZZ$502, MATCH("평가금액", INDEX(Data_Input!$A$1:$ZZ$502, 0, MATCH(1, (Data_Input!$7:$7=$F$3)*(Data_Input!$8:$8=$B248), 0)), 0) + 1, MATCH(1, (Data_Input!$7:$7=$F$3)*(Data_Input!$8:$8=$B248), 0)),"")</f>
        <v/>
      </c>
      <c r="J248" s="20" t="str" cm="1">
        <f t="array" ref="J248">IFERROR(INDEX(Data_Input!$A$1:$ZZ$502, MATCH("평가손익", INDEX(Data_Input!$A$1:$ZZ$502, 0, MATCH(1, (Data_Input!$7:$7=$F$3)*(Data_Input!$8:$8=$B248), 0)), 0) + 1, MATCH(1, (Data_Input!$7:$7=$F$3)*(Data_Input!$8:$8=$B248), 0)),"")</f>
        <v/>
      </c>
      <c r="K248" s="14" t="str" cm="1">
        <f t="array" ref="K248">IFERROR(INDEX(Data_Input!$A$1:$ZZ$502, MATCH("총수익률", INDEX(Data_Input!$A$1:$ZZ$502, 0, MATCH(1, (Data_Input!$7:$7=$F$3)*(Data_Input!$8:$8=$B248), 0)), 0) + 1, MATCH(1, (Data_Input!$7:$7=$F$3)*(Data_Input!$8:$8=$B248), 0)),"")</f>
        <v/>
      </c>
      <c r="L248" t="str" cm="1">
        <f t="array" ref="L248">IFERROR(_xlfn.LET(
    _xlpm.targetDate, B248,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49" spans="1:12" x14ac:dyDescent="0.3">
      <c r="A249" s="16" t="str">
        <f t="shared" si="7"/>
        <v/>
      </c>
      <c r="B249" s="8"/>
      <c r="C249" s="17" t="str">
        <f t="shared" si="8"/>
        <v/>
      </c>
      <c r="D249" s="29" t="str" cm="1">
        <f t="array" ref="D249">IFERROR(INDEX(Data_Input!$1:$100, 10, MATCH(1, (Data_Input!$F$7:$ZZ$7=$F$3) * (Data_Input!$F$8:$ZZ$8=$B249), 0)),"")</f>
        <v/>
      </c>
      <c r="E249" s="29" t="str" cm="1">
        <f t="array" ref="E249">IFERROR(INDEX(Data_Input!$1:$100, 9, MATCH(1, (Data_Input!$7:$7=$F$3) * (Data_Input!$8:$8=$B249), 0)),"")</f>
        <v/>
      </c>
      <c r="F249" s="20" t="str" cm="1">
        <f t="array" ref="F249">IFERROR(INDEX(Data_Input!$A$1:$ZZ$502, MATCH("예수금", INDEX(Data_Input!$A$1:$ZZ$502, 0, MATCH(1, (Data_Input!$7:$7=$F$3)*(Data_Input!$8:$8=$B249), 0)), 0) + 1, MATCH(1, (Data_Input!$7:$7=$F$3)*(Data_Input!$8:$8=$B249), 0)),"")</f>
        <v/>
      </c>
      <c r="G249" s="20" t="str" cm="1">
        <f t="array" ref="G249">IFERROR(INDEX(Data_Input!$A$1:$ZZ$502, MATCH("총자산", INDEX(Data_Input!$A$1:$ZZ$502, 0, MATCH(1, (Data_Input!$7:$7=$F$3)*(Data_Input!$8:$8=$B249), 0)), 0) + 1, MATCH(1, (Data_Input!$7:$7=$F$3)*(Data_Input!$8:$8=$B249), 0)),"")</f>
        <v/>
      </c>
      <c r="H249" s="20" t="str" cm="1">
        <f t="array" ref="H249">IFERROR(INDEX(Data_Input!$A$1:$ZZ$502, MATCH("매입금액", INDEX(Data_Input!$A$1:$ZZ$502, 0, MATCH(1, (Data_Input!$7:$7=$F$3)*(Data_Input!$8:$8=$B249), 0)), 0) + 1, MATCH(1, (Data_Input!$7:$7=$F$3)*(Data_Input!$8:$8=$B249), 0)),"")</f>
        <v/>
      </c>
      <c r="I249" s="20" t="str" cm="1">
        <f t="array" ref="I249">IFERROR(INDEX(Data_Input!$A$1:$ZZ$502, MATCH("평가금액", INDEX(Data_Input!$A$1:$ZZ$502, 0, MATCH(1, (Data_Input!$7:$7=$F$3)*(Data_Input!$8:$8=$B249), 0)), 0) + 1, MATCH(1, (Data_Input!$7:$7=$F$3)*(Data_Input!$8:$8=$B249), 0)),"")</f>
        <v/>
      </c>
      <c r="J249" s="20" t="str" cm="1">
        <f t="array" ref="J249">IFERROR(INDEX(Data_Input!$A$1:$ZZ$502, MATCH("평가손익", INDEX(Data_Input!$A$1:$ZZ$502, 0, MATCH(1, (Data_Input!$7:$7=$F$3)*(Data_Input!$8:$8=$B249), 0)), 0) + 1, MATCH(1, (Data_Input!$7:$7=$F$3)*(Data_Input!$8:$8=$B249), 0)),"")</f>
        <v/>
      </c>
      <c r="K249" s="14" t="str" cm="1">
        <f t="array" ref="K249">IFERROR(INDEX(Data_Input!$A$1:$ZZ$502, MATCH("총수익률", INDEX(Data_Input!$A$1:$ZZ$502, 0, MATCH(1, (Data_Input!$7:$7=$F$3)*(Data_Input!$8:$8=$B249), 0)), 0) + 1, MATCH(1, (Data_Input!$7:$7=$F$3)*(Data_Input!$8:$8=$B249), 0)),"")</f>
        <v/>
      </c>
      <c r="L249" t="str" cm="1">
        <f t="array" ref="L249">IFERROR(_xlfn.LET(
    _xlpm.targetDate, B249,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50" spans="1:12" x14ac:dyDescent="0.3">
      <c r="A250" s="16" t="str">
        <f t="shared" si="7"/>
        <v/>
      </c>
      <c r="B250" s="8"/>
      <c r="C250" s="17" t="str">
        <f t="shared" si="8"/>
        <v/>
      </c>
      <c r="D250" s="29" t="str" cm="1">
        <f t="array" ref="D250">IFERROR(INDEX(Data_Input!$1:$100, 10, MATCH(1, (Data_Input!$F$7:$ZZ$7=$F$3) * (Data_Input!$F$8:$ZZ$8=$B250), 0)),"")</f>
        <v/>
      </c>
      <c r="E250" s="29" t="str" cm="1">
        <f t="array" ref="E250">IFERROR(INDEX(Data_Input!$1:$100, 9, MATCH(1, (Data_Input!$7:$7=$F$3) * (Data_Input!$8:$8=$B250), 0)),"")</f>
        <v/>
      </c>
      <c r="F250" s="20" t="str" cm="1">
        <f t="array" ref="F250">IFERROR(INDEX(Data_Input!$A$1:$ZZ$502, MATCH("예수금", INDEX(Data_Input!$A$1:$ZZ$502, 0, MATCH(1, (Data_Input!$7:$7=$F$3)*(Data_Input!$8:$8=$B250), 0)), 0) + 1, MATCH(1, (Data_Input!$7:$7=$F$3)*(Data_Input!$8:$8=$B250), 0)),"")</f>
        <v/>
      </c>
      <c r="G250" s="20" t="str" cm="1">
        <f t="array" ref="G250">IFERROR(INDEX(Data_Input!$A$1:$ZZ$502, MATCH("총자산", INDEX(Data_Input!$A$1:$ZZ$502, 0, MATCH(1, (Data_Input!$7:$7=$F$3)*(Data_Input!$8:$8=$B250), 0)), 0) + 1, MATCH(1, (Data_Input!$7:$7=$F$3)*(Data_Input!$8:$8=$B250), 0)),"")</f>
        <v/>
      </c>
      <c r="H250" s="20" t="str" cm="1">
        <f t="array" ref="H250">IFERROR(INDEX(Data_Input!$A$1:$ZZ$502, MATCH("매입금액", INDEX(Data_Input!$A$1:$ZZ$502, 0, MATCH(1, (Data_Input!$7:$7=$F$3)*(Data_Input!$8:$8=$B250), 0)), 0) + 1, MATCH(1, (Data_Input!$7:$7=$F$3)*(Data_Input!$8:$8=$B250), 0)),"")</f>
        <v/>
      </c>
      <c r="I250" s="20" t="str" cm="1">
        <f t="array" ref="I250">IFERROR(INDEX(Data_Input!$A$1:$ZZ$502, MATCH("평가금액", INDEX(Data_Input!$A$1:$ZZ$502, 0, MATCH(1, (Data_Input!$7:$7=$F$3)*(Data_Input!$8:$8=$B250), 0)), 0) + 1, MATCH(1, (Data_Input!$7:$7=$F$3)*(Data_Input!$8:$8=$B250), 0)),"")</f>
        <v/>
      </c>
      <c r="J250" s="20" t="str" cm="1">
        <f t="array" ref="J250">IFERROR(INDEX(Data_Input!$A$1:$ZZ$502, MATCH("평가손익", INDEX(Data_Input!$A$1:$ZZ$502, 0, MATCH(1, (Data_Input!$7:$7=$F$3)*(Data_Input!$8:$8=$B250), 0)), 0) + 1, MATCH(1, (Data_Input!$7:$7=$F$3)*(Data_Input!$8:$8=$B250), 0)),"")</f>
        <v/>
      </c>
      <c r="K250" s="14" t="str" cm="1">
        <f t="array" ref="K250">IFERROR(INDEX(Data_Input!$A$1:$ZZ$502, MATCH("총수익률", INDEX(Data_Input!$A$1:$ZZ$502, 0, MATCH(1, (Data_Input!$7:$7=$F$3)*(Data_Input!$8:$8=$B250), 0)), 0) + 1, MATCH(1, (Data_Input!$7:$7=$F$3)*(Data_Input!$8:$8=$B250), 0)),"")</f>
        <v/>
      </c>
      <c r="L250" t="str" cm="1">
        <f t="array" ref="L250">IFERROR(_xlfn.LET(
    _xlpm.targetDate, B250,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51" spans="1:12" x14ac:dyDescent="0.3">
      <c r="A251" s="16" t="str">
        <f t="shared" si="7"/>
        <v/>
      </c>
      <c r="B251" s="8"/>
      <c r="C251" s="17" t="str">
        <f t="shared" si="8"/>
        <v/>
      </c>
      <c r="D251" s="29" t="str" cm="1">
        <f t="array" ref="D251">IFERROR(INDEX(Data_Input!$1:$100, 10, MATCH(1, (Data_Input!$F$7:$ZZ$7=$F$3) * (Data_Input!$F$8:$ZZ$8=$B251), 0)),"")</f>
        <v/>
      </c>
      <c r="E251" s="29" t="str" cm="1">
        <f t="array" ref="E251">IFERROR(INDEX(Data_Input!$1:$100, 9, MATCH(1, (Data_Input!$7:$7=$F$3) * (Data_Input!$8:$8=$B251), 0)),"")</f>
        <v/>
      </c>
      <c r="F251" s="20" t="str" cm="1">
        <f t="array" ref="F251">IFERROR(INDEX(Data_Input!$A$1:$ZZ$502, MATCH("예수금", INDEX(Data_Input!$A$1:$ZZ$502, 0, MATCH(1, (Data_Input!$7:$7=$F$3)*(Data_Input!$8:$8=$B251), 0)), 0) + 1, MATCH(1, (Data_Input!$7:$7=$F$3)*(Data_Input!$8:$8=$B251), 0)),"")</f>
        <v/>
      </c>
      <c r="G251" s="20" t="str" cm="1">
        <f t="array" ref="G251">IFERROR(INDEX(Data_Input!$A$1:$ZZ$502, MATCH("총자산", INDEX(Data_Input!$A$1:$ZZ$502, 0, MATCH(1, (Data_Input!$7:$7=$F$3)*(Data_Input!$8:$8=$B251), 0)), 0) + 1, MATCH(1, (Data_Input!$7:$7=$F$3)*(Data_Input!$8:$8=$B251), 0)),"")</f>
        <v/>
      </c>
      <c r="H251" s="20" t="str" cm="1">
        <f t="array" ref="H251">IFERROR(INDEX(Data_Input!$A$1:$ZZ$502, MATCH("매입금액", INDEX(Data_Input!$A$1:$ZZ$502, 0, MATCH(1, (Data_Input!$7:$7=$F$3)*(Data_Input!$8:$8=$B251), 0)), 0) + 1, MATCH(1, (Data_Input!$7:$7=$F$3)*(Data_Input!$8:$8=$B251), 0)),"")</f>
        <v/>
      </c>
      <c r="I251" s="20" t="str" cm="1">
        <f t="array" ref="I251">IFERROR(INDEX(Data_Input!$A$1:$ZZ$502, MATCH("평가금액", INDEX(Data_Input!$A$1:$ZZ$502, 0, MATCH(1, (Data_Input!$7:$7=$F$3)*(Data_Input!$8:$8=$B251), 0)), 0) + 1, MATCH(1, (Data_Input!$7:$7=$F$3)*(Data_Input!$8:$8=$B251), 0)),"")</f>
        <v/>
      </c>
      <c r="J251" s="20" t="str" cm="1">
        <f t="array" ref="J251">IFERROR(INDEX(Data_Input!$A$1:$ZZ$502, MATCH("평가손익", INDEX(Data_Input!$A$1:$ZZ$502, 0, MATCH(1, (Data_Input!$7:$7=$F$3)*(Data_Input!$8:$8=$B251), 0)), 0) + 1, MATCH(1, (Data_Input!$7:$7=$F$3)*(Data_Input!$8:$8=$B251), 0)),"")</f>
        <v/>
      </c>
      <c r="K251" s="14" t="str" cm="1">
        <f t="array" ref="K251">IFERROR(INDEX(Data_Input!$A$1:$ZZ$502, MATCH("총수익률", INDEX(Data_Input!$A$1:$ZZ$502, 0, MATCH(1, (Data_Input!$7:$7=$F$3)*(Data_Input!$8:$8=$B251), 0)), 0) + 1, MATCH(1, (Data_Input!$7:$7=$F$3)*(Data_Input!$8:$8=$B251), 0)),"")</f>
        <v/>
      </c>
      <c r="L251" t="str" cm="1">
        <f t="array" ref="L251">IFERROR(_xlfn.LET(
    _xlpm.targetDate, B251,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52" spans="1:12" x14ac:dyDescent="0.3">
      <c r="A252" s="16" t="str">
        <f t="shared" si="7"/>
        <v/>
      </c>
      <c r="B252" s="8"/>
      <c r="C252" s="17" t="str">
        <f t="shared" si="8"/>
        <v/>
      </c>
      <c r="D252" s="29" t="str" cm="1">
        <f t="array" ref="D252">IFERROR(INDEX(Data_Input!$1:$100, 10, MATCH(1, (Data_Input!$F$7:$ZZ$7=$F$3) * (Data_Input!$F$8:$ZZ$8=$B252), 0)),"")</f>
        <v/>
      </c>
      <c r="E252" s="29" t="str" cm="1">
        <f t="array" ref="E252">IFERROR(INDEX(Data_Input!$1:$100, 9, MATCH(1, (Data_Input!$7:$7=$F$3) * (Data_Input!$8:$8=$B252), 0)),"")</f>
        <v/>
      </c>
      <c r="F252" s="20" t="str" cm="1">
        <f t="array" ref="F252">IFERROR(INDEX(Data_Input!$A$1:$ZZ$502, MATCH("예수금", INDEX(Data_Input!$A$1:$ZZ$502, 0, MATCH(1, (Data_Input!$7:$7=$F$3)*(Data_Input!$8:$8=$B252), 0)), 0) + 1, MATCH(1, (Data_Input!$7:$7=$F$3)*(Data_Input!$8:$8=$B252), 0)),"")</f>
        <v/>
      </c>
      <c r="G252" s="20" t="str" cm="1">
        <f t="array" ref="G252">IFERROR(INDEX(Data_Input!$A$1:$ZZ$502, MATCH("총자산", INDEX(Data_Input!$A$1:$ZZ$502, 0, MATCH(1, (Data_Input!$7:$7=$F$3)*(Data_Input!$8:$8=$B252), 0)), 0) + 1, MATCH(1, (Data_Input!$7:$7=$F$3)*(Data_Input!$8:$8=$B252), 0)),"")</f>
        <v/>
      </c>
      <c r="H252" s="20" t="str" cm="1">
        <f t="array" ref="H252">IFERROR(INDEX(Data_Input!$A$1:$ZZ$502, MATCH("매입금액", INDEX(Data_Input!$A$1:$ZZ$502, 0, MATCH(1, (Data_Input!$7:$7=$F$3)*(Data_Input!$8:$8=$B252), 0)), 0) + 1, MATCH(1, (Data_Input!$7:$7=$F$3)*(Data_Input!$8:$8=$B252), 0)),"")</f>
        <v/>
      </c>
      <c r="I252" s="20" t="str" cm="1">
        <f t="array" ref="I252">IFERROR(INDEX(Data_Input!$A$1:$ZZ$502, MATCH("평가금액", INDEX(Data_Input!$A$1:$ZZ$502, 0, MATCH(1, (Data_Input!$7:$7=$F$3)*(Data_Input!$8:$8=$B252), 0)), 0) + 1, MATCH(1, (Data_Input!$7:$7=$F$3)*(Data_Input!$8:$8=$B252), 0)),"")</f>
        <v/>
      </c>
      <c r="J252" s="20" t="str" cm="1">
        <f t="array" ref="J252">IFERROR(INDEX(Data_Input!$A$1:$ZZ$502, MATCH("평가손익", INDEX(Data_Input!$A$1:$ZZ$502, 0, MATCH(1, (Data_Input!$7:$7=$F$3)*(Data_Input!$8:$8=$B252), 0)), 0) + 1, MATCH(1, (Data_Input!$7:$7=$F$3)*(Data_Input!$8:$8=$B252), 0)),"")</f>
        <v/>
      </c>
      <c r="K252" s="14" t="str" cm="1">
        <f t="array" ref="K252">IFERROR(INDEX(Data_Input!$A$1:$ZZ$502, MATCH("총수익률", INDEX(Data_Input!$A$1:$ZZ$502, 0, MATCH(1, (Data_Input!$7:$7=$F$3)*(Data_Input!$8:$8=$B252), 0)), 0) + 1, MATCH(1, (Data_Input!$7:$7=$F$3)*(Data_Input!$8:$8=$B252), 0)),"")</f>
        <v/>
      </c>
      <c r="L252" t="str" cm="1">
        <f t="array" ref="L252">IFERROR(_xlfn.LET(
    _xlpm.targetDate, B252,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53" spans="1:12" x14ac:dyDescent="0.3">
      <c r="A253" s="16" t="str">
        <f t="shared" si="7"/>
        <v/>
      </c>
      <c r="B253" s="8"/>
      <c r="C253" s="17" t="str">
        <f t="shared" si="8"/>
        <v/>
      </c>
      <c r="D253" s="29" t="str" cm="1">
        <f t="array" ref="D253">IFERROR(INDEX(Data_Input!$1:$100, 10, MATCH(1, (Data_Input!$F$7:$ZZ$7=$F$3) * (Data_Input!$F$8:$ZZ$8=$B253), 0)),"")</f>
        <v/>
      </c>
      <c r="E253" s="29" t="str" cm="1">
        <f t="array" ref="E253">IFERROR(INDEX(Data_Input!$1:$100, 9, MATCH(1, (Data_Input!$7:$7=$F$3) * (Data_Input!$8:$8=$B253), 0)),"")</f>
        <v/>
      </c>
      <c r="F253" s="20" t="str" cm="1">
        <f t="array" ref="F253">IFERROR(INDEX(Data_Input!$A$1:$ZZ$502, MATCH("예수금", INDEX(Data_Input!$A$1:$ZZ$502, 0, MATCH(1, (Data_Input!$7:$7=$F$3)*(Data_Input!$8:$8=$B253), 0)), 0) + 1, MATCH(1, (Data_Input!$7:$7=$F$3)*(Data_Input!$8:$8=$B253), 0)),"")</f>
        <v/>
      </c>
      <c r="G253" s="20" t="str" cm="1">
        <f t="array" ref="G253">IFERROR(INDEX(Data_Input!$A$1:$ZZ$502, MATCH("총자산", INDEX(Data_Input!$A$1:$ZZ$502, 0, MATCH(1, (Data_Input!$7:$7=$F$3)*(Data_Input!$8:$8=$B253), 0)), 0) + 1, MATCH(1, (Data_Input!$7:$7=$F$3)*(Data_Input!$8:$8=$B253), 0)),"")</f>
        <v/>
      </c>
      <c r="H253" s="20" t="str" cm="1">
        <f t="array" ref="H253">IFERROR(INDEX(Data_Input!$A$1:$ZZ$502, MATCH("매입금액", INDEX(Data_Input!$A$1:$ZZ$502, 0, MATCH(1, (Data_Input!$7:$7=$F$3)*(Data_Input!$8:$8=$B253), 0)), 0) + 1, MATCH(1, (Data_Input!$7:$7=$F$3)*(Data_Input!$8:$8=$B253), 0)),"")</f>
        <v/>
      </c>
      <c r="I253" s="20" t="str" cm="1">
        <f t="array" ref="I253">IFERROR(INDEX(Data_Input!$A$1:$ZZ$502, MATCH("평가금액", INDEX(Data_Input!$A$1:$ZZ$502, 0, MATCH(1, (Data_Input!$7:$7=$F$3)*(Data_Input!$8:$8=$B253), 0)), 0) + 1, MATCH(1, (Data_Input!$7:$7=$F$3)*(Data_Input!$8:$8=$B253), 0)),"")</f>
        <v/>
      </c>
      <c r="J253" s="20" t="str" cm="1">
        <f t="array" ref="J253">IFERROR(INDEX(Data_Input!$A$1:$ZZ$502, MATCH("평가손익", INDEX(Data_Input!$A$1:$ZZ$502, 0, MATCH(1, (Data_Input!$7:$7=$F$3)*(Data_Input!$8:$8=$B253), 0)), 0) + 1, MATCH(1, (Data_Input!$7:$7=$F$3)*(Data_Input!$8:$8=$B253), 0)),"")</f>
        <v/>
      </c>
      <c r="K253" s="14" t="str" cm="1">
        <f t="array" ref="K253">IFERROR(INDEX(Data_Input!$A$1:$ZZ$502, MATCH("총수익률", INDEX(Data_Input!$A$1:$ZZ$502, 0, MATCH(1, (Data_Input!$7:$7=$F$3)*(Data_Input!$8:$8=$B253), 0)), 0) + 1, MATCH(1, (Data_Input!$7:$7=$F$3)*(Data_Input!$8:$8=$B253), 0)),"")</f>
        <v/>
      </c>
      <c r="L253" t="str" cm="1">
        <f t="array" ref="L253">IFERROR(_xlfn.LET(
    _xlpm.targetDate, B253,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54" spans="1:12" x14ac:dyDescent="0.3">
      <c r="A254" s="16" t="str">
        <f t="shared" si="7"/>
        <v/>
      </c>
      <c r="B254" s="8"/>
      <c r="C254" s="17" t="str">
        <f t="shared" si="8"/>
        <v/>
      </c>
      <c r="D254" s="29" t="str" cm="1">
        <f t="array" ref="D254">IFERROR(INDEX(Data_Input!$1:$100, 10, MATCH(1, (Data_Input!$F$7:$ZZ$7=$F$3) * (Data_Input!$F$8:$ZZ$8=$B254), 0)),"")</f>
        <v/>
      </c>
      <c r="E254" s="29" t="str" cm="1">
        <f t="array" ref="E254">IFERROR(INDEX(Data_Input!$1:$100, 9, MATCH(1, (Data_Input!$7:$7=$F$3) * (Data_Input!$8:$8=$B254), 0)),"")</f>
        <v/>
      </c>
      <c r="F254" s="20" t="str" cm="1">
        <f t="array" ref="F254">IFERROR(INDEX(Data_Input!$A$1:$ZZ$502, MATCH("예수금", INDEX(Data_Input!$A$1:$ZZ$502, 0, MATCH(1, (Data_Input!$7:$7=$F$3)*(Data_Input!$8:$8=$B254), 0)), 0) + 1, MATCH(1, (Data_Input!$7:$7=$F$3)*(Data_Input!$8:$8=$B254), 0)),"")</f>
        <v/>
      </c>
      <c r="G254" s="20" t="str" cm="1">
        <f t="array" ref="G254">IFERROR(INDEX(Data_Input!$A$1:$ZZ$502, MATCH("총자산", INDEX(Data_Input!$A$1:$ZZ$502, 0, MATCH(1, (Data_Input!$7:$7=$F$3)*(Data_Input!$8:$8=$B254), 0)), 0) + 1, MATCH(1, (Data_Input!$7:$7=$F$3)*(Data_Input!$8:$8=$B254), 0)),"")</f>
        <v/>
      </c>
      <c r="H254" s="20" t="str" cm="1">
        <f t="array" ref="H254">IFERROR(INDEX(Data_Input!$A$1:$ZZ$502, MATCH("매입금액", INDEX(Data_Input!$A$1:$ZZ$502, 0, MATCH(1, (Data_Input!$7:$7=$F$3)*(Data_Input!$8:$8=$B254), 0)), 0) + 1, MATCH(1, (Data_Input!$7:$7=$F$3)*(Data_Input!$8:$8=$B254), 0)),"")</f>
        <v/>
      </c>
      <c r="I254" s="20" t="str" cm="1">
        <f t="array" ref="I254">IFERROR(INDEX(Data_Input!$A$1:$ZZ$502, MATCH("평가금액", INDEX(Data_Input!$A$1:$ZZ$502, 0, MATCH(1, (Data_Input!$7:$7=$F$3)*(Data_Input!$8:$8=$B254), 0)), 0) + 1, MATCH(1, (Data_Input!$7:$7=$F$3)*(Data_Input!$8:$8=$B254), 0)),"")</f>
        <v/>
      </c>
      <c r="J254" s="20" t="str" cm="1">
        <f t="array" ref="J254">IFERROR(INDEX(Data_Input!$A$1:$ZZ$502, MATCH("평가손익", INDEX(Data_Input!$A$1:$ZZ$502, 0, MATCH(1, (Data_Input!$7:$7=$F$3)*(Data_Input!$8:$8=$B254), 0)), 0) + 1, MATCH(1, (Data_Input!$7:$7=$F$3)*(Data_Input!$8:$8=$B254), 0)),"")</f>
        <v/>
      </c>
      <c r="K254" s="14" t="str" cm="1">
        <f t="array" ref="K254">IFERROR(INDEX(Data_Input!$A$1:$ZZ$502, MATCH("총수익률", INDEX(Data_Input!$A$1:$ZZ$502, 0, MATCH(1, (Data_Input!$7:$7=$F$3)*(Data_Input!$8:$8=$B254), 0)), 0) + 1, MATCH(1, (Data_Input!$7:$7=$F$3)*(Data_Input!$8:$8=$B254), 0)),"")</f>
        <v/>
      </c>
      <c r="L254" t="str" cm="1">
        <f t="array" ref="L254">IFERROR(_xlfn.LET(
    _xlpm.targetDate, B254,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55" spans="1:12" x14ac:dyDescent="0.3">
      <c r="A255" s="16" t="str">
        <f t="shared" si="7"/>
        <v/>
      </c>
      <c r="B255" s="8"/>
      <c r="C255" s="17" t="str">
        <f t="shared" si="8"/>
        <v/>
      </c>
      <c r="D255" s="29" t="str" cm="1">
        <f t="array" ref="D255">IFERROR(INDEX(Data_Input!$1:$100, 10, MATCH(1, (Data_Input!$F$7:$ZZ$7=$F$3) * (Data_Input!$F$8:$ZZ$8=$B255), 0)),"")</f>
        <v/>
      </c>
      <c r="E255" s="29" t="str" cm="1">
        <f t="array" ref="E255">IFERROR(INDEX(Data_Input!$1:$100, 9, MATCH(1, (Data_Input!$7:$7=$F$3) * (Data_Input!$8:$8=$B255), 0)),"")</f>
        <v/>
      </c>
      <c r="F255" s="20" t="str" cm="1">
        <f t="array" ref="F255">IFERROR(INDEX(Data_Input!$A$1:$ZZ$502, MATCH("예수금", INDEX(Data_Input!$A$1:$ZZ$502, 0, MATCH(1, (Data_Input!$7:$7=$F$3)*(Data_Input!$8:$8=$B255), 0)), 0) + 1, MATCH(1, (Data_Input!$7:$7=$F$3)*(Data_Input!$8:$8=$B255), 0)),"")</f>
        <v/>
      </c>
      <c r="G255" s="20" t="str" cm="1">
        <f t="array" ref="G255">IFERROR(INDEX(Data_Input!$A$1:$ZZ$502, MATCH("총자산", INDEX(Data_Input!$A$1:$ZZ$502, 0, MATCH(1, (Data_Input!$7:$7=$F$3)*(Data_Input!$8:$8=$B255), 0)), 0) + 1, MATCH(1, (Data_Input!$7:$7=$F$3)*(Data_Input!$8:$8=$B255), 0)),"")</f>
        <v/>
      </c>
      <c r="H255" s="20" t="str" cm="1">
        <f t="array" ref="H255">IFERROR(INDEX(Data_Input!$A$1:$ZZ$502, MATCH("매입금액", INDEX(Data_Input!$A$1:$ZZ$502, 0, MATCH(1, (Data_Input!$7:$7=$F$3)*(Data_Input!$8:$8=$B255), 0)), 0) + 1, MATCH(1, (Data_Input!$7:$7=$F$3)*(Data_Input!$8:$8=$B255), 0)),"")</f>
        <v/>
      </c>
      <c r="I255" s="20" t="str" cm="1">
        <f t="array" ref="I255">IFERROR(INDEX(Data_Input!$A$1:$ZZ$502, MATCH("평가금액", INDEX(Data_Input!$A$1:$ZZ$502, 0, MATCH(1, (Data_Input!$7:$7=$F$3)*(Data_Input!$8:$8=$B255), 0)), 0) + 1, MATCH(1, (Data_Input!$7:$7=$F$3)*(Data_Input!$8:$8=$B255), 0)),"")</f>
        <v/>
      </c>
      <c r="J255" s="20" t="str" cm="1">
        <f t="array" ref="J255">IFERROR(INDEX(Data_Input!$A$1:$ZZ$502, MATCH("평가손익", INDEX(Data_Input!$A$1:$ZZ$502, 0, MATCH(1, (Data_Input!$7:$7=$F$3)*(Data_Input!$8:$8=$B255), 0)), 0) + 1, MATCH(1, (Data_Input!$7:$7=$F$3)*(Data_Input!$8:$8=$B255), 0)),"")</f>
        <v/>
      </c>
      <c r="K255" s="14" t="str" cm="1">
        <f t="array" ref="K255">IFERROR(INDEX(Data_Input!$A$1:$ZZ$502, MATCH("총수익률", INDEX(Data_Input!$A$1:$ZZ$502, 0, MATCH(1, (Data_Input!$7:$7=$F$3)*(Data_Input!$8:$8=$B255), 0)), 0) + 1, MATCH(1, (Data_Input!$7:$7=$F$3)*(Data_Input!$8:$8=$B255), 0)),"")</f>
        <v/>
      </c>
      <c r="L255" t="str" cm="1">
        <f t="array" ref="L255">IFERROR(_xlfn.LET(
    _xlpm.targetDate, B255,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56" spans="1:12" x14ac:dyDescent="0.3">
      <c r="A256" s="16" t="str">
        <f t="shared" si="7"/>
        <v/>
      </c>
      <c r="B256" s="8"/>
      <c r="C256" s="17" t="str">
        <f t="shared" si="8"/>
        <v/>
      </c>
      <c r="D256" s="29" t="str" cm="1">
        <f t="array" ref="D256">IFERROR(INDEX(Data_Input!$1:$100, 10, MATCH(1, (Data_Input!$F$7:$ZZ$7=$F$3) * (Data_Input!$F$8:$ZZ$8=$B256), 0)),"")</f>
        <v/>
      </c>
      <c r="E256" s="29" t="str" cm="1">
        <f t="array" ref="E256">IFERROR(INDEX(Data_Input!$1:$100, 9, MATCH(1, (Data_Input!$7:$7=$F$3) * (Data_Input!$8:$8=$B256), 0)),"")</f>
        <v/>
      </c>
      <c r="F256" s="20" t="str" cm="1">
        <f t="array" ref="F256">IFERROR(INDEX(Data_Input!$A$1:$ZZ$502, MATCH("예수금", INDEX(Data_Input!$A$1:$ZZ$502, 0, MATCH(1, (Data_Input!$7:$7=$F$3)*(Data_Input!$8:$8=$B256), 0)), 0) + 1, MATCH(1, (Data_Input!$7:$7=$F$3)*(Data_Input!$8:$8=$B256), 0)),"")</f>
        <v/>
      </c>
      <c r="G256" s="20" t="str" cm="1">
        <f t="array" ref="G256">IFERROR(INDEX(Data_Input!$A$1:$ZZ$502, MATCH("총자산", INDEX(Data_Input!$A$1:$ZZ$502, 0, MATCH(1, (Data_Input!$7:$7=$F$3)*(Data_Input!$8:$8=$B256), 0)), 0) + 1, MATCH(1, (Data_Input!$7:$7=$F$3)*(Data_Input!$8:$8=$B256), 0)),"")</f>
        <v/>
      </c>
      <c r="H256" s="20" t="str" cm="1">
        <f t="array" ref="H256">IFERROR(INDEX(Data_Input!$A$1:$ZZ$502, MATCH("매입금액", INDEX(Data_Input!$A$1:$ZZ$502, 0, MATCH(1, (Data_Input!$7:$7=$F$3)*(Data_Input!$8:$8=$B256), 0)), 0) + 1, MATCH(1, (Data_Input!$7:$7=$F$3)*(Data_Input!$8:$8=$B256), 0)),"")</f>
        <v/>
      </c>
      <c r="I256" s="20" t="str" cm="1">
        <f t="array" ref="I256">IFERROR(INDEX(Data_Input!$A$1:$ZZ$502, MATCH("평가금액", INDEX(Data_Input!$A$1:$ZZ$502, 0, MATCH(1, (Data_Input!$7:$7=$F$3)*(Data_Input!$8:$8=$B256), 0)), 0) + 1, MATCH(1, (Data_Input!$7:$7=$F$3)*(Data_Input!$8:$8=$B256), 0)),"")</f>
        <v/>
      </c>
      <c r="J256" s="20" t="str" cm="1">
        <f t="array" ref="J256">IFERROR(INDEX(Data_Input!$A$1:$ZZ$502, MATCH("평가손익", INDEX(Data_Input!$A$1:$ZZ$502, 0, MATCH(1, (Data_Input!$7:$7=$F$3)*(Data_Input!$8:$8=$B256), 0)), 0) + 1, MATCH(1, (Data_Input!$7:$7=$F$3)*(Data_Input!$8:$8=$B256), 0)),"")</f>
        <v/>
      </c>
      <c r="K256" s="14" t="str" cm="1">
        <f t="array" ref="K256">IFERROR(INDEX(Data_Input!$A$1:$ZZ$502, MATCH("총수익률", INDEX(Data_Input!$A$1:$ZZ$502, 0, MATCH(1, (Data_Input!$7:$7=$F$3)*(Data_Input!$8:$8=$B256), 0)), 0) + 1, MATCH(1, (Data_Input!$7:$7=$F$3)*(Data_Input!$8:$8=$B256), 0)),"")</f>
        <v/>
      </c>
      <c r="L256" t="str" cm="1">
        <f t="array" ref="L256">IFERROR(_xlfn.LET(
    _xlpm.targetDate, B256,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57" spans="1:12" x14ac:dyDescent="0.3">
      <c r="A257" s="16" t="str">
        <f t="shared" si="7"/>
        <v/>
      </c>
      <c r="B257" s="8"/>
      <c r="C257" s="17" t="str">
        <f t="shared" si="8"/>
        <v/>
      </c>
      <c r="D257" s="29" t="str" cm="1">
        <f t="array" ref="D257">IFERROR(INDEX(Data_Input!$1:$100, 10, MATCH(1, (Data_Input!$F$7:$ZZ$7=$F$3) * (Data_Input!$F$8:$ZZ$8=$B257), 0)),"")</f>
        <v/>
      </c>
      <c r="E257" s="29" t="str" cm="1">
        <f t="array" ref="E257">IFERROR(INDEX(Data_Input!$1:$100, 9, MATCH(1, (Data_Input!$7:$7=$F$3) * (Data_Input!$8:$8=$B257), 0)),"")</f>
        <v/>
      </c>
      <c r="F257" s="20" t="str" cm="1">
        <f t="array" ref="F257">IFERROR(INDEX(Data_Input!$A$1:$ZZ$502, MATCH("예수금", INDEX(Data_Input!$A$1:$ZZ$502, 0, MATCH(1, (Data_Input!$7:$7=$F$3)*(Data_Input!$8:$8=$B257), 0)), 0) + 1, MATCH(1, (Data_Input!$7:$7=$F$3)*(Data_Input!$8:$8=$B257), 0)),"")</f>
        <v/>
      </c>
      <c r="G257" s="20" t="str" cm="1">
        <f t="array" ref="G257">IFERROR(INDEX(Data_Input!$A$1:$ZZ$502, MATCH("총자산", INDEX(Data_Input!$A$1:$ZZ$502, 0, MATCH(1, (Data_Input!$7:$7=$F$3)*(Data_Input!$8:$8=$B257), 0)), 0) + 1, MATCH(1, (Data_Input!$7:$7=$F$3)*(Data_Input!$8:$8=$B257), 0)),"")</f>
        <v/>
      </c>
      <c r="H257" s="20" t="str" cm="1">
        <f t="array" ref="H257">IFERROR(INDEX(Data_Input!$A$1:$ZZ$502, MATCH("매입금액", INDEX(Data_Input!$A$1:$ZZ$502, 0, MATCH(1, (Data_Input!$7:$7=$F$3)*(Data_Input!$8:$8=$B257), 0)), 0) + 1, MATCH(1, (Data_Input!$7:$7=$F$3)*(Data_Input!$8:$8=$B257), 0)),"")</f>
        <v/>
      </c>
      <c r="I257" s="20" t="str" cm="1">
        <f t="array" ref="I257">IFERROR(INDEX(Data_Input!$A$1:$ZZ$502, MATCH("평가금액", INDEX(Data_Input!$A$1:$ZZ$502, 0, MATCH(1, (Data_Input!$7:$7=$F$3)*(Data_Input!$8:$8=$B257), 0)), 0) + 1, MATCH(1, (Data_Input!$7:$7=$F$3)*(Data_Input!$8:$8=$B257), 0)),"")</f>
        <v/>
      </c>
      <c r="J257" s="20" t="str" cm="1">
        <f t="array" ref="J257">IFERROR(INDEX(Data_Input!$A$1:$ZZ$502, MATCH("평가손익", INDEX(Data_Input!$A$1:$ZZ$502, 0, MATCH(1, (Data_Input!$7:$7=$F$3)*(Data_Input!$8:$8=$B257), 0)), 0) + 1, MATCH(1, (Data_Input!$7:$7=$F$3)*(Data_Input!$8:$8=$B257), 0)),"")</f>
        <v/>
      </c>
      <c r="K257" s="14" t="str" cm="1">
        <f t="array" ref="K257">IFERROR(INDEX(Data_Input!$A$1:$ZZ$502, MATCH("총수익률", INDEX(Data_Input!$A$1:$ZZ$502, 0, MATCH(1, (Data_Input!$7:$7=$F$3)*(Data_Input!$8:$8=$B257), 0)), 0) + 1, MATCH(1, (Data_Input!$7:$7=$F$3)*(Data_Input!$8:$8=$B257), 0)),"")</f>
        <v/>
      </c>
      <c r="L257" t="str" cm="1">
        <f t="array" ref="L257">IFERROR(_xlfn.LET(
    _xlpm.targetDate, B257,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58" spans="1:12" x14ac:dyDescent="0.3">
      <c r="A258" s="16" t="str">
        <f t="shared" si="7"/>
        <v/>
      </c>
      <c r="B258" s="8"/>
      <c r="C258" s="17" t="str">
        <f t="shared" si="8"/>
        <v/>
      </c>
      <c r="D258" s="29" t="str" cm="1">
        <f t="array" ref="D258">IFERROR(INDEX(Data_Input!$1:$100, 10, MATCH(1, (Data_Input!$F$7:$ZZ$7=$F$3) * (Data_Input!$F$8:$ZZ$8=$B258), 0)),"")</f>
        <v/>
      </c>
      <c r="E258" s="29" t="str" cm="1">
        <f t="array" ref="E258">IFERROR(INDEX(Data_Input!$1:$100, 9, MATCH(1, (Data_Input!$7:$7=$F$3) * (Data_Input!$8:$8=$B258), 0)),"")</f>
        <v/>
      </c>
      <c r="F258" s="20" t="str" cm="1">
        <f t="array" ref="F258">IFERROR(INDEX(Data_Input!$A$1:$ZZ$502, MATCH("예수금", INDEX(Data_Input!$A$1:$ZZ$502, 0, MATCH(1, (Data_Input!$7:$7=$F$3)*(Data_Input!$8:$8=$B258), 0)), 0) + 1, MATCH(1, (Data_Input!$7:$7=$F$3)*(Data_Input!$8:$8=$B258), 0)),"")</f>
        <v/>
      </c>
      <c r="G258" s="20" t="str" cm="1">
        <f t="array" ref="G258">IFERROR(INDEX(Data_Input!$A$1:$ZZ$502, MATCH("총자산", INDEX(Data_Input!$A$1:$ZZ$502, 0, MATCH(1, (Data_Input!$7:$7=$F$3)*(Data_Input!$8:$8=$B258), 0)), 0) + 1, MATCH(1, (Data_Input!$7:$7=$F$3)*(Data_Input!$8:$8=$B258), 0)),"")</f>
        <v/>
      </c>
      <c r="H258" s="20" t="str" cm="1">
        <f t="array" ref="H258">IFERROR(INDEX(Data_Input!$A$1:$ZZ$502, MATCH("매입금액", INDEX(Data_Input!$A$1:$ZZ$502, 0, MATCH(1, (Data_Input!$7:$7=$F$3)*(Data_Input!$8:$8=$B258), 0)), 0) + 1, MATCH(1, (Data_Input!$7:$7=$F$3)*(Data_Input!$8:$8=$B258), 0)),"")</f>
        <v/>
      </c>
      <c r="I258" s="20" t="str" cm="1">
        <f t="array" ref="I258">IFERROR(INDEX(Data_Input!$A$1:$ZZ$502, MATCH("평가금액", INDEX(Data_Input!$A$1:$ZZ$502, 0, MATCH(1, (Data_Input!$7:$7=$F$3)*(Data_Input!$8:$8=$B258), 0)), 0) + 1, MATCH(1, (Data_Input!$7:$7=$F$3)*(Data_Input!$8:$8=$B258), 0)),"")</f>
        <v/>
      </c>
      <c r="J258" s="20" t="str" cm="1">
        <f t="array" ref="J258">IFERROR(INDEX(Data_Input!$A$1:$ZZ$502, MATCH("평가손익", INDEX(Data_Input!$A$1:$ZZ$502, 0, MATCH(1, (Data_Input!$7:$7=$F$3)*(Data_Input!$8:$8=$B258), 0)), 0) + 1, MATCH(1, (Data_Input!$7:$7=$F$3)*(Data_Input!$8:$8=$B258), 0)),"")</f>
        <v/>
      </c>
      <c r="K258" s="14" t="str" cm="1">
        <f t="array" ref="K258">IFERROR(INDEX(Data_Input!$A$1:$ZZ$502, MATCH("총수익률", INDEX(Data_Input!$A$1:$ZZ$502, 0, MATCH(1, (Data_Input!$7:$7=$F$3)*(Data_Input!$8:$8=$B258), 0)), 0) + 1, MATCH(1, (Data_Input!$7:$7=$F$3)*(Data_Input!$8:$8=$B258), 0)),"")</f>
        <v/>
      </c>
      <c r="L258" t="str" cm="1">
        <f t="array" ref="L258">IFERROR(_xlfn.LET(
    _xlpm.targetDate, B258,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59" spans="1:12" x14ac:dyDescent="0.3">
      <c r="A259" s="16" t="str">
        <f t="shared" si="7"/>
        <v/>
      </c>
      <c r="B259" s="8"/>
      <c r="C259" s="17" t="str">
        <f t="shared" si="8"/>
        <v/>
      </c>
      <c r="D259" s="29" t="str" cm="1">
        <f t="array" ref="D259">IFERROR(INDEX(Data_Input!$1:$100, 10, MATCH(1, (Data_Input!$F$7:$ZZ$7=$F$3) * (Data_Input!$F$8:$ZZ$8=$B259), 0)),"")</f>
        <v/>
      </c>
      <c r="E259" s="29" t="str" cm="1">
        <f t="array" ref="E259">IFERROR(INDEX(Data_Input!$1:$100, 9, MATCH(1, (Data_Input!$7:$7=$F$3) * (Data_Input!$8:$8=$B259), 0)),"")</f>
        <v/>
      </c>
      <c r="F259" s="20" t="str" cm="1">
        <f t="array" ref="F259">IFERROR(INDEX(Data_Input!$A$1:$ZZ$502, MATCH("예수금", INDEX(Data_Input!$A$1:$ZZ$502, 0, MATCH(1, (Data_Input!$7:$7=$F$3)*(Data_Input!$8:$8=$B259), 0)), 0) + 1, MATCH(1, (Data_Input!$7:$7=$F$3)*(Data_Input!$8:$8=$B259), 0)),"")</f>
        <v/>
      </c>
      <c r="G259" s="20" t="str" cm="1">
        <f t="array" ref="G259">IFERROR(INDEX(Data_Input!$A$1:$ZZ$502, MATCH("총자산", INDEX(Data_Input!$A$1:$ZZ$502, 0, MATCH(1, (Data_Input!$7:$7=$F$3)*(Data_Input!$8:$8=$B259), 0)), 0) + 1, MATCH(1, (Data_Input!$7:$7=$F$3)*(Data_Input!$8:$8=$B259), 0)),"")</f>
        <v/>
      </c>
      <c r="H259" s="20" t="str" cm="1">
        <f t="array" ref="H259">IFERROR(INDEX(Data_Input!$A$1:$ZZ$502, MATCH("매입금액", INDEX(Data_Input!$A$1:$ZZ$502, 0, MATCH(1, (Data_Input!$7:$7=$F$3)*(Data_Input!$8:$8=$B259), 0)), 0) + 1, MATCH(1, (Data_Input!$7:$7=$F$3)*(Data_Input!$8:$8=$B259), 0)),"")</f>
        <v/>
      </c>
      <c r="I259" s="20" t="str" cm="1">
        <f t="array" ref="I259">IFERROR(INDEX(Data_Input!$A$1:$ZZ$502, MATCH("평가금액", INDEX(Data_Input!$A$1:$ZZ$502, 0, MATCH(1, (Data_Input!$7:$7=$F$3)*(Data_Input!$8:$8=$B259), 0)), 0) + 1, MATCH(1, (Data_Input!$7:$7=$F$3)*(Data_Input!$8:$8=$B259), 0)),"")</f>
        <v/>
      </c>
      <c r="J259" s="20" t="str" cm="1">
        <f t="array" ref="J259">IFERROR(INDEX(Data_Input!$A$1:$ZZ$502, MATCH("평가손익", INDEX(Data_Input!$A$1:$ZZ$502, 0, MATCH(1, (Data_Input!$7:$7=$F$3)*(Data_Input!$8:$8=$B259), 0)), 0) + 1, MATCH(1, (Data_Input!$7:$7=$F$3)*(Data_Input!$8:$8=$B259), 0)),"")</f>
        <v/>
      </c>
      <c r="K259" s="14" t="str" cm="1">
        <f t="array" ref="K259">IFERROR(INDEX(Data_Input!$A$1:$ZZ$502, MATCH("총수익률", INDEX(Data_Input!$A$1:$ZZ$502, 0, MATCH(1, (Data_Input!$7:$7=$F$3)*(Data_Input!$8:$8=$B259), 0)), 0) + 1, MATCH(1, (Data_Input!$7:$7=$F$3)*(Data_Input!$8:$8=$B259), 0)),"")</f>
        <v/>
      </c>
      <c r="L259" t="str" cm="1">
        <f t="array" ref="L259">IFERROR(_xlfn.LET(
    _xlpm.targetDate, B259,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60" spans="1:12" x14ac:dyDescent="0.3">
      <c r="A260" s="16" t="str">
        <f t="shared" si="7"/>
        <v/>
      </c>
      <c r="B260" s="8"/>
      <c r="C260" s="17" t="str">
        <f t="shared" si="8"/>
        <v/>
      </c>
      <c r="D260" s="29" t="str" cm="1">
        <f t="array" ref="D260">IFERROR(INDEX(Data_Input!$1:$100, 10, MATCH(1, (Data_Input!$F$7:$ZZ$7=$F$3) * (Data_Input!$F$8:$ZZ$8=$B260), 0)),"")</f>
        <v/>
      </c>
      <c r="E260" s="29" t="str" cm="1">
        <f t="array" ref="E260">IFERROR(INDEX(Data_Input!$1:$100, 9, MATCH(1, (Data_Input!$7:$7=$F$3) * (Data_Input!$8:$8=$B260), 0)),"")</f>
        <v/>
      </c>
      <c r="F260" s="20" t="str" cm="1">
        <f t="array" ref="F260">IFERROR(INDEX(Data_Input!$A$1:$ZZ$502, MATCH("예수금", INDEX(Data_Input!$A$1:$ZZ$502, 0, MATCH(1, (Data_Input!$7:$7=$F$3)*(Data_Input!$8:$8=$B260), 0)), 0) + 1, MATCH(1, (Data_Input!$7:$7=$F$3)*(Data_Input!$8:$8=$B260), 0)),"")</f>
        <v/>
      </c>
      <c r="G260" s="20" t="str" cm="1">
        <f t="array" ref="G260">IFERROR(INDEX(Data_Input!$A$1:$ZZ$502, MATCH("총자산", INDEX(Data_Input!$A$1:$ZZ$502, 0, MATCH(1, (Data_Input!$7:$7=$F$3)*(Data_Input!$8:$8=$B260), 0)), 0) + 1, MATCH(1, (Data_Input!$7:$7=$F$3)*(Data_Input!$8:$8=$B260), 0)),"")</f>
        <v/>
      </c>
      <c r="H260" s="20" t="str" cm="1">
        <f t="array" ref="H260">IFERROR(INDEX(Data_Input!$A$1:$ZZ$502, MATCH("매입금액", INDEX(Data_Input!$A$1:$ZZ$502, 0, MATCH(1, (Data_Input!$7:$7=$F$3)*(Data_Input!$8:$8=$B260), 0)), 0) + 1, MATCH(1, (Data_Input!$7:$7=$F$3)*(Data_Input!$8:$8=$B260), 0)),"")</f>
        <v/>
      </c>
      <c r="I260" s="20" t="str" cm="1">
        <f t="array" ref="I260">IFERROR(INDEX(Data_Input!$A$1:$ZZ$502, MATCH("평가금액", INDEX(Data_Input!$A$1:$ZZ$502, 0, MATCH(1, (Data_Input!$7:$7=$F$3)*(Data_Input!$8:$8=$B260), 0)), 0) + 1, MATCH(1, (Data_Input!$7:$7=$F$3)*(Data_Input!$8:$8=$B260), 0)),"")</f>
        <v/>
      </c>
      <c r="J260" s="20" t="str" cm="1">
        <f t="array" ref="J260">IFERROR(INDEX(Data_Input!$A$1:$ZZ$502, MATCH("평가손익", INDEX(Data_Input!$A$1:$ZZ$502, 0, MATCH(1, (Data_Input!$7:$7=$F$3)*(Data_Input!$8:$8=$B260), 0)), 0) + 1, MATCH(1, (Data_Input!$7:$7=$F$3)*(Data_Input!$8:$8=$B260), 0)),"")</f>
        <v/>
      </c>
      <c r="K260" s="14" t="str" cm="1">
        <f t="array" ref="K260">IFERROR(INDEX(Data_Input!$A$1:$ZZ$502, MATCH("총수익률", INDEX(Data_Input!$A$1:$ZZ$502, 0, MATCH(1, (Data_Input!$7:$7=$F$3)*(Data_Input!$8:$8=$B260), 0)), 0) + 1, MATCH(1, (Data_Input!$7:$7=$F$3)*(Data_Input!$8:$8=$B260), 0)),"")</f>
        <v/>
      </c>
      <c r="L260" t="str" cm="1">
        <f t="array" ref="L260">IFERROR(_xlfn.LET(
    _xlpm.targetDate, B260,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61" spans="1:12" x14ac:dyDescent="0.3">
      <c r="A261" s="16" t="str">
        <f t="shared" si="7"/>
        <v/>
      </c>
      <c r="B261" s="8"/>
      <c r="C261" s="17" t="str">
        <f t="shared" si="8"/>
        <v/>
      </c>
      <c r="D261" s="29" t="str" cm="1">
        <f t="array" ref="D261">IFERROR(INDEX(Data_Input!$1:$100, 10, MATCH(1, (Data_Input!$F$7:$ZZ$7=$F$3) * (Data_Input!$F$8:$ZZ$8=$B261), 0)),"")</f>
        <v/>
      </c>
      <c r="E261" s="29" t="str" cm="1">
        <f t="array" ref="E261">IFERROR(INDEX(Data_Input!$1:$100, 9, MATCH(1, (Data_Input!$7:$7=$F$3) * (Data_Input!$8:$8=$B261), 0)),"")</f>
        <v/>
      </c>
      <c r="F261" s="20" t="str" cm="1">
        <f t="array" ref="F261">IFERROR(INDEX(Data_Input!$A$1:$ZZ$502, MATCH("예수금", INDEX(Data_Input!$A$1:$ZZ$502, 0, MATCH(1, (Data_Input!$7:$7=$F$3)*(Data_Input!$8:$8=$B261), 0)), 0) + 1, MATCH(1, (Data_Input!$7:$7=$F$3)*(Data_Input!$8:$8=$B261), 0)),"")</f>
        <v/>
      </c>
      <c r="G261" s="20" t="str" cm="1">
        <f t="array" ref="G261">IFERROR(INDEX(Data_Input!$A$1:$ZZ$502, MATCH("총자산", INDEX(Data_Input!$A$1:$ZZ$502, 0, MATCH(1, (Data_Input!$7:$7=$F$3)*(Data_Input!$8:$8=$B261), 0)), 0) + 1, MATCH(1, (Data_Input!$7:$7=$F$3)*(Data_Input!$8:$8=$B261), 0)),"")</f>
        <v/>
      </c>
      <c r="H261" s="20" t="str" cm="1">
        <f t="array" ref="H261">IFERROR(INDEX(Data_Input!$A$1:$ZZ$502, MATCH("매입금액", INDEX(Data_Input!$A$1:$ZZ$502, 0, MATCH(1, (Data_Input!$7:$7=$F$3)*(Data_Input!$8:$8=$B261), 0)), 0) + 1, MATCH(1, (Data_Input!$7:$7=$F$3)*(Data_Input!$8:$8=$B261), 0)),"")</f>
        <v/>
      </c>
      <c r="I261" s="20" t="str" cm="1">
        <f t="array" ref="I261">IFERROR(INDEX(Data_Input!$A$1:$ZZ$502, MATCH("평가금액", INDEX(Data_Input!$A$1:$ZZ$502, 0, MATCH(1, (Data_Input!$7:$7=$F$3)*(Data_Input!$8:$8=$B261), 0)), 0) + 1, MATCH(1, (Data_Input!$7:$7=$F$3)*(Data_Input!$8:$8=$B261), 0)),"")</f>
        <v/>
      </c>
      <c r="J261" s="20" t="str" cm="1">
        <f t="array" ref="J261">IFERROR(INDEX(Data_Input!$A$1:$ZZ$502, MATCH("평가손익", INDEX(Data_Input!$A$1:$ZZ$502, 0, MATCH(1, (Data_Input!$7:$7=$F$3)*(Data_Input!$8:$8=$B261), 0)), 0) + 1, MATCH(1, (Data_Input!$7:$7=$F$3)*(Data_Input!$8:$8=$B261), 0)),"")</f>
        <v/>
      </c>
      <c r="K261" s="14" t="str" cm="1">
        <f t="array" ref="K261">IFERROR(INDEX(Data_Input!$A$1:$ZZ$502, MATCH("총수익률", INDEX(Data_Input!$A$1:$ZZ$502, 0, MATCH(1, (Data_Input!$7:$7=$F$3)*(Data_Input!$8:$8=$B261), 0)), 0) + 1, MATCH(1, (Data_Input!$7:$7=$F$3)*(Data_Input!$8:$8=$B261), 0)),"")</f>
        <v/>
      </c>
      <c r="L261" t="str" cm="1">
        <f t="array" ref="L261">IFERROR(_xlfn.LET(
    _xlpm.targetDate, B261,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62" spans="1:12" x14ac:dyDescent="0.3">
      <c r="A262" s="16" t="str">
        <f t="shared" si="7"/>
        <v/>
      </c>
      <c r="B262" s="8"/>
      <c r="C262" s="17" t="str">
        <f t="shared" si="8"/>
        <v/>
      </c>
      <c r="D262" s="29" t="str" cm="1">
        <f t="array" ref="D262">IFERROR(INDEX(Data_Input!$1:$100, 10, MATCH(1, (Data_Input!$F$7:$ZZ$7=$F$3) * (Data_Input!$F$8:$ZZ$8=$B262), 0)),"")</f>
        <v/>
      </c>
      <c r="E262" s="29" t="str" cm="1">
        <f t="array" ref="E262">IFERROR(INDEX(Data_Input!$1:$100, 9, MATCH(1, (Data_Input!$7:$7=$F$3) * (Data_Input!$8:$8=$B262), 0)),"")</f>
        <v/>
      </c>
      <c r="F262" s="20" t="str" cm="1">
        <f t="array" ref="F262">IFERROR(INDEX(Data_Input!$A$1:$ZZ$502, MATCH("예수금", INDEX(Data_Input!$A$1:$ZZ$502, 0, MATCH(1, (Data_Input!$7:$7=$F$3)*(Data_Input!$8:$8=$B262), 0)), 0) + 1, MATCH(1, (Data_Input!$7:$7=$F$3)*(Data_Input!$8:$8=$B262), 0)),"")</f>
        <v/>
      </c>
      <c r="G262" s="20" t="str" cm="1">
        <f t="array" ref="G262">IFERROR(INDEX(Data_Input!$A$1:$ZZ$502, MATCH("총자산", INDEX(Data_Input!$A$1:$ZZ$502, 0, MATCH(1, (Data_Input!$7:$7=$F$3)*(Data_Input!$8:$8=$B262), 0)), 0) + 1, MATCH(1, (Data_Input!$7:$7=$F$3)*(Data_Input!$8:$8=$B262), 0)),"")</f>
        <v/>
      </c>
      <c r="H262" s="20" t="str" cm="1">
        <f t="array" ref="H262">IFERROR(INDEX(Data_Input!$A$1:$ZZ$502, MATCH("매입금액", INDEX(Data_Input!$A$1:$ZZ$502, 0, MATCH(1, (Data_Input!$7:$7=$F$3)*(Data_Input!$8:$8=$B262), 0)), 0) + 1, MATCH(1, (Data_Input!$7:$7=$F$3)*(Data_Input!$8:$8=$B262), 0)),"")</f>
        <v/>
      </c>
      <c r="I262" s="20" t="str" cm="1">
        <f t="array" ref="I262">IFERROR(INDEX(Data_Input!$A$1:$ZZ$502, MATCH("평가금액", INDEX(Data_Input!$A$1:$ZZ$502, 0, MATCH(1, (Data_Input!$7:$7=$F$3)*(Data_Input!$8:$8=$B262), 0)), 0) + 1, MATCH(1, (Data_Input!$7:$7=$F$3)*(Data_Input!$8:$8=$B262), 0)),"")</f>
        <v/>
      </c>
      <c r="J262" s="20" t="str" cm="1">
        <f t="array" ref="J262">IFERROR(INDEX(Data_Input!$A$1:$ZZ$502, MATCH("평가손익", INDEX(Data_Input!$A$1:$ZZ$502, 0, MATCH(1, (Data_Input!$7:$7=$F$3)*(Data_Input!$8:$8=$B262), 0)), 0) + 1, MATCH(1, (Data_Input!$7:$7=$F$3)*(Data_Input!$8:$8=$B262), 0)),"")</f>
        <v/>
      </c>
      <c r="K262" s="14" t="str" cm="1">
        <f t="array" ref="K262">IFERROR(INDEX(Data_Input!$A$1:$ZZ$502, MATCH("총수익률", INDEX(Data_Input!$A$1:$ZZ$502, 0, MATCH(1, (Data_Input!$7:$7=$F$3)*(Data_Input!$8:$8=$B262), 0)), 0) + 1, MATCH(1, (Data_Input!$7:$7=$F$3)*(Data_Input!$8:$8=$B262), 0)),"")</f>
        <v/>
      </c>
      <c r="L262" t="str" cm="1">
        <f t="array" ref="L262">IFERROR(_xlfn.LET(
    _xlpm.targetDate, B262,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63" spans="1:12" x14ac:dyDescent="0.3">
      <c r="A263" s="16" t="str">
        <f t="shared" ref="A263:A326" si="9">IF(B263&gt;0,A262+1,"")</f>
        <v/>
      </c>
      <c r="B263" s="8"/>
      <c r="C263" s="17" t="str">
        <f t="shared" si="8"/>
        <v/>
      </c>
      <c r="D263" s="29" t="str" cm="1">
        <f t="array" ref="D263">IFERROR(INDEX(Data_Input!$1:$100, 10, MATCH(1, (Data_Input!$F$7:$ZZ$7=$F$3) * (Data_Input!$F$8:$ZZ$8=$B263), 0)),"")</f>
        <v/>
      </c>
      <c r="E263" s="29" t="str" cm="1">
        <f t="array" ref="E263">IFERROR(INDEX(Data_Input!$1:$100, 9, MATCH(1, (Data_Input!$7:$7=$F$3) * (Data_Input!$8:$8=$B263), 0)),"")</f>
        <v/>
      </c>
      <c r="F263" s="20" t="str" cm="1">
        <f t="array" ref="F263">IFERROR(INDEX(Data_Input!$A$1:$ZZ$502, MATCH("예수금", INDEX(Data_Input!$A$1:$ZZ$502, 0, MATCH(1, (Data_Input!$7:$7=$F$3)*(Data_Input!$8:$8=$B263), 0)), 0) + 1, MATCH(1, (Data_Input!$7:$7=$F$3)*(Data_Input!$8:$8=$B263), 0)),"")</f>
        <v/>
      </c>
      <c r="G263" s="20" t="str" cm="1">
        <f t="array" ref="G263">IFERROR(INDEX(Data_Input!$A$1:$ZZ$502, MATCH("총자산", INDEX(Data_Input!$A$1:$ZZ$502, 0, MATCH(1, (Data_Input!$7:$7=$F$3)*(Data_Input!$8:$8=$B263), 0)), 0) + 1, MATCH(1, (Data_Input!$7:$7=$F$3)*(Data_Input!$8:$8=$B263), 0)),"")</f>
        <v/>
      </c>
      <c r="H263" s="20" t="str" cm="1">
        <f t="array" ref="H263">IFERROR(INDEX(Data_Input!$A$1:$ZZ$502, MATCH("매입금액", INDEX(Data_Input!$A$1:$ZZ$502, 0, MATCH(1, (Data_Input!$7:$7=$F$3)*(Data_Input!$8:$8=$B263), 0)), 0) + 1, MATCH(1, (Data_Input!$7:$7=$F$3)*(Data_Input!$8:$8=$B263), 0)),"")</f>
        <v/>
      </c>
      <c r="I263" s="20" t="str" cm="1">
        <f t="array" ref="I263">IFERROR(INDEX(Data_Input!$A$1:$ZZ$502, MATCH("평가금액", INDEX(Data_Input!$A$1:$ZZ$502, 0, MATCH(1, (Data_Input!$7:$7=$F$3)*(Data_Input!$8:$8=$B263), 0)), 0) + 1, MATCH(1, (Data_Input!$7:$7=$F$3)*(Data_Input!$8:$8=$B263), 0)),"")</f>
        <v/>
      </c>
      <c r="J263" s="20" t="str" cm="1">
        <f t="array" ref="J263">IFERROR(INDEX(Data_Input!$A$1:$ZZ$502, MATCH("평가손익", INDEX(Data_Input!$A$1:$ZZ$502, 0, MATCH(1, (Data_Input!$7:$7=$F$3)*(Data_Input!$8:$8=$B263), 0)), 0) + 1, MATCH(1, (Data_Input!$7:$7=$F$3)*(Data_Input!$8:$8=$B263), 0)),"")</f>
        <v/>
      </c>
      <c r="K263" s="14" t="str" cm="1">
        <f t="array" ref="K263">IFERROR(INDEX(Data_Input!$A$1:$ZZ$502, MATCH("총수익률", INDEX(Data_Input!$A$1:$ZZ$502, 0, MATCH(1, (Data_Input!$7:$7=$F$3)*(Data_Input!$8:$8=$B263), 0)), 0) + 1, MATCH(1, (Data_Input!$7:$7=$F$3)*(Data_Input!$8:$8=$B263), 0)),"")</f>
        <v/>
      </c>
      <c r="L263" t="str" cm="1">
        <f t="array" ref="L263">IFERROR(_xlfn.LET(
    _xlpm.targetDate, B263,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64" spans="1:12" x14ac:dyDescent="0.3">
      <c r="A264" s="16" t="str">
        <f t="shared" si="9"/>
        <v/>
      </c>
      <c r="B264" s="8"/>
      <c r="C264" s="17" t="str">
        <f t="shared" si="8"/>
        <v/>
      </c>
      <c r="D264" s="29" t="str" cm="1">
        <f t="array" ref="D264">IFERROR(INDEX(Data_Input!$1:$100, 10, MATCH(1, (Data_Input!$F$7:$ZZ$7=$F$3) * (Data_Input!$F$8:$ZZ$8=$B264), 0)),"")</f>
        <v/>
      </c>
      <c r="E264" s="29" t="str" cm="1">
        <f t="array" ref="E264">IFERROR(INDEX(Data_Input!$1:$100, 9, MATCH(1, (Data_Input!$7:$7=$F$3) * (Data_Input!$8:$8=$B264), 0)),"")</f>
        <v/>
      </c>
      <c r="F264" s="20" t="str" cm="1">
        <f t="array" ref="F264">IFERROR(INDEX(Data_Input!$A$1:$ZZ$502, MATCH("예수금", INDEX(Data_Input!$A$1:$ZZ$502, 0, MATCH(1, (Data_Input!$7:$7=$F$3)*(Data_Input!$8:$8=$B264), 0)), 0) + 1, MATCH(1, (Data_Input!$7:$7=$F$3)*(Data_Input!$8:$8=$B264), 0)),"")</f>
        <v/>
      </c>
      <c r="G264" s="20" t="str" cm="1">
        <f t="array" ref="G264">IFERROR(INDEX(Data_Input!$A$1:$ZZ$502, MATCH("총자산", INDEX(Data_Input!$A$1:$ZZ$502, 0, MATCH(1, (Data_Input!$7:$7=$F$3)*(Data_Input!$8:$8=$B264), 0)), 0) + 1, MATCH(1, (Data_Input!$7:$7=$F$3)*(Data_Input!$8:$8=$B264), 0)),"")</f>
        <v/>
      </c>
      <c r="H264" s="20" t="str" cm="1">
        <f t="array" ref="H264">IFERROR(INDEX(Data_Input!$A$1:$ZZ$502, MATCH("매입금액", INDEX(Data_Input!$A$1:$ZZ$502, 0, MATCH(1, (Data_Input!$7:$7=$F$3)*(Data_Input!$8:$8=$B264), 0)), 0) + 1, MATCH(1, (Data_Input!$7:$7=$F$3)*(Data_Input!$8:$8=$B264), 0)),"")</f>
        <v/>
      </c>
      <c r="I264" s="20" t="str" cm="1">
        <f t="array" ref="I264">IFERROR(INDEX(Data_Input!$A$1:$ZZ$502, MATCH("평가금액", INDEX(Data_Input!$A$1:$ZZ$502, 0, MATCH(1, (Data_Input!$7:$7=$F$3)*(Data_Input!$8:$8=$B264), 0)), 0) + 1, MATCH(1, (Data_Input!$7:$7=$F$3)*(Data_Input!$8:$8=$B264), 0)),"")</f>
        <v/>
      </c>
      <c r="J264" s="20" t="str" cm="1">
        <f t="array" ref="J264">IFERROR(INDEX(Data_Input!$A$1:$ZZ$502, MATCH("평가손익", INDEX(Data_Input!$A$1:$ZZ$502, 0, MATCH(1, (Data_Input!$7:$7=$F$3)*(Data_Input!$8:$8=$B264), 0)), 0) + 1, MATCH(1, (Data_Input!$7:$7=$F$3)*(Data_Input!$8:$8=$B264), 0)),"")</f>
        <v/>
      </c>
      <c r="K264" s="14" t="str" cm="1">
        <f t="array" ref="K264">IFERROR(INDEX(Data_Input!$A$1:$ZZ$502, MATCH("총수익률", INDEX(Data_Input!$A$1:$ZZ$502, 0, MATCH(1, (Data_Input!$7:$7=$F$3)*(Data_Input!$8:$8=$B264), 0)), 0) + 1, MATCH(1, (Data_Input!$7:$7=$F$3)*(Data_Input!$8:$8=$B264), 0)),"")</f>
        <v/>
      </c>
      <c r="L264" t="str" cm="1">
        <f t="array" ref="L264">IFERROR(_xlfn.LET(
    _xlpm.targetDate, B264,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65" spans="1:12" x14ac:dyDescent="0.3">
      <c r="A265" s="16" t="str">
        <f t="shared" si="9"/>
        <v/>
      </c>
      <c r="B265" s="8"/>
      <c r="C265" s="17" t="str">
        <f t="shared" si="8"/>
        <v/>
      </c>
      <c r="D265" s="29" t="str" cm="1">
        <f t="array" ref="D265">IFERROR(INDEX(Data_Input!$1:$100, 10, MATCH(1, (Data_Input!$F$7:$ZZ$7=$F$3) * (Data_Input!$F$8:$ZZ$8=$B265), 0)),"")</f>
        <v/>
      </c>
      <c r="E265" s="29" t="str" cm="1">
        <f t="array" ref="E265">IFERROR(INDEX(Data_Input!$1:$100, 9, MATCH(1, (Data_Input!$7:$7=$F$3) * (Data_Input!$8:$8=$B265), 0)),"")</f>
        <v/>
      </c>
      <c r="F265" s="20" t="str" cm="1">
        <f t="array" ref="F265">IFERROR(INDEX(Data_Input!$A$1:$ZZ$502, MATCH("예수금", INDEX(Data_Input!$A$1:$ZZ$502, 0, MATCH(1, (Data_Input!$7:$7=$F$3)*(Data_Input!$8:$8=$B265), 0)), 0) + 1, MATCH(1, (Data_Input!$7:$7=$F$3)*(Data_Input!$8:$8=$B265), 0)),"")</f>
        <v/>
      </c>
      <c r="G265" s="20" t="str" cm="1">
        <f t="array" ref="G265">IFERROR(INDEX(Data_Input!$A$1:$ZZ$502, MATCH("총자산", INDEX(Data_Input!$A$1:$ZZ$502, 0, MATCH(1, (Data_Input!$7:$7=$F$3)*(Data_Input!$8:$8=$B265), 0)), 0) + 1, MATCH(1, (Data_Input!$7:$7=$F$3)*(Data_Input!$8:$8=$B265), 0)),"")</f>
        <v/>
      </c>
      <c r="H265" s="20" t="str" cm="1">
        <f t="array" ref="H265">IFERROR(INDEX(Data_Input!$A$1:$ZZ$502, MATCH("매입금액", INDEX(Data_Input!$A$1:$ZZ$502, 0, MATCH(1, (Data_Input!$7:$7=$F$3)*(Data_Input!$8:$8=$B265), 0)), 0) + 1, MATCH(1, (Data_Input!$7:$7=$F$3)*(Data_Input!$8:$8=$B265), 0)),"")</f>
        <v/>
      </c>
      <c r="I265" s="20" t="str" cm="1">
        <f t="array" ref="I265">IFERROR(INDEX(Data_Input!$A$1:$ZZ$502, MATCH("평가금액", INDEX(Data_Input!$A$1:$ZZ$502, 0, MATCH(1, (Data_Input!$7:$7=$F$3)*(Data_Input!$8:$8=$B265), 0)), 0) + 1, MATCH(1, (Data_Input!$7:$7=$F$3)*(Data_Input!$8:$8=$B265), 0)),"")</f>
        <v/>
      </c>
      <c r="J265" s="20" t="str" cm="1">
        <f t="array" ref="J265">IFERROR(INDEX(Data_Input!$A$1:$ZZ$502, MATCH("평가손익", INDEX(Data_Input!$A$1:$ZZ$502, 0, MATCH(1, (Data_Input!$7:$7=$F$3)*(Data_Input!$8:$8=$B265), 0)), 0) + 1, MATCH(1, (Data_Input!$7:$7=$F$3)*(Data_Input!$8:$8=$B265), 0)),"")</f>
        <v/>
      </c>
      <c r="K265" s="14" t="str" cm="1">
        <f t="array" ref="K265">IFERROR(INDEX(Data_Input!$A$1:$ZZ$502, MATCH("총수익률", INDEX(Data_Input!$A$1:$ZZ$502, 0, MATCH(1, (Data_Input!$7:$7=$F$3)*(Data_Input!$8:$8=$B265), 0)), 0) + 1, MATCH(1, (Data_Input!$7:$7=$F$3)*(Data_Input!$8:$8=$B265), 0)),"")</f>
        <v/>
      </c>
      <c r="L265" t="str" cm="1">
        <f t="array" ref="L265">IFERROR(_xlfn.LET(
    _xlpm.targetDate, B265,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66" spans="1:12" x14ac:dyDescent="0.3">
      <c r="A266" s="16" t="str">
        <f t="shared" si="9"/>
        <v/>
      </c>
      <c r="B266" s="8"/>
      <c r="C266" s="17" t="str">
        <f t="shared" ref="C266:C329" si="10">IF(B266&gt;0,C265,"")</f>
        <v/>
      </c>
      <c r="D266" s="29" t="str" cm="1">
        <f t="array" ref="D266">IFERROR(INDEX(Data_Input!$1:$100, 10, MATCH(1, (Data_Input!$F$7:$ZZ$7=$F$3) * (Data_Input!$F$8:$ZZ$8=$B266), 0)),"")</f>
        <v/>
      </c>
      <c r="E266" s="29" t="str" cm="1">
        <f t="array" ref="E266">IFERROR(INDEX(Data_Input!$1:$100, 9, MATCH(1, (Data_Input!$7:$7=$F$3) * (Data_Input!$8:$8=$B266), 0)),"")</f>
        <v/>
      </c>
      <c r="F266" s="20" t="str" cm="1">
        <f t="array" ref="F266">IFERROR(INDEX(Data_Input!$A$1:$ZZ$502, MATCH("예수금", INDEX(Data_Input!$A$1:$ZZ$502, 0, MATCH(1, (Data_Input!$7:$7=$F$3)*(Data_Input!$8:$8=$B266), 0)), 0) + 1, MATCH(1, (Data_Input!$7:$7=$F$3)*(Data_Input!$8:$8=$B266), 0)),"")</f>
        <v/>
      </c>
      <c r="G266" s="20" t="str" cm="1">
        <f t="array" ref="G266">IFERROR(INDEX(Data_Input!$A$1:$ZZ$502, MATCH("총자산", INDEX(Data_Input!$A$1:$ZZ$502, 0, MATCH(1, (Data_Input!$7:$7=$F$3)*(Data_Input!$8:$8=$B266), 0)), 0) + 1, MATCH(1, (Data_Input!$7:$7=$F$3)*(Data_Input!$8:$8=$B266), 0)),"")</f>
        <v/>
      </c>
      <c r="H266" s="20" t="str" cm="1">
        <f t="array" ref="H266">IFERROR(INDEX(Data_Input!$A$1:$ZZ$502, MATCH("매입금액", INDEX(Data_Input!$A$1:$ZZ$502, 0, MATCH(1, (Data_Input!$7:$7=$F$3)*(Data_Input!$8:$8=$B266), 0)), 0) + 1, MATCH(1, (Data_Input!$7:$7=$F$3)*(Data_Input!$8:$8=$B266), 0)),"")</f>
        <v/>
      </c>
      <c r="I266" s="20" t="str" cm="1">
        <f t="array" ref="I266">IFERROR(INDEX(Data_Input!$A$1:$ZZ$502, MATCH("평가금액", INDEX(Data_Input!$A$1:$ZZ$502, 0, MATCH(1, (Data_Input!$7:$7=$F$3)*(Data_Input!$8:$8=$B266), 0)), 0) + 1, MATCH(1, (Data_Input!$7:$7=$F$3)*(Data_Input!$8:$8=$B266), 0)),"")</f>
        <v/>
      </c>
      <c r="J266" s="20" t="str" cm="1">
        <f t="array" ref="J266">IFERROR(INDEX(Data_Input!$A$1:$ZZ$502, MATCH("평가손익", INDEX(Data_Input!$A$1:$ZZ$502, 0, MATCH(1, (Data_Input!$7:$7=$F$3)*(Data_Input!$8:$8=$B266), 0)), 0) + 1, MATCH(1, (Data_Input!$7:$7=$F$3)*(Data_Input!$8:$8=$B266), 0)),"")</f>
        <v/>
      </c>
      <c r="K266" s="14" t="str" cm="1">
        <f t="array" ref="K266">IFERROR(INDEX(Data_Input!$A$1:$ZZ$502, MATCH("총수익률", INDEX(Data_Input!$A$1:$ZZ$502, 0, MATCH(1, (Data_Input!$7:$7=$F$3)*(Data_Input!$8:$8=$B266), 0)), 0) + 1, MATCH(1, (Data_Input!$7:$7=$F$3)*(Data_Input!$8:$8=$B266), 0)),"")</f>
        <v/>
      </c>
      <c r="L266" t="str" cm="1">
        <f t="array" ref="L266">IFERROR(_xlfn.LET(
    _xlpm.targetDate, B266,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67" spans="1:12" x14ac:dyDescent="0.3">
      <c r="A267" s="16" t="str">
        <f t="shared" si="9"/>
        <v/>
      </c>
      <c r="B267" s="8"/>
      <c r="C267" s="17" t="str">
        <f t="shared" si="10"/>
        <v/>
      </c>
      <c r="D267" s="29" t="str" cm="1">
        <f t="array" ref="D267">IFERROR(INDEX(Data_Input!$1:$100, 10, MATCH(1, (Data_Input!$F$7:$ZZ$7=$F$3) * (Data_Input!$F$8:$ZZ$8=$B267), 0)),"")</f>
        <v/>
      </c>
      <c r="E267" s="29" t="str" cm="1">
        <f t="array" ref="E267">IFERROR(INDEX(Data_Input!$1:$100, 9, MATCH(1, (Data_Input!$7:$7=$F$3) * (Data_Input!$8:$8=$B267), 0)),"")</f>
        <v/>
      </c>
      <c r="F267" s="20" t="str" cm="1">
        <f t="array" ref="F267">IFERROR(INDEX(Data_Input!$A$1:$ZZ$502, MATCH("예수금", INDEX(Data_Input!$A$1:$ZZ$502, 0, MATCH(1, (Data_Input!$7:$7=$F$3)*(Data_Input!$8:$8=$B267), 0)), 0) + 1, MATCH(1, (Data_Input!$7:$7=$F$3)*(Data_Input!$8:$8=$B267), 0)),"")</f>
        <v/>
      </c>
      <c r="G267" s="20" t="str" cm="1">
        <f t="array" ref="G267">IFERROR(INDEX(Data_Input!$A$1:$ZZ$502, MATCH("총자산", INDEX(Data_Input!$A$1:$ZZ$502, 0, MATCH(1, (Data_Input!$7:$7=$F$3)*(Data_Input!$8:$8=$B267), 0)), 0) + 1, MATCH(1, (Data_Input!$7:$7=$F$3)*(Data_Input!$8:$8=$B267), 0)),"")</f>
        <v/>
      </c>
      <c r="H267" s="20" t="str" cm="1">
        <f t="array" ref="H267">IFERROR(INDEX(Data_Input!$A$1:$ZZ$502, MATCH("매입금액", INDEX(Data_Input!$A$1:$ZZ$502, 0, MATCH(1, (Data_Input!$7:$7=$F$3)*(Data_Input!$8:$8=$B267), 0)), 0) + 1, MATCH(1, (Data_Input!$7:$7=$F$3)*(Data_Input!$8:$8=$B267), 0)),"")</f>
        <v/>
      </c>
      <c r="I267" s="20" t="str" cm="1">
        <f t="array" ref="I267">IFERROR(INDEX(Data_Input!$A$1:$ZZ$502, MATCH("평가금액", INDEX(Data_Input!$A$1:$ZZ$502, 0, MATCH(1, (Data_Input!$7:$7=$F$3)*(Data_Input!$8:$8=$B267), 0)), 0) + 1, MATCH(1, (Data_Input!$7:$7=$F$3)*(Data_Input!$8:$8=$B267), 0)),"")</f>
        <v/>
      </c>
      <c r="J267" s="20" t="str" cm="1">
        <f t="array" ref="J267">IFERROR(INDEX(Data_Input!$A$1:$ZZ$502, MATCH("평가손익", INDEX(Data_Input!$A$1:$ZZ$502, 0, MATCH(1, (Data_Input!$7:$7=$F$3)*(Data_Input!$8:$8=$B267), 0)), 0) + 1, MATCH(1, (Data_Input!$7:$7=$F$3)*(Data_Input!$8:$8=$B267), 0)),"")</f>
        <v/>
      </c>
      <c r="K267" s="14" t="str" cm="1">
        <f t="array" ref="K267">IFERROR(INDEX(Data_Input!$A$1:$ZZ$502, MATCH("총수익률", INDEX(Data_Input!$A$1:$ZZ$502, 0, MATCH(1, (Data_Input!$7:$7=$F$3)*(Data_Input!$8:$8=$B267), 0)), 0) + 1, MATCH(1, (Data_Input!$7:$7=$F$3)*(Data_Input!$8:$8=$B267), 0)),"")</f>
        <v/>
      </c>
      <c r="L267" t="str" cm="1">
        <f t="array" ref="L267">IFERROR(_xlfn.LET(
    _xlpm.targetDate, B267,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68" spans="1:12" x14ac:dyDescent="0.3">
      <c r="A268" s="16" t="str">
        <f t="shared" si="9"/>
        <v/>
      </c>
      <c r="B268" s="8"/>
      <c r="C268" s="17" t="str">
        <f t="shared" si="10"/>
        <v/>
      </c>
      <c r="D268" s="29" t="str" cm="1">
        <f t="array" ref="D268">IFERROR(INDEX(Data_Input!$1:$100, 10, MATCH(1, (Data_Input!$F$7:$ZZ$7=$F$3) * (Data_Input!$F$8:$ZZ$8=$B268), 0)),"")</f>
        <v/>
      </c>
      <c r="E268" s="29" t="str" cm="1">
        <f t="array" ref="E268">IFERROR(INDEX(Data_Input!$1:$100, 9, MATCH(1, (Data_Input!$7:$7=$F$3) * (Data_Input!$8:$8=$B268), 0)),"")</f>
        <v/>
      </c>
      <c r="F268" s="20" t="str" cm="1">
        <f t="array" ref="F268">IFERROR(INDEX(Data_Input!$A$1:$ZZ$502, MATCH("예수금", INDEX(Data_Input!$A$1:$ZZ$502, 0, MATCH(1, (Data_Input!$7:$7=$F$3)*(Data_Input!$8:$8=$B268), 0)), 0) + 1, MATCH(1, (Data_Input!$7:$7=$F$3)*(Data_Input!$8:$8=$B268), 0)),"")</f>
        <v/>
      </c>
      <c r="G268" s="20" t="str" cm="1">
        <f t="array" ref="G268">IFERROR(INDEX(Data_Input!$A$1:$ZZ$502, MATCH("총자산", INDEX(Data_Input!$A$1:$ZZ$502, 0, MATCH(1, (Data_Input!$7:$7=$F$3)*(Data_Input!$8:$8=$B268), 0)), 0) + 1, MATCH(1, (Data_Input!$7:$7=$F$3)*(Data_Input!$8:$8=$B268), 0)),"")</f>
        <v/>
      </c>
      <c r="H268" s="20" t="str" cm="1">
        <f t="array" ref="H268">IFERROR(INDEX(Data_Input!$A$1:$ZZ$502, MATCH("매입금액", INDEX(Data_Input!$A$1:$ZZ$502, 0, MATCH(1, (Data_Input!$7:$7=$F$3)*(Data_Input!$8:$8=$B268), 0)), 0) + 1, MATCH(1, (Data_Input!$7:$7=$F$3)*(Data_Input!$8:$8=$B268), 0)),"")</f>
        <v/>
      </c>
      <c r="I268" s="20" t="str" cm="1">
        <f t="array" ref="I268">IFERROR(INDEX(Data_Input!$A$1:$ZZ$502, MATCH("평가금액", INDEX(Data_Input!$A$1:$ZZ$502, 0, MATCH(1, (Data_Input!$7:$7=$F$3)*(Data_Input!$8:$8=$B268), 0)), 0) + 1, MATCH(1, (Data_Input!$7:$7=$F$3)*(Data_Input!$8:$8=$B268), 0)),"")</f>
        <v/>
      </c>
      <c r="J268" s="20" t="str" cm="1">
        <f t="array" ref="J268">IFERROR(INDEX(Data_Input!$A$1:$ZZ$502, MATCH("평가손익", INDEX(Data_Input!$A$1:$ZZ$502, 0, MATCH(1, (Data_Input!$7:$7=$F$3)*(Data_Input!$8:$8=$B268), 0)), 0) + 1, MATCH(1, (Data_Input!$7:$7=$F$3)*(Data_Input!$8:$8=$B268), 0)),"")</f>
        <v/>
      </c>
      <c r="K268" s="14" t="str" cm="1">
        <f t="array" ref="K268">IFERROR(INDEX(Data_Input!$A$1:$ZZ$502, MATCH("총수익률", INDEX(Data_Input!$A$1:$ZZ$502, 0, MATCH(1, (Data_Input!$7:$7=$F$3)*(Data_Input!$8:$8=$B268), 0)), 0) + 1, MATCH(1, (Data_Input!$7:$7=$F$3)*(Data_Input!$8:$8=$B268), 0)),"")</f>
        <v/>
      </c>
      <c r="L268" t="str" cm="1">
        <f t="array" ref="L268">IFERROR(_xlfn.LET(
    _xlpm.targetDate, B268,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69" spans="1:12" x14ac:dyDescent="0.3">
      <c r="A269" s="16" t="str">
        <f t="shared" si="9"/>
        <v/>
      </c>
      <c r="B269" s="8"/>
      <c r="C269" s="17" t="str">
        <f t="shared" si="10"/>
        <v/>
      </c>
      <c r="D269" s="29" t="str" cm="1">
        <f t="array" ref="D269">IFERROR(INDEX(Data_Input!$1:$100, 10, MATCH(1, (Data_Input!$F$7:$ZZ$7=$F$3) * (Data_Input!$F$8:$ZZ$8=$B269), 0)),"")</f>
        <v/>
      </c>
      <c r="E269" s="29" t="str" cm="1">
        <f t="array" ref="E269">IFERROR(INDEX(Data_Input!$1:$100, 9, MATCH(1, (Data_Input!$7:$7=$F$3) * (Data_Input!$8:$8=$B269), 0)),"")</f>
        <v/>
      </c>
      <c r="F269" s="20" t="str" cm="1">
        <f t="array" ref="F269">IFERROR(INDEX(Data_Input!$A$1:$ZZ$502, MATCH("예수금", INDEX(Data_Input!$A$1:$ZZ$502, 0, MATCH(1, (Data_Input!$7:$7=$F$3)*(Data_Input!$8:$8=$B269), 0)), 0) + 1, MATCH(1, (Data_Input!$7:$7=$F$3)*(Data_Input!$8:$8=$B269), 0)),"")</f>
        <v/>
      </c>
      <c r="G269" s="20" t="str" cm="1">
        <f t="array" ref="G269">IFERROR(INDEX(Data_Input!$A$1:$ZZ$502, MATCH("총자산", INDEX(Data_Input!$A$1:$ZZ$502, 0, MATCH(1, (Data_Input!$7:$7=$F$3)*(Data_Input!$8:$8=$B269), 0)), 0) + 1, MATCH(1, (Data_Input!$7:$7=$F$3)*(Data_Input!$8:$8=$B269), 0)),"")</f>
        <v/>
      </c>
      <c r="H269" s="20" t="str" cm="1">
        <f t="array" ref="H269">IFERROR(INDEX(Data_Input!$A$1:$ZZ$502, MATCH("매입금액", INDEX(Data_Input!$A$1:$ZZ$502, 0, MATCH(1, (Data_Input!$7:$7=$F$3)*(Data_Input!$8:$8=$B269), 0)), 0) + 1, MATCH(1, (Data_Input!$7:$7=$F$3)*(Data_Input!$8:$8=$B269), 0)),"")</f>
        <v/>
      </c>
      <c r="I269" s="20" t="str" cm="1">
        <f t="array" ref="I269">IFERROR(INDEX(Data_Input!$A$1:$ZZ$502, MATCH("평가금액", INDEX(Data_Input!$A$1:$ZZ$502, 0, MATCH(1, (Data_Input!$7:$7=$F$3)*(Data_Input!$8:$8=$B269), 0)), 0) + 1, MATCH(1, (Data_Input!$7:$7=$F$3)*(Data_Input!$8:$8=$B269), 0)),"")</f>
        <v/>
      </c>
      <c r="J269" s="20" t="str" cm="1">
        <f t="array" ref="J269">IFERROR(INDEX(Data_Input!$A$1:$ZZ$502, MATCH("평가손익", INDEX(Data_Input!$A$1:$ZZ$502, 0, MATCH(1, (Data_Input!$7:$7=$F$3)*(Data_Input!$8:$8=$B269), 0)), 0) + 1, MATCH(1, (Data_Input!$7:$7=$F$3)*(Data_Input!$8:$8=$B269), 0)),"")</f>
        <v/>
      </c>
      <c r="K269" s="14" t="str" cm="1">
        <f t="array" ref="K269">IFERROR(INDEX(Data_Input!$A$1:$ZZ$502, MATCH("총수익률", INDEX(Data_Input!$A$1:$ZZ$502, 0, MATCH(1, (Data_Input!$7:$7=$F$3)*(Data_Input!$8:$8=$B269), 0)), 0) + 1, MATCH(1, (Data_Input!$7:$7=$F$3)*(Data_Input!$8:$8=$B269), 0)),"")</f>
        <v/>
      </c>
      <c r="L269" t="str" cm="1">
        <f t="array" ref="L269">IFERROR(_xlfn.LET(
    _xlpm.targetDate, B269,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70" spans="1:12" x14ac:dyDescent="0.3">
      <c r="A270" s="16" t="str">
        <f t="shared" si="9"/>
        <v/>
      </c>
      <c r="B270" s="8"/>
      <c r="C270" s="17" t="str">
        <f t="shared" si="10"/>
        <v/>
      </c>
      <c r="D270" s="29" t="str" cm="1">
        <f t="array" ref="D270">IFERROR(INDEX(Data_Input!$1:$100, 10, MATCH(1, (Data_Input!$F$7:$ZZ$7=$F$3) * (Data_Input!$F$8:$ZZ$8=$B270), 0)),"")</f>
        <v/>
      </c>
      <c r="E270" s="29" t="str" cm="1">
        <f t="array" ref="E270">IFERROR(INDEX(Data_Input!$1:$100, 9, MATCH(1, (Data_Input!$7:$7=$F$3) * (Data_Input!$8:$8=$B270), 0)),"")</f>
        <v/>
      </c>
      <c r="F270" s="20" t="str" cm="1">
        <f t="array" ref="F270">IFERROR(INDEX(Data_Input!$A$1:$ZZ$502, MATCH("예수금", INDEX(Data_Input!$A$1:$ZZ$502, 0, MATCH(1, (Data_Input!$7:$7=$F$3)*(Data_Input!$8:$8=$B270), 0)), 0) + 1, MATCH(1, (Data_Input!$7:$7=$F$3)*(Data_Input!$8:$8=$B270), 0)),"")</f>
        <v/>
      </c>
      <c r="G270" s="20" t="str" cm="1">
        <f t="array" ref="G270">IFERROR(INDEX(Data_Input!$A$1:$ZZ$502, MATCH("총자산", INDEX(Data_Input!$A$1:$ZZ$502, 0, MATCH(1, (Data_Input!$7:$7=$F$3)*(Data_Input!$8:$8=$B270), 0)), 0) + 1, MATCH(1, (Data_Input!$7:$7=$F$3)*(Data_Input!$8:$8=$B270), 0)),"")</f>
        <v/>
      </c>
      <c r="H270" s="20" t="str" cm="1">
        <f t="array" ref="H270">IFERROR(INDEX(Data_Input!$A$1:$ZZ$502, MATCH("매입금액", INDEX(Data_Input!$A$1:$ZZ$502, 0, MATCH(1, (Data_Input!$7:$7=$F$3)*(Data_Input!$8:$8=$B270), 0)), 0) + 1, MATCH(1, (Data_Input!$7:$7=$F$3)*(Data_Input!$8:$8=$B270), 0)),"")</f>
        <v/>
      </c>
      <c r="I270" s="20" t="str" cm="1">
        <f t="array" ref="I270">IFERROR(INDEX(Data_Input!$A$1:$ZZ$502, MATCH("평가금액", INDEX(Data_Input!$A$1:$ZZ$502, 0, MATCH(1, (Data_Input!$7:$7=$F$3)*(Data_Input!$8:$8=$B270), 0)), 0) + 1, MATCH(1, (Data_Input!$7:$7=$F$3)*(Data_Input!$8:$8=$B270), 0)),"")</f>
        <v/>
      </c>
      <c r="J270" s="20" t="str" cm="1">
        <f t="array" ref="J270">IFERROR(INDEX(Data_Input!$A$1:$ZZ$502, MATCH("평가손익", INDEX(Data_Input!$A$1:$ZZ$502, 0, MATCH(1, (Data_Input!$7:$7=$F$3)*(Data_Input!$8:$8=$B270), 0)), 0) + 1, MATCH(1, (Data_Input!$7:$7=$F$3)*(Data_Input!$8:$8=$B270), 0)),"")</f>
        <v/>
      </c>
      <c r="K270" s="14" t="str" cm="1">
        <f t="array" ref="K270">IFERROR(INDEX(Data_Input!$A$1:$ZZ$502, MATCH("총수익률", INDEX(Data_Input!$A$1:$ZZ$502, 0, MATCH(1, (Data_Input!$7:$7=$F$3)*(Data_Input!$8:$8=$B270), 0)), 0) + 1, MATCH(1, (Data_Input!$7:$7=$F$3)*(Data_Input!$8:$8=$B270), 0)),"")</f>
        <v/>
      </c>
      <c r="L270" t="str" cm="1">
        <f t="array" ref="L270">IFERROR(_xlfn.LET(
    _xlpm.targetDate, B270,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71" spans="1:12" x14ac:dyDescent="0.3">
      <c r="A271" s="16" t="str">
        <f t="shared" si="9"/>
        <v/>
      </c>
      <c r="B271" s="8"/>
      <c r="C271" s="17" t="str">
        <f t="shared" si="10"/>
        <v/>
      </c>
      <c r="D271" s="29" t="str" cm="1">
        <f t="array" ref="D271">IFERROR(INDEX(Data_Input!$1:$100, 10, MATCH(1, (Data_Input!$F$7:$ZZ$7=$F$3) * (Data_Input!$F$8:$ZZ$8=$B271), 0)),"")</f>
        <v/>
      </c>
      <c r="E271" s="29" t="str" cm="1">
        <f t="array" ref="E271">IFERROR(INDEX(Data_Input!$1:$100, 9, MATCH(1, (Data_Input!$7:$7=$F$3) * (Data_Input!$8:$8=$B271), 0)),"")</f>
        <v/>
      </c>
      <c r="F271" s="20" t="str" cm="1">
        <f t="array" ref="F271">IFERROR(INDEX(Data_Input!$A$1:$ZZ$502, MATCH("예수금", INDEX(Data_Input!$A$1:$ZZ$502, 0, MATCH(1, (Data_Input!$7:$7=$F$3)*(Data_Input!$8:$8=$B271), 0)), 0) + 1, MATCH(1, (Data_Input!$7:$7=$F$3)*(Data_Input!$8:$8=$B271), 0)),"")</f>
        <v/>
      </c>
      <c r="G271" s="20" t="str" cm="1">
        <f t="array" ref="G271">IFERROR(INDEX(Data_Input!$A$1:$ZZ$502, MATCH("총자산", INDEX(Data_Input!$A$1:$ZZ$502, 0, MATCH(1, (Data_Input!$7:$7=$F$3)*(Data_Input!$8:$8=$B271), 0)), 0) + 1, MATCH(1, (Data_Input!$7:$7=$F$3)*(Data_Input!$8:$8=$B271), 0)),"")</f>
        <v/>
      </c>
      <c r="H271" s="20" t="str" cm="1">
        <f t="array" ref="H271">IFERROR(INDEX(Data_Input!$A$1:$ZZ$502, MATCH("매입금액", INDEX(Data_Input!$A$1:$ZZ$502, 0, MATCH(1, (Data_Input!$7:$7=$F$3)*(Data_Input!$8:$8=$B271), 0)), 0) + 1, MATCH(1, (Data_Input!$7:$7=$F$3)*(Data_Input!$8:$8=$B271), 0)),"")</f>
        <v/>
      </c>
      <c r="I271" s="20" t="str" cm="1">
        <f t="array" ref="I271">IFERROR(INDEX(Data_Input!$A$1:$ZZ$502, MATCH("평가금액", INDEX(Data_Input!$A$1:$ZZ$502, 0, MATCH(1, (Data_Input!$7:$7=$F$3)*(Data_Input!$8:$8=$B271), 0)), 0) + 1, MATCH(1, (Data_Input!$7:$7=$F$3)*(Data_Input!$8:$8=$B271), 0)),"")</f>
        <v/>
      </c>
      <c r="J271" s="20" t="str" cm="1">
        <f t="array" ref="J271">IFERROR(INDEX(Data_Input!$A$1:$ZZ$502, MATCH("평가손익", INDEX(Data_Input!$A$1:$ZZ$502, 0, MATCH(1, (Data_Input!$7:$7=$F$3)*(Data_Input!$8:$8=$B271), 0)), 0) + 1, MATCH(1, (Data_Input!$7:$7=$F$3)*(Data_Input!$8:$8=$B271), 0)),"")</f>
        <v/>
      </c>
      <c r="K271" s="14" t="str" cm="1">
        <f t="array" ref="K271">IFERROR(INDEX(Data_Input!$A$1:$ZZ$502, MATCH("총수익률", INDEX(Data_Input!$A$1:$ZZ$502, 0, MATCH(1, (Data_Input!$7:$7=$F$3)*(Data_Input!$8:$8=$B271), 0)), 0) + 1, MATCH(1, (Data_Input!$7:$7=$F$3)*(Data_Input!$8:$8=$B271), 0)),"")</f>
        <v/>
      </c>
      <c r="L271" t="str" cm="1">
        <f t="array" ref="L271">IFERROR(_xlfn.LET(
    _xlpm.targetDate, B271,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72" spans="1:12" x14ac:dyDescent="0.3">
      <c r="A272" s="16" t="str">
        <f t="shared" si="9"/>
        <v/>
      </c>
      <c r="B272" s="8"/>
      <c r="C272" s="17" t="str">
        <f t="shared" si="10"/>
        <v/>
      </c>
      <c r="D272" s="29" t="str" cm="1">
        <f t="array" ref="D272">IFERROR(INDEX(Data_Input!$1:$100, 10, MATCH(1, (Data_Input!$F$7:$ZZ$7=$F$3) * (Data_Input!$F$8:$ZZ$8=$B272), 0)),"")</f>
        <v/>
      </c>
      <c r="E272" s="29" t="str" cm="1">
        <f t="array" ref="E272">IFERROR(INDEX(Data_Input!$1:$100, 9, MATCH(1, (Data_Input!$7:$7=$F$3) * (Data_Input!$8:$8=$B272), 0)),"")</f>
        <v/>
      </c>
      <c r="F272" s="20" t="str" cm="1">
        <f t="array" ref="F272">IFERROR(INDEX(Data_Input!$A$1:$ZZ$502, MATCH("예수금", INDEX(Data_Input!$A$1:$ZZ$502, 0, MATCH(1, (Data_Input!$7:$7=$F$3)*(Data_Input!$8:$8=$B272), 0)), 0) + 1, MATCH(1, (Data_Input!$7:$7=$F$3)*(Data_Input!$8:$8=$B272), 0)),"")</f>
        <v/>
      </c>
      <c r="G272" s="20" t="str" cm="1">
        <f t="array" ref="G272">IFERROR(INDEX(Data_Input!$A$1:$ZZ$502, MATCH("총자산", INDEX(Data_Input!$A$1:$ZZ$502, 0, MATCH(1, (Data_Input!$7:$7=$F$3)*(Data_Input!$8:$8=$B272), 0)), 0) + 1, MATCH(1, (Data_Input!$7:$7=$F$3)*(Data_Input!$8:$8=$B272), 0)),"")</f>
        <v/>
      </c>
      <c r="H272" s="20" t="str" cm="1">
        <f t="array" ref="H272">IFERROR(INDEX(Data_Input!$A$1:$ZZ$502, MATCH("매입금액", INDEX(Data_Input!$A$1:$ZZ$502, 0, MATCH(1, (Data_Input!$7:$7=$F$3)*(Data_Input!$8:$8=$B272), 0)), 0) + 1, MATCH(1, (Data_Input!$7:$7=$F$3)*(Data_Input!$8:$8=$B272), 0)),"")</f>
        <v/>
      </c>
      <c r="I272" s="20" t="str" cm="1">
        <f t="array" ref="I272">IFERROR(INDEX(Data_Input!$A$1:$ZZ$502, MATCH("평가금액", INDEX(Data_Input!$A$1:$ZZ$502, 0, MATCH(1, (Data_Input!$7:$7=$F$3)*(Data_Input!$8:$8=$B272), 0)), 0) + 1, MATCH(1, (Data_Input!$7:$7=$F$3)*(Data_Input!$8:$8=$B272), 0)),"")</f>
        <v/>
      </c>
      <c r="J272" s="20" t="str" cm="1">
        <f t="array" ref="J272">IFERROR(INDEX(Data_Input!$A$1:$ZZ$502, MATCH("평가손익", INDEX(Data_Input!$A$1:$ZZ$502, 0, MATCH(1, (Data_Input!$7:$7=$F$3)*(Data_Input!$8:$8=$B272), 0)), 0) + 1, MATCH(1, (Data_Input!$7:$7=$F$3)*(Data_Input!$8:$8=$B272), 0)),"")</f>
        <v/>
      </c>
      <c r="K272" s="14" t="str" cm="1">
        <f t="array" ref="K272">IFERROR(INDEX(Data_Input!$A$1:$ZZ$502, MATCH("총수익률", INDEX(Data_Input!$A$1:$ZZ$502, 0, MATCH(1, (Data_Input!$7:$7=$F$3)*(Data_Input!$8:$8=$B272), 0)), 0) + 1, MATCH(1, (Data_Input!$7:$7=$F$3)*(Data_Input!$8:$8=$B272), 0)),"")</f>
        <v/>
      </c>
      <c r="L272" t="str" cm="1">
        <f t="array" ref="L272">IFERROR(_xlfn.LET(
    _xlpm.targetDate, B272,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73" spans="1:12" x14ac:dyDescent="0.3">
      <c r="A273" s="16" t="str">
        <f t="shared" si="9"/>
        <v/>
      </c>
      <c r="B273" s="8"/>
      <c r="C273" s="17" t="str">
        <f t="shared" si="10"/>
        <v/>
      </c>
      <c r="D273" s="29" t="str" cm="1">
        <f t="array" ref="D273">IFERROR(INDEX(Data_Input!$1:$100, 10, MATCH(1, (Data_Input!$F$7:$ZZ$7=$F$3) * (Data_Input!$F$8:$ZZ$8=$B273), 0)),"")</f>
        <v/>
      </c>
      <c r="E273" s="29" t="str" cm="1">
        <f t="array" ref="E273">IFERROR(INDEX(Data_Input!$1:$100, 9, MATCH(1, (Data_Input!$7:$7=$F$3) * (Data_Input!$8:$8=$B273), 0)),"")</f>
        <v/>
      </c>
      <c r="F273" s="20" t="str" cm="1">
        <f t="array" ref="F273">IFERROR(INDEX(Data_Input!$A$1:$ZZ$502, MATCH("예수금", INDEX(Data_Input!$A$1:$ZZ$502, 0, MATCH(1, (Data_Input!$7:$7=$F$3)*(Data_Input!$8:$8=$B273), 0)), 0) + 1, MATCH(1, (Data_Input!$7:$7=$F$3)*(Data_Input!$8:$8=$B273), 0)),"")</f>
        <v/>
      </c>
      <c r="G273" s="20" t="str" cm="1">
        <f t="array" ref="G273">IFERROR(INDEX(Data_Input!$A$1:$ZZ$502, MATCH("총자산", INDEX(Data_Input!$A$1:$ZZ$502, 0, MATCH(1, (Data_Input!$7:$7=$F$3)*(Data_Input!$8:$8=$B273), 0)), 0) + 1, MATCH(1, (Data_Input!$7:$7=$F$3)*(Data_Input!$8:$8=$B273), 0)),"")</f>
        <v/>
      </c>
      <c r="H273" s="20" t="str" cm="1">
        <f t="array" ref="H273">IFERROR(INDEX(Data_Input!$A$1:$ZZ$502, MATCH("매입금액", INDEX(Data_Input!$A$1:$ZZ$502, 0, MATCH(1, (Data_Input!$7:$7=$F$3)*(Data_Input!$8:$8=$B273), 0)), 0) + 1, MATCH(1, (Data_Input!$7:$7=$F$3)*(Data_Input!$8:$8=$B273), 0)),"")</f>
        <v/>
      </c>
      <c r="I273" s="20" t="str" cm="1">
        <f t="array" ref="I273">IFERROR(INDEX(Data_Input!$A$1:$ZZ$502, MATCH("평가금액", INDEX(Data_Input!$A$1:$ZZ$502, 0, MATCH(1, (Data_Input!$7:$7=$F$3)*(Data_Input!$8:$8=$B273), 0)), 0) + 1, MATCH(1, (Data_Input!$7:$7=$F$3)*(Data_Input!$8:$8=$B273), 0)),"")</f>
        <v/>
      </c>
      <c r="J273" s="20" t="str" cm="1">
        <f t="array" ref="J273">IFERROR(INDEX(Data_Input!$A$1:$ZZ$502, MATCH("평가손익", INDEX(Data_Input!$A$1:$ZZ$502, 0, MATCH(1, (Data_Input!$7:$7=$F$3)*(Data_Input!$8:$8=$B273), 0)), 0) + 1, MATCH(1, (Data_Input!$7:$7=$F$3)*(Data_Input!$8:$8=$B273), 0)),"")</f>
        <v/>
      </c>
      <c r="K273" s="14" t="str" cm="1">
        <f t="array" ref="K273">IFERROR(INDEX(Data_Input!$A$1:$ZZ$502, MATCH("총수익률", INDEX(Data_Input!$A$1:$ZZ$502, 0, MATCH(1, (Data_Input!$7:$7=$F$3)*(Data_Input!$8:$8=$B273), 0)), 0) + 1, MATCH(1, (Data_Input!$7:$7=$F$3)*(Data_Input!$8:$8=$B273), 0)),"")</f>
        <v/>
      </c>
      <c r="L273" t="str" cm="1">
        <f t="array" ref="L273">IFERROR(_xlfn.LET(
    _xlpm.targetDate, B273,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74" spans="1:12" x14ac:dyDescent="0.3">
      <c r="A274" s="16" t="str">
        <f t="shared" si="9"/>
        <v/>
      </c>
      <c r="B274" s="8"/>
      <c r="C274" s="17" t="str">
        <f t="shared" si="10"/>
        <v/>
      </c>
      <c r="D274" s="29" t="str" cm="1">
        <f t="array" ref="D274">IFERROR(INDEX(Data_Input!$1:$100, 10, MATCH(1, (Data_Input!$F$7:$ZZ$7=$F$3) * (Data_Input!$F$8:$ZZ$8=$B274), 0)),"")</f>
        <v/>
      </c>
      <c r="E274" s="29" t="str" cm="1">
        <f t="array" ref="E274">IFERROR(INDEX(Data_Input!$1:$100, 9, MATCH(1, (Data_Input!$7:$7=$F$3) * (Data_Input!$8:$8=$B274), 0)),"")</f>
        <v/>
      </c>
      <c r="F274" s="20" t="str" cm="1">
        <f t="array" ref="F274">IFERROR(INDEX(Data_Input!$A$1:$ZZ$502, MATCH("예수금", INDEX(Data_Input!$A$1:$ZZ$502, 0, MATCH(1, (Data_Input!$7:$7=$F$3)*(Data_Input!$8:$8=$B274), 0)), 0) + 1, MATCH(1, (Data_Input!$7:$7=$F$3)*(Data_Input!$8:$8=$B274), 0)),"")</f>
        <v/>
      </c>
      <c r="G274" s="20" t="str" cm="1">
        <f t="array" ref="G274">IFERROR(INDEX(Data_Input!$A$1:$ZZ$502, MATCH("총자산", INDEX(Data_Input!$A$1:$ZZ$502, 0, MATCH(1, (Data_Input!$7:$7=$F$3)*(Data_Input!$8:$8=$B274), 0)), 0) + 1, MATCH(1, (Data_Input!$7:$7=$F$3)*(Data_Input!$8:$8=$B274), 0)),"")</f>
        <v/>
      </c>
      <c r="H274" s="20" t="str" cm="1">
        <f t="array" ref="H274">IFERROR(INDEX(Data_Input!$A$1:$ZZ$502, MATCH("매입금액", INDEX(Data_Input!$A$1:$ZZ$502, 0, MATCH(1, (Data_Input!$7:$7=$F$3)*(Data_Input!$8:$8=$B274), 0)), 0) + 1, MATCH(1, (Data_Input!$7:$7=$F$3)*(Data_Input!$8:$8=$B274), 0)),"")</f>
        <v/>
      </c>
      <c r="I274" s="20" t="str" cm="1">
        <f t="array" ref="I274">IFERROR(INDEX(Data_Input!$A$1:$ZZ$502, MATCH("평가금액", INDEX(Data_Input!$A$1:$ZZ$502, 0, MATCH(1, (Data_Input!$7:$7=$F$3)*(Data_Input!$8:$8=$B274), 0)), 0) + 1, MATCH(1, (Data_Input!$7:$7=$F$3)*(Data_Input!$8:$8=$B274), 0)),"")</f>
        <v/>
      </c>
      <c r="J274" s="20" t="str" cm="1">
        <f t="array" ref="J274">IFERROR(INDEX(Data_Input!$A$1:$ZZ$502, MATCH("평가손익", INDEX(Data_Input!$A$1:$ZZ$502, 0, MATCH(1, (Data_Input!$7:$7=$F$3)*(Data_Input!$8:$8=$B274), 0)), 0) + 1, MATCH(1, (Data_Input!$7:$7=$F$3)*(Data_Input!$8:$8=$B274), 0)),"")</f>
        <v/>
      </c>
      <c r="K274" s="14" t="str" cm="1">
        <f t="array" ref="K274">IFERROR(INDEX(Data_Input!$A$1:$ZZ$502, MATCH("총수익률", INDEX(Data_Input!$A$1:$ZZ$502, 0, MATCH(1, (Data_Input!$7:$7=$F$3)*(Data_Input!$8:$8=$B274), 0)), 0) + 1, MATCH(1, (Data_Input!$7:$7=$F$3)*(Data_Input!$8:$8=$B274), 0)),"")</f>
        <v/>
      </c>
      <c r="L274" t="str" cm="1">
        <f t="array" ref="L274">IFERROR(_xlfn.LET(
    _xlpm.targetDate, B274,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75" spans="1:12" x14ac:dyDescent="0.3">
      <c r="A275" s="16" t="str">
        <f t="shared" si="9"/>
        <v/>
      </c>
      <c r="B275" s="8"/>
      <c r="C275" s="17" t="str">
        <f t="shared" si="10"/>
        <v/>
      </c>
      <c r="D275" s="29" t="str" cm="1">
        <f t="array" ref="D275">IFERROR(INDEX(Data_Input!$1:$100, 10, MATCH(1, (Data_Input!$F$7:$ZZ$7=$F$3) * (Data_Input!$F$8:$ZZ$8=$B275), 0)),"")</f>
        <v/>
      </c>
      <c r="E275" s="29" t="str" cm="1">
        <f t="array" ref="E275">IFERROR(INDEX(Data_Input!$1:$100, 9, MATCH(1, (Data_Input!$7:$7=$F$3) * (Data_Input!$8:$8=$B275), 0)),"")</f>
        <v/>
      </c>
      <c r="F275" s="20" t="str" cm="1">
        <f t="array" ref="F275">IFERROR(INDEX(Data_Input!$A$1:$ZZ$502, MATCH("예수금", INDEX(Data_Input!$A$1:$ZZ$502, 0, MATCH(1, (Data_Input!$7:$7=$F$3)*(Data_Input!$8:$8=$B275), 0)), 0) + 1, MATCH(1, (Data_Input!$7:$7=$F$3)*(Data_Input!$8:$8=$B275), 0)),"")</f>
        <v/>
      </c>
      <c r="G275" s="20" t="str" cm="1">
        <f t="array" ref="G275">IFERROR(INDEX(Data_Input!$A$1:$ZZ$502, MATCH("총자산", INDEX(Data_Input!$A$1:$ZZ$502, 0, MATCH(1, (Data_Input!$7:$7=$F$3)*(Data_Input!$8:$8=$B275), 0)), 0) + 1, MATCH(1, (Data_Input!$7:$7=$F$3)*(Data_Input!$8:$8=$B275), 0)),"")</f>
        <v/>
      </c>
      <c r="H275" s="20" t="str" cm="1">
        <f t="array" ref="H275">IFERROR(INDEX(Data_Input!$A$1:$ZZ$502, MATCH("매입금액", INDEX(Data_Input!$A$1:$ZZ$502, 0, MATCH(1, (Data_Input!$7:$7=$F$3)*(Data_Input!$8:$8=$B275), 0)), 0) + 1, MATCH(1, (Data_Input!$7:$7=$F$3)*(Data_Input!$8:$8=$B275), 0)),"")</f>
        <v/>
      </c>
      <c r="I275" s="20" t="str" cm="1">
        <f t="array" ref="I275">IFERROR(INDEX(Data_Input!$A$1:$ZZ$502, MATCH("평가금액", INDEX(Data_Input!$A$1:$ZZ$502, 0, MATCH(1, (Data_Input!$7:$7=$F$3)*(Data_Input!$8:$8=$B275), 0)), 0) + 1, MATCH(1, (Data_Input!$7:$7=$F$3)*(Data_Input!$8:$8=$B275), 0)),"")</f>
        <v/>
      </c>
      <c r="J275" s="20" t="str" cm="1">
        <f t="array" ref="J275">IFERROR(INDEX(Data_Input!$A$1:$ZZ$502, MATCH("평가손익", INDEX(Data_Input!$A$1:$ZZ$502, 0, MATCH(1, (Data_Input!$7:$7=$F$3)*(Data_Input!$8:$8=$B275), 0)), 0) + 1, MATCH(1, (Data_Input!$7:$7=$F$3)*(Data_Input!$8:$8=$B275), 0)),"")</f>
        <v/>
      </c>
      <c r="K275" s="14" t="str" cm="1">
        <f t="array" ref="K275">IFERROR(INDEX(Data_Input!$A$1:$ZZ$502, MATCH("총수익률", INDEX(Data_Input!$A$1:$ZZ$502, 0, MATCH(1, (Data_Input!$7:$7=$F$3)*(Data_Input!$8:$8=$B275), 0)), 0) + 1, MATCH(1, (Data_Input!$7:$7=$F$3)*(Data_Input!$8:$8=$B275), 0)),"")</f>
        <v/>
      </c>
      <c r="L275" t="str" cm="1">
        <f t="array" ref="L275">IFERROR(_xlfn.LET(
    _xlpm.targetDate, B275,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76" spans="1:12" x14ac:dyDescent="0.3">
      <c r="A276" s="16" t="str">
        <f t="shared" si="9"/>
        <v/>
      </c>
      <c r="B276" s="8"/>
      <c r="C276" s="17" t="str">
        <f t="shared" si="10"/>
        <v/>
      </c>
      <c r="D276" s="29" t="str" cm="1">
        <f t="array" ref="D276">IFERROR(INDEX(Data_Input!$1:$100, 10, MATCH(1, (Data_Input!$F$7:$ZZ$7=$F$3) * (Data_Input!$F$8:$ZZ$8=$B276), 0)),"")</f>
        <v/>
      </c>
      <c r="E276" s="29" t="str" cm="1">
        <f t="array" ref="E276">IFERROR(INDEX(Data_Input!$1:$100, 9, MATCH(1, (Data_Input!$7:$7=$F$3) * (Data_Input!$8:$8=$B276), 0)),"")</f>
        <v/>
      </c>
      <c r="F276" s="20" t="str" cm="1">
        <f t="array" ref="F276">IFERROR(INDEX(Data_Input!$A$1:$ZZ$502, MATCH("예수금", INDEX(Data_Input!$A$1:$ZZ$502, 0, MATCH(1, (Data_Input!$7:$7=$F$3)*(Data_Input!$8:$8=$B276), 0)), 0) + 1, MATCH(1, (Data_Input!$7:$7=$F$3)*(Data_Input!$8:$8=$B276), 0)),"")</f>
        <v/>
      </c>
      <c r="G276" s="20" t="str" cm="1">
        <f t="array" ref="G276">IFERROR(INDEX(Data_Input!$A$1:$ZZ$502, MATCH("총자산", INDEX(Data_Input!$A$1:$ZZ$502, 0, MATCH(1, (Data_Input!$7:$7=$F$3)*(Data_Input!$8:$8=$B276), 0)), 0) + 1, MATCH(1, (Data_Input!$7:$7=$F$3)*(Data_Input!$8:$8=$B276), 0)),"")</f>
        <v/>
      </c>
      <c r="H276" s="20" t="str" cm="1">
        <f t="array" ref="H276">IFERROR(INDEX(Data_Input!$A$1:$ZZ$502, MATCH("매입금액", INDEX(Data_Input!$A$1:$ZZ$502, 0, MATCH(1, (Data_Input!$7:$7=$F$3)*(Data_Input!$8:$8=$B276), 0)), 0) + 1, MATCH(1, (Data_Input!$7:$7=$F$3)*(Data_Input!$8:$8=$B276), 0)),"")</f>
        <v/>
      </c>
      <c r="I276" s="20" t="str" cm="1">
        <f t="array" ref="I276">IFERROR(INDEX(Data_Input!$A$1:$ZZ$502, MATCH("평가금액", INDEX(Data_Input!$A$1:$ZZ$502, 0, MATCH(1, (Data_Input!$7:$7=$F$3)*(Data_Input!$8:$8=$B276), 0)), 0) + 1, MATCH(1, (Data_Input!$7:$7=$F$3)*(Data_Input!$8:$8=$B276), 0)),"")</f>
        <v/>
      </c>
      <c r="J276" s="20" t="str" cm="1">
        <f t="array" ref="J276">IFERROR(INDEX(Data_Input!$A$1:$ZZ$502, MATCH("평가손익", INDEX(Data_Input!$A$1:$ZZ$502, 0, MATCH(1, (Data_Input!$7:$7=$F$3)*(Data_Input!$8:$8=$B276), 0)), 0) + 1, MATCH(1, (Data_Input!$7:$7=$F$3)*(Data_Input!$8:$8=$B276), 0)),"")</f>
        <v/>
      </c>
      <c r="K276" s="14" t="str" cm="1">
        <f t="array" ref="K276">IFERROR(INDEX(Data_Input!$A$1:$ZZ$502, MATCH("총수익률", INDEX(Data_Input!$A$1:$ZZ$502, 0, MATCH(1, (Data_Input!$7:$7=$F$3)*(Data_Input!$8:$8=$B276), 0)), 0) + 1, MATCH(1, (Data_Input!$7:$7=$F$3)*(Data_Input!$8:$8=$B276), 0)),"")</f>
        <v/>
      </c>
      <c r="L276" t="str" cm="1">
        <f t="array" ref="L276">IFERROR(_xlfn.LET(
    _xlpm.targetDate, B276,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77" spans="1:12" x14ac:dyDescent="0.3">
      <c r="A277" s="16" t="str">
        <f t="shared" si="9"/>
        <v/>
      </c>
      <c r="B277" s="8"/>
      <c r="C277" s="17" t="str">
        <f t="shared" si="10"/>
        <v/>
      </c>
      <c r="D277" s="29" t="str" cm="1">
        <f t="array" ref="D277">IFERROR(INDEX(Data_Input!$1:$100, 10, MATCH(1, (Data_Input!$F$7:$ZZ$7=$F$3) * (Data_Input!$F$8:$ZZ$8=$B277), 0)),"")</f>
        <v/>
      </c>
      <c r="E277" s="29" t="str" cm="1">
        <f t="array" ref="E277">IFERROR(INDEX(Data_Input!$1:$100, 9, MATCH(1, (Data_Input!$7:$7=$F$3) * (Data_Input!$8:$8=$B277), 0)),"")</f>
        <v/>
      </c>
      <c r="F277" s="20" t="str" cm="1">
        <f t="array" ref="F277">IFERROR(INDEX(Data_Input!$A$1:$ZZ$502, MATCH("예수금", INDEX(Data_Input!$A$1:$ZZ$502, 0, MATCH(1, (Data_Input!$7:$7=$F$3)*(Data_Input!$8:$8=$B277), 0)), 0) + 1, MATCH(1, (Data_Input!$7:$7=$F$3)*(Data_Input!$8:$8=$B277), 0)),"")</f>
        <v/>
      </c>
      <c r="G277" s="20" t="str" cm="1">
        <f t="array" ref="G277">IFERROR(INDEX(Data_Input!$A$1:$ZZ$502, MATCH("총자산", INDEX(Data_Input!$A$1:$ZZ$502, 0, MATCH(1, (Data_Input!$7:$7=$F$3)*(Data_Input!$8:$8=$B277), 0)), 0) + 1, MATCH(1, (Data_Input!$7:$7=$F$3)*(Data_Input!$8:$8=$B277), 0)),"")</f>
        <v/>
      </c>
      <c r="H277" s="20" t="str" cm="1">
        <f t="array" ref="H277">IFERROR(INDEX(Data_Input!$A$1:$ZZ$502, MATCH("매입금액", INDEX(Data_Input!$A$1:$ZZ$502, 0, MATCH(1, (Data_Input!$7:$7=$F$3)*(Data_Input!$8:$8=$B277), 0)), 0) + 1, MATCH(1, (Data_Input!$7:$7=$F$3)*(Data_Input!$8:$8=$B277), 0)),"")</f>
        <v/>
      </c>
      <c r="I277" s="20" t="str" cm="1">
        <f t="array" ref="I277">IFERROR(INDEX(Data_Input!$A$1:$ZZ$502, MATCH("평가금액", INDEX(Data_Input!$A$1:$ZZ$502, 0, MATCH(1, (Data_Input!$7:$7=$F$3)*(Data_Input!$8:$8=$B277), 0)), 0) + 1, MATCH(1, (Data_Input!$7:$7=$F$3)*(Data_Input!$8:$8=$B277), 0)),"")</f>
        <v/>
      </c>
      <c r="J277" s="20" t="str" cm="1">
        <f t="array" ref="J277">IFERROR(INDEX(Data_Input!$A$1:$ZZ$502, MATCH("평가손익", INDEX(Data_Input!$A$1:$ZZ$502, 0, MATCH(1, (Data_Input!$7:$7=$F$3)*(Data_Input!$8:$8=$B277), 0)), 0) + 1, MATCH(1, (Data_Input!$7:$7=$F$3)*(Data_Input!$8:$8=$B277), 0)),"")</f>
        <v/>
      </c>
      <c r="K277" s="14" t="str" cm="1">
        <f t="array" ref="K277">IFERROR(INDEX(Data_Input!$A$1:$ZZ$502, MATCH("총수익률", INDEX(Data_Input!$A$1:$ZZ$502, 0, MATCH(1, (Data_Input!$7:$7=$F$3)*(Data_Input!$8:$8=$B277), 0)), 0) + 1, MATCH(1, (Data_Input!$7:$7=$F$3)*(Data_Input!$8:$8=$B277), 0)),"")</f>
        <v/>
      </c>
      <c r="L277" t="str" cm="1">
        <f t="array" ref="L277">IFERROR(_xlfn.LET(
    _xlpm.targetDate, B277,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78" spans="1:12" x14ac:dyDescent="0.3">
      <c r="A278" s="16" t="str">
        <f t="shared" si="9"/>
        <v/>
      </c>
      <c r="B278" s="8"/>
      <c r="C278" s="17" t="str">
        <f t="shared" si="10"/>
        <v/>
      </c>
      <c r="D278" s="29" t="str" cm="1">
        <f t="array" ref="D278">IFERROR(INDEX(Data_Input!$1:$100, 10, MATCH(1, (Data_Input!$F$7:$ZZ$7=$F$3) * (Data_Input!$F$8:$ZZ$8=$B278), 0)),"")</f>
        <v/>
      </c>
      <c r="E278" s="29" t="str" cm="1">
        <f t="array" ref="E278">IFERROR(INDEX(Data_Input!$1:$100, 9, MATCH(1, (Data_Input!$7:$7=$F$3) * (Data_Input!$8:$8=$B278), 0)),"")</f>
        <v/>
      </c>
      <c r="F278" s="20" t="str" cm="1">
        <f t="array" ref="F278">IFERROR(INDEX(Data_Input!$A$1:$ZZ$502, MATCH("예수금", INDEX(Data_Input!$A$1:$ZZ$502, 0, MATCH(1, (Data_Input!$7:$7=$F$3)*(Data_Input!$8:$8=$B278), 0)), 0) + 1, MATCH(1, (Data_Input!$7:$7=$F$3)*(Data_Input!$8:$8=$B278), 0)),"")</f>
        <v/>
      </c>
      <c r="G278" s="20" t="str" cm="1">
        <f t="array" ref="G278">IFERROR(INDEX(Data_Input!$A$1:$ZZ$502, MATCH("총자산", INDEX(Data_Input!$A$1:$ZZ$502, 0, MATCH(1, (Data_Input!$7:$7=$F$3)*(Data_Input!$8:$8=$B278), 0)), 0) + 1, MATCH(1, (Data_Input!$7:$7=$F$3)*(Data_Input!$8:$8=$B278), 0)),"")</f>
        <v/>
      </c>
      <c r="H278" s="20" t="str" cm="1">
        <f t="array" ref="H278">IFERROR(INDEX(Data_Input!$A$1:$ZZ$502, MATCH("매입금액", INDEX(Data_Input!$A$1:$ZZ$502, 0, MATCH(1, (Data_Input!$7:$7=$F$3)*(Data_Input!$8:$8=$B278), 0)), 0) + 1, MATCH(1, (Data_Input!$7:$7=$F$3)*(Data_Input!$8:$8=$B278), 0)),"")</f>
        <v/>
      </c>
      <c r="I278" s="20" t="str" cm="1">
        <f t="array" ref="I278">IFERROR(INDEX(Data_Input!$A$1:$ZZ$502, MATCH("평가금액", INDEX(Data_Input!$A$1:$ZZ$502, 0, MATCH(1, (Data_Input!$7:$7=$F$3)*(Data_Input!$8:$8=$B278), 0)), 0) + 1, MATCH(1, (Data_Input!$7:$7=$F$3)*(Data_Input!$8:$8=$B278), 0)),"")</f>
        <v/>
      </c>
      <c r="J278" s="20" t="str" cm="1">
        <f t="array" ref="J278">IFERROR(INDEX(Data_Input!$A$1:$ZZ$502, MATCH("평가손익", INDEX(Data_Input!$A$1:$ZZ$502, 0, MATCH(1, (Data_Input!$7:$7=$F$3)*(Data_Input!$8:$8=$B278), 0)), 0) + 1, MATCH(1, (Data_Input!$7:$7=$F$3)*(Data_Input!$8:$8=$B278), 0)),"")</f>
        <v/>
      </c>
      <c r="K278" s="14" t="str" cm="1">
        <f t="array" ref="K278">IFERROR(INDEX(Data_Input!$A$1:$ZZ$502, MATCH("총수익률", INDEX(Data_Input!$A$1:$ZZ$502, 0, MATCH(1, (Data_Input!$7:$7=$F$3)*(Data_Input!$8:$8=$B278), 0)), 0) + 1, MATCH(1, (Data_Input!$7:$7=$F$3)*(Data_Input!$8:$8=$B278), 0)),"")</f>
        <v/>
      </c>
      <c r="L278" t="str" cm="1">
        <f t="array" ref="L278">IFERROR(_xlfn.LET(
    _xlpm.targetDate, B278,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79" spans="1:12" x14ac:dyDescent="0.3">
      <c r="A279" s="16" t="str">
        <f t="shared" si="9"/>
        <v/>
      </c>
      <c r="B279" s="8"/>
      <c r="C279" s="17" t="str">
        <f t="shared" si="10"/>
        <v/>
      </c>
      <c r="D279" s="29" t="str" cm="1">
        <f t="array" ref="D279">IFERROR(INDEX(Data_Input!$1:$100, 10, MATCH(1, (Data_Input!$F$7:$ZZ$7=$F$3) * (Data_Input!$F$8:$ZZ$8=$B279), 0)),"")</f>
        <v/>
      </c>
      <c r="E279" s="29" t="str" cm="1">
        <f t="array" ref="E279">IFERROR(INDEX(Data_Input!$1:$100, 9, MATCH(1, (Data_Input!$7:$7=$F$3) * (Data_Input!$8:$8=$B279), 0)),"")</f>
        <v/>
      </c>
      <c r="F279" s="20" t="str" cm="1">
        <f t="array" ref="F279">IFERROR(INDEX(Data_Input!$A$1:$ZZ$502, MATCH("예수금", INDEX(Data_Input!$A$1:$ZZ$502, 0, MATCH(1, (Data_Input!$7:$7=$F$3)*(Data_Input!$8:$8=$B279), 0)), 0) + 1, MATCH(1, (Data_Input!$7:$7=$F$3)*(Data_Input!$8:$8=$B279), 0)),"")</f>
        <v/>
      </c>
      <c r="G279" s="20" t="str" cm="1">
        <f t="array" ref="G279">IFERROR(INDEX(Data_Input!$A$1:$ZZ$502, MATCH("총자산", INDEX(Data_Input!$A$1:$ZZ$502, 0, MATCH(1, (Data_Input!$7:$7=$F$3)*(Data_Input!$8:$8=$B279), 0)), 0) + 1, MATCH(1, (Data_Input!$7:$7=$F$3)*(Data_Input!$8:$8=$B279), 0)),"")</f>
        <v/>
      </c>
      <c r="H279" s="20" t="str" cm="1">
        <f t="array" ref="H279">IFERROR(INDEX(Data_Input!$A$1:$ZZ$502, MATCH("매입금액", INDEX(Data_Input!$A$1:$ZZ$502, 0, MATCH(1, (Data_Input!$7:$7=$F$3)*(Data_Input!$8:$8=$B279), 0)), 0) + 1, MATCH(1, (Data_Input!$7:$7=$F$3)*(Data_Input!$8:$8=$B279), 0)),"")</f>
        <v/>
      </c>
      <c r="I279" s="20" t="str" cm="1">
        <f t="array" ref="I279">IFERROR(INDEX(Data_Input!$A$1:$ZZ$502, MATCH("평가금액", INDEX(Data_Input!$A$1:$ZZ$502, 0, MATCH(1, (Data_Input!$7:$7=$F$3)*(Data_Input!$8:$8=$B279), 0)), 0) + 1, MATCH(1, (Data_Input!$7:$7=$F$3)*(Data_Input!$8:$8=$B279), 0)),"")</f>
        <v/>
      </c>
      <c r="J279" s="20" t="str" cm="1">
        <f t="array" ref="J279">IFERROR(INDEX(Data_Input!$A$1:$ZZ$502, MATCH("평가손익", INDEX(Data_Input!$A$1:$ZZ$502, 0, MATCH(1, (Data_Input!$7:$7=$F$3)*(Data_Input!$8:$8=$B279), 0)), 0) + 1, MATCH(1, (Data_Input!$7:$7=$F$3)*(Data_Input!$8:$8=$B279), 0)),"")</f>
        <v/>
      </c>
      <c r="K279" s="14" t="str" cm="1">
        <f t="array" ref="K279">IFERROR(INDEX(Data_Input!$A$1:$ZZ$502, MATCH("총수익률", INDEX(Data_Input!$A$1:$ZZ$502, 0, MATCH(1, (Data_Input!$7:$7=$F$3)*(Data_Input!$8:$8=$B279), 0)), 0) + 1, MATCH(1, (Data_Input!$7:$7=$F$3)*(Data_Input!$8:$8=$B279), 0)),"")</f>
        <v/>
      </c>
      <c r="L279" t="str" cm="1">
        <f t="array" ref="L279">IFERROR(_xlfn.LET(
    _xlpm.targetDate, B279,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80" spans="1:12" x14ac:dyDescent="0.3">
      <c r="A280" s="16" t="str">
        <f t="shared" si="9"/>
        <v/>
      </c>
      <c r="B280" s="8"/>
      <c r="C280" s="17" t="str">
        <f t="shared" si="10"/>
        <v/>
      </c>
      <c r="D280" s="29" t="str" cm="1">
        <f t="array" ref="D280">IFERROR(INDEX(Data_Input!$1:$100, 10, MATCH(1, (Data_Input!$F$7:$ZZ$7=$F$3) * (Data_Input!$F$8:$ZZ$8=$B280), 0)),"")</f>
        <v/>
      </c>
      <c r="E280" s="29" t="str" cm="1">
        <f t="array" ref="E280">IFERROR(INDEX(Data_Input!$1:$100, 9, MATCH(1, (Data_Input!$7:$7=$F$3) * (Data_Input!$8:$8=$B280), 0)),"")</f>
        <v/>
      </c>
      <c r="F280" s="20" t="str" cm="1">
        <f t="array" ref="F280">IFERROR(INDEX(Data_Input!$A$1:$ZZ$502, MATCH("예수금", INDEX(Data_Input!$A$1:$ZZ$502, 0, MATCH(1, (Data_Input!$7:$7=$F$3)*(Data_Input!$8:$8=$B280), 0)), 0) + 1, MATCH(1, (Data_Input!$7:$7=$F$3)*(Data_Input!$8:$8=$B280), 0)),"")</f>
        <v/>
      </c>
      <c r="G280" s="20" t="str" cm="1">
        <f t="array" ref="G280">IFERROR(INDEX(Data_Input!$A$1:$ZZ$502, MATCH("총자산", INDEX(Data_Input!$A$1:$ZZ$502, 0, MATCH(1, (Data_Input!$7:$7=$F$3)*(Data_Input!$8:$8=$B280), 0)), 0) + 1, MATCH(1, (Data_Input!$7:$7=$F$3)*(Data_Input!$8:$8=$B280), 0)),"")</f>
        <v/>
      </c>
      <c r="H280" s="20" t="str" cm="1">
        <f t="array" ref="H280">IFERROR(INDEX(Data_Input!$A$1:$ZZ$502, MATCH("매입금액", INDEX(Data_Input!$A$1:$ZZ$502, 0, MATCH(1, (Data_Input!$7:$7=$F$3)*(Data_Input!$8:$8=$B280), 0)), 0) + 1, MATCH(1, (Data_Input!$7:$7=$F$3)*(Data_Input!$8:$8=$B280), 0)),"")</f>
        <v/>
      </c>
      <c r="I280" s="20" t="str" cm="1">
        <f t="array" ref="I280">IFERROR(INDEX(Data_Input!$A$1:$ZZ$502, MATCH("평가금액", INDEX(Data_Input!$A$1:$ZZ$502, 0, MATCH(1, (Data_Input!$7:$7=$F$3)*(Data_Input!$8:$8=$B280), 0)), 0) + 1, MATCH(1, (Data_Input!$7:$7=$F$3)*(Data_Input!$8:$8=$B280), 0)),"")</f>
        <v/>
      </c>
      <c r="J280" s="20" t="str" cm="1">
        <f t="array" ref="J280">IFERROR(INDEX(Data_Input!$A$1:$ZZ$502, MATCH("평가손익", INDEX(Data_Input!$A$1:$ZZ$502, 0, MATCH(1, (Data_Input!$7:$7=$F$3)*(Data_Input!$8:$8=$B280), 0)), 0) + 1, MATCH(1, (Data_Input!$7:$7=$F$3)*(Data_Input!$8:$8=$B280), 0)),"")</f>
        <v/>
      </c>
      <c r="K280" s="14" t="str" cm="1">
        <f t="array" ref="K280">IFERROR(INDEX(Data_Input!$A$1:$ZZ$502, MATCH("총수익률", INDEX(Data_Input!$A$1:$ZZ$502, 0, MATCH(1, (Data_Input!$7:$7=$F$3)*(Data_Input!$8:$8=$B280), 0)), 0) + 1, MATCH(1, (Data_Input!$7:$7=$F$3)*(Data_Input!$8:$8=$B280), 0)),"")</f>
        <v/>
      </c>
      <c r="L280" t="str" cm="1">
        <f t="array" ref="L280">IFERROR(_xlfn.LET(
    _xlpm.targetDate, B280,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81" spans="1:12" x14ac:dyDescent="0.3">
      <c r="A281" s="16" t="str">
        <f t="shared" si="9"/>
        <v/>
      </c>
      <c r="B281" s="8"/>
      <c r="C281" s="17" t="str">
        <f t="shared" si="10"/>
        <v/>
      </c>
      <c r="D281" s="29" t="str" cm="1">
        <f t="array" ref="D281">IFERROR(INDEX(Data_Input!$1:$100, 10, MATCH(1, (Data_Input!$F$7:$ZZ$7=$F$3) * (Data_Input!$F$8:$ZZ$8=$B281), 0)),"")</f>
        <v/>
      </c>
      <c r="E281" s="29" t="str" cm="1">
        <f t="array" ref="E281">IFERROR(INDEX(Data_Input!$1:$100, 9, MATCH(1, (Data_Input!$7:$7=$F$3) * (Data_Input!$8:$8=$B281), 0)),"")</f>
        <v/>
      </c>
      <c r="F281" s="20" t="str" cm="1">
        <f t="array" ref="F281">IFERROR(INDEX(Data_Input!$A$1:$ZZ$502, MATCH("예수금", INDEX(Data_Input!$A$1:$ZZ$502, 0, MATCH(1, (Data_Input!$7:$7=$F$3)*(Data_Input!$8:$8=$B281), 0)), 0) + 1, MATCH(1, (Data_Input!$7:$7=$F$3)*(Data_Input!$8:$8=$B281), 0)),"")</f>
        <v/>
      </c>
      <c r="G281" s="20" t="str" cm="1">
        <f t="array" ref="G281">IFERROR(INDEX(Data_Input!$A$1:$ZZ$502, MATCH("총자산", INDEX(Data_Input!$A$1:$ZZ$502, 0, MATCH(1, (Data_Input!$7:$7=$F$3)*(Data_Input!$8:$8=$B281), 0)), 0) + 1, MATCH(1, (Data_Input!$7:$7=$F$3)*(Data_Input!$8:$8=$B281), 0)),"")</f>
        <v/>
      </c>
      <c r="H281" s="20" t="str" cm="1">
        <f t="array" ref="H281">IFERROR(INDEX(Data_Input!$A$1:$ZZ$502, MATCH("매입금액", INDEX(Data_Input!$A$1:$ZZ$502, 0, MATCH(1, (Data_Input!$7:$7=$F$3)*(Data_Input!$8:$8=$B281), 0)), 0) + 1, MATCH(1, (Data_Input!$7:$7=$F$3)*(Data_Input!$8:$8=$B281), 0)),"")</f>
        <v/>
      </c>
      <c r="I281" s="20" t="str" cm="1">
        <f t="array" ref="I281">IFERROR(INDEX(Data_Input!$A$1:$ZZ$502, MATCH("평가금액", INDEX(Data_Input!$A$1:$ZZ$502, 0, MATCH(1, (Data_Input!$7:$7=$F$3)*(Data_Input!$8:$8=$B281), 0)), 0) + 1, MATCH(1, (Data_Input!$7:$7=$F$3)*(Data_Input!$8:$8=$B281), 0)),"")</f>
        <v/>
      </c>
      <c r="J281" s="20" t="str" cm="1">
        <f t="array" ref="J281">IFERROR(INDEX(Data_Input!$A$1:$ZZ$502, MATCH("평가손익", INDEX(Data_Input!$A$1:$ZZ$502, 0, MATCH(1, (Data_Input!$7:$7=$F$3)*(Data_Input!$8:$8=$B281), 0)), 0) + 1, MATCH(1, (Data_Input!$7:$7=$F$3)*(Data_Input!$8:$8=$B281), 0)),"")</f>
        <v/>
      </c>
      <c r="K281" s="14" t="str" cm="1">
        <f t="array" ref="K281">IFERROR(INDEX(Data_Input!$A$1:$ZZ$502, MATCH("총수익률", INDEX(Data_Input!$A$1:$ZZ$502, 0, MATCH(1, (Data_Input!$7:$7=$F$3)*(Data_Input!$8:$8=$B281), 0)), 0) + 1, MATCH(1, (Data_Input!$7:$7=$F$3)*(Data_Input!$8:$8=$B281), 0)),"")</f>
        <v/>
      </c>
      <c r="L281" t="str" cm="1">
        <f t="array" ref="L281">IFERROR(_xlfn.LET(
    _xlpm.targetDate, B281,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82" spans="1:12" x14ac:dyDescent="0.3">
      <c r="A282" s="16" t="str">
        <f t="shared" si="9"/>
        <v/>
      </c>
      <c r="B282" s="8"/>
      <c r="C282" s="17" t="str">
        <f t="shared" si="10"/>
        <v/>
      </c>
      <c r="D282" s="29" t="str" cm="1">
        <f t="array" ref="D282">IFERROR(INDEX(Data_Input!$1:$100, 10, MATCH(1, (Data_Input!$F$7:$ZZ$7=$F$3) * (Data_Input!$F$8:$ZZ$8=$B282), 0)),"")</f>
        <v/>
      </c>
      <c r="E282" s="29" t="str" cm="1">
        <f t="array" ref="E282">IFERROR(INDEX(Data_Input!$1:$100, 9, MATCH(1, (Data_Input!$7:$7=$F$3) * (Data_Input!$8:$8=$B282), 0)),"")</f>
        <v/>
      </c>
      <c r="F282" s="20" t="str" cm="1">
        <f t="array" ref="F282">IFERROR(INDEX(Data_Input!$A$1:$ZZ$502, MATCH("예수금", INDEX(Data_Input!$A$1:$ZZ$502, 0, MATCH(1, (Data_Input!$7:$7=$F$3)*(Data_Input!$8:$8=$B282), 0)), 0) + 1, MATCH(1, (Data_Input!$7:$7=$F$3)*(Data_Input!$8:$8=$B282), 0)),"")</f>
        <v/>
      </c>
      <c r="G282" s="20" t="str" cm="1">
        <f t="array" ref="G282">IFERROR(INDEX(Data_Input!$A$1:$ZZ$502, MATCH("총자산", INDEX(Data_Input!$A$1:$ZZ$502, 0, MATCH(1, (Data_Input!$7:$7=$F$3)*(Data_Input!$8:$8=$B282), 0)), 0) + 1, MATCH(1, (Data_Input!$7:$7=$F$3)*(Data_Input!$8:$8=$B282), 0)),"")</f>
        <v/>
      </c>
      <c r="H282" s="20" t="str" cm="1">
        <f t="array" ref="H282">IFERROR(INDEX(Data_Input!$A$1:$ZZ$502, MATCH("매입금액", INDEX(Data_Input!$A$1:$ZZ$502, 0, MATCH(1, (Data_Input!$7:$7=$F$3)*(Data_Input!$8:$8=$B282), 0)), 0) + 1, MATCH(1, (Data_Input!$7:$7=$F$3)*(Data_Input!$8:$8=$B282), 0)),"")</f>
        <v/>
      </c>
      <c r="I282" s="20" t="str" cm="1">
        <f t="array" ref="I282">IFERROR(INDEX(Data_Input!$A$1:$ZZ$502, MATCH("평가금액", INDEX(Data_Input!$A$1:$ZZ$502, 0, MATCH(1, (Data_Input!$7:$7=$F$3)*(Data_Input!$8:$8=$B282), 0)), 0) + 1, MATCH(1, (Data_Input!$7:$7=$F$3)*(Data_Input!$8:$8=$B282), 0)),"")</f>
        <v/>
      </c>
      <c r="J282" s="20" t="str" cm="1">
        <f t="array" ref="J282">IFERROR(INDEX(Data_Input!$A$1:$ZZ$502, MATCH("평가손익", INDEX(Data_Input!$A$1:$ZZ$502, 0, MATCH(1, (Data_Input!$7:$7=$F$3)*(Data_Input!$8:$8=$B282), 0)), 0) + 1, MATCH(1, (Data_Input!$7:$7=$F$3)*(Data_Input!$8:$8=$B282), 0)),"")</f>
        <v/>
      </c>
      <c r="K282" s="14" t="str" cm="1">
        <f t="array" ref="K282">IFERROR(INDEX(Data_Input!$A$1:$ZZ$502, MATCH("총수익률", INDEX(Data_Input!$A$1:$ZZ$502, 0, MATCH(1, (Data_Input!$7:$7=$F$3)*(Data_Input!$8:$8=$B282), 0)), 0) + 1, MATCH(1, (Data_Input!$7:$7=$F$3)*(Data_Input!$8:$8=$B282), 0)),"")</f>
        <v/>
      </c>
      <c r="L282" t="str" cm="1">
        <f t="array" ref="L282">IFERROR(_xlfn.LET(
    _xlpm.targetDate, B282,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83" spans="1:12" x14ac:dyDescent="0.3">
      <c r="A283" s="16" t="str">
        <f t="shared" si="9"/>
        <v/>
      </c>
      <c r="B283" s="8"/>
      <c r="C283" s="17" t="str">
        <f t="shared" si="10"/>
        <v/>
      </c>
      <c r="D283" s="29" t="str" cm="1">
        <f t="array" ref="D283">IFERROR(INDEX(Data_Input!$1:$100, 10, MATCH(1, (Data_Input!$F$7:$ZZ$7=$F$3) * (Data_Input!$F$8:$ZZ$8=$B283), 0)),"")</f>
        <v/>
      </c>
      <c r="E283" s="29" t="str" cm="1">
        <f t="array" ref="E283">IFERROR(INDEX(Data_Input!$1:$100, 9, MATCH(1, (Data_Input!$7:$7=$F$3) * (Data_Input!$8:$8=$B283), 0)),"")</f>
        <v/>
      </c>
      <c r="F283" s="20" t="str" cm="1">
        <f t="array" ref="F283">IFERROR(INDEX(Data_Input!$A$1:$ZZ$502, MATCH("예수금", INDEX(Data_Input!$A$1:$ZZ$502, 0, MATCH(1, (Data_Input!$7:$7=$F$3)*(Data_Input!$8:$8=$B283), 0)), 0) + 1, MATCH(1, (Data_Input!$7:$7=$F$3)*(Data_Input!$8:$8=$B283), 0)),"")</f>
        <v/>
      </c>
      <c r="G283" s="20" t="str" cm="1">
        <f t="array" ref="G283">IFERROR(INDEX(Data_Input!$A$1:$ZZ$502, MATCH("총자산", INDEX(Data_Input!$A$1:$ZZ$502, 0, MATCH(1, (Data_Input!$7:$7=$F$3)*(Data_Input!$8:$8=$B283), 0)), 0) + 1, MATCH(1, (Data_Input!$7:$7=$F$3)*(Data_Input!$8:$8=$B283), 0)),"")</f>
        <v/>
      </c>
      <c r="H283" s="20" t="str" cm="1">
        <f t="array" ref="H283">IFERROR(INDEX(Data_Input!$A$1:$ZZ$502, MATCH("매입금액", INDEX(Data_Input!$A$1:$ZZ$502, 0, MATCH(1, (Data_Input!$7:$7=$F$3)*(Data_Input!$8:$8=$B283), 0)), 0) + 1, MATCH(1, (Data_Input!$7:$7=$F$3)*(Data_Input!$8:$8=$B283), 0)),"")</f>
        <v/>
      </c>
      <c r="I283" s="20" t="str" cm="1">
        <f t="array" ref="I283">IFERROR(INDEX(Data_Input!$A$1:$ZZ$502, MATCH("평가금액", INDEX(Data_Input!$A$1:$ZZ$502, 0, MATCH(1, (Data_Input!$7:$7=$F$3)*(Data_Input!$8:$8=$B283), 0)), 0) + 1, MATCH(1, (Data_Input!$7:$7=$F$3)*(Data_Input!$8:$8=$B283), 0)),"")</f>
        <v/>
      </c>
      <c r="J283" s="20" t="str" cm="1">
        <f t="array" ref="J283">IFERROR(INDEX(Data_Input!$A$1:$ZZ$502, MATCH("평가손익", INDEX(Data_Input!$A$1:$ZZ$502, 0, MATCH(1, (Data_Input!$7:$7=$F$3)*(Data_Input!$8:$8=$B283), 0)), 0) + 1, MATCH(1, (Data_Input!$7:$7=$F$3)*(Data_Input!$8:$8=$B283), 0)),"")</f>
        <v/>
      </c>
      <c r="K283" s="14" t="str" cm="1">
        <f t="array" ref="K283">IFERROR(INDEX(Data_Input!$A$1:$ZZ$502, MATCH("총수익률", INDEX(Data_Input!$A$1:$ZZ$502, 0, MATCH(1, (Data_Input!$7:$7=$F$3)*(Data_Input!$8:$8=$B283), 0)), 0) + 1, MATCH(1, (Data_Input!$7:$7=$F$3)*(Data_Input!$8:$8=$B283), 0)),"")</f>
        <v/>
      </c>
      <c r="L283" t="str" cm="1">
        <f t="array" ref="L283">IFERROR(_xlfn.LET(
    _xlpm.targetDate, B283,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84" spans="1:12" x14ac:dyDescent="0.3">
      <c r="A284" s="16" t="str">
        <f t="shared" si="9"/>
        <v/>
      </c>
      <c r="B284" s="8"/>
      <c r="C284" s="17" t="str">
        <f t="shared" si="10"/>
        <v/>
      </c>
      <c r="D284" s="29" t="str" cm="1">
        <f t="array" ref="D284">IFERROR(INDEX(Data_Input!$1:$100, 10, MATCH(1, (Data_Input!$F$7:$ZZ$7=$F$3) * (Data_Input!$F$8:$ZZ$8=$B284), 0)),"")</f>
        <v/>
      </c>
      <c r="E284" s="29" t="str" cm="1">
        <f t="array" ref="E284">IFERROR(INDEX(Data_Input!$1:$100, 9, MATCH(1, (Data_Input!$7:$7=$F$3) * (Data_Input!$8:$8=$B284), 0)),"")</f>
        <v/>
      </c>
      <c r="F284" s="20" t="str" cm="1">
        <f t="array" ref="F284">IFERROR(INDEX(Data_Input!$A$1:$ZZ$502, MATCH("예수금", INDEX(Data_Input!$A$1:$ZZ$502, 0, MATCH(1, (Data_Input!$7:$7=$F$3)*(Data_Input!$8:$8=$B284), 0)), 0) + 1, MATCH(1, (Data_Input!$7:$7=$F$3)*(Data_Input!$8:$8=$B284), 0)),"")</f>
        <v/>
      </c>
      <c r="G284" s="20" t="str" cm="1">
        <f t="array" ref="G284">IFERROR(INDEX(Data_Input!$A$1:$ZZ$502, MATCH("총자산", INDEX(Data_Input!$A$1:$ZZ$502, 0, MATCH(1, (Data_Input!$7:$7=$F$3)*(Data_Input!$8:$8=$B284), 0)), 0) + 1, MATCH(1, (Data_Input!$7:$7=$F$3)*(Data_Input!$8:$8=$B284), 0)),"")</f>
        <v/>
      </c>
      <c r="H284" s="20" t="str" cm="1">
        <f t="array" ref="H284">IFERROR(INDEX(Data_Input!$A$1:$ZZ$502, MATCH("매입금액", INDEX(Data_Input!$A$1:$ZZ$502, 0, MATCH(1, (Data_Input!$7:$7=$F$3)*(Data_Input!$8:$8=$B284), 0)), 0) + 1, MATCH(1, (Data_Input!$7:$7=$F$3)*(Data_Input!$8:$8=$B284), 0)),"")</f>
        <v/>
      </c>
      <c r="I284" s="20" t="str" cm="1">
        <f t="array" ref="I284">IFERROR(INDEX(Data_Input!$A$1:$ZZ$502, MATCH("평가금액", INDEX(Data_Input!$A$1:$ZZ$502, 0, MATCH(1, (Data_Input!$7:$7=$F$3)*(Data_Input!$8:$8=$B284), 0)), 0) + 1, MATCH(1, (Data_Input!$7:$7=$F$3)*(Data_Input!$8:$8=$B284), 0)),"")</f>
        <v/>
      </c>
      <c r="J284" s="20" t="str" cm="1">
        <f t="array" ref="J284">IFERROR(INDEX(Data_Input!$A$1:$ZZ$502, MATCH("평가손익", INDEX(Data_Input!$A$1:$ZZ$502, 0, MATCH(1, (Data_Input!$7:$7=$F$3)*(Data_Input!$8:$8=$B284), 0)), 0) + 1, MATCH(1, (Data_Input!$7:$7=$F$3)*(Data_Input!$8:$8=$B284), 0)),"")</f>
        <v/>
      </c>
      <c r="K284" s="14" t="str" cm="1">
        <f t="array" ref="K284">IFERROR(INDEX(Data_Input!$A$1:$ZZ$502, MATCH("총수익률", INDEX(Data_Input!$A$1:$ZZ$502, 0, MATCH(1, (Data_Input!$7:$7=$F$3)*(Data_Input!$8:$8=$B284), 0)), 0) + 1, MATCH(1, (Data_Input!$7:$7=$F$3)*(Data_Input!$8:$8=$B284), 0)),"")</f>
        <v/>
      </c>
      <c r="L284" t="str" cm="1">
        <f t="array" ref="L284">IFERROR(_xlfn.LET(
    _xlpm.targetDate, B284,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85" spans="1:12" x14ac:dyDescent="0.3">
      <c r="A285" s="16" t="str">
        <f t="shared" si="9"/>
        <v/>
      </c>
      <c r="B285" s="8"/>
      <c r="C285" s="17" t="str">
        <f t="shared" si="10"/>
        <v/>
      </c>
      <c r="D285" s="29" t="str" cm="1">
        <f t="array" ref="D285">IFERROR(INDEX(Data_Input!$1:$100, 10, MATCH(1, (Data_Input!$F$7:$ZZ$7=$F$3) * (Data_Input!$F$8:$ZZ$8=$B285), 0)),"")</f>
        <v/>
      </c>
      <c r="E285" s="29" t="str" cm="1">
        <f t="array" ref="E285">IFERROR(INDEX(Data_Input!$1:$100, 9, MATCH(1, (Data_Input!$7:$7=$F$3) * (Data_Input!$8:$8=$B285), 0)),"")</f>
        <v/>
      </c>
      <c r="F285" s="20" t="str" cm="1">
        <f t="array" ref="F285">IFERROR(INDEX(Data_Input!$A$1:$ZZ$502, MATCH("예수금", INDEX(Data_Input!$A$1:$ZZ$502, 0, MATCH(1, (Data_Input!$7:$7=$F$3)*(Data_Input!$8:$8=$B285), 0)), 0) + 1, MATCH(1, (Data_Input!$7:$7=$F$3)*(Data_Input!$8:$8=$B285), 0)),"")</f>
        <v/>
      </c>
      <c r="G285" s="20" t="str" cm="1">
        <f t="array" ref="G285">IFERROR(INDEX(Data_Input!$A$1:$ZZ$502, MATCH("총자산", INDEX(Data_Input!$A$1:$ZZ$502, 0, MATCH(1, (Data_Input!$7:$7=$F$3)*(Data_Input!$8:$8=$B285), 0)), 0) + 1, MATCH(1, (Data_Input!$7:$7=$F$3)*(Data_Input!$8:$8=$B285), 0)),"")</f>
        <v/>
      </c>
      <c r="H285" s="20" t="str" cm="1">
        <f t="array" ref="H285">IFERROR(INDEX(Data_Input!$A$1:$ZZ$502, MATCH("매입금액", INDEX(Data_Input!$A$1:$ZZ$502, 0, MATCH(1, (Data_Input!$7:$7=$F$3)*(Data_Input!$8:$8=$B285), 0)), 0) + 1, MATCH(1, (Data_Input!$7:$7=$F$3)*(Data_Input!$8:$8=$B285), 0)),"")</f>
        <v/>
      </c>
      <c r="I285" s="20" t="str" cm="1">
        <f t="array" ref="I285">IFERROR(INDEX(Data_Input!$A$1:$ZZ$502, MATCH("평가금액", INDEX(Data_Input!$A$1:$ZZ$502, 0, MATCH(1, (Data_Input!$7:$7=$F$3)*(Data_Input!$8:$8=$B285), 0)), 0) + 1, MATCH(1, (Data_Input!$7:$7=$F$3)*(Data_Input!$8:$8=$B285), 0)),"")</f>
        <v/>
      </c>
      <c r="J285" s="20" t="str" cm="1">
        <f t="array" ref="J285">IFERROR(INDEX(Data_Input!$A$1:$ZZ$502, MATCH("평가손익", INDEX(Data_Input!$A$1:$ZZ$502, 0, MATCH(1, (Data_Input!$7:$7=$F$3)*(Data_Input!$8:$8=$B285), 0)), 0) + 1, MATCH(1, (Data_Input!$7:$7=$F$3)*(Data_Input!$8:$8=$B285), 0)),"")</f>
        <v/>
      </c>
      <c r="K285" s="14" t="str" cm="1">
        <f t="array" ref="K285">IFERROR(INDEX(Data_Input!$A$1:$ZZ$502, MATCH("총수익률", INDEX(Data_Input!$A$1:$ZZ$502, 0, MATCH(1, (Data_Input!$7:$7=$F$3)*(Data_Input!$8:$8=$B285), 0)), 0) + 1, MATCH(1, (Data_Input!$7:$7=$F$3)*(Data_Input!$8:$8=$B285), 0)),"")</f>
        <v/>
      </c>
      <c r="L285" t="str" cm="1">
        <f t="array" ref="L285">IFERROR(_xlfn.LET(
    _xlpm.targetDate, B285,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86" spans="1:12" x14ac:dyDescent="0.3">
      <c r="A286" s="16" t="str">
        <f t="shared" si="9"/>
        <v/>
      </c>
      <c r="B286" s="8"/>
      <c r="C286" s="17" t="str">
        <f t="shared" si="10"/>
        <v/>
      </c>
      <c r="D286" s="29" t="str" cm="1">
        <f t="array" ref="D286">IFERROR(INDEX(Data_Input!$1:$100, 10, MATCH(1, (Data_Input!$F$7:$ZZ$7=$F$3) * (Data_Input!$F$8:$ZZ$8=$B286), 0)),"")</f>
        <v/>
      </c>
      <c r="E286" s="29" t="str" cm="1">
        <f t="array" ref="E286">IFERROR(INDEX(Data_Input!$1:$100, 9, MATCH(1, (Data_Input!$7:$7=$F$3) * (Data_Input!$8:$8=$B286), 0)),"")</f>
        <v/>
      </c>
      <c r="F286" s="20" t="str" cm="1">
        <f t="array" ref="F286">IFERROR(INDEX(Data_Input!$A$1:$ZZ$502, MATCH("예수금", INDEX(Data_Input!$A$1:$ZZ$502, 0, MATCH(1, (Data_Input!$7:$7=$F$3)*(Data_Input!$8:$8=$B286), 0)), 0) + 1, MATCH(1, (Data_Input!$7:$7=$F$3)*(Data_Input!$8:$8=$B286), 0)),"")</f>
        <v/>
      </c>
      <c r="G286" s="20" t="str" cm="1">
        <f t="array" ref="G286">IFERROR(INDEX(Data_Input!$A$1:$ZZ$502, MATCH("총자산", INDEX(Data_Input!$A$1:$ZZ$502, 0, MATCH(1, (Data_Input!$7:$7=$F$3)*(Data_Input!$8:$8=$B286), 0)), 0) + 1, MATCH(1, (Data_Input!$7:$7=$F$3)*(Data_Input!$8:$8=$B286), 0)),"")</f>
        <v/>
      </c>
      <c r="H286" s="20" t="str" cm="1">
        <f t="array" ref="H286">IFERROR(INDEX(Data_Input!$A$1:$ZZ$502, MATCH("매입금액", INDEX(Data_Input!$A$1:$ZZ$502, 0, MATCH(1, (Data_Input!$7:$7=$F$3)*(Data_Input!$8:$8=$B286), 0)), 0) + 1, MATCH(1, (Data_Input!$7:$7=$F$3)*(Data_Input!$8:$8=$B286), 0)),"")</f>
        <v/>
      </c>
      <c r="I286" s="20" t="str" cm="1">
        <f t="array" ref="I286">IFERROR(INDEX(Data_Input!$A$1:$ZZ$502, MATCH("평가금액", INDEX(Data_Input!$A$1:$ZZ$502, 0, MATCH(1, (Data_Input!$7:$7=$F$3)*(Data_Input!$8:$8=$B286), 0)), 0) + 1, MATCH(1, (Data_Input!$7:$7=$F$3)*(Data_Input!$8:$8=$B286), 0)),"")</f>
        <v/>
      </c>
      <c r="J286" s="20" t="str" cm="1">
        <f t="array" ref="J286">IFERROR(INDEX(Data_Input!$A$1:$ZZ$502, MATCH("평가손익", INDEX(Data_Input!$A$1:$ZZ$502, 0, MATCH(1, (Data_Input!$7:$7=$F$3)*(Data_Input!$8:$8=$B286), 0)), 0) + 1, MATCH(1, (Data_Input!$7:$7=$F$3)*(Data_Input!$8:$8=$B286), 0)),"")</f>
        <v/>
      </c>
      <c r="K286" s="14" t="str" cm="1">
        <f t="array" ref="K286">IFERROR(INDEX(Data_Input!$A$1:$ZZ$502, MATCH("총수익률", INDEX(Data_Input!$A$1:$ZZ$502, 0, MATCH(1, (Data_Input!$7:$7=$F$3)*(Data_Input!$8:$8=$B286), 0)), 0) + 1, MATCH(1, (Data_Input!$7:$7=$F$3)*(Data_Input!$8:$8=$B286), 0)),"")</f>
        <v/>
      </c>
      <c r="L286" t="str" cm="1">
        <f t="array" ref="L286">IFERROR(_xlfn.LET(
    _xlpm.targetDate, B286,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87" spans="1:12" x14ac:dyDescent="0.3">
      <c r="A287" s="16" t="str">
        <f t="shared" si="9"/>
        <v/>
      </c>
      <c r="B287" s="8"/>
      <c r="C287" s="17" t="str">
        <f t="shared" si="10"/>
        <v/>
      </c>
      <c r="D287" s="29" t="str" cm="1">
        <f t="array" ref="D287">IFERROR(INDEX(Data_Input!$1:$100, 10, MATCH(1, (Data_Input!$F$7:$ZZ$7=$F$3) * (Data_Input!$F$8:$ZZ$8=$B287), 0)),"")</f>
        <v/>
      </c>
      <c r="E287" s="29" t="str" cm="1">
        <f t="array" ref="E287">IFERROR(INDEX(Data_Input!$1:$100, 9, MATCH(1, (Data_Input!$7:$7=$F$3) * (Data_Input!$8:$8=$B287), 0)),"")</f>
        <v/>
      </c>
      <c r="F287" s="20" t="str" cm="1">
        <f t="array" ref="F287">IFERROR(INDEX(Data_Input!$A$1:$ZZ$502, MATCH("예수금", INDEX(Data_Input!$A$1:$ZZ$502, 0, MATCH(1, (Data_Input!$7:$7=$F$3)*(Data_Input!$8:$8=$B287), 0)), 0) + 1, MATCH(1, (Data_Input!$7:$7=$F$3)*(Data_Input!$8:$8=$B287), 0)),"")</f>
        <v/>
      </c>
      <c r="G287" s="20" t="str" cm="1">
        <f t="array" ref="G287">IFERROR(INDEX(Data_Input!$A$1:$ZZ$502, MATCH("총자산", INDEX(Data_Input!$A$1:$ZZ$502, 0, MATCH(1, (Data_Input!$7:$7=$F$3)*(Data_Input!$8:$8=$B287), 0)), 0) + 1, MATCH(1, (Data_Input!$7:$7=$F$3)*(Data_Input!$8:$8=$B287), 0)),"")</f>
        <v/>
      </c>
      <c r="H287" s="20" t="str" cm="1">
        <f t="array" ref="H287">IFERROR(INDEX(Data_Input!$A$1:$ZZ$502, MATCH("매입금액", INDEX(Data_Input!$A$1:$ZZ$502, 0, MATCH(1, (Data_Input!$7:$7=$F$3)*(Data_Input!$8:$8=$B287), 0)), 0) + 1, MATCH(1, (Data_Input!$7:$7=$F$3)*(Data_Input!$8:$8=$B287), 0)),"")</f>
        <v/>
      </c>
      <c r="I287" s="20" t="str" cm="1">
        <f t="array" ref="I287">IFERROR(INDEX(Data_Input!$A$1:$ZZ$502, MATCH("평가금액", INDEX(Data_Input!$A$1:$ZZ$502, 0, MATCH(1, (Data_Input!$7:$7=$F$3)*(Data_Input!$8:$8=$B287), 0)), 0) + 1, MATCH(1, (Data_Input!$7:$7=$F$3)*(Data_Input!$8:$8=$B287), 0)),"")</f>
        <v/>
      </c>
      <c r="J287" s="20" t="str" cm="1">
        <f t="array" ref="J287">IFERROR(INDEX(Data_Input!$A$1:$ZZ$502, MATCH("평가손익", INDEX(Data_Input!$A$1:$ZZ$502, 0, MATCH(1, (Data_Input!$7:$7=$F$3)*(Data_Input!$8:$8=$B287), 0)), 0) + 1, MATCH(1, (Data_Input!$7:$7=$F$3)*(Data_Input!$8:$8=$B287), 0)),"")</f>
        <v/>
      </c>
      <c r="K287" s="14" t="str" cm="1">
        <f t="array" ref="K287">IFERROR(INDEX(Data_Input!$A$1:$ZZ$502, MATCH("총수익률", INDEX(Data_Input!$A$1:$ZZ$502, 0, MATCH(1, (Data_Input!$7:$7=$F$3)*(Data_Input!$8:$8=$B287), 0)), 0) + 1, MATCH(1, (Data_Input!$7:$7=$F$3)*(Data_Input!$8:$8=$B287), 0)),"")</f>
        <v/>
      </c>
      <c r="L287" t="str" cm="1">
        <f t="array" ref="L287">IFERROR(_xlfn.LET(
    _xlpm.targetDate, B287,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88" spans="1:12" x14ac:dyDescent="0.3">
      <c r="A288" s="16" t="str">
        <f t="shared" si="9"/>
        <v/>
      </c>
      <c r="B288" s="8"/>
      <c r="C288" s="17" t="str">
        <f t="shared" si="10"/>
        <v/>
      </c>
      <c r="D288" s="29" t="str" cm="1">
        <f t="array" ref="D288">IFERROR(INDEX(Data_Input!$1:$100, 10, MATCH(1, (Data_Input!$F$7:$ZZ$7=$F$3) * (Data_Input!$F$8:$ZZ$8=$B288), 0)),"")</f>
        <v/>
      </c>
      <c r="E288" s="29" t="str" cm="1">
        <f t="array" ref="E288">IFERROR(INDEX(Data_Input!$1:$100, 9, MATCH(1, (Data_Input!$7:$7=$F$3) * (Data_Input!$8:$8=$B288), 0)),"")</f>
        <v/>
      </c>
      <c r="F288" s="20" t="str" cm="1">
        <f t="array" ref="F288">IFERROR(INDEX(Data_Input!$A$1:$ZZ$502, MATCH("예수금", INDEX(Data_Input!$A$1:$ZZ$502, 0, MATCH(1, (Data_Input!$7:$7=$F$3)*(Data_Input!$8:$8=$B288), 0)), 0) + 1, MATCH(1, (Data_Input!$7:$7=$F$3)*(Data_Input!$8:$8=$B288), 0)),"")</f>
        <v/>
      </c>
      <c r="G288" s="20" t="str" cm="1">
        <f t="array" ref="G288">IFERROR(INDEX(Data_Input!$A$1:$ZZ$502, MATCH("총자산", INDEX(Data_Input!$A$1:$ZZ$502, 0, MATCH(1, (Data_Input!$7:$7=$F$3)*(Data_Input!$8:$8=$B288), 0)), 0) + 1, MATCH(1, (Data_Input!$7:$7=$F$3)*(Data_Input!$8:$8=$B288), 0)),"")</f>
        <v/>
      </c>
      <c r="H288" s="20" t="str" cm="1">
        <f t="array" ref="H288">IFERROR(INDEX(Data_Input!$A$1:$ZZ$502, MATCH("매입금액", INDEX(Data_Input!$A$1:$ZZ$502, 0, MATCH(1, (Data_Input!$7:$7=$F$3)*(Data_Input!$8:$8=$B288), 0)), 0) + 1, MATCH(1, (Data_Input!$7:$7=$F$3)*(Data_Input!$8:$8=$B288), 0)),"")</f>
        <v/>
      </c>
      <c r="I288" s="20" t="str" cm="1">
        <f t="array" ref="I288">IFERROR(INDEX(Data_Input!$A$1:$ZZ$502, MATCH("평가금액", INDEX(Data_Input!$A$1:$ZZ$502, 0, MATCH(1, (Data_Input!$7:$7=$F$3)*(Data_Input!$8:$8=$B288), 0)), 0) + 1, MATCH(1, (Data_Input!$7:$7=$F$3)*(Data_Input!$8:$8=$B288), 0)),"")</f>
        <v/>
      </c>
      <c r="J288" s="20" t="str" cm="1">
        <f t="array" ref="J288">IFERROR(INDEX(Data_Input!$A$1:$ZZ$502, MATCH("평가손익", INDEX(Data_Input!$A$1:$ZZ$502, 0, MATCH(1, (Data_Input!$7:$7=$F$3)*(Data_Input!$8:$8=$B288), 0)), 0) + 1, MATCH(1, (Data_Input!$7:$7=$F$3)*(Data_Input!$8:$8=$B288), 0)),"")</f>
        <v/>
      </c>
      <c r="K288" s="14" t="str" cm="1">
        <f t="array" ref="K288">IFERROR(INDEX(Data_Input!$A$1:$ZZ$502, MATCH("총수익률", INDEX(Data_Input!$A$1:$ZZ$502, 0, MATCH(1, (Data_Input!$7:$7=$F$3)*(Data_Input!$8:$8=$B288), 0)), 0) + 1, MATCH(1, (Data_Input!$7:$7=$F$3)*(Data_Input!$8:$8=$B288), 0)),"")</f>
        <v/>
      </c>
      <c r="L288" t="str" cm="1">
        <f t="array" ref="L288">IFERROR(_xlfn.LET(
    _xlpm.targetDate, B288,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89" spans="1:12" x14ac:dyDescent="0.3">
      <c r="A289" s="16" t="str">
        <f t="shared" si="9"/>
        <v/>
      </c>
      <c r="B289" s="8"/>
      <c r="C289" s="17" t="str">
        <f t="shared" si="10"/>
        <v/>
      </c>
      <c r="D289" s="29" t="str" cm="1">
        <f t="array" ref="D289">IFERROR(INDEX(Data_Input!$1:$100, 10, MATCH(1, (Data_Input!$F$7:$ZZ$7=$F$3) * (Data_Input!$F$8:$ZZ$8=$B289), 0)),"")</f>
        <v/>
      </c>
      <c r="E289" s="29" t="str" cm="1">
        <f t="array" ref="E289">IFERROR(INDEX(Data_Input!$1:$100, 9, MATCH(1, (Data_Input!$7:$7=$F$3) * (Data_Input!$8:$8=$B289), 0)),"")</f>
        <v/>
      </c>
      <c r="F289" s="20" t="str" cm="1">
        <f t="array" ref="F289">IFERROR(INDEX(Data_Input!$A$1:$ZZ$502, MATCH("예수금", INDEX(Data_Input!$A$1:$ZZ$502, 0, MATCH(1, (Data_Input!$7:$7=$F$3)*(Data_Input!$8:$8=$B289), 0)), 0) + 1, MATCH(1, (Data_Input!$7:$7=$F$3)*(Data_Input!$8:$8=$B289), 0)),"")</f>
        <v/>
      </c>
      <c r="G289" s="20" t="str" cm="1">
        <f t="array" ref="G289">IFERROR(INDEX(Data_Input!$A$1:$ZZ$502, MATCH("총자산", INDEX(Data_Input!$A$1:$ZZ$502, 0, MATCH(1, (Data_Input!$7:$7=$F$3)*(Data_Input!$8:$8=$B289), 0)), 0) + 1, MATCH(1, (Data_Input!$7:$7=$F$3)*(Data_Input!$8:$8=$B289), 0)),"")</f>
        <v/>
      </c>
      <c r="H289" s="20" t="str" cm="1">
        <f t="array" ref="H289">IFERROR(INDEX(Data_Input!$A$1:$ZZ$502, MATCH("매입금액", INDEX(Data_Input!$A$1:$ZZ$502, 0, MATCH(1, (Data_Input!$7:$7=$F$3)*(Data_Input!$8:$8=$B289), 0)), 0) + 1, MATCH(1, (Data_Input!$7:$7=$F$3)*(Data_Input!$8:$8=$B289), 0)),"")</f>
        <v/>
      </c>
      <c r="I289" s="20" t="str" cm="1">
        <f t="array" ref="I289">IFERROR(INDEX(Data_Input!$A$1:$ZZ$502, MATCH("평가금액", INDEX(Data_Input!$A$1:$ZZ$502, 0, MATCH(1, (Data_Input!$7:$7=$F$3)*(Data_Input!$8:$8=$B289), 0)), 0) + 1, MATCH(1, (Data_Input!$7:$7=$F$3)*(Data_Input!$8:$8=$B289), 0)),"")</f>
        <v/>
      </c>
      <c r="J289" s="20" t="str" cm="1">
        <f t="array" ref="J289">IFERROR(INDEX(Data_Input!$A$1:$ZZ$502, MATCH("평가손익", INDEX(Data_Input!$A$1:$ZZ$502, 0, MATCH(1, (Data_Input!$7:$7=$F$3)*(Data_Input!$8:$8=$B289), 0)), 0) + 1, MATCH(1, (Data_Input!$7:$7=$F$3)*(Data_Input!$8:$8=$B289), 0)),"")</f>
        <v/>
      </c>
      <c r="K289" s="14" t="str" cm="1">
        <f t="array" ref="K289">IFERROR(INDEX(Data_Input!$A$1:$ZZ$502, MATCH("총수익률", INDEX(Data_Input!$A$1:$ZZ$502, 0, MATCH(1, (Data_Input!$7:$7=$F$3)*(Data_Input!$8:$8=$B289), 0)), 0) + 1, MATCH(1, (Data_Input!$7:$7=$F$3)*(Data_Input!$8:$8=$B289), 0)),"")</f>
        <v/>
      </c>
      <c r="L289" t="str" cm="1">
        <f t="array" ref="L289">IFERROR(_xlfn.LET(
    _xlpm.targetDate, B289,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90" spans="1:12" x14ac:dyDescent="0.3">
      <c r="A290" s="16" t="str">
        <f t="shared" si="9"/>
        <v/>
      </c>
      <c r="B290" s="8"/>
      <c r="C290" s="17" t="str">
        <f t="shared" si="10"/>
        <v/>
      </c>
      <c r="D290" s="29" t="str" cm="1">
        <f t="array" ref="D290">IFERROR(INDEX(Data_Input!$1:$100, 10, MATCH(1, (Data_Input!$F$7:$ZZ$7=$F$3) * (Data_Input!$F$8:$ZZ$8=$B290), 0)),"")</f>
        <v/>
      </c>
      <c r="E290" s="29" t="str" cm="1">
        <f t="array" ref="E290">IFERROR(INDEX(Data_Input!$1:$100, 9, MATCH(1, (Data_Input!$7:$7=$F$3) * (Data_Input!$8:$8=$B290), 0)),"")</f>
        <v/>
      </c>
      <c r="F290" s="20" t="str" cm="1">
        <f t="array" ref="F290">IFERROR(INDEX(Data_Input!$A$1:$ZZ$502, MATCH("예수금", INDEX(Data_Input!$A$1:$ZZ$502, 0, MATCH(1, (Data_Input!$7:$7=$F$3)*(Data_Input!$8:$8=$B290), 0)), 0) + 1, MATCH(1, (Data_Input!$7:$7=$F$3)*(Data_Input!$8:$8=$B290), 0)),"")</f>
        <v/>
      </c>
      <c r="G290" s="20" t="str" cm="1">
        <f t="array" ref="G290">IFERROR(INDEX(Data_Input!$A$1:$ZZ$502, MATCH("총자산", INDEX(Data_Input!$A$1:$ZZ$502, 0, MATCH(1, (Data_Input!$7:$7=$F$3)*(Data_Input!$8:$8=$B290), 0)), 0) + 1, MATCH(1, (Data_Input!$7:$7=$F$3)*(Data_Input!$8:$8=$B290), 0)),"")</f>
        <v/>
      </c>
      <c r="H290" s="20" t="str" cm="1">
        <f t="array" ref="H290">IFERROR(INDEX(Data_Input!$A$1:$ZZ$502, MATCH("매입금액", INDEX(Data_Input!$A$1:$ZZ$502, 0, MATCH(1, (Data_Input!$7:$7=$F$3)*(Data_Input!$8:$8=$B290), 0)), 0) + 1, MATCH(1, (Data_Input!$7:$7=$F$3)*(Data_Input!$8:$8=$B290), 0)),"")</f>
        <v/>
      </c>
      <c r="I290" s="20" t="str" cm="1">
        <f t="array" ref="I290">IFERROR(INDEX(Data_Input!$A$1:$ZZ$502, MATCH("평가금액", INDEX(Data_Input!$A$1:$ZZ$502, 0, MATCH(1, (Data_Input!$7:$7=$F$3)*(Data_Input!$8:$8=$B290), 0)), 0) + 1, MATCH(1, (Data_Input!$7:$7=$F$3)*(Data_Input!$8:$8=$B290), 0)),"")</f>
        <v/>
      </c>
      <c r="J290" s="20" t="str" cm="1">
        <f t="array" ref="J290">IFERROR(INDEX(Data_Input!$A$1:$ZZ$502, MATCH("평가손익", INDEX(Data_Input!$A$1:$ZZ$502, 0, MATCH(1, (Data_Input!$7:$7=$F$3)*(Data_Input!$8:$8=$B290), 0)), 0) + 1, MATCH(1, (Data_Input!$7:$7=$F$3)*(Data_Input!$8:$8=$B290), 0)),"")</f>
        <v/>
      </c>
      <c r="K290" s="14" t="str" cm="1">
        <f t="array" ref="K290">IFERROR(INDEX(Data_Input!$A$1:$ZZ$502, MATCH("총수익률", INDEX(Data_Input!$A$1:$ZZ$502, 0, MATCH(1, (Data_Input!$7:$7=$F$3)*(Data_Input!$8:$8=$B290), 0)), 0) + 1, MATCH(1, (Data_Input!$7:$7=$F$3)*(Data_Input!$8:$8=$B290), 0)),"")</f>
        <v/>
      </c>
      <c r="L290" t="str" cm="1">
        <f t="array" ref="L290">IFERROR(_xlfn.LET(
    _xlpm.targetDate, B290,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91" spans="1:12" x14ac:dyDescent="0.3">
      <c r="A291" s="16" t="str">
        <f t="shared" si="9"/>
        <v/>
      </c>
      <c r="B291" s="8"/>
      <c r="C291" s="17" t="str">
        <f t="shared" si="10"/>
        <v/>
      </c>
      <c r="D291" s="29" t="str" cm="1">
        <f t="array" ref="D291">IFERROR(INDEX(Data_Input!$1:$100, 10, MATCH(1, (Data_Input!$F$7:$ZZ$7=$F$3) * (Data_Input!$F$8:$ZZ$8=$B291), 0)),"")</f>
        <v/>
      </c>
      <c r="E291" s="29" t="str" cm="1">
        <f t="array" ref="E291">IFERROR(INDEX(Data_Input!$1:$100, 9, MATCH(1, (Data_Input!$7:$7=$F$3) * (Data_Input!$8:$8=$B291), 0)),"")</f>
        <v/>
      </c>
      <c r="F291" s="20" t="str" cm="1">
        <f t="array" ref="F291">IFERROR(INDEX(Data_Input!$A$1:$ZZ$502, MATCH("예수금", INDEX(Data_Input!$A$1:$ZZ$502, 0, MATCH(1, (Data_Input!$7:$7=$F$3)*(Data_Input!$8:$8=$B291), 0)), 0) + 1, MATCH(1, (Data_Input!$7:$7=$F$3)*(Data_Input!$8:$8=$B291), 0)),"")</f>
        <v/>
      </c>
      <c r="G291" s="20" t="str" cm="1">
        <f t="array" ref="G291">IFERROR(INDEX(Data_Input!$A$1:$ZZ$502, MATCH("총자산", INDEX(Data_Input!$A$1:$ZZ$502, 0, MATCH(1, (Data_Input!$7:$7=$F$3)*(Data_Input!$8:$8=$B291), 0)), 0) + 1, MATCH(1, (Data_Input!$7:$7=$F$3)*(Data_Input!$8:$8=$B291), 0)),"")</f>
        <v/>
      </c>
      <c r="H291" s="20" t="str" cm="1">
        <f t="array" ref="H291">IFERROR(INDEX(Data_Input!$A$1:$ZZ$502, MATCH("매입금액", INDEX(Data_Input!$A$1:$ZZ$502, 0, MATCH(1, (Data_Input!$7:$7=$F$3)*(Data_Input!$8:$8=$B291), 0)), 0) + 1, MATCH(1, (Data_Input!$7:$7=$F$3)*(Data_Input!$8:$8=$B291), 0)),"")</f>
        <v/>
      </c>
      <c r="I291" s="20" t="str" cm="1">
        <f t="array" ref="I291">IFERROR(INDEX(Data_Input!$A$1:$ZZ$502, MATCH("평가금액", INDEX(Data_Input!$A$1:$ZZ$502, 0, MATCH(1, (Data_Input!$7:$7=$F$3)*(Data_Input!$8:$8=$B291), 0)), 0) + 1, MATCH(1, (Data_Input!$7:$7=$F$3)*(Data_Input!$8:$8=$B291), 0)),"")</f>
        <v/>
      </c>
      <c r="J291" s="20" t="str" cm="1">
        <f t="array" ref="J291">IFERROR(INDEX(Data_Input!$A$1:$ZZ$502, MATCH("평가손익", INDEX(Data_Input!$A$1:$ZZ$502, 0, MATCH(1, (Data_Input!$7:$7=$F$3)*(Data_Input!$8:$8=$B291), 0)), 0) + 1, MATCH(1, (Data_Input!$7:$7=$F$3)*(Data_Input!$8:$8=$B291), 0)),"")</f>
        <v/>
      </c>
      <c r="K291" s="14" t="str" cm="1">
        <f t="array" ref="K291">IFERROR(INDEX(Data_Input!$A$1:$ZZ$502, MATCH("총수익률", INDEX(Data_Input!$A$1:$ZZ$502, 0, MATCH(1, (Data_Input!$7:$7=$F$3)*(Data_Input!$8:$8=$B291), 0)), 0) + 1, MATCH(1, (Data_Input!$7:$7=$F$3)*(Data_Input!$8:$8=$B291), 0)),"")</f>
        <v/>
      </c>
      <c r="L291" t="str" cm="1">
        <f t="array" ref="L291">IFERROR(_xlfn.LET(
    _xlpm.targetDate, B291,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92" spans="1:12" x14ac:dyDescent="0.3">
      <c r="A292" s="16" t="str">
        <f t="shared" si="9"/>
        <v/>
      </c>
      <c r="B292" s="8"/>
      <c r="C292" s="17" t="str">
        <f t="shared" si="10"/>
        <v/>
      </c>
      <c r="D292" s="29" t="str" cm="1">
        <f t="array" ref="D292">IFERROR(INDEX(Data_Input!$1:$100, 10, MATCH(1, (Data_Input!$F$7:$ZZ$7=$F$3) * (Data_Input!$F$8:$ZZ$8=$B292), 0)),"")</f>
        <v/>
      </c>
      <c r="E292" s="29" t="str" cm="1">
        <f t="array" ref="E292">IFERROR(INDEX(Data_Input!$1:$100, 9, MATCH(1, (Data_Input!$7:$7=$F$3) * (Data_Input!$8:$8=$B292), 0)),"")</f>
        <v/>
      </c>
      <c r="F292" s="20" t="str" cm="1">
        <f t="array" ref="F292">IFERROR(INDEX(Data_Input!$A$1:$ZZ$502, MATCH("예수금", INDEX(Data_Input!$A$1:$ZZ$502, 0, MATCH(1, (Data_Input!$7:$7=$F$3)*(Data_Input!$8:$8=$B292), 0)), 0) + 1, MATCH(1, (Data_Input!$7:$7=$F$3)*(Data_Input!$8:$8=$B292), 0)),"")</f>
        <v/>
      </c>
      <c r="G292" s="20" t="str" cm="1">
        <f t="array" ref="G292">IFERROR(INDEX(Data_Input!$A$1:$ZZ$502, MATCH("총자산", INDEX(Data_Input!$A$1:$ZZ$502, 0, MATCH(1, (Data_Input!$7:$7=$F$3)*(Data_Input!$8:$8=$B292), 0)), 0) + 1, MATCH(1, (Data_Input!$7:$7=$F$3)*(Data_Input!$8:$8=$B292), 0)),"")</f>
        <v/>
      </c>
      <c r="H292" s="20" t="str" cm="1">
        <f t="array" ref="H292">IFERROR(INDEX(Data_Input!$A$1:$ZZ$502, MATCH("매입금액", INDEX(Data_Input!$A$1:$ZZ$502, 0, MATCH(1, (Data_Input!$7:$7=$F$3)*(Data_Input!$8:$8=$B292), 0)), 0) + 1, MATCH(1, (Data_Input!$7:$7=$F$3)*(Data_Input!$8:$8=$B292), 0)),"")</f>
        <v/>
      </c>
      <c r="I292" s="20" t="str" cm="1">
        <f t="array" ref="I292">IFERROR(INDEX(Data_Input!$A$1:$ZZ$502, MATCH("평가금액", INDEX(Data_Input!$A$1:$ZZ$502, 0, MATCH(1, (Data_Input!$7:$7=$F$3)*(Data_Input!$8:$8=$B292), 0)), 0) + 1, MATCH(1, (Data_Input!$7:$7=$F$3)*(Data_Input!$8:$8=$B292), 0)),"")</f>
        <v/>
      </c>
      <c r="J292" s="20" t="str" cm="1">
        <f t="array" ref="J292">IFERROR(INDEX(Data_Input!$A$1:$ZZ$502, MATCH("평가손익", INDEX(Data_Input!$A$1:$ZZ$502, 0, MATCH(1, (Data_Input!$7:$7=$F$3)*(Data_Input!$8:$8=$B292), 0)), 0) + 1, MATCH(1, (Data_Input!$7:$7=$F$3)*(Data_Input!$8:$8=$B292), 0)),"")</f>
        <v/>
      </c>
      <c r="K292" s="14" t="str" cm="1">
        <f t="array" ref="K292">IFERROR(INDEX(Data_Input!$A$1:$ZZ$502, MATCH("총수익률", INDEX(Data_Input!$A$1:$ZZ$502, 0, MATCH(1, (Data_Input!$7:$7=$F$3)*(Data_Input!$8:$8=$B292), 0)), 0) + 1, MATCH(1, (Data_Input!$7:$7=$F$3)*(Data_Input!$8:$8=$B292), 0)),"")</f>
        <v/>
      </c>
      <c r="L292" t="str" cm="1">
        <f t="array" ref="L292">IFERROR(_xlfn.LET(
    _xlpm.targetDate, B292,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93" spans="1:12" x14ac:dyDescent="0.3">
      <c r="A293" s="16" t="str">
        <f t="shared" si="9"/>
        <v/>
      </c>
      <c r="B293" s="8"/>
      <c r="C293" s="17" t="str">
        <f t="shared" si="10"/>
        <v/>
      </c>
      <c r="D293" s="29" t="str" cm="1">
        <f t="array" ref="D293">IFERROR(INDEX(Data_Input!$1:$100, 10, MATCH(1, (Data_Input!$F$7:$ZZ$7=$F$3) * (Data_Input!$F$8:$ZZ$8=$B293), 0)),"")</f>
        <v/>
      </c>
      <c r="E293" s="29" t="str" cm="1">
        <f t="array" ref="E293">IFERROR(INDEX(Data_Input!$1:$100, 9, MATCH(1, (Data_Input!$7:$7=$F$3) * (Data_Input!$8:$8=$B293), 0)),"")</f>
        <v/>
      </c>
      <c r="F293" s="20" t="str" cm="1">
        <f t="array" ref="F293">IFERROR(INDEX(Data_Input!$A$1:$ZZ$502, MATCH("예수금", INDEX(Data_Input!$A$1:$ZZ$502, 0, MATCH(1, (Data_Input!$7:$7=$F$3)*(Data_Input!$8:$8=$B293), 0)), 0) + 1, MATCH(1, (Data_Input!$7:$7=$F$3)*(Data_Input!$8:$8=$B293), 0)),"")</f>
        <v/>
      </c>
      <c r="G293" s="20" t="str" cm="1">
        <f t="array" ref="G293">IFERROR(INDEX(Data_Input!$A$1:$ZZ$502, MATCH("총자산", INDEX(Data_Input!$A$1:$ZZ$502, 0, MATCH(1, (Data_Input!$7:$7=$F$3)*(Data_Input!$8:$8=$B293), 0)), 0) + 1, MATCH(1, (Data_Input!$7:$7=$F$3)*(Data_Input!$8:$8=$B293), 0)),"")</f>
        <v/>
      </c>
      <c r="H293" s="20" t="str" cm="1">
        <f t="array" ref="H293">IFERROR(INDEX(Data_Input!$A$1:$ZZ$502, MATCH("매입금액", INDEX(Data_Input!$A$1:$ZZ$502, 0, MATCH(1, (Data_Input!$7:$7=$F$3)*(Data_Input!$8:$8=$B293), 0)), 0) + 1, MATCH(1, (Data_Input!$7:$7=$F$3)*(Data_Input!$8:$8=$B293), 0)),"")</f>
        <v/>
      </c>
      <c r="I293" s="20" t="str" cm="1">
        <f t="array" ref="I293">IFERROR(INDEX(Data_Input!$A$1:$ZZ$502, MATCH("평가금액", INDEX(Data_Input!$A$1:$ZZ$502, 0, MATCH(1, (Data_Input!$7:$7=$F$3)*(Data_Input!$8:$8=$B293), 0)), 0) + 1, MATCH(1, (Data_Input!$7:$7=$F$3)*(Data_Input!$8:$8=$B293), 0)),"")</f>
        <v/>
      </c>
      <c r="J293" s="20" t="str" cm="1">
        <f t="array" ref="J293">IFERROR(INDEX(Data_Input!$A$1:$ZZ$502, MATCH("평가손익", INDEX(Data_Input!$A$1:$ZZ$502, 0, MATCH(1, (Data_Input!$7:$7=$F$3)*(Data_Input!$8:$8=$B293), 0)), 0) + 1, MATCH(1, (Data_Input!$7:$7=$F$3)*(Data_Input!$8:$8=$B293), 0)),"")</f>
        <v/>
      </c>
      <c r="K293" s="14" t="str" cm="1">
        <f t="array" ref="K293">IFERROR(INDEX(Data_Input!$A$1:$ZZ$502, MATCH("총수익률", INDEX(Data_Input!$A$1:$ZZ$502, 0, MATCH(1, (Data_Input!$7:$7=$F$3)*(Data_Input!$8:$8=$B293), 0)), 0) + 1, MATCH(1, (Data_Input!$7:$7=$F$3)*(Data_Input!$8:$8=$B293), 0)),"")</f>
        <v/>
      </c>
      <c r="L293" t="str" cm="1">
        <f t="array" ref="L293">IFERROR(_xlfn.LET(
    _xlpm.targetDate, B293,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94" spans="1:12" x14ac:dyDescent="0.3">
      <c r="A294" s="16" t="str">
        <f t="shared" si="9"/>
        <v/>
      </c>
      <c r="B294" s="8"/>
      <c r="C294" s="17" t="str">
        <f t="shared" si="10"/>
        <v/>
      </c>
      <c r="D294" s="29" t="str" cm="1">
        <f t="array" ref="D294">IFERROR(INDEX(Data_Input!$1:$100, 10, MATCH(1, (Data_Input!$F$7:$ZZ$7=$F$3) * (Data_Input!$F$8:$ZZ$8=$B294), 0)),"")</f>
        <v/>
      </c>
      <c r="E294" s="29" t="str" cm="1">
        <f t="array" ref="E294">IFERROR(INDEX(Data_Input!$1:$100, 9, MATCH(1, (Data_Input!$7:$7=$F$3) * (Data_Input!$8:$8=$B294), 0)),"")</f>
        <v/>
      </c>
      <c r="F294" s="20" t="str" cm="1">
        <f t="array" ref="F294">IFERROR(INDEX(Data_Input!$A$1:$ZZ$502, MATCH("예수금", INDEX(Data_Input!$A$1:$ZZ$502, 0, MATCH(1, (Data_Input!$7:$7=$F$3)*(Data_Input!$8:$8=$B294), 0)), 0) + 1, MATCH(1, (Data_Input!$7:$7=$F$3)*(Data_Input!$8:$8=$B294), 0)),"")</f>
        <v/>
      </c>
      <c r="G294" s="20" t="str" cm="1">
        <f t="array" ref="G294">IFERROR(INDEX(Data_Input!$A$1:$ZZ$502, MATCH("총자산", INDEX(Data_Input!$A$1:$ZZ$502, 0, MATCH(1, (Data_Input!$7:$7=$F$3)*(Data_Input!$8:$8=$B294), 0)), 0) + 1, MATCH(1, (Data_Input!$7:$7=$F$3)*(Data_Input!$8:$8=$B294), 0)),"")</f>
        <v/>
      </c>
      <c r="H294" s="20" t="str" cm="1">
        <f t="array" ref="H294">IFERROR(INDEX(Data_Input!$A$1:$ZZ$502, MATCH("매입금액", INDEX(Data_Input!$A$1:$ZZ$502, 0, MATCH(1, (Data_Input!$7:$7=$F$3)*(Data_Input!$8:$8=$B294), 0)), 0) + 1, MATCH(1, (Data_Input!$7:$7=$F$3)*(Data_Input!$8:$8=$B294), 0)),"")</f>
        <v/>
      </c>
      <c r="I294" s="20" t="str" cm="1">
        <f t="array" ref="I294">IFERROR(INDEX(Data_Input!$A$1:$ZZ$502, MATCH("평가금액", INDEX(Data_Input!$A$1:$ZZ$502, 0, MATCH(1, (Data_Input!$7:$7=$F$3)*(Data_Input!$8:$8=$B294), 0)), 0) + 1, MATCH(1, (Data_Input!$7:$7=$F$3)*(Data_Input!$8:$8=$B294), 0)),"")</f>
        <v/>
      </c>
      <c r="J294" s="20" t="str" cm="1">
        <f t="array" ref="J294">IFERROR(INDEX(Data_Input!$A$1:$ZZ$502, MATCH("평가손익", INDEX(Data_Input!$A$1:$ZZ$502, 0, MATCH(1, (Data_Input!$7:$7=$F$3)*(Data_Input!$8:$8=$B294), 0)), 0) + 1, MATCH(1, (Data_Input!$7:$7=$F$3)*(Data_Input!$8:$8=$B294), 0)),"")</f>
        <v/>
      </c>
      <c r="K294" s="14" t="str" cm="1">
        <f t="array" ref="K294">IFERROR(INDEX(Data_Input!$A$1:$ZZ$502, MATCH("총수익률", INDEX(Data_Input!$A$1:$ZZ$502, 0, MATCH(1, (Data_Input!$7:$7=$F$3)*(Data_Input!$8:$8=$B294), 0)), 0) + 1, MATCH(1, (Data_Input!$7:$7=$F$3)*(Data_Input!$8:$8=$B294), 0)),"")</f>
        <v/>
      </c>
      <c r="L294" t="str" cm="1">
        <f t="array" ref="L294">IFERROR(_xlfn.LET(
    _xlpm.targetDate, B294,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95" spans="1:12" x14ac:dyDescent="0.3">
      <c r="A295" s="16" t="str">
        <f t="shared" si="9"/>
        <v/>
      </c>
      <c r="B295" s="8"/>
      <c r="C295" s="17" t="str">
        <f t="shared" si="10"/>
        <v/>
      </c>
      <c r="D295" s="29" t="str" cm="1">
        <f t="array" ref="D295">IFERROR(INDEX(Data_Input!$1:$100, 10, MATCH(1, (Data_Input!$F$7:$ZZ$7=$F$3) * (Data_Input!$F$8:$ZZ$8=$B295), 0)),"")</f>
        <v/>
      </c>
      <c r="E295" s="29" t="str" cm="1">
        <f t="array" ref="E295">IFERROR(INDEX(Data_Input!$1:$100, 9, MATCH(1, (Data_Input!$7:$7=$F$3) * (Data_Input!$8:$8=$B295), 0)),"")</f>
        <v/>
      </c>
      <c r="F295" s="20" t="str" cm="1">
        <f t="array" ref="F295">IFERROR(INDEX(Data_Input!$A$1:$ZZ$502, MATCH("예수금", INDEX(Data_Input!$A$1:$ZZ$502, 0, MATCH(1, (Data_Input!$7:$7=$F$3)*(Data_Input!$8:$8=$B295), 0)), 0) + 1, MATCH(1, (Data_Input!$7:$7=$F$3)*(Data_Input!$8:$8=$B295), 0)),"")</f>
        <v/>
      </c>
      <c r="G295" s="20" t="str" cm="1">
        <f t="array" ref="G295">IFERROR(INDEX(Data_Input!$A$1:$ZZ$502, MATCH("총자산", INDEX(Data_Input!$A$1:$ZZ$502, 0, MATCH(1, (Data_Input!$7:$7=$F$3)*(Data_Input!$8:$8=$B295), 0)), 0) + 1, MATCH(1, (Data_Input!$7:$7=$F$3)*(Data_Input!$8:$8=$B295), 0)),"")</f>
        <v/>
      </c>
      <c r="H295" s="20" t="str" cm="1">
        <f t="array" ref="H295">IFERROR(INDEX(Data_Input!$A$1:$ZZ$502, MATCH("매입금액", INDEX(Data_Input!$A$1:$ZZ$502, 0, MATCH(1, (Data_Input!$7:$7=$F$3)*(Data_Input!$8:$8=$B295), 0)), 0) + 1, MATCH(1, (Data_Input!$7:$7=$F$3)*(Data_Input!$8:$8=$B295), 0)),"")</f>
        <v/>
      </c>
      <c r="I295" s="20" t="str" cm="1">
        <f t="array" ref="I295">IFERROR(INDEX(Data_Input!$A$1:$ZZ$502, MATCH("평가금액", INDEX(Data_Input!$A$1:$ZZ$502, 0, MATCH(1, (Data_Input!$7:$7=$F$3)*(Data_Input!$8:$8=$B295), 0)), 0) + 1, MATCH(1, (Data_Input!$7:$7=$F$3)*(Data_Input!$8:$8=$B295), 0)),"")</f>
        <v/>
      </c>
      <c r="J295" s="20" t="str" cm="1">
        <f t="array" ref="J295">IFERROR(INDEX(Data_Input!$A$1:$ZZ$502, MATCH("평가손익", INDEX(Data_Input!$A$1:$ZZ$502, 0, MATCH(1, (Data_Input!$7:$7=$F$3)*(Data_Input!$8:$8=$B295), 0)), 0) + 1, MATCH(1, (Data_Input!$7:$7=$F$3)*(Data_Input!$8:$8=$B295), 0)),"")</f>
        <v/>
      </c>
      <c r="K295" s="14" t="str" cm="1">
        <f t="array" ref="K295">IFERROR(INDEX(Data_Input!$A$1:$ZZ$502, MATCH("총수익률", INDEX(Data_Input!$A$1:$ZZ$502, 0, MATCH(1, (Data_Input!$7:$7=$F$3)*(Data_Input!$8:$8=$B295), 0)), 0) + 1, MATCH(1, (Data_Input!$7:$7=$F$3)*(Data_Input!$8:$8=$B295), 0)),"")</f>
        <v/>
      </c>
      <c r="L295" t="str" cm="1">
        <f t="array" ref="L295">IFERROR(_xlfn.LET(
    _xlpm.targetDate, B295,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96" spans="1:12" x14ac:dyDescent="0.3">
      <c r="A296" s="16" t="str">
        <f t="shared" si="9"/>
        <v/>
      </c>
      <c r="B296" s="8"/>
      <c r="C296" s="17" t="str">
        <f t="shared" si="10"/>
        <v/>
      </c>
      <c r="D296" s="29" t="str" cm="1">
        <f t="array" ref="D296">IFERROR(INDEX(Data_Input!$1:$100, 10, MATCH(1, (Data_Input!$F$7:$ZZ$7=$F$3) * (Data_Input!$F$8:$ZZ$8=$B296), 0)),"")</f>
        <v/>
      </c>
      <c r="E296" s="29" t="str" cm="1">
        <f t="array" ref="E296">IFERROR(INDEX(Data_Input!$1:$100, 9, MATCH(1, (Data_Input!$7:$7=$F$3) * (Data_Input!$8:$8=$B296), 0)),"")</f>
        <v/>
      </c>
      <c r="F296" s="20" t="str" cm="1">
        <f t="array" ref="F296">IFERROR(INDEX(Data_Input!$A$1:$ZZ$502, MATCH("예수금", INDEX(Data_Input!$A$1:$ZZ$502, 0, MATCH(1, (Data_Input!$7:$7=$F$3)*(Data_Input!$8:$8=$B296), 0)), 0) + 1, MATCH(1, (Data_Input!$7:$7=$F$3)*(Data_Input!$8:$8=$B296), 0)),"")</f>
        <v/>
      </c>
      <c r="G296" s="20" t="str" cm="1">
        <f t="array" ref="G296">IFERROR(INDEX(Data_Input!$A$1:$ZZ$502, MATCH("총자산", INDEX(Data_Input!$A$1:$ZZ$502, 0, MATCH(1, (Data_Input!$7:$7=$F$3)*(Data_Input!$8:$8=$B296), 0)), 0) + 1, MATCH(1, (Data_Input!$7:$7=$F$3)*(Data_Input!$8:$8=$B296), 0)),"")</f>
        <v/>
      </c>
      <c r="H296" s="20" t="str" cm="1">
        <f t="array" ref="H296">IFERROR(INDEX(Data_Input!$A$1:$ZZ$502, MATCH("매입금액", INDEX(Data_Input!$A$1:$ZZ$502, 0, MATCH(1, (Data_Input!$7:$7=$F$3)*(Data_Input!$8:$8=$B296), 0)), 0) + 1, MATCH(1, (Data_Input!$7:$7=$F$3)*(Data_Input!$8:$8=$B296), 0)),"")</f>
        <v/>
      </c>
      <c r="I296" s="20" t="str" cm="1">
        <f t="array" ref="I296">IFERROR(INDEX(Data_Input!$A$1:$ZZ$502, MATCH("평가금액", INDEX(Data_Input!$A$1:$ZZ$502, 0, MATCH(1, (Data_Input!$7:$7=$F$3)*(Data_Input!$8:$8=$B296), 0)), 0) + 1, MATCH(1, (Data_Input!$7:$7=$F$3)*(Data_Input!$8:$8=$B296), 0)),"")</f>
        <v/>
      </c>
      <c r="J296" s="20" t="str" cm="1">
        <f t="array" ref="J296">IFERROR(INDEX(Data_Input!$A$1:$ZZ$502, MATCH("평가손익", INDEX(Data_Input!$A$1:$ZZ$502, 0, MATCH(1, (Data_Input!$7:$7=$F$3)*(Data_Input!$8:$8=$B296), 0)), 0) + 1, MATCH(1, (Data_Input!$7:$7=$F$3)*(Data_Input!$8:$8=$B296), 0)),"")</f>
        <v/>
      </c>
      <c r="K296" s="14" t="str" cm="1">
        <f t="array" ref="K296">IFERROR(INDEX(Data_Input!$A$1:$ZZ$502, MATCH("총수익률", INDEX(Data_Input!$A$1:$ZZ$502, 0, MATCH(1, (Data_Input!$7:$7=$F$3)*(Data_Input!$8:$8=$B296), 0)), 0) + 1, MATCH(1, (Data_Input!$7:$7=$F$3)*(Data_Input!$8:$8=$B296), 0)),"")</f>
        <v/>
      </c>
      <c r="L296" t="str" cm="1">
        <f t="array" ref="L296">IFERROR(_xlfn.LET(
    _xlpm.targetDate, B296,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97" spans="1:12" x14ac:dyDescent="0.3">
      <c r="A297" s="16" t="str">
        <f t="shared" si="9"/>
        <v/>
      </c>
      <c r="B297" s="8"/>
      <c r="C297" s="17" t="str">
        <f t="shared" si="10"/>
        <v/>
      </c>
      <c r="D297" s="29" t="str" cm="1">
        <f t="array" ref="D297">IFERROR(INDEX(Data_Input!$1:$100, 10, MATCH(1, (Data_Input!$F$7:$ZZ$7=$F$3) * (Data_Input!$F$8:$ZZ$8=$B297), 0)),"")</f>
        <v/>
      </c>
      <c r="E297" s="29" t="str" cm="1">
        <f t="array" ref="E297">IFERROR(INDEX(Data_Input!$1:$100, 9, MATCH(1, (Data_Input!$7:$7=$F$3) * (Data_Input!$8:$8=$B297), 0)),"")</f>
        <v/>
      </c>
      <c r="F297" s="20" t="str" cm="1">
        <f t="array" ref="F297">IFERROR(INDEX(Data_Input!$A$1:$ZZ$502, MATCH("예수금", INDEX(Data_Input!$A$1:$ZZ$502, 0, MATCH(1, (Data_Input!$7:$7=$F$3)*(Data_Input!$8:$8=$B297), 0)), 0) + 1, MATCH(1, (Data_Input!$7:$7=$F$3)*(Data_Input!$8:$8=$B297), 0)),"")</f>
        <v/>
      </c>
      <c r="G297" s="20" t="str" cm="1">
        <f t="array" ref="G297">IFERROR(INDEX(Data_Input!$A$1:$ZZ$502, MATCH("총자산", INDEX(Data_Input!$A$1:$ZZ$502, 0, MATCH(1, (Data_Input!$7:$7=$F$3)*(Data_Input!$8:$8=$B297), 0)), 0) + 1, MATCH(1, (Data_Input!$7:$7=$F$3)*(Data_Input!$8:$8=$B297), 0)),"")</f>
        <v/>
      </c>
      <c r="H297" s="20" t="str" cm="1">
        <f t="array" ref="H297">IFERROR(INDEX(Data_Input!$A$1:$ZZ$502, MATCH("매입금액", INDEX(Data_Input!$A$1:$ZZ$502, 0, MATCH(1, (Data_Input!$7:$7=$F$3)*(Data_Input!$8:$8=$B297), 0)), 0) + 1, MATCH(1, (Data_Input!$7:$7=$F$3)*(Data_Input!$8:$8=$B297), 0)),"")</f>
        <v/>
      </c>
      <c r="I297" s="20" t="str" cm="1">
        <f t="array" ref="I297">IFERROR(INDEX(Data_Input!$A$1:$ZZ$502, MATCH("평가금액", INDEX(Data_Input!$A$1:$ZZ$502, 0, MATCH(1, (Data_Input!$7:$7=$F$3)*(Data_Input!$8:$8=$B297), 0)), 0) + 1, MATCH(1, (Data_Input!$7:$7=$F$3)*(Data_Input!$8:$8=$B297), 0)),"")</f>
        <v/>
      </c>
      <c r="J297" s="20" t="str" cm="1">
        <f t="array" ref="J297">IFERROR(INDEX(Data_Input!$A$1:$ZZ$502, MATCH("평가손익", INDEX(Data_Input!$A$1:$ZZ$502, 0, MATCH(1, (Data_Input!$7:$7=$F$3)*(Data_Input!$8:$8=$B297), 0)), 0) + 1, MATCH(1, (Data_Input!$7:$7=$F$3)*(Data_Input!$8:$8=$B297), 0)),"")</f>
        <v/>
      </c>
      <c r="K297" s="14" t="str" cm="1">
        <f t="array" ref="K297">IFERROR(INDEX(Data_Input!$A$1:$ZZ$502, MATCH("총수익률", INDEX(Data_Input!$A$1:$ZZ$502, 0, MATCH(1, (Data_Input!$7:$7=$F$3)*(Data_Input!$8:$8=$B297), 0)), 0) + 1, MATCH(1, (Data_Input!$7:$7=$F$3)*(Data_Input!$8:$8=$B297), 0)),"")</f>
        <v/>
      </c>
      <c r="L297" t="str" cm="1">
        <f t="array" ref="L297">IFERROR(_xlfn.LET(
    _xlpm.targetDate, B297,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98" spans="1:12" x14ac:dyDescent="0.3">
      <c r="A298" s="16" t="str">
        <f t="shared" si="9"/>
        <v/>
      </c>
      <c r="B298" s="8"/>
      <c r="C298" s="17" t="str">
        <f t="shared" si="10"/>
        <v/>
      </c>
      <c r="D298" s="29" t="str" cm="1">
        <f t="array" ref="D298">IFERROR(INDEX(Data_Input!$1:$100, 10, MATCH(1, (Data_Input!$F$7:$ZZ$7=$F$3) * (Data_Input!$F$8:$ZZ$8=$B298), 0)),"")</f>
        <v/>
      </c>
      <c r="E298" s="29" t="str" cm="1">
        <f t="array" ref="E298">IFERROR(INDEX(Data_Input!$1:$100, 9, MATCH(1, (Data_Input!$7:$7=$F$3) * (Data_Input!$8:$8=$B298), 0)),"")</f>
        <v/>
      </c>
      <c r="F298" s="20" t="str" cm="1">
        <f t="array" ref="F298">IFERROR(INDEX(Data_Input!$A$1:$ZZ$502, MATCH("예수금", INDEX(Data_Input!$A$1:$ZZ$502, 0, MATCH(1, (Data_Input!$7:$7=$F$3)*(Data_Input!$8:$8=$B298), 0)), 0) + 1, MATCH(1, (Data_Input!$7:$7=$F$3)*(Data_Input!$8:$8=$B298), 0)),"")</f>
        <v/>
      </c>
      <c r="G298" s="20" t="str" cm="1">
        <f t="array" ref="G298">IFERROR(INDEX(Data_Input!$A$1:$ZZ$502, MATCH("총자산", INDEX(Data_Input!$A$1:$ZZ$502, 0, MATCH(1, (Data_Input!$7:$7=$F$3)*(Data_Input!$8:$8=$B298), 0)), 0) + 1, MATCH(1, (Data_Input!$7:$7=$F$3)*(Data_Input!$8:$8=$B298), 0)),"")</f>
        <v/>
      </c>
      <c r="H298" s="20" t="str" cm="1">
        <f t="array" ref="H298">IFERROR(INDEX(Data_Input!$A$1:$ZZ$502, MATCH("매입금액", INDEX(Data_Input!$A$1:$ZZ$502, 0, MATCH(1, (Data_Input!$7:$7=$F$3)*(Data_Input!$8:$8=$B298), 0)), 0) + 1, MATCH(1, (Data_Input!$7:$7=$F$3)*(Data_Input!$8:$8=$B298), 0)),"")</f>
        <v/>
      </c>
      <c r="I298" s="20" t="str" cm="1">
        <f t="array" ref="I298">IFERROR(INDEX(Data_Input!$A$1:$ZZ$502, MATCH("평가금액", INDEX(Data_Input!$A$1:$ZZ$502, 0, MATCH(1, (Data_Input!$7:$7=$F$3)*(Data_Input!$8:$8=$B298), 0)), 0) + 1, MATCH(1, (Data_Input!$7:$7=$F$3)*(Data_Input!$8:$8=$B298), 0)),"")</f>
        <v/>
      </c>
      <c r="J298" s="20" t="str" cm="1">
        <f t="array" ref="J298">IFERROR(INDEX(Data_Input!$A$1:$ZZ$502, MATCH("평가손익", INDEX(Data_Input!$A$1:$ZZ$502, 0, MATCH(1, (Data_Input!$7:$7=$F$3)*(Data_Input!$8:$8=$B298), 0)), 0) + 1, MATCH(1, (Data_Input!$7:$7=$F$3)*(Data_Input!$8:$8=$B298), 0)),"")</f>
        <v/>
      </c>
      <c r="K298" s="14" t="str" cm="1">
        <f t="array" ref="K298">IFERROR(INDEX(Data_Input!$A$1:$ZZ$502, MATCH("총수익률", INDEX(Data_Input!$A$1:$ZZ$502, 0, MATCH(1, (Data_Input!$7:$7=$F$3)*(Data_Input!$8:$8=$B298), 0)), 0) + 1, MATCH(1, (Data_Input!$7:$7=$F$3)*(Data_Input!$8:$8=$B298), 0)),"")</f>
        <v/>
      </c>
      <c r="L298" t="str" cm="1">
        <f t="array" ref="L298">IFERROR(_xlfn.LET(
    _xlpm.targetDate, B298,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299" spans="1:12" x14ac:dyDescent="0.3">
      <c r="A299" s="16" t="str">
        <f t="shared" si="9"/>
        <v/>
      </c>
      <c r="B299" s="8"/>
      <c r="C299" s="17" t="str">
        <f t="shared" si="10"/>
        <v/>
      </c>
      <c r="D299" s="29" t="str" cm="1">
        <f t="array" ref="D299">IFERROR(INDEX(Data_Input!$1:$100, 10, MATCH(1, (Data_Input!$F$7:$ZZ$7=$F$3) * (Data_Input!$F$8:$ZZ$8=$B299), 0)),"")</f>
        <v/>
      </c>
      <c r="E299" s="29" t="str" cm="1">
        <f t="array" ref="E299">IFERROR(INDEX(Data_Input!$1:$100, 9, MATCH(1, (Data_Input!$7:$7=$F$3) * (Data_Input!$8:$8=$B299), 0)),"")</f>
        <v/>
      </c>
      <c r="F299" s="20" t="str" cm="1">
        <f t="array" ref="F299">IFERROR(INDEX(Data_Input!$A$1:$ZZ$502, MATCH("예수금", INDEX(Data_Input!$A$1:$ZZ$502, 0, MATCH(1, (Data_Input!$7:$7=$F$3)*(Data_Input!$8:$8=$B299), 0)), 0) + 1, MATCH(1, (Data_Input!$7:$7=$F$3)*(Data_Input!$8:$8=$B299), 0)),"")</f>
        <v/>
      </c>
      <c r="G299" s="20" t="str" cm="1">
        <f t="array" ref="G299">IFERROR(INDEX(Data_Input!$A$1:$ZZ$502, MATCH("총자산", INDEX(Data_Input!$A$1:$ZZ$502, 0, MATCH(1, (Data_Input!$7:$7=$F$3)*(Data_Input!$8:$8=$B299), 0)), 0) + 1, MATCH(1, (Data_Input!$7:$7=$F$3)*(Data_Input!$8:$8=$B299), 0)),"")</f>
        <v/>
      </c>
      <c r="H299" s="20" t="str" cm="1">
        <f t="array" ref="H299">IFERROR(INDEX(Data_Input!$A$1:$ZZ$502, MATCH("매입금액", INDEX(Data_Input!$A$1:$ZZ$502, 0, MATCH(1, (Data_Input!$7:$7=$F$3)*(Data_Input!$8:$8=$B299), 0)), 0) + 1, MATCH(1, (Data_Input!$7:$7=$F$3)*(Data_Input!$8:$8=$B299), 0)),"")</f>
        <v/>
      </c>
      <c r="I299" s="20" t="str" cm="1">
        <f t="array" ref="I299">IFERROR(INDEX(Data_Input!$A$1:$ZZ$502, MATCH("평가금액", INDEX(Data_Input!$A$1:$ZZ$502, 0, MATCH(1, (Data_Input!$7:$7=$F$3)*(Data_Input!$8:$8=$B299), 0)), 0) + 1, MATCH(1, (Data_Input!$7:$7=$F$3)*(Data_Input!$8:$8=$B299), 0)),"")</f>
        <v/>
      </c>
      <c r="J299" s="20" t="str" cm="1">
        <f t="array" ref="J299">IFERROR(INDEX(Data_Input!$A$1:$ZZ$502, MATCH("평가손익", INDEX(Data_Input!$A$1:$ZZ$502, 0, MATCH(1, (Data_Input!$7:$7=$F$3)*(Data_Input!$8:$8=$B299), 0)), 0) + 1, MATCH(1, (Data_Input!$7:$7=$F$3)*(Data_Input!$8:$8=$B299), 0)),"")</f>
        <v/>
      </c>
      <c r="K299" s="14" t="str" cm="1">
        <f t="array" ref="K299">IFERROR(INDEX(Data_Input!$A$1:$ZZ$502, MATCH("총수익률", INDEX(Data_Input!$A$1:$ZZ$502, 0, MATCH(1, (Data_Input!$7:$7=$F$3)*(Data_Input!$8:$8=$B299), 0)), 0) + 1, MATCH(1, (Data_Input!$7:$7=$F$3)*(Data_Input!$8:$8=$B299), 0)),"")</f>
        <v/>
      </c>
      <c r="L299" t="str" cm="1">
        <f t="array" ref="L299">IFERROR(_xlfn.LET(
    _xlpm.targetDate, B299,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00" spans="1:12" x14ac:dyDescent="0.3">
      <c r="A300" s="16" t="str">
        <f t="shared" si="9"/>
        <v/>
      </c>
      <c r="B300" s="8"/>
      <c r="C300" s="17" t="str">
        <f t="shared" si="10"/>
        <v/>
      </c>
      <c r="D300" s="29" t="str" cm="1">
        <f t="array" ref="D300">IFERROR(INDEX(Data_Input!$1:$100, 10, MATCH(1, (Data_Input!$F$7:$ZZ$7=$F$3) * (Data_Input!$F$8:$ZZ$8=$B300), 0)),"")</f>
        <v/>
      </c>
      <c r="E300" s="29" t="str" cm="1">
        <f t="array" ref="E300">IFERROR(INDEX(Data_Input!$1:$100, 9, MATCH(1, (Data_Input!$7:$7=$F$3) * (Data_Input!$8:$8=$B300), 0)),"")</f>
        <v/>
      </c>
      <c r="F300" s="20" t="str" cm="1">
        <f t="array" ref="F300">IFERROR(INDEX(Data_Input!$A$1:$ZZ$502, MATCH("예수금", INDEX(Data_Input!$A$1:$ZZ$502, 0, MATCH(1, (Data_Input!$7:$7=$F$3)*(Data_Input!$8:$8=$B300), 0)), 0) + 1, MATCH(1, (Data_Input!$7:$7=$F$3)*(Data_Input!$8:$8=$B300), 0)),"")</f>
        <v/>
      </c>
      <c r="G300" s="20" t="str" cm="1">
        <f t="array" ref="G300">IFERROR(INDEX(Data_Input!$A$1:$ZZ$502, MATCH("총자산", INDEX(Data_Input!$A$1:$ZZ$502, 0, MATCH(1, (Data_Input!$7:$7=$F$3)*(Data_Input!$8:$8=$B300), 0)), 0) + 1, MATCH(1, (Data_Input!$7:$7=$F$3)*(Data_Input!$8:$8=$B300), 0)),"")</f>
        <v/>
      </c>
      <c r="H300" s="20" t="str" cm="1">
        <f t="array" ref="H300">IFERROR(INDEX(Data_Input!$A$1:$ZZ$502, MATCH("매입금액", INDEX(Data_Input!$A$1:$ZZ$502, 0, MATCH(1, (Data_Input!$7:$7=$F$3)*(Data_Input!$8:$8=$B300), 0)), 0) + 1, MATCH(1, (Data_Input!$7:$7=$F$3)*(Data_Input!$8:$8=$B300), 0)),"")</f>
        <v/>
      </c>
      <c r="I300" s="20" t="str" cm="1">
        <f t="array" ref="I300">IFERROR(INDEX(Data_Input!$A$1:$ZZ$502, MATCH("평가금액", INDEX(Data_Input!$A$1:$ZZ$502, 0, MATCH(1, (Data_Input!$7:$7=$F$3)*(Data_Input!$8:$8=$B300), 0)), 0) + 1, MATCH(1, (Data_Input!$7:$7=$F$3)*(Data_Input!$8:$8=$B300), 0)),"")</f>
        <v/>
      </c>
      <c r="J300" s="20" t="str" cm="1">
        <f t="array" ref="J300">IFERROR(INDEX(Data_Input!$A$1:$ZZ$502, MATCH("평가손익", INDEX(Data_Input!$A$1:$ZZ$502, 0, MATCH(1, (Data_Input!$7:$7=$F$3)*(Data_Input!$8:$8=$B300), 0)), 0) + 1, MATCH(1, (Data_Input!$7:$7=$F$3)*(Data_Input!$8:$8=$B300), 0)),"")</f>
        <v/>
      </c>
      <c r="K300" s="14" t="str" cm="1">
        <f t="array" ref="K300">IFERROR(INDEX(Data_Input!$A$1:$ZZ$502, MATCH("총수익률", INDEX(Data_Input!$A$1:$ZZ$502, 0, MATCH(1, (Data_Input!$7:$7=$F$3)*(Data_Input!$8:$8=$B300), 0)), 0) + 1, MATCH(1, (Data_Input!$7:$7=$F$3)*(Data_Input!$8:$8=$B300), 0)),"")</f>
        <v/>
      </c>
      <c r="L300" t="str" cm="1">
        <f t="array" ref="L300">IFERROR(_xlfn.LET(
    _xlpm.targetDate, B300,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01" spans="1:12" x14ac:dyDescent="0.3">
      <c r="A301" s="16" t="str">
        <f t="shared" si="9"/>
        <v/>
      </c>
      <c r="B301" s="8"/>
      <c r="C301" s="17" t="str">
        <f t="shared" si="10"/>
        <v/>
      </c>
      <c r="D301" s="29" t="str" cm="1">
        <f t="array" ref="D301">IFERROR(INDEX(Data_Input!$1:$100, 10, MATCH(1, (Data_Input!$F$7:$ZZ$7=$F$3) * (Data_Input!$F$8:$ZZ$8=$B301), 0)),"")</f>
        <v/>
      </c>
      <c r="E301" s="29" t="str" cm="1">
        <f t="array" ref="E301">IFERROR(INDEX(Data_Input!$1:$100, 9, MATCH(1, (Data_Input!$7:$7=$F$3) * (Data_Input!$8:$8=$B301), 0)),"")</f>
        <v/>
      </c>
      <c r="F301" s="20" t="str" cm="1">
        <f t="array" ref="F301">IFERROR(INDEX(Data_Input!$A$1:$ZZ$502, MATCH("예수금", INDEX(Data_Input!$A$1:$ZZ$502, 0, MATCH(1, (Data_Input!$7:$7=$F$3)*(Data_Input!$8:$8=$B301), 0)), 0) + 1, MATCH(1, (Data_Input!$7:$7=$F$3)*(Data_Input!$8:$8=$B301), 0)),"")</f>
        <v/>
      </c>
      <c r="G301" s="20" t="str" cm="1">
        <f t="array" ref="G301">IFERROR(INDEX(Data_Input!$A$1:$ZZ$502, MATCH("총자산", INDEX(Data_Input!$A$1:$ZZ$502, 0, MATCH(1, (Data_Input!$7:$7=$F$3)*(Data_Input!$8:$8=$B301), 0)), 0) + 1, MATCH(1, (Data_Input!$7:$7=$F$3)*(Data_Input!$8:$8=$B301), 0)),"")</f>
        <v/>
      </c>
      <c r="H301" s="20" t="str" cm="1">
        <f t="array" ref="H301">IFERROR(INDEX(Data_Input!$A$1:$ZZ$502, MATCH("매입금액", INDEX(Data_Input!$A$1:$ZZ$502, 0, MATCH(1, (Data_Input!$7:$7=$F$3)*(Data_Input!$8:$8=$B301), 0)), 0) + 1, MATCH(1, (Data_Input!$7:$7=$F$3)*(Data_Input!$8:$8=$B301), 0)),"")</f>
        <v/>
      </c>
      <c r="I301" s="20" t="str" cm="1">
        <f t="array" ref="I301">IFERROR(INDEX(Data_Input!$A$1:$ZZ$502, MATCH("평가금액", INDEX(Data_Input!$A$1:$ZZ$502, 0, MATCH(1, (Data_Input!$7:$7=$F$3)*(Data_Input!$8:$8=$B301), 0)), 0) + 1, MATCH(1, (Data_Input!$7:$7=$F$3)*(Data_Input!$8:$8=$B301), 0)),"")</f>
        <v/>
      </c>
      <c r="J301" s="20" t="str" cm="1">
        <f t="array" ref="J301">IFERROR(INDEX(Data_Input!$A$1:$ZZ$502, MATCH("평가손익", INDEX(Data_Input!$A$1:$ZZ$502, 0, MATCH(1, (Data_Input!$7:$7=$F$3)*(Data_Input!$8:$8=$B301), 0)), 0) + 1, MATCH(1, (Data_Input!$7:$7=$F$3)*(Data_Input!$8:$8=$B301), 0)),"")</f>
        <v/>
      </c>
      <c r="K301" s="14" t="str" cm="1">
        <f t="array" ref="K301">IFERROR(INDEX(Data_Input!$A$1:$ZZ$502, MATCH("총수익률", INDEX(Data_Input!$A$1:$ZZ$502, 0, MATCH(1, (Data_Input!$7:$7=$F$3)*(Data_Input!$8:$8=$B301), 0)), 0) + 1, MATCH(1, (Data_Input!$7:$7=$F$3)*(Data_Input!$8:$8=$B301), 0)),"")</f>
        <v/>
      </c>
      <c r="L301" t="str" cm="1">
        <f t="array" ref="L301">IFERROR(_xlfn.LET(
    _xlpm.targetDate, B301,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02" spans="1:12" x14ac:dyDescent="0.3">
      <c r="A302" s="16" t="str">
        <f t="shared" si="9"/>
        <v/>
      </c>
      <c r="B302" s="8"/>
      <c r="C302" s="17" t="str">
        <f t="shared" si="10"/>
        <v/>
      </c>
      <c r="D302" s="29" t="str" cm="1">
        <f t="array" ref="D302">IFERROR(INDEX(Data_Input!$1:$100, 10, MATCH(1, (Data_Input!$F$7:$ZZ$7=$F$3) * (Data_Input!$F$8:$ZZ$8=$B302), 0)),"")</f>
        <v/>
      </c>
      <c r="E302" s="29" t="str" cm="1">
        <f t="array" ref="E302">IFERROR(INDEX(Data_Input!$1:$100, 9, MATCH(1, (Data_Input!$7:$7=$F$3) * (Data_Input!$8:$8=$B302), 0)),"")</f>
        <v/>
      </c>
      <c r="F302" s="20" t="str" cm="1">
        <f t="array" ref="F302">IFERROR(INDEX(Data_Input!$A$1:$ZZ$502, MATCH("예수금", INDEX(Data_Input!$A$1:$ZZ$502, 0, MATCH(1, (Data_Input!$7:$7=$F$3)*(Data_Input!$8:$8=$B302), 0)), 0) + 1, MATCH(1, (Data_Input!$7:$7=$F$3)*(Data_Input!$8:$8=$B302), 0)),"")</f>
        <v/>
      </c>
      <c r="G302" s="20" t="str" cm="1">
        <f t="array" ref="G302">IFERROR(INDEX(Data_Input!$A$1:$ZZ$502, MATCH("총자산", INDEX(Data_Input!$A$1:$ZZ$502, 0, MATCH(1, (Data_Input!$7:$7=$F$3)*(Data_Input!$8:$8=$B302), 0)), 0) + 1, MATCH(1, (Data_Input!$7:$7=$F$3)*(Data_Input!$8:$8=$B302), 0)),"")</f>
        <v/>
      </c>
      <c r="H302" s="20" t="str" cm="1">
        <f t="array" ref="H302">IFERROR(INDEX(Data_Input!$A$1:$ZZ$502, MATCH("매입금액", INDEX(Data_Input!$A$1:$ZZ$502, 0, MATCH(1, (Data_Input!$7:$7=$F$3)*(Data_Input!$8:$8=$B302), 0)), 0) + 1, MATCH(1, (Data_Input!$7:$7=$F$3)*(Data_Input!$8:$8=$B302), 0)),"")</f>
        <v/>
      </c>
      <c r="I302" s="20" t="str" cm="1">
        <f t="array" ref="I302">IFERROR(INDEX(Data_Input!$A$1:$ZZ$502, MATCH("평가금액", INDEX(Data_Input!$A$1:$ZZ$502, 0, MATCH(1, (Data_Input!$7:$7=$F$3)*(Data_Input!$8:$8=$B302), 0)), 0) + 1, MATCH(1, (Data_Input!$7:$7=$F$3)*(Data_Input!$8:$8=$B302), 0)),"")</f>
        <v/>
      </c>
      <c r="J302" s="20" t="str" cm="1">
        <f t="array" ref="J302">IFERROR(INDEX(Data_Input!$A$1:$ZZ$502, MATCH("평가손익", INDEX(Data_Input!$A$1:$ZZ$502, 0, MATCH(1, (Data_Input!$7:$7=$F$3)*(Data_Input!$8:$8=$B302), 0)), 0) + 1, MATCH(1, (Data_Input!$7:$7=$F$3)*(Data_Input!$8:$8=$B302), 0)),"")</f>
        <v/>
      </c>
      <c r="K302" s="14" t="str" cm="1">
        <f t="array" ref="K302">IFERROR(INDEX(Data_Input!$A$1:$ZZ$502, MATCH("총수익률", INDEX(Data_Input!$A$1:$ZZ$502, 0, MATCH(1, (Data_Input!$7:$7=$F$3)*(Data_Input!$8:$8=$B302), 0)), 0) + 1, MATCH(1, (Data_Input!$7:$7=$F$3)*(Data_Input!$8:$8=$B302), 0)),"")</f>
        <v/>
      </c>
      <c r="L302" t="str" cm="1">
        <f t="array" ref="L302">IFERROR(_xlfn.LET(
    _xlpm.targetDate, B302,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03" spans="1:12" x14ac:dyDescent="0.3">
      <c r="A303" s="16" t="str">
        <f t="shared" si="9"/>
        <v/>
      </c>
      <c r="B303" s="8"/>
      <c r="C303" s="17" t="str">
        <f t="shared" si="10"/>
        <v/>
      </c>
      <c r="D303" s="29" t="str" cm="1">
        <f t="array" ref="D303">IFERROR(INDEX(Data_Input!$1:$100, 10, MATCH(1, (Data_Input!$F$7:$ZZ$7=$F$3) * (Data_Input!$F$8:$ZZ$8=$B303), 0)),"")</f>
        <v/>
      </c>
      <c r="E303" s="29" t="str" cm="1">
        <f t="array" ref="E303">IFERROR(INDEX(Data_Input!$1:$100, 9, MATCH(1, (Data_Input!$7:$7=$F$3) * (Data_Input!$8:$8=$B303), 0)),"")</f>
        <v/>
      </c>
      <c r="F303" s="20" t="str" cm="1">
        <f t="array" ref="F303">IFERROR(INDEX(Data_Input!$A$1:$ZZ$502, MATCH("예수금", INDEX(Data_Input!$A$1:$ZZ$502, 0, MATCH(1, (Data_Input!$7:$7=$F$3)*(Data_Input!$8:$8=$B303), 0)), 0) + 1, MATCH(1, (Data_Input!$7:$7=$F$3)*(Data_Input!$8:$8=$B303), 0)),"")</f>
        <v/>
      </c>
      <c r="G303" s="20" t="str" cm="1">
        <f t="array" ref="G303">IFERROR(INDEX(Data_Input!$A$1:$ZZ$502, MATCH("총자산", INDEX(Data_Input!$A$1:$ZZ$502, 0, MATCH(1, (Data_Input!$7:$7=$F$3)*(Data_Input!$8:$8=$B303), 0)), 0) + 1, MATCH(1, (Data_Input!$7:$7=$F$3)*(Data_Input!$8:$8=$B303), 0)),"")</f>
        <v/>
      </c>
      <c r="H303" s="20" t="str" cm="1">
        <f t="array" ref="H303">IFERROR(INDEX(Data_Input!$A$1:$ZZ$502, MATCH("매입금액", INDEX(Data_Input!$A$1:$ZZ$502, 0, MATCH(1, (Data_Input!$7:$7=$F$3)*(Data_Input!$8:$8=$B303), 0)), 0) + 1, MATCH(1, (Data_Input!$7:$7=$F$3)*(Data_Input!$8:$8=$B303), 0)),"")</f>
        <v/>
      </c>
      <c r="I303" s="20" t="str" cm="1">
        <f t="array" ref="I303">IFERROR(INDEX(Data_Input!$A$1:$ZZ$502, MATCH("평가금액", INDEX(Data_Input!$A$1:$ZZ$502, 0, MATCH(1, (Data_Input!$7:$7=$F$3)*(Data_Input!$8:$8=$B303), 0)), 0) + 1, MATCH(1, (Data_Input!$7:$7=$F$3)*(Data_Input!$8:$8=$B303), 0)),"")</f>
        <v/>
      </c>
      <c r="J303" s="20" t="str" cm="1">
        <f t="array" ref="J303">IFERROR(INDEX(Data_Input!$A$1:$ZZ$502, MATCH("평가손익", INDEX(Data_Input!$A$1:$ZZ$502, 0, MATCH(1, (Data_Input!$7:$7=$F$3)*(Data_Input!$8:$8=$B303), 0)), 0) + 1, MATCH(1, (Data_Input!$7:$7=$F$3)*(Data_Input!$8:$8=$B303), 0)),"")</f>
        <v/>
      </c>
      <c r="K303" s="14" t="str" cm="1">
        <f t="array" ref="K303">IFERROR(INDEX(Data_Input!$A$1:$ZZ$502, MATCH("총수익률", INDEX(Data_Input!$A$1:$ZZ$502, 0, MATCH(1, (Data_Input!$7:$7=$F$3)*(Data_Input!$8:$8=$B303), 0)), 0) + 1, MATCH(1, (Data_Input!$7:$7=$F$3)*(Data_Input!$8:$8=$B303), 0)),"")</f>
        <v/>
      </c>
      <c r="L303" t="str" cm="1">
        <f t="array" ref="L303">IFERROR(_xlfn.LET(
    _xlpm.targetDate, B303,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04" spans="1:12" x14ac:dyDescent="0.3">
      <c r="A304" s="16" t="str">
        <f t="shared" si="9"/>
        <v/>
      </c>
      <c r="B304" s="8"/>
      <c r="C304" s="17" t="str">
        <f t="shared" si="10"/>
        <v/>
      </c>
      <c r="D304" s="29" t="str" cm="1">
        <f t="array" ref="D304">IFERROR(INDEX(Data_Input!$1:$100, 10, MATCH(1, (Data_Input!$F$7:$ZZ$7=$F$3) * (Data_Input!$F$8:$ZZ$8=$B304), 0)),"")</f>
        <v/>
      </c>
      <c r="E304" s="29" t="str" cm="1">
        <f t="array" ref="E304">IFERROR(INDEX(Data_Input!$1:$100, 9, MATCH(1, (Data_Input!$7:$7=$F$3) * (Data_Input!$8:$8=$B304), 0)),"")</f>
        <v/>
      </c>
      <c r="F304" s="20" t="str" cm="1">
        <f t="array" ref="F304">IFERROR(INDEX(Data_Input!$A$1:$ZZ$502, MATCH("예수금", INDEX(Data_Input!$A$1:$ZZ$502, 0, MATCH(1, (Data_Input!$7:$7=$F$3)*(Data_Input!$8:$8=$B304), 0)), 0) + 1, MATCH(1, (Data_Input!$7:$7=$F$3)*(Data_Input!$8:$8=$B304), 0)),"")</f>
        <v/>
      </c>
      <c r="G304" s="20" t="str" cm="1">
        <f t="array" ref="G304">IFERROR(INDEX(Data_Input!$A$1:$ZZ$502, MATCH("총자산", INDEX(Data_Input!$A$1:$ZZ$502, 0, MATCH(1, (Data_Input!$7:$7=$F$3)*(Data_Input!$8:$8=$B304), 0)), 0) + 1, MATCH(1, (Data_Input!$7:$7=$F$3)*(Data_Input!$8:$8=$B304), 0)),"")</f>
        <v/>
      </c>
      <c r="H304" s="20" t="str" cm="1">
        <f t="array" ref="H304">IFERROR(INDEX(Data_Input!$A$1:$ZZ$502, MATCH("매입금액", INDEX(Data_Input!$A$1:$ZZ$502, 0, MATCH(1, (Data_Input!$7:$7=$F$3)*(Data_Input!$8:$8=$B304), 0)), 0) + 1, MATCH(1, (Data_Input!$7:$7=$F$3)*(Data_Input!$8:$8=$B304), 0)),"")</f>
        <v/>
      </c>
      <c r="I304" s="20" t="str" cm="1">
        <f t="array" ref="I304">IFERROR(INDEX(Data_Input!$A$1:$ZZ$502, MATCH("평가금액", INDEX(Data_Input!$A$1:$ZZ$502, 0, MATCH(1, (Data_Input!$7:$7=$F$3)*(Data_Input!$8:$8=$B304), 0)), 0) + 1, MATCH(1, (Data_Input!$7:$7=$F$3)*(Data_Input!$8:$8=$B304), 0)),"")</f>
        <v/>
      </c>
      <c r="J304" s="20" t="str" cm="1">
        <f t="array" ref="J304">IFERROR(INDEX(Data_Input!$A$1:$ZZ$502, MATCH("평가손익", INDEX(Data_Input!$A$1:$ZZ$502, 0, MATCH(1, (Data_Input!$7:$7=$F$3)*(Data_Input!$8:$8=$B304), 0)), 0) + 1, MATCH(1, (Data_Input!$7:$7=$F$3)*(Data_Input!$8:$8=$B304), 0)),"")</f>
        <v/>
      </c>
      <c r="K304" s="14" t="str" cm="1">
        <f t="array" ref="K304">IFERROR(INDEX(Data_Input!$A$1:$ZZ$502, MATCH("총수익률", INDEX(Data_Input!$A$1:$ZZ$502, 0, MATCH(1, (Data_Input!$7:$7=$F$3)*(Data_Input!$8:$8=$B304), 0)), 0) + 1, MATCH(1, (Data_Input!$7:$7=$F$3)*(Data_Input!$8:$8=$B304), 0)),"")</f>
        <v/>
      </c>
      <c r="L304" t="str" cm="1">
        <f t="array" ref="L304">IFERROR(_xlfn.LET(
    _xlpm.targetDate, B304,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05" spans="1:12" x14ac:dyDescent="0.3">
      <c r="A305" s="16" t="str">
        <f t="shared" si="9"/>
        <v/>
      </c>
      <c r="B305" s="8"/>
      <c r="C305" s="17" t="str">
        <f t="shared" si="10"/>
        <v/>
      </c>
      <c r="D305" s="29" t="str" cm="1">
        <f t="array" ref="D305">IFERROR(INDEX(Data_Input!$1:$100, 10, MATCH(1, (Data_Input!$F$7:$ZZ$7=$F$3) * (Data_Input!$F$8:$ZZ$8=$B305), 0)),"")</f>
        <v/>
      </c>
      <c r="E305" s="29" t="str" cm="1">
        <f t="array" ref="E305">IFERROR(INDEX(Data_Input!$1:$100, 9, MATCH(1, (Data_Input!$7:$7=$F$3) * (Data_Input!$8:$8=$B305), 0)),"")</f>
        <v/>
      </c>
      <c r="F305" s="20" t="str" cm="1">
        <f t="array" ref="F305">IFERROR(INDEX(Data_Input!$A$1:$ZZ$502, MATCH("예수금", INDEX(Data_Input!$A$1:$ZZ$502, 0, MATCH(1, (Data_Input!$7:$7=$F$3)*(Data_Input!$8:$8=$B305), 0)), 0) + 1, MATCH(1, (Data_Input!$7:$7=$F$3)*(Data_Input!$8:$8=$B305), 0)),"")</f>
        <v/>
      </c>
      <c r="G305" s="20" t="str" cm="1">
        <f t="array" ref="G305">IFERROR(INDEX(Data_Input!$A$1:$ZZ$502, MATCH("총자산", INDEX(Data_Input!$A$1:$ZZ$502, 0, MATCH(1, (Data_Input!$7:$7=$F$3)*(Data_Input!$8:$8=$B305), 0)), 0) + 1, MATCH(1, (Data_Input!$7:$7=$F$3)*(Data_Input!$8:$8=$B305), 0)),"")</f>
        <v/>
      </c>
      <c r="H305" s="20" t="str" cm="1">
        <f t="array" ref="H305">IFERROR(INDEX(Data_Input!$A$1:$ZZ$502, MATCH("매입금액", INDEX(Data_Input!$A$1:$ZZ$502, 0, MATCH(1, (Data_Input!$7:$7=$F$3)*(Data_Input!$8:$8=$B305), 0)), 0) + 1, MATCH(1, (Data_Input!$7:$7=$F$3)*(Data_Input!$8:$8=$B305), 0)),"")</f>
        <v/>
      </c>
      <c r="I305" s="20" t="str" cm="1">
        <f t="array" ref="I305">IFERROR(INDEX(Data_Input!$A$1:$ZZ$502, MATCH("평가금액", INDEX(Data_Input!$A$1:$ZZ$502, 0, MATCH(1, (Data_Input!$7:$7=$F$3)*(Data_Input!$8:$8=$B305), 0)), 0) + 1, MATCH(1, (Data_Input!$7:$7=$F$3)*(Data_Input!$8:$8=$B305), 0)),"")</f>
        <v/>
      </c>
      <c r="J305" s="20" t="str" cm="1">
        <f t="array" ref="J305">IFERROR(INDEX(Data_Input!$A$1:$ZZ$502, MATCH("평가손익", INDEX(Data_Input!$A$1:$ZZ$502, 0, MATCH(1, (Data_Input!$7:$7=$F$3)*(Data_Input!$8:$8=$B305), 0)), 0) + 1, MATCH(1, (Data_Input!$7:$7=$F$3)*(Data_Input!$8:$8=$B305), 0)),"")</f>
        <v/>
      </c>
      <c r="K305" s="14" t="str" cm="1">
        <f t="array" ref="K305">IFERROR(INDEX(Data_Input!$A$1:$ZZ$502, MATCH("총수익률", INDEX(Data_Input!$A$1:$ZZ$502, 0, MATCH(1, (Data_Input!$7:$7=$F$3)*(Data_Input!$8:$8=$B305), 0)), 0) + 1, MATCH(1, (Data_Input!$7:$7=$F$3)*(Data_Input!$8:$8=$B305), 0)),"")</f>
        <v/>
      </c>
      <c r="L305" t="str" cm="1">
        <f t="array" ref="L305">IFERROR(_xlfn.LET(
    _xlpm.targetDate, B305,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06" spans="1:12" x14ac:dyDescent="0.3">
      <c r="A306" s="16" t="str">
        <f t="shared" si="9"/>
        <v/>
      </c>
      <c r="B306" s="8"/>
      <c r="C306" s="17" t="str">
        <f t="shared" si="10"/>
        <v/>
      </c>
      <c r="D306" s="29" t="str" cm="1">
        <f t="array" ref="D306">IFERROR(INDEX(Data_Input!$1:$100, 10, MATCH(1, (Data_Input!$F$7:$ZZ$7=$F$3) * (Data_Input!$F$8:$ZZ$8=$B306), 0)),"")</f>
        <v/>
      </c>
      <c r="E306" s="29" t="str" cm="1">
        <f t="array" ref="E306">IFERROR(INDEX(Data_Input!$1:$100, 9, MATCH(1, (Data_Input!$7:$7=$F$3) * (Data_Input!$8:$8=$B306), 0)),"")</f>
        <v/>
      </c>
      <c r="F306" s="20" t="str" cm="1">
        <f t="array" ref="F306">IFERROR(INDEX(Data_Input!$A$1:$ZZ$502, MATCH("예수금", INDEX(Data_Input!$A$1:$ZZ$502, 0, MATCH(1, (Data_Input!$7:$7=$F$3)*(Data_Input!$8:$8=$B306), 0)), 0) + 1, MATCH(1, (Data_Input!$7:$7=$F$3)*(Data_Input!$8:$8=$B306), 0)),"")</f>
        <v/>
      </c>
      <c r="G306" s="20" t="str" cm="1">
        <f t="array" ref="G306">IFERROR(INDEX(Data_Input!$A$1:$ZZ$502, MATCH("총자산", INDEX(Data_Input!$A$1:$ZZ$502, 0, MATCH(1, (Data_Input!$7:$7=$F$3)*(Data_Input!$8:$8=$B306), 0)), 0) + 1, MATCH(1, (Data_Input!$7:$7=$F$3)*(Data_Input!$8:$8=$B306), 0)),"")</f>
        <v/>
      </c>
      <c r="H306" s="20" t="str" cm="1">
        <f t="array" ref="H306">IFERROR(INDEX(Data_Input!$A$1:$ZZ$502, MATCH("매입금액", INDEX(Data_Input!$A$1:$ZZ$502, 0, MATCH(1, (Data_Input!$7:$7=$F$3)*(Data_Input!$8:$8=$B306), 0)), 0) + 1, MATCH(1, (Data_Input!$7:$7=$F$3)*(Data_Input!$8:$8=$B306), 0)),"")</f>
        <v/>
      </c>
      <c r="I306" s="20" t="str" cm="1">
        <f t="array" ref="I306">IFERROR(INDEX(Data_Input!$A$1:$ZZ$502, MATCH("평가금액", INDEX(Data_Input!$A$1:$ZZ$502, 0, MATCH(1, (Data_Input!$7:$7=$F$3)*(Data_Input!$8:$8=$B306), 0)), 0) + 1, MATCH(1, (Data_Input!$7:$7=$F$3)*(Data_Input!$8:$8=$B306), 0)),"")</f>
        <v/>
      </c>
      <c r="J306" s="20" t="str" cm="1">
        <f t="array" ref="J306">IFERROR(INDEX(Data_Input!$A$1:$ZZ$502, MATCH("평가손익", INDEX(Data_Input!$A$1:$ZZ$502, 0, MATCH(1, (Data_Input!$7:$7=$F$3)*(Data_Input!$8:$8=$B306), 0)), 0) + 1, MATCH(1, (Data_Input!$7:$7=$F$3)*(Data_Input!$8:$8=$B306), 0)),"")</f>
        <v/>
      </c>
      <c r="K306" s="14" t="str" cm="1">
        <f t="array" ref="K306">IFERROR(INDEX(Data_Input!$A$1:$ZZ$502, MATCH("총수익률", INDEX(Data_Input!$A$1:$ZZ$502, 0, MATCH(1, (Data_Input!$7:$7=$F$3)*(Data_Input!$8:$8=$B306), 0)), 0) + 1, MATCH(1, (Data_Input!$7:$7=$F$3)*(Data_Input!$8:$8=$B306), 0)),"")</f>
        <v/>
      </c>
      <c r="L306" t="str" cm="1">
        <f t="array" ref="L306">IFERROR(_xlfn.LET(
    _xlpm.targetDate, B306,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07" spans="1:12" x14ac:dyDescent="0.3">
      <c r="A307" s="16" t="str">
        <f t="shared" si="9"/>
        <v/>
      </c>
      <c r="B307" s="8"/>
      <c r="C307" s="17" t="str">
        <f t="shared" si="10"/>
        <v/>
      </c>
      <c r="D307" s="29" t="str" cm="1">
        <f t="array" ref="D307">IFERROR(INDEX(Data_Input!$1:$100, 10, MATCH(1, (Data_Input!$F$7:$ZZ$7=$F$3) * (Data_Input!$F$8:$ZZ$8=$B307), 0)),"")</f>
        <v/>
      </c>
      <c r="E307" s="29" t="str" cm="1">
        <f t="array" ref="E307">IFERROR(INDEX(Data_Input!$1:$100, 9, MATCH(1, (Data_Input!$7:$7=$F$3) * (Data_Input!$8:$8=$B307), 0)),"")</f>
        <v/>
      </c>
      <c r="F307" s="20" t="str" cm="1">
        <f t="array" ref="F307">IFERROR(INDEX(Data_Input!$A$1:$ZZ$502, MATCH("예수금", INDEX(Data_Input!$A$1:$ZZ$502, 0, MATCH(1, (Data_Input!$7:$7=$F$3)*(Data_Input!$8:$8=$B307), 0)), 0) + 1, MATCH(1, (Data_Input!$7:$7=$F$3)*(Data_Input!$8:$8=$B307), 0)),"")</f>
        <v/>
      </c>
      <c r="G307" s="20" t="str" cm="1">
        <f t="array" ref="G307">IFERROR(INDEX(Data_Input!$A$1:$ZZ$502, MATCH("총자산", INDEX(Data_Input!$A$1:$ZZ$502, 0, MATCH(1, (Data_Input!$7:$7=$F$3)*(Data_Input!$8:$8=$B307), 0)), 0) + 1, MATCH(1, (Data_Input!$7:$7=$F$3)*(Data_Input!$8:$8=$B307), 0)),"")</f>
        <v/>
      </c>
      <c r="H307" s="20" t="str" cm="1">
        <f t="array" ref="H307">IFERROR(INDEX(Data_Input!$A$1:$ZZ$502, MATCH("매입금액", INDEX(Data_Input!$A$1:$ZZ$502, 0, MATCH(1, (Data_Input!$7:$7=$F$3)*(Data_Input!$8:$8=$B307), 0)), 0) + 1, MATCH(1, (Data_Input!$7:$7=$F$3)*(Data_Input!$8:$8=$B307), 0)),"")</f>
        <v/>
      </c>
      <c r="I307" s="20" t="str" cm="1">
        <f t="array" ref="I307">IFERROR(INDEX(Data_Input!$A$1:$ZZ$502, MATCH("평가금액", INDEX(Data_Input!$A$1:$ZZ$502, 0, MATCH(1, (Data_Input!$7:$7=$F$3)*(Data_Input!$8:$8=$B307), 0)), 0) + 1, MATCH(1, (Data_Input!$7:$7=$F$3)*(Data_Input!$8:$8=$B307), 0)),"")</f>
        <v/>
      </c>
      <c r="J307" s="20" t="str" cm="1">
        <f t="array" ref="J307">IFERROR(INDEX(Data_Input!$A$1:$ZZ$502, MATCH("평가손익", INDEX(Data_Input!$A$1:$ZZ$502, 0, MATCH(1, (Data_Input!$7:$7=$F$3)*(Data_Input!$8:$8=$B307), 0)), 0) + 1, MATCH(1, (Data_Input!$7:$7=$F$3)*(Data_Input!$8:$8=$B307), 0)),"")</f>
        <v/>
      </c>
      <c r="K307" s="14" t="str" cm="1">
        <f t="array" ref="K307">IFERROR(INDEX(Data_Input!$A$1:$ZZ$502, MATCH("총수익률", INDEX(Data_Input!$A$1:$ZZ$502, 0, MATCH(1, (Data_Input!$7:$7=$F$3)*(Data_Input!$8:$8=$B307), 0)), 0) + 1, MATCH(1, (Data_Input!$7:$7=$F$3)*(Data_Input!$8:$8=$B307), 0)),"")</f>
        <v/>
      </c>
      <c r="L307" t="str" cm="1">
        <f t="array" ref="L307">IFERROR(_xlfn.LET(
    _xlpm.targetDate, B307,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08" spans="1:12" x14ac:dyDescent="0.3">
      <c r="A308" s="16" t="str">
        <f t="shared" si="9"/>
        <v/>
      </c>
      <c r="B308" s="8"/>
      <c r="C308" s="17" t="str">
        <f t="shared" si="10"/>
        <v/>
      </c>
      <c r="D308" s="29" t="str" cm="1">
        <f t="array" ref="D308">IFERROR(INDEX(Data_Input!$1:$100, 10, MATCH(1, (Data_Input!$F$7:$ZZ$7=$F$3) * (Data_Input!$F$8:$ZZ$8=$B308), 0)),"")</f>
        <v/>
      </c>
      <c r="E308" s="29" t="str" cm="1">
        <f t="array" ref="E308">IFERROR(INDEX(Data_Input!$1:$100, 9, MATCH(1, (Data_Input!$7:$7=$F$3) * (Data_Input!$8:$8=$B308), 0)),"")</f>
        <v/>
      </c>
      <c r="F308" s="20" t="str" cm="1">
        <f t="array" ref="F308">IFERROR(INDEX(Data_Input!$A$1:$ZZ$502, MATCH("예수금", INDEX(Data_Input!$A$1:$ZZ$502, 0, MATCH(1, (Data_Input!$7:$7=$F$3)*(Data_Input!$8:$8=$B308), 0)), 0) + 1, MATCH(1, (Data_Input!$7:$7=$F$3)*(Data_Input!$8:$8=$B308), 0)),"")</f>
        <v/>
      </c>
      <c r="G308" s="20" t="str" cm="1">
        <f t="array" ref="G308">IFERROR(INDEX(Data_Input!$A$1:$ZZ$502, MATCH("총자산", INDEX(Data_Input!$A$1:$ZZ$502, 0, MATCH(1, (Data_Input!$7:$7=$F$3)*(Data_Input!$8:$8=$B308), 0)), 0) + 1, MATCH(1, (Data_Input!$7:$7=$F$3)*(Data_Input!$8:$8=$B308), 0)),"")</f>
        <v/>
      </c>
      <c r="H308" s="20" t="str" cm="1">
        <f t="array" ref="H308">IFERROR(INDEX(Data_Input!$A$1:$ZZ$502, MATCH("매입금액", INDEX(Data_Input!$A$1:$ZZ$502, 0, MATCH(1, (Data_Input!$7:$7=$F$3)*(Data_Input!$8:$8=$B308), 0)), 0) + 1, MATCH(1, (Data_Input!$7:$7=$F$3)*(Data_Input!$8:$8=$B308), 0)),"")</f>
        <v/>
      </c>
      <c r="I308" s="20" t="str" cm="1">
        <f t="array" ref="I308">IFERROR(INDEX(Data_Input!$A$1:$ZZ$502, MATCH("평가금액", INDEX(Data_Input!$A$1:$ZZ$502, 0, MATCH(1, (Data_Input!$7:$7=$F$3)*(Data_Input!$8:$8=$B308), 0)), 0) + 1, MATCH(1, (Data_Input!$7:$7=$F$3)*(Data_Input!$8:$8=$B308), 0)),"")</f>
        <v/>
      </c>
      <c r="J308" s="20" t="str" cm="1">
        <f t="array" ref="J308">IFERROR(INDEX(Data_Input!$A$1:$ZZ$502, MATCH("평가손익", INDEX(Data_Input!$A$1:$ZZ$502, 0, MATCH(1, (Data_Input!$7:$7=$F$3)*(Data_Input!$8:$8=$B308), 0)), 0) + 1, MATCH(1, (Data_Input!$7:$7=$F$3)*(Data_Input!$8:$8=$B308), 0)),"")</f>
        <v/>
      </c>
      <c r="K308" s="14" t="str" cm="1">
        <f t="array" ref="K308">IFERROR(INDEX(Data_Input!$A$1:$ZZ$502, MATCH("총수익률", INDEX(Data_Input!$A$1:$ZZ$502, 0, MATCH(1, (Data_Input!$7:$7=$F$3)*(Data_Input!$8:$8=$B308), 0)), 0) + 1, MATCH(1, (Data_Input!$7:$7=$F$3)*(Data_Input!$8:$8=$B308), 0)),"")</f>
        <v/>
      </c>
      <c r="L308" t="str" cm="1">
        <f t="array" ref="L308">IFERROR(_xlfn.LET(
    _xlpm.targetDate, B308,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09" spans="1:12" x14ac:dyDescent="0.3">
      <c r="A309" s="16" t="str">
        <f t="shared" si="9"/>
        <v/>
      </c>
      <c r="B309" s="8"/>
      <c r="C309" s="17" t="str">
        <f t="shared" si="10"/>
        <v/>
      </c>
      <c r="D309" s="29" t="str" cm="1">
        <f t="array" ref="D309">IFERROR(INDEX(Data_Input!$1:$100, 10, MATCH(1, (Data_Input!$F$7:$ZZ$7=$F$3) * (Data_Input!$F$8:$ZZ$8=$B309), 0)),"")</f>
        <v/>
      </c>
      <c r="E309" s="29" t="str" cm="1">
        <f t="array" ref="E309">IFERROR(INDEX(Data_Input!$1:$100, 9, MATCH(1, (Data_Input!$7:$7=$F$3) * (Data_Input!$8:$8=$B309), 0)),"")</f>
        <v/>
      </c>
      <c r="F309" s="20" t="str" cm="1">
        <f t="array" ref="F309">IFERROR(INDEX(Data_Input!$A$1:$ZZ$502, MATCH("예수금", INDEX(Data_Input!$A$1:$ZZ$502, 0, MATCH(1, (Data_Input!$7:$7=$F$3)*(Data_Input!$8:$8=$B309), 0)), 0) + 1, MATCH(1, (Data_Input!$7:$7=$F$3)*(Data_Input!$8:$8=$B309), 0)),"")</f>
        <v/>
      </c>
      <c r="G309" s="20" t="str" cm="1">
        <f t="array" ref="G309">IFERROR(INDEX(Data_Input!$A$1:$ZZ$502, MATCH("총자산", INDEX(Data_Input!$A$1:$ZZ$502, 0, MATCH(1, (Data_Input!$7:$7=$F$3)*(Data_Input!$8:$8=$B309), 0)), 0) + 1, MATCH(1, (Data_Input!$7:$7=$F$3)*(Data_Input!$8:$8=$B309), 0)),"")</f>
        <v/>
      </c>
      <c r="H309" s="20" t="str" cm="1">
        <f t="array" ref="H309">IFERROR(INDEX(Data_Input!$A$1:$ZZ$502, MATCH("매입금액", INDEX(Data_Input!$A$1:$ZZ$502, 0, MATCH(1, (Data_Input!$7:$7=$F$3)*(Data_Input!$8:$8=$B309), 0)), 0) + 1, MATCH(1, (Data_Input!$7:$7=$F$3)*(Data_Input!$8:$8=$B309), 0)),"")</f>
        <v/>
      </c>
      <c r="I309" s="20" t="str" cm="1">
        <f t="array" ref="I309">IFERROR(INDEX(Data_Input!$A$1:$ZZ$502, MATCH("평가금액", INDEX(Data_Input!$A$1:$ZZ$502, 0, MATCH(1, (Data_Input!$7:$7=$F$3)*(Data_Input!$8:$8=$B309), 0)), 0) + 1, MATCH(1, (Data_Input!$7:$7=$F$3)*(Data_Input!$8:$8=$B309), 0)),"")</f>
        <v/>
      </c>
      <c r="J309" s="20" t="str" cm="1">
        <f t="array" ref="J309">IFERROR(INDEX(Data_Input!$A$1:$ZZ$502, MATCH("평가손익", INDEX(Data_Input!$A$1:$ZZ$502, 0, MATCH(1, (Data_Input!$7:$7=$F$3)*(Data_Input!$8:$8=$B309), 0)), 0) + 1, MATCH(1, (Data_Input!$7:$7=$F$3)*(Data_Input!$8:$8=$B309), 0)),"")</f>
        <v/>
      </c>
      <c r="K309" s="14" t="str" cm="1">
        <f t="array" ref="K309">IFERROR(INDEX(Data_Input!$A$1:$ZZ$502, MATCH("총수익률", INDEX(Data_Input!$A$1:$ZZ$502, 0, MATCH(1, (Data_Input!$7:$7=$F$3)*(Data_Input!$8:$8=$B309), 0)), 0) + 1, MATCH(1, (Data_Input!$7:$7=$F$3)*(Data_Input!$8:$8=$B309), 0)),"")</f>
        <v/>
      </c>
      <c r="L309" t="str" cm="1">
        <f t="array" ref="L309">IFERROR(_xlfn.LET(
    _xlpm.targetDate, B309,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10" spans="1:12" x14ac:dyDescent="0.3">
      <c r="A310" s="16" t="str">
        <f t="shared" si="9"/>
        <v/>
      </c>
      <c r="B310" s="8"/>
      <c r="C310" s="17" t="str">
        <f t="shared" si="10"/>
        <v/>
      </c>
      <c r="D310" s="29" t="str" cm="1">
        <f t="array" ref="D310">IFERROR(INDEX(Data_Input!$1:$100, 10, MATCH(1, (Data_Input!$F$7:$ZZ$7=$F$3) * (Data_Input!$F$8:$ZZ$8=$B310), 0)),"")</f>
        <v/>
      </c>
      <c r="E310" s="29" t="str" cm="1">
        <f t="array" ref="E310">IFERROR(INDEX(Data_Input!$1:$100, 9, MATCH(1, (Data_Input!$7:$7=$F$3) * (Data_Input!$8:$8=$B310), 0)),"")</f>
        <v/>
      </c>
      <c r="F310" s="20" t="str" cm="1">
        <f t="array" ref="F310">IFERROR(INDEX(Data_Input!$A$1:$ZZ$502, MATCH("예수금", INDEX(Data_Input!$A$1:$ZZ$502, 0, MATCH(1, (Data_Input!$7:$7=$F$3)*(Data_Input!$8:$8=$B310), 0)), 0) + 1, MATCH(1, (Data_Input!$7:$7=$F$3)*(Data_Input!$8:$8=$B310), 0)),"")</f>
        <v/>
      </c>
      <c r="G310" s="20" t="str" cm="1">
        <f t="array" ref="G310">IFERROR(INDEX(Data_Input!$A$1:$ZZ$502, MATCH("총자산", INDEX(Data_Input!$A$1:$ZZ$502, 0, MATCH(1, (Data_Input!$7:$7=$F$3)*(Data_Input!$8:$8=$B310), 0)), 0) + 1, MATCH(1, (Data_Input!$7:$7=$F$3)*(Data_Input!$8:$8=$B310), 0)),"")</f>
        <v/>
      </c>
      <c r="H310" s="20" t="str" cm="1">
        <f t="array" ref="H310">IFERROR(INDEX(Data_Input!$A$1:$ZZ$502, MATCH("매입금액", INDEX(Data_Input!$A$1:$ZZ$502, 0, MATCH(1, (Data_Input!$7:$7=$F$3)*(Data_Input!$8:$8=$B310), 0)), 0) + 1, MATCH(1, (Data_Input!$7:$7=$F$3)*(Data_Input!$8:$8=$B310), 0)),"")</f>
        <v/>
      </c>
      <c r="I310" s="20" t="str" cm="1">
        <f t="array" ref="I310">IFERROR(INDEX(Data_Input!$A$1:$ZZ$502, MATCH("평가금액", INDEX(Data_Input!$A$1:$ZZ$502, 0, MATCH(1, (Data_Input!$7:$7=$F$3)*(Data_Input!$8:$8=$B310), 0)), 0) + 1, MATCH(1, (Data_Input!$7:$7=$F$3)*(Data_Input!$8:$8=$B310), 0)),"")</f>
        <v/>
      </c>
      <c r="J310" s="20" t="str" cm="1">
        <f t="array" ref="J310">IFERROR(INDEX(Data_Input!$A$1:$ZZ$502, MATCH("평가손익", INDEX(Data_Input!$A$1:$ZZ$502, 0, MATCH(1, (Data_Input!$7:$7=$F$3)*(Data_Input!$8:$8=$B310), 0)), 0) + 1, MATCH(1, (Data_Input!$7:$7=$F$3)*(Data_Input!$8:$8=$B310), 0)),"")</f>
        <v/>
      </c>
      <c r="K310" s="14" t="str" cm="1">
        <f t="array" ref="K310">IFERROR(INDEX(Data_Input!$A$1:$ZZ$502, MATCH("총수익률", INDEX(Data_Input!$A$1:$ZZ$502, 0, MATCH(1, (Data_Input!$7:$7=$F$3)*(Data_Input!$8:$8=$B310), 0)), 0) + 1, MATCH(1, (Data_Input!$7:$7=$F$3)*(Data_Input!$8:$8=$B310), 0)),"")</f>
        <v/>
      </c>
      <c r="L310" t="str" cm="1">
        <f t="array" ref="L310">IFERROR(_xlfn.LET(
    _xlpm.targetDate, B310,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11" spans="1:12" x14ac:dyDescent="0.3">
      <c r="A311" s="16" t="str">
        <f t="shared" si="9"/>
        <v/>
      </c>
      <c r="B311" s="8"/>
      <c r="C311" s="17" t="str">
        <f t="shared" si="10"/>
        <v/>
      </c>
      <c r="D311" s="29" t="str" cm="1">
        <f t="array" ref="D311">IFERROR(INDEX(Data_Input!$1:$100, 10, MATCH(1, (Data_Input!$F$7:$ZZ$7=$F$3) * (Data_Input!$F$8:$ZZ$8=$B311), 0)),"")</f>
        <v/>
      </c>
      <c r="E311" s="29" t="str" cm="1">
        <f t="array" ref="E311">IFERROR(INDEX(Data_Input!$1:$100, 9, MATCH(1, (Data_Input!$7:$7=$F$3) * (Data_Input!$8:$8=$B311), 0)),"")</f>
        <v/>
      </c>
      <c r="F311" s="20" t="str" cm="1">
        <f t="array" ref="F311">IFERROR(INDEX(Data_Input!$A$1:$ZZ$502, MATCH("예수금", INDEX(Data_Input!$A$1:$ZZ$502, 0, MATCH(1, (Data_Input!$7:$7=$F$3)*(Data_Input!$8:$8=$B311), 0)), 0) + 1, MATCH(1, (Data_Input!$7:$7=$F$3)*(Data_Input!$8:$8=$B311), 0)),"")</f>
        <v/>
      </c>
      <c r="G311" s="20" t="str" cm="1">
        <f t="array" ref="G311">IFERROR(INDEX(Data_Input!$A$1:$ZZ$502, MATCH("총자산", INDEX(Data_Input!$A$1:$ZZ$502, 0, MATCH(1, (Data_Input!$7:$7=$F$3)*(Data_Input!$8:$8=$B311), 0)), 0) + 1, MATCH(1, (Data_Input!$7:$7=$F$3)*(Data_Input!$8:$8=$B311), 0)),"")</f>
        <v/>
      </c>
      <c r="H311" s="20" t="str" cm="1">
        <f t="array" ref="H311">IFERROR(INDEX(Data_Input!$A$1:$ZZ$502, MATCH("매입금액", INDEX(Data_Input!$A$1:$ZZ$502, 0, MATCH(1, (Data_Input!$7:$7=$F$3)*(Data_Input!$8:$8=$B311), 0)), 0) + 1, MATCH(1, (Data_Input!$7:$7=$F$3)*(Data_Input!$8:$8=$B311), 0)),"")</f>
        <v/>
      </c>
      <c r="I311" s="20" t="str" cm="1">
        <f t="array" ref="I311">IFERROR(INDEX(Data_Input!$A$1:$ZZ$502, MATCH("평가금액", INDEX(Data_Input!$A$1:$ZZ$502, 0, MATCH(1, (Data_Input!$7:$7=$F$3)*(Data_Input!$8:$8=$B311), 0)), 0) + 1, MATCH(1, (Data_Input!$7:$7=$F$3)*(Data_Input!$8:$8=$B311), 0)),"")</f>
        <v/>
      </c>
      <c r="J311" s="20" t="str" cm="1">
        <f t="array" ref="J311">IFERROR(INDEX(Data_Input!$A$1:$ZZ$502, MATCH("평가손익", INDEX(Data_Input!$A$1:$ZZ$502, 0, MATCH(1, (Data_Input!$7:$7=$F$3)*(Data_Input!$8:$8=$B311), 0)), 0) + 1, MATCH(1, (Data_Input!$7:$7=$F$3)*(Data_Input!$8:$8=$B311), 0)),"")</f>
        <v/>
      </c>
      <c r="K311" s="14" t="str" cm="1">
        <f t="array" ref="K311">IFERROR(INDEX(Data_Input!$A$1:$ZZ$502, MATCH("총수익률", INDEX(Data_Input!$A$1:$ZZ$502, 0, MATCH(1, (Data_Input!$7:$7=$F$3)*(Data_Input!$8:$8=$B311), 0)), 0) + 1, MATCH(1, (Data_Input!$7:$7=$F$3)*(Data_Input!$8:$8=$B311), 0)),"")</f>
        <v/>
      </c>
      <c r="L311" t="str" cm="1">
        <f t="array" ref="L311">IFERROR(_xlfn.LET(
    _xlpm.targetDate, B311,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12" spans="1:12" x14ac:dyDescent="0.3">
      <c r="A312" s="16" t="str">
        <f t="shared" si="9"/>
        <v/>
      </c>
      <c r="B312" s="8"/>
      <c r="C312" s="17" t="str">
        <f t="shared" si="10"/>
        <v/>
      </c>
      <c r="D312" s="29" t="str" cm="1">
        <f t="array" ref="D312">IFERROR(INDEX(Data_Input!$1:$100, 10, MATCH(1, (Data_Input!$F$7:$ZZ$7=$F$3) * (Data_Input!$F$8:$ZZ$8=$B312), 0)),"")</f>
        <v/>
      </c>
      <c r="E312" s="29" t="str" cm="1">
        <f t="array" ref="E312">IFERROR(INDEX(Data_Input!$1:$100, 9, MATCH(1, (Data_Input!$7:$7=$F$3) * (Data_Input!$8:$8=$B312), 0)),"")</f>
        <v/>
      </c>
      <c r="F312" s="20" t="str" cm="1">
        <f t="array" ref="F312">IFERROR(INDEX(Data_Input!$A$1:$ZZ$502, MATCH("예수금", INDEX(Data_Input!$A$1:$ZZ$502, 0, MATCH(1, (Data_Input!$7:$7=$F$3)*(Data_Input!$8:$8=$B312), 0)), 0) + 1, MATCH(1, (Data_Input!$7:$7=$F$3)*(Data_Input!$8:$8=$B312), 0)),"")</f>
        <v/>
      </c>
      <c r="G312" s="20" t="str" cm="1">
        <f t="array" ref="G312">IFERROR(INDEX(Data_Input!$A$1:$ZZ$502, MATCH("총자산", INDEX(Data_Input!$A$1:$ZZ$502, 0, MATCH(1, (Data_Input!$7:$7=$F$3)*(Data_Input!$8:$8=$B312), 0)), 0) + 1, MATCH(1, (Data_Input!$7:$7=$F$3)*(Data_Input!$8:$8=$B312), 0)),"")</f>
        <v/>
      </c>
      <c r="H312" s="20" t="str" cm="1">
        <f t="array" ref="H312">IFERROR(INDEX(Data_Input!$A$1:$ZZ$502, MATCH("매입금액", INDEX(Data_Input!$A$1:$ZZ$502, 0, MATCH(1, (Data_Input!$7:$7=$F$3)*(Data_Input!$8:$8=$B312), 0)), 0) + 1, MATCH(1, (Data_Input!$7:$7=$F$3)*(Data_Input!$8:$8=$B312), 0)),"")</f>
        <v/>
      </c>
      <c r="I312" s="20" t="str" cm="1">
        <f t="array" ref="I312">IFERROR(INDEX(Data_Input!$A$1:$ZZ$502, MATCH("평가금액", INDEX(Data_Input!$A$1:$ZZ$502, 0, MATCH(1, (Data_Input!$7:$7=$F$3)*(Data_Input!$8:$8=$B312), 0)), 0) + 1, MATCH(1, (Data_Input!$7:$7=$F$3)*(Data_Input!$8:$8=$B312), 0)),"")</f>
        <v/>
      </c>
      <c r="J312" s="20" t="str" cm="1">
        <f t="array" ref="J312">IFERROR(INDEX(Data_Input!$A$1:$ZZ$502, MATCH("평가손익", INDEX(Data_Input!$A$1:$ZZ$502, 0, MATCH(1, (Data_Input!$7:$7=$F$3)*(Data_Input!$8:$8=$B312), 0)), 0) + 1, MATCH(1, (Data_Input!$7:$7=$F$3)*(Data_Input!$8:$8=$B312), 0)),"")</f>
        <v/>
      </c>
      <c r="K312" s="14" t="str" cm="1">
        <f t="array" ref="K312">IFERROR(INDEX(Data_Input!$A$1:$ZZ$502, MATCH("총수익률", INDEX(Data_Input!$A$1:$ZZ$502, 0, MATCH(1, (Data_Input!$7:$7=$F$3)*(Data_Input!$8:$8=$B312), 0)), 0) + 1, MATCH(1, (Data_Input!$7:$7=$F$3)*(Data_Input!$8:$8=$B312), 0)),"")</f>
        <v/>
      </c>
      <c r="L312" t="str" cm="1">
        <f t="array" ref="L312">IFERROR(_xlfn.LET(
    _xlpm.targetDate, B312,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13" spans="1:12" x14ac:dyDescent="0.3">
      <c r="A313" s="16" t="str">
        <f t="shared" si="9"/>
        <v/>
      </c>
      <c r="B313" s="8"/>
      <c r="C313" s="17" t="str">
        <f t="shared" si="10"/>
        <v/>
      </c>
      <c r="D313" s="29" t="str" cm="1">
        <f t="array" ref="D313">IFERROR(INDEX(Data_Input!$1:$100, 10, MATCH(1, (Data_Input!$F$7:$ZZ$7=$F$3) * (Data_Input!$F$8:$ZZ$8=$B313), 0)),"")</f>
        <v/>
      </c>
      <c r="E313" s="29" t="str" cm="1">
        <f t="array" ref="E313">IFERROR(INDEX(Data_Input!$1:$100, 9, MATCH(1, (Data_Input!$7:$7=$F$3) * (Data_Input!$8:$8=$B313), 0)),"")</f>
        <v/>
      </c>
      <c r="F313" s="20" t="str" cm="1">
        <f t="array" ref="F313">IFERROR(INDEX(Data_Input!$A$1:$ZZ$502, MATCH("예수금", INDEX(Data_Input!$A$1:$ZZ$502, 0, MATCH(1, (Data_Input!$7:$7=$F$3)*(Data_Input!$8:$8=$B313), 0)), 0) + 1, MATCH(1, (Data_Input!$7:$7=$F$3)*(Data_Input!$8:$8=$B313), 0)),"")</f>
        <v/>
      </c>
      <c r="G313" s="20" t="str" cm="1">
        <f t="array" ref="G313">IFERROR(INDEX(Data_Input!$A$1:$ZZ$502, MATCH("총자산", INDEX(Data_Input!$A$1:$ZZ$502, 0, MATCH(1, (Data_Input!$7:$7=$F$3)*(Data_Input!$8:$8=$B313), 0)), 0) + 1, MATCH(1, (Data_Input!$7:$7=$F$3)*(Data_Input!$8:$8=$B313), 0)),"")</f>
        <v/>
      </c>
      <c r="H313" s="20" t="str" cm="1">
        <f t="array" ref="H313">IFERROR(INDEX(Data_Input!$A$1:$ZZ$502, MATCH("매입금액", INDEX(Data_Input!$A$1:$ZZ$502, 0, MATCH(1, (Data_Input!$7:$7=$F$3)*(Data_Input!$8:$8=$B313), 0)), 0) + 1, MATCH(1, (Data_Input!$7:$7=$F$3)*(Data_Input!$8:$8=$B313), 0)),"")</f>
        <v/>
      </c>
      <c r="I313" s="20" t="str" cm="1">
        <f t="array" ref="I313">IFERROR(INDEX(Data_Input!$A$1:$ZZ$502, MATCH("평가금액", INDEX(Data_Input!$A$1:$ZZ$502, 0, MATCH(1, (Data_Input!$7:$7=$F$3)*(Data_Input!$8:$8=$B313), 0)), 0) + 1, MATCH(1, (Data_Input!$7:$7=$F$3)*(Data_Input!$8:$8=$B313), 0)),"")</f>
        <v/>
      </c>
      <c r="J313" s="20" t="str" cm="1">
        <f t="array" ref="J313">IFERROR(INDEX(Data_Input!$A$1:$ZZ$502, MATCH("평가손익", INDEX(Data_Input!$A$1:$ZZ$502, 0, MATCH(1, (Data_Input!$7:$7=$F$3)*(Data_Input!$8:$8=$B313), 0)), 0) + 1, MATCH(1, (Data_Input!$7:$7=$F$3)*(Data_Input!$8:$8=$B313), 0)),"")</f>
        <v/>
      </c>
      <c r="K313" s="14" t="str" cm="1">
        <f t="array" ref="K313">IFERROR(INDEX(Data_Input!$A$1:$ZZ$502, MATCH("총수익률", INDEX(Data_Input!$A$1:$ZZ$502, 0, MATCH(1, (Data_Input!$7:$7=$F$3)*(Data_Input!$8:$8=$B313), 0)), 0) + 1, MATCH(1, (Data_Input!$7:$7=$F$3)*(Data_Input!$8:$8=$B313), 0)),"")</f>
        <v/>
      </c>
      <c r="L313" t="str" cm="1">
        <f t="array" ref="L313">IFERROR(_xlfn.LET(
    _xlpm.targetDate, B313,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14" spans="1:12" x14ac:dyDescent="0.3">
      <c r="A314" s="16" t="str">
        <f t="shared" si="9"/>
        <v/>
      </c>
      <c r="B314" s="8"/>
      <c r="C314" s="17" t="str">
        <f t="shared" si="10"/>
        <v/>
      </c>
      <c r="D314" s="29" t="str" cm="1">
        <f t="array" ref="D314">IFERROR(INDEX(Data_Input!$1:$100, 10, MATCH(1, (Data_Input!$F$7:$ZZ$7=$F$3) * (Data_Input!$F$8:$ZZ$8=$B314), 0)),"")</f>
        <v/>
      </c>
      <c r="E314" s="29" t="str" cm="1">
        <f t="array" ref="E314">IFERROR(INDEX(Data_Input!$1:$100, 9, MATCH(1, (Data_Input!$7:$7=$F$3) * (Data_Input!$8:$8=$B314), 0)),"")</f>
        <v/>
      </c>
      <c r="F314" s="20" t="str" cm="1">
        <f t="array" ref="F314">IFERROR(INDEX(Data_Input!$A$1:$ZZ$502, MATCH("예수금", INDEX(Data_Input!$A$1:$ZZ$502, 0, MATCH(1, (Data_Input!$7:$7=$F$3)*(Data_Input!$8:$8=$B314), 0)), 0) + 1, MATCH(1, (Data_Input!$7:$7=$F$3)*(Data_Input!$8:$8=$B314), 0)),"")</f>
        <v/>
      </c>
      <c r="G314" s="20" t="str" cm="1">
        <f t="array" ref="G314">IFERROR(INDEX(Data_Input!$A$1:$ZZ$502, MATCH("총자산", INDEX(Data_Input!$A$1:$ZZ$502, 0, MATCH(1, (Data_Input!$7:$7=$F$3)*(Data_Input!$8:$8=$B314), 0)), 0) + 1, MATCH(1, (Data_Input!$7:$7=$F$3)*(Data_Input!$8:$8=$B314), 0)),"")</f>
        <v/>
      </c>
      <c r="H314" s="20" t="str" cm="1">
        <f t="array" ref="H314">IFERROR(INDEX(Data_Input!$A$1:$ZZ$502, MATCH("매입금액", INDEX(Data_Input!$A$1:$ZZ$502, 0, MATCH(1, (Data_Input!$7:$7=$F$3)*(Data_Input!$8:$8=$B314), 0)), 0) + 1, MATCH(1, (Data_Input!$7:$7=$F$3)*(Data_Input!$8:$8=$B314), 0)),"")</f>
        <v/>
      </c>
      <c r="I314" s="20" t="str" cm="1">
        <f t="array" ref="I314">IFERROR(INDEX(Data_Input!$A$1:$ZZ$502, MATCH("평가금액", INDEX(Data_Input!$A$1:$ZZ$502, 0, MATCH(1, (Data_Input!$7:$7=$F$3)*(Data_Input!$8:$8=$B314), 0)), 0) + 1, MATCH(1, (Data_Input!$7:$7=$F$3)*(Data_Input!$8:$8=$B314), 0)),"")</f>
        <v/>
      </c>
      <c r="J314" s="20" t="str" cm="1">
        <f t="array" ref="J314">IFERROR(INDEX(Data_Input!$A$1:$ZZ$502, MATCH("평가손익", INDEX(Data_Input!$A$1:$ZZ$502, 0, MATCH(1, (Data_Input!$7:$7=$F$3)*(Data_Input!$8:$8=$B314), 0)), 0) + 1, MATCH(1, (Data_Input!$7:$7=$F$3)*(Data_Input!$8:$8=$B314), 0)),"")</f>
        <v/>
      </c>
      <c r="K314" s="14" t="str" cm="1">
        <f t="array" ref="K314">IFERROR(INDEX(Data_Input!$A$1:$ZZ$502, MATCH("총수익률", INDEX(Data_Input!$A$1:$ZZ$502, 0, MATCH(1, (Data_Input!$7:$7=$F$3)*(Data_Input!$8:$8=$B314), 0)), 0) + 1, MATCH(1, (Data_Input!$7:$7=$F$3)*(Data_Input!$8:$8=$B314), 0)),"")</f>
        <v/>
      </c>
      <c r="L314" t="str" cm="1">
        <f t="array" ref="L314">IFERROR(_xlfn.LET(
    _xlpm.targetDate, B314,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15" spans="1:12" x14ac:dyDescent="0.3">
      <c r="A315" s="16" t="str">
        <f t="shared" si="9"/>
        <v/>
      </c>
      <c r="B315" s="8"/>
      <c r="C315" s="17" t="str">
        <f t="shared" si="10"/>
        <v/>
      </c>
      <c r="D315" s="29" t="str" cm="1">
        <f t="array" ref="D315">IFERROR(INDEX(Data_Input!$1:$100, 10, MATCH(1, (Data_Input!$F$7:$ZZ$7=$F$3) * (Data_Input!$F$8:$ZZ$8=$B315), 0)),"")</f>
        <v/>
      </c>
      <c r="E315" s="29" t="str" cm="1">
        <f t="array" ref="E315">IFERROR(INDEX(Data_Input!$1:$100, 9, MATCH(1, (Data_Input!$7:$7=$F$3) * (Data_Input!$8:$8=$B315), 0)),"")</f>
        <v/>
      </c>
      <c r="F315" s="20" t="str" cm="1">
        <f t="array" ref="F315">IFERROR(INDEX(Data_Input!$A$1:$ZZ$502, MATCH("예수금", INDEX(Data_Input!$A$1:$ZZ$502, 0, MATCH(1, (Data_Input!$7:$7=$F$3)*(Data_Input!$8:$8=$B315), 0)), 0) + 1, MATCH(1, (Data_Input!$7:$7=$F$3)*(Data_Input!$8:$8=$B315), 0)),"")</f>
        <v/>
      </c>
      <c r="G315" s="20" t="str" cm="1">
        <f t="array" ref="G315">IFERROR(INDEX(Data_Input!$A$1:$ZZ$502, MATCH("총자산", INDEX(Data_Input!$A$1:$ZZ$502, 0, MATCH(1, (Data_Input!$7:$7=$F$3)*(Data_Input!$8:$8=$B315), 0)), 0) + 1, MATCH(1, (Data_Input!$7:$7=$F$3)*(Data_Input!$8:$8=$B315), 0)),"")</f>
        <v/>
      </c>
      <c r="H315" s="20" t="str" cm="1">
        <f t="array" ref="H315">IFERROR(INDEX(Data_Input!$A$1:$ZZ$502, MATCH("매입금액", INDEX(Data_Input!$A$1:$ZZ$502, 0, MATCH(1, (Data_Input!$7:$7=$F$3)*(Data_Input!$8:$8=$B315), 0)), 0) + 1, MATCH(1, (Data_Input!$7:$7=$F$3)*(Data_Input!$8:$8=$B315), 0)),"")</f>
        <v/>
      </c>
      <c r="I315" s="20" t="str" cm="1">
        <f t="array" ref="I315">IFERROR(INDEX(Data_Input!$A$1:$ZZ$502, MATCH("평가금액", INDEX(Data_Input!$A$1:$ZZ$502, 0, MATCH(1, (Data_Input!$7:$7=$F$3)*(Data_Input!$8:$8=$B315), 0)), 0) + 1, MATCH(1, (Data_Input!$7:$7=$F$3)*(Data_Input!$8:$8=$B315), 0)),"")</f>
        <v/>
      </c>
      <c r="J315" s="20" t="str" cm="1">
        <f t="array" ref="J315">IFERROR(INDEX(Data_Input!$A$1:$ZZ$502, MATCH("평가손익", INDEX(Data_Input!$A$1:$ZZ$502, 0, MATCH(1, (Data_Input!$7:$7=$F$3)*(Data_Input!$8:$8=$B315), 0)), 0) + 1, MATCH(1, (Data_Input!$7:$7=$F$3)*(Data_Input!$8:$8=$B315), 0)),"")</f>
        <v/>
      </c>
      <c r="K315" s="14" t="str" cm="1">
        <f t="array" ref="K315">IFERROR(INDEX(Data_Input!$A$1:$ZZ$502, MATCH("총수익률", INDEX(Data_Input!$A$1:$ZZ$502, 0, MATCH(1, (Data_Input!$7:$7=$F$3)*(Data_Input!$8:$8=$B315), 0)), 0) + 1, MATCH(1, (Data_Input!$7:$7=$F$3)*(Data_Input!$8:$8=$B315), 0)),"")</f>
        <v/>
      </c>
      <c r="L315" t="str" cm="1">
        <f t="array" ref="L315">IFERROR(_xlfn.LET(
    _xlpm.targetDate, B315,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16" spans="1:12" x14ac:dyDescent="0.3">
      <c r="A316" s="16" t="str">
        <f t="shared" si="9"/>
        <v/>
      </c>
      <c r="B316" s="8"/>
      <c r="C316" s="17" t="str">
        <f t="shared" si="10"/>
        <v/>
      </c>
      <c r="D316" s="29" t="str" cm="1">
        <f t="array" ref="D316">IFERROR(INDEX(Data_Input!$1:$100, 10, MATCH(1, (Data_Input!$F$7:$ZZ$7=$F$3) * (Data_Input!$F$8:$ZZ$8=$B316), 0)),"")</f>
        <v/>
      </c>
      <c r="E316" s="29" t="str" cm="1">
        <f t="array" ref="E316">IFERROR(INDEX(Data_Input!$1:$100, 9, MATCH(1, (Data_Input!$7:$7=$F$3) * (Data_Input!$8:$8=$B316), 0)),"")</f>
        <v/>
      </c>
      <c r="F316" s="20" t="str" cm="1">
        <f t="array" ref="F316">IFERROR(INDEX(Data_Input!$A$1:$ZZ$502, MATCH("예수금", INDEX(Data_Input!$A$1:$ZZ$502, 0, MATCH(1, (Data_Input!$7:$7=$F$3)*(Data_Input!$8:$8=$B316), 0)), 0) + 1, MATCH(1, (Data_Input!$7:$7=$F$3)*(Data_Input!$8:$8=$B316), 0)),"")</f>
        <v/>
      </c>
      <c r="G316" s="20" t="str" cm="1">
        <f t="array" ref="G316">IFERROR(INDEX(Data_Input!$A$1:$ZZ$502, MATCH("총자산", INDEX(Data_Input!$A$1:$ZZ$502, 0, MATCH(1, (Data_Input!$7:$7=$F$3)*(Data_Input!$8:$8=$B316), 0)), 0) + 1, MATCH(1, (Data_Input!$7:$7=$F$3)*(Data_Input!$8:$8=$B316), 0)),"")</f>
        <v/>
      </c>
      <c r="H316" s="20" t="str" cm="1">
        <f t="array" ref="H316">IFERROR(INDEX(Data_Input!$A$1:$ZZ$502, MATCH("매입금액", INDEX(Data_Input!$A$1:$ZZ$502, 0, MATCH(1, (Data_Input!$7:$7=$F$3)*(Data_Input!$8:$8=$B316), 0)), 0) + 1, MATCH(1, (Data_Input!$7:$7=$F$3)*(Data_Input!$8:$8=$B316), 0)),"")</f>
        <v/>
      </c>
      <c r="I316" s="20" t="str" cm="1">
        <f t="array" ref="I316">IFERROR(INDEX(Data_Input!$A$1:$ZZ$502, MATCH("평가금액", INDEX(Data_Input!$A$1:$ZZ$502, 0, MATCH(1, (Data_Input!$7:$7=$F$3)*(Data_Input!$8:$8=$B316), 0)), 0) + 1, MATCH(1, (Data_Input!$7:$7=$F$3)*(Data_Input!$8:$8=$B316), 0)),"")</f>
        <v/>
      </c>
      <c r="J316" s="20" t="str" cm="1">
        <f t="array" ref="J316">IFERROR(INDEX(Data_Input!$A$1:$ZZ$502, MATCH("평가손익", INDEX(Data_Input!$A$1:$ZZ$502, 0, MATCH(1, (Data_Input!$7:$7=$F$3)*(Data_Input!$8:$8=$B316), 0)), 0) + 1, MATCH(1, (Data_Input!$7:$7=$F$3)*(Data_Input!$8:$8=$B316), 0)),"")</f>
        <v/>
      </c>
      <c r="K316" s="14" t="str" cm="1">
        <f t="array" ref="K316">IFERROR(INDEX(Data_Input!$A$1:$ZZ$502, MATCH("총수익률", INDEX(Data_Input!$A$1:$ZZ$502, 0, MATCH(1, (Data_Input!$7:$7=$F$3)*(Data_Input!$8:$8=$B316), 0)), 0) + 1, MATCH(1, (Data_Input!$7:$7=$F$3)*(Data_Input!$8:$8=$B316), 0)),"")</f>
        <v/>
      </c>
      <c r="L316" t="str" cm="1">
        <f t="array" ref="L316">IFERROR(_xlfn.LET(
    _xlpm.targetDate, B316,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17" spans="1:12" x14ac:dyDescent="0.3">
      <c r="A317" s="16" t="str">
        <f t="shared" si="9"/>
        <v/>
      </c>
      <c r="B317" s="8"/>
      <c r="C317" s="17" t="str">
        <f t="shared" si="10"/>
        <v/>
      </c>
      <c r="D317" s="29" t="str" cm="1">
        <f t="array" ref="D317">IFERROR(INDEX(Data_Input!$1:$100, 10, MATCH(1, (Data_Input!$F$7:$ZZ$7=$F$3) * (Data_Input!$F$8:$ZZ$8=$B317), 0)),"")</f>
        <v/>
      </c>
      <c r="E317" s="29" t="str" cm="1">
        <f t="array" ref="E317">IFERROR(INDEX(Data_Input!$1:$100, 9, MATCH(1, (Data_Input!$7:$7=$F$3) * (Data_Input!$8:$8=$B317), 0)),"")</f>
        <v/>
      </c>
      <c r="F317" s="20" t="str" cm="1">
        <f t="array" ref="F317">IFERROR(INDEX(Data_Input!$A$1:$ZZ$502, MATCH("예수금", INDEX(Data_Input!$A$1:$ZZ$502, 0, MATCH(1, (Data_Input!$7:$7=$F$3)*(Data_Input!$8:$8=$B317), 0)), 0) + 1, MATCH(1, (Data_Input!$7:$7=$F$3)*(Data_Input!$8:$8=$B317), 0)),"")</f>
        <v/>
      </c>
      <c r="G317" s="20" t="str" cm="1">
        <f t="array" ref="G317">IFERROR(INDEX(Data_Input!$A$1:$ZZ$502, MATCH("총자산", INDEX(Data_Input!$A$1:$ZZ$502, 0, MATCH(1, (Data_Input!$7:$7=$F$3)*(Data_Input!$8:$8=$B317), 0)), 0) + 1, MATCH(1, (Data_Input!$7:$7=$F$3)*(Data_Input!$8:$8=$B317), 0)),"")</f>
        <v/>
      </c>
      <c r="H317" s="20" t="str" cm="1">
        <f t="array" ref="H317">IFERROR(INDEX(Data_Input!$A$1:$ZZ$502, MATCH("매입금액", INDEX(Data_Input!$A$1:$ZZ$502, 0, MATCH(1, (Data_Input!$7:$7=$F$3)*(Data_Input!$8:$8=$B317), 0)), 0) + 1, MATCH(1, (Data_Input!$7:$7=$F$3)*(Data_Input!$8:$8=$B317), 0)),"")</f>
        <v/>
      </c>
      <c r="I317" s="20" t="str" cm="1">
        <f t="array" ref="I317">IFERROR(INDEX(Data_Input!$A$1:$ZZ$502, MATCH("평가금액", INDEX(Data_Input!$A$1:$ZZ$502, 0, MATCH(1, (Data_Input!$7:$7=$F$3)*(Data_Input!$8:$8=$B317), 0)), 0) + 1, MATCH(1, (Data_Input!$7:$7=$F$3)*(Data_Input!$8:$8=$B317), 0)),"")</f>
        <v/>
      </c>
      <c r="J317" s="20" t="str" cm="1">
        <f t="array" ref="J317">IFERROR(INDEX(Data_Input!$A$1:$ZZ$502, MATCH("평가손익", INDEX(Data_Input!$A$1:$ZZ$502, 0, MATCH(1, (Data_Input!$7:$7=$F$3)*(Data_Input!$8:$8=$B317), 0)), 0) + 1, MATCH(1, (Data_Input!$7:$7=$F$3)*(Data_Input!$8:$8=$B317), 0)),"")</f>
        <v/>
      </c>
      <c r="K317" s="14" t="str" cm="1">
        <f t="array" ref="K317">IFERROR(INDEX(Data_Input!$A$1:$ZZ$502, MATCH("총수익률", INDEX(Data_Input!$A$1:$ZZ$502, 0, MATCH(1, (Data_Input!$7:$7=$F$3)*(Data_Input!$8:$8=$B317), 0)), 0) + 1, MATCH(1, (Data_Input!$7:$7=$F$3)*(Data_Input!$8:$8=$B317), 0)),"")</f>
        <v/>
      </c>
      <c r="L317" t="str" cm="1">
        <f t="array" ref="L317">IFERROR(_xlfn.LET(
    _xlpm.targetDate, B317,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18" spans="1:12" x14ac:dyDescent="0.3">
      <c r="A318" s="16" t="str">
        <f t="shared" si="9"/>
        <v/>
      </c>
      <c r="B318" s="8"/>
      <c r="C318" s="17" t="str">
        <f t="shared" si="10"/>
        <v/>
      </c>
      <c r="D318" s="29" t="str" cm="1">
        <f t="array" ref="D318">IFERROR(INDEX(Data_Input!$1:$100, 10, MATCH(1, (Data_Input!$F$7:$ZZ$7=$F$3) * (Data_Input!$F$8:$ZZ$8=$B318), 0)),"")</f>
        <v/>
      </c>
      <c r="E318" s="29" t="str" cm="1">
        <f t="array" ref="E318">IFERROR(INDEX(Data_Input!$1:$100, 9, MATCH(1, (Data_Input!$7:$7=$F$3) * (Data_Input!$8:$8=$B318), 0)),"")</f>
        <v/>
      </c>
      <c r="F318" s="20" t="str" cm="1">
        <f t="array" ref="F318">IFERROR(INDEX(Data_Input!$A$1:$ZZ$502, MATCH("예수금", INDEX(Data_Input!$A$1:$ZZ$502, 0, MATCH(1, (Data_Input!$7:$7=$F$3)*(Data_Input!$8:$8=$B318), 0)), 0) + 1, MATCH(1, (Data_Input!$7:$7=$F$3)*(Data_Input!$8:$8=$B318), 0)),"")</f>
        <v/>
      </c>
      <c r="G318" s="20" t="str" cm="1">
        <f t="array" ref="G318">IFERROR(INDEX(Data_Input!$A$1:$ZZ$502, MATCH("총자산", INDEX(Data_Input!$A$1:$ZZ$502, 0, MATCH(1, (Data_Input!$7:$7=$F$3)*(Data_Input!$8:$8=$B318), 0)), 0) + 1, MATCH(1, (Data_Input!$7:$7=$F$3)*(Data_Input!$8:$8=$B318), 0)),"")</f>
        <v/>
      </c>
      <c r="H318" s="20" t="str" cm="1">
        <f t="array" ref="H318">IFERROR(INDEX(Data_Input!$A$1:$ZZ$502, MATCH("매입금액", INDEX(Data_Input!$A$1:$ZZ$502, 0, MATCH(1, (Data_Input!$7:$7=$F$3)*(Data_Input!$8:$8=$B318), 0)), 0) + 1, MATCH(1, (Data_Input!$7:$7=$F$3)*(Data_Input!$8:$8=$B318), 0)),"")</f>
        <v/>
      </c>
      <c r="I318" s="20" t="str" cm="1">
        <f t="array" ref="I318">IFERROR(INDEX(Data_Input!$A$1:$ZZ$502, MATCH("평가금액", INDEX(Data_Input!$A$1:$ZZ$502, 0, MATCH(1, (Data_Input!$7:$7=$F$3)*(Data_Input!$8:$8=$B318), 0)), 0) + 1, MATCH(1, (Data_Input!$7:$7=$F$3)*(Data_Input!$8:$8=$B318), 0)),"")</f>
        <v/>
      </c>
      <c r="J318" s="20" t="str" cm="1">
        <f t="array" ref="J318">IFERROR(INDEX(Data_Input!$A$1:$ZZ$502, MATCH("평가손익", INDEX(Data_Input!$A$1:$ZZ$502, 0, MATCH(1, (Data_Input!$7:$7=$F$3)*(Data_Input!$8:$8=$B318), 0)), 0) + 1, MATCH(1, (Data_Input!$7:$7=$F$3)*(Data_Input!$8:$8=$B318), 0)),"")</f>
        <v/>
      </c>
      <c r="K318" s="14" t="str" cm="1">
        <f t="array" ref="K318">IFERROR(INDEX(Data_Input!$A$1:$ZZ$502, MATCH("총수익률", INDEX(Data_Input!$A$1:$ZZ$502, 0, MATCH(1, (Data_Input!$7:$7=$F$3)*(Data_Input!$8:$8=$B318), 0)), 0) + 1, MATCH(1, (Data_Input!$7:$7=$F$3)*(Data_Input!$8:$8=$B318), 0)),"")</f>
        <v/>
      </c>
      <c r="L318" t="str" cm="1">
        <f t="array" ref="L318">IFERROR(_xlfn.LET(
    _xlpm.targetDate, B318,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19" spans="1:12" x14ac:dyDescent="0.3">
      <c r="A319" s="16" t="str">
        <f t="shared" si="9"/>
        <v/>
      </c>
      <c r="B319" s="8"/>
      <c r="C319" s="17" t="str">
        <f t="shared" si="10"/>
        <v/>
      </c>
      <c r="D319" s="29" t="str" cm="1">
        <f t="array" ref="D319">IFERROR(INDEX(Data_Input!$1:$100, 10, MATCH(1, (Data_Input!$F$7:$ZZ$7=$F$3) * (Data_Input!$F$8:$ZZ$8=$B319), 0)),"")</f>
        <v/>
      </c>
      <c r="E319" s="29" t="str" cm="1">
        <f t="array" ref="E319">IFERROR(INDEX(Data_Input!$1:$100, 9, MATCH(1, (Data_Input!$7:$7=$F$3) * (Data_Input!$8:$8=$B319), 0)),"")</f>
        <v/>
      </c>
      <c r="F319" s="20" t="str" cm="1">
        <f t="array" ref="F319">IFERROR(INDEX(Data_Input!$A$1:$ZZ$502, MATCH("예수금", INDEX(Data_Input!$A$1:$ZZ$502, 0, MATCH(1, (Data_Input!$7:$7=$F$3)*(Data_Input!$8:$8=$B319), 0)), 0) + 1, MATCH(1, (Data_Input!$7:$7=$F$3)*(Data_Input!$8:$8=$B319), 0)),"")</f>
        <v/>
      </c>
      <c r="G319" s="20" t="str" cm="1">
        <f t="array" ref="G319">IFERROR(INDEX(Data_Input!$A$1:$ZZ$502, MATCH("총자산", INDEX(Data_Input!$A$1:$ZZ$502, 0, MATCH(1, (Data_Input!$7:$7=$F$3)*(Data_Input!$8:$8=$B319), 0)), 0) + 1, MATCH(1, (Data_Input!$7:$7=$F$3)*(Data_Input!$8:$8=$B319), 0)),"")</f>
        <v/>
      </c>
      <c r="H319" s="20" t="str" cm="1">
        <f t="array" ref="H319">IFERROR(INDEX(Data_Input!$A$1:$ZZ$502, MATCH("매입금액", INDEX(Data_Input!$A$1:$ZZ$502, 0, MATCH(1, (Data_Input!$7:$7=$F$3)*(Data_Input!$8:$8=$B319), 0)), 0) + 1, MATCH(1, (Data_Input!$7:$7=$F$3)*(Data_Input!$8:$8=$B319), 0)),"")</f>
        <v/>
      </c>
      <c r="I319" s="20" t="str" cm="1">
        <f t="array" ref="I319">IFERROR(INDEX(Data_Input!$A$1:$ZZ$502, MATCH("평가금액", INDEX(Data_Input!$A$1:$ZZ$502, 0, MATCH(1, (Data_Input!$7:$7=$F$3)*(Data_Input!$8:$8=$B319), 0)), 0) + 1, MATCH(1, (Data_Input!$7:$7=$F$3)*(Data_Input!$8:$8=$B319), 0)),"")</f>
        <v/>
      </c>
      <c r="J319" s="20" t="str" cm="1">
        <f t="array" ref="J319">IFERROR(INDEX(Data_Input!$A$1:$ZZ$502, MATCH("평가손익", INDEX(Data_Input!$A$1:$ZZ$502, 0, MATCH(1, (Data_Input!$7:$7=$F$3)*(Data_Input!$8:$8=$B319), 0)), 0) + 1, MATCH(1, (Data_Input!$7:$7=$F$3)*(Data_Input!$8:$8=$B319), 0)),"")</f>
        <v/>
      </c>
      <c r="K319" s="14" t="str" cm="1">
        <f t="array" ref="K319">IFERROR(INDEX(Data_Input!$A$1:$ZZ$502, MATCH("총수익률", INDEX(Data_Input!$A$1:$ZZ$502, 0, MATCH(1, (Data_Input!$7:$7=$F$3)*(Data_Input!$8:$8=$B319), 0)), 0) + 1, MATCH(1, (Data_Input!$7:$7=$F$3)*(Data_Input!$8:$8=$B319), 0)),"")</f>
        <v/>
      </c>
      <c r="L319" t="str" cm="1">
        <f t="array" ref="L319">IFERROR(_xlfn.LET(
    _xlpm.targetDate, B319,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20" spans="1:12" x14ac:dyDescent="0.3">
      <c r="A320" s="16" t="str">
        <f t="shared" si="9"/>
        <v/>
      </c>
      <c r="B320" s="8"/>
      <c r="C320" s="17" t="str">
        <f t="shared" si="10"/>
        <v/>
      </c>
      <c r="D320" s="29" t="str" cm="1">
        <f t="array" ref="D320">IFERROR(INDEX(Data_Input!$1:$100, 10, MATCH(1, (Data_Input!$F$7:$ZZ$7=$F$3) * (Data_Input!$F$8:$ZZ$8=$B320), 0)),"")</f>
        <v/>
      </c>
      <c r="E320" s="29" t="str" cm="1">
        <f t="array" ref="E320">IFERROR(INDEX(Data_Input!$1:$100, 9, MATCH(1, (Data_Input!$7:$7=$F$3) * (Data_Input!$8:$8=$B320), 0)),"")</f>
        <v/>
      </c>
      <c r="F320" s="20" t="str" cm="1">
        <f t="array" ref="F320">IFERROR(INDEX(Data_Input!$A$1:$ZZ$502, MATCH("예수금", INDEX(Data_Input!$A$1:$ZZ$502, 0, MATCH(1, (Data_Input!$7:$7=$F$3)*(Data_Input!$8:$8=$B320), 0)), 0) + 1, MATCH(1, (Data_Input!$7:$7=$F$3)*(Data_Input!$8:$8=$B320), 0)),"")</f>
        <v/>
      </c>
      <c r="G320" s="20" t="str" cm="1">
        <f t="array" ref="G320">IFERROR(INDEX(Data_Input!$A$1:$ZZ$502, MATCH("총자산", INDEX(Data_Input!$A$1:$ZZ$502, 0, MATCH(1, (Data_Input!$7:$7=$F$3)*(Data_Input!$8:$8=$B320), 0)), 0) + 1, MATCH(1, (Data_Input!$7:$7=$F$3)*(Data_Input!$8:$8=$B320), 0)),"")</f>
        <v/>
      </c>
      <c r="H320" s="20" t="str" cm="1">
        <f t="array" ref="H320">IFERROR(INDEX(Data_Input!$A$1:$ZZ$502, MATCH("매입금액", INDEX(Data_Input!$A$1:$ZZ$502, 0, MATCH(1, (Data_Input!$7:$7=$F$3)*(Data_Input!$8:$8=$B320), 0)), 0) + 1, MATCH(1, (Data_Input!$7:$7=$F$3)*(Data_Input!$8:$8=$B320), 0)),"")</f>
        <v/>
      </c>
      <c r="I320" s="20" t="str" cm="1">
        <f t="array" ref="I320">IFERROR(INDEX(Data_Input!$A$1:$ZZ$502, MATCH("평가금액", INDEX(Data_Input!$A$1:$ZZ$502, 0, MATCH(1, (Data_Input!$7:$7=$F$3)*(Data_Input!$8:$8=$B320), 0)), 0) + 1, MATCH(1, (Data_Input!$7:$7=$F$3)*(Data_Input!$8:$8=$B320), 0)),"")</f>
        <v/>
      </c>
      <c r="J320" s="20" t="str" cm="1">
        <f t="array" ref="J320">IFERROR(INDEX(Data_Input!$A$1:$ZZ$502, MATCH("평가손익", INDEX(Data_Input!$A$1:$ZZ$502, 0, MATCH(1, (Data_Input!$7:$7=$F$3)*(Data_Input!$8:$8=$B320), 0)), 0) + 1, MATCH(1, (Data_Input!$7:$7=$F$3)*(Data_Input!$8:$8=$B320), 0)),"")</f>
        <v/>
      </c>
      <c r="K320" s="14" t="str" cm="1">
        <f t="array" ref="K320">IFERROR(INDEX(Data_Input!$A$1:$ZZ$502, MATCH("총수익률", INDEX(Data_Input!$A$1:$ZZ$502, 0, MATCH(1, (Data_Input!$7:$7=$F$3)*(Data_Input!$8:$8=$B320), 0)), 0) + 1, MATCH(1, (Data_Input!$7:$7=$F$3)*(Data_Input!$8:$8=$B320), 0)),"")</f>
        <v/>
      </c>
      <c r="L320" t="str" cm="1">
        <f t="array" ref="L320">IFERROR(_xlfn.LET(
    _xlpm.targetDate, B320,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21" spans="1:12" x14ac:dyDescent="0.3">
      <c r="A321" s="16" t="str">
        <f t="shared" si="9"/>
        <v/>
      </c>
      <c r="B321" s="8"/>
      <c r="C321" s="17" t="str">
        <f t="shared" si="10"/>
        <v/>
      </c>
      <c r="D321" s="29" t="str" cm="1">
        <f t="array" ref="D321">IFERROR(INDEX(Data_Input!$1:$100, 10, MATCH(1, (Data_Input!$F$7:$ZZ$7=$F$3) * (Data_Input!$F$8:$ZZ$8=$B321), 0)),"")</f>
        <v/>
      </c>
      <c r="E321" s="29" t="str" cm="1">
        <f t="array" ref="E321">IFERROR(INDEX(Data_Input!$1:$100, 9, MATCH(1, (Data_Input!$7:$7=$F$3) * (Data_Input!$8:$8=$B321), 0)),"")</f>
        <v/>
      </c>
      <c r="F321" s="20" t="str" cm="1">
        <f t="array" ref="F321">IFERROR(INDEX(Data_Input!$A$1:$ZZ$502, MATCH("예수금", INDEX(Data_Input!$A$1:$ZZ$502, 0, MATCH(1, (Data_Input!$7:$7=$F$3)*(Data_Input!$8:$8=$B321), 0)), 0) + 1, MATCH(1, (Data_Input!$7:$7=$F$3)*(Data_Input!$8:$8=$B321), 0)),"")</f>
        <v/>
      </c>
      <c r="G321" s="20" t="str" cm="1">
        <f t="array" ref="G321">IFERROR(INDEX(Data_Input!$A$1:$ZZ$502, MATCH("총자산", INDEX(Data_Input!$A$1:$ZZ$502, 0, MATCH(1, (Data_Input!$7:$7=$F$3)*(Data_Input!$8:$8=$B321), 0)), 0) + 1, MATCH(1, (Data_Input!$7:$7=$F$3)*(Data_Input!$8:$8=$B321), 0)),"")</f>
        <v/>
      </c>
      <c r="H321" s="20" t="str" cm="1">
        <f t="array" ref="H321">IFERROR(INDEX(Data_Input!$A$1:$ZZ$502, MATCH("매입금액", INDEX(Data_Input!$A$1:$ZZ$502, 0, MATCH(1, (Data_Input!$7:$7=$F$3)*(Data_Input!$8:$8=$B321), 0)), 0) + 1, MATCH(1, (Data_Input!$7:$7=$F$3)*(Data_Input!$8:$8=$B321), 0)),"")</f>
        <v/>
      </c>
      <c r="I321" s="20" t="str" cm="1">
        <f t="array" ref="I321">IFERROR(INDEX(Data_Input!$A$1:$ZZ$502, MATCH("평가금액", INDEX(Data_Input!$A$1:$ZZ$502, 0, MATCH(1, (Data_Input!$7:$7=$F$3)*(Data_Input!$8:$8=$B321), 0)), 0) + 1, MATCH(1, (Data_Input!$7:$7=$F$3)*(Data_Input!$8:$8=$B321), 0)),"")</f>
        <v/>
      </c>
      <c r="J321" s="20" t="str" cm="1">
        <f t="array" ref="J321">IFERROR(INDEX(Data_Input!$A$1:$ZZ$502, MATCH("평가손익", INDEX(Data_Input!$A$1:$ZZ$502, 0, MATCH(1, (Data_Input!$7:$7=$F$3)*(Data_Input!$8:$8=$B321), 0)), 0) + 1, MATCH(1, (Data_Input!$7:$7=$F$3)*(Data_Input!$8:$8=$B321), 0)),"")</f>
        <v/>
      </c>
      <c r="K321" s="14" t="str" cm="1">
        <f t="array" ref="K321">IFERROR(INDEX(Data_Input!$A$1:$ZZ$502, MATCH("총수익률", INDEX(Data_Input!$A$1:$ZZ$502, 0, MATCH(1, (Data_Input!$7:$7=$F$3)*(Data_Input!$8:$8=$B321), 0)), 0) + 1, MATCH(1, (Data_Input!$7:$7=$F$3)*(Data_Input!$8:$8=$B321), 0)),"")</f>
        <v/>
      </c>
      <c r="L321" t="str" cm="1">
        <f t="array" ref="L321">IFERROR(_xlfn.LET(
    _xlpm.targetDate, B321,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22" spans="1:12" x14ac:dyDescent="0.3">
      <c r="A322" s="16" t="str">
        <f t="shared" si="9"/>
        <v/>
      </c>
      <c r="B322" s="8"/>
      <c r="C322" s="17" t="str">
        <f t="shared" si="10"/>
        <v/>
      </c>
      <c r="D322" s="29" t="str" cm="1">
        <f t="array" ref="D322">IFERROR(INDEX(Data_Input!$1:$100, 10, MATCH(1, (Data_Input!$F$7:$ZZ$7=$F$3) * (Data_Input!$F$8:$ZZ$8=$B322), 0)),"")</f>
        <v/>
      </c>
      <c r="E322" s="29" t="str" cm="1">
        <f t="array" ref="E322">IFERROR(INDEX(Data_Input!$1:$100, 9, MATCH(1, (Data_Input!$7:$7=$F$3) * (Data_Input!$8:$8=$B322), 0)),"")</f>
        <v/>
      </c>
      <c r="F322" s="20" t="str" cm="1">
        <f t="array" ref="F322">IFERROR(INDEX(Data_Input!$A$1:$ZZ$502, MATCH("예수금", INDEX(Data_Input!$A$1:$ZZ$502, 0, MATCH(1, (Data_Input!$7:$7=$F$3)*(Data_Input!$8:$8=$B322), 0)), 0) + 1, MATCH(1, (Data_Input!$7:$7=$F$3)*(Data_Input!$8:$8=$B322), 0)),"")</f>
        <v/>
      </c>
      <c r="G322" s="20" t="str" cm="1">
        <f t="array" ref="G322">IFERROR(INDEX(Data_Input!$A$1:$ZZ$502, MATCH("총자산", INDEX(Data_Input!$A$1:$ZZ$502, 0, MATCH(1, (Data_Input!$7:$7=$F$3)*(Data_Input!$8:$8=$B322), 0)), 0) + 1, MATCH(1, (Data_Input!$7:$7=$F$3)*(Data_Input!$8:$8=$B322), 0)),"")</f>
        <v/>
      </c>
      <c r="H322" s="20" t="str" cm="1">
        <f t="array" ref="H322">IFERROR(INDEX(Data_Input!$A$1:$ZZ$502, MATCH("매입금액", INDEX(Data_Input!$A$1:$ZZ$502, 0, MATCH(1, (Data_Input!$7:$7=$F$3)*(Data_Input!$8:$8=$B322), 0)), 0) + 1, MATCH(1, (Data_Input!$7:$7=$F$3)*(Data_Input!$8:$8=$B322), 0)),"")</f>
        <v/>
      </c>
      <c r="I322" s="20" t="str" cm="1">
        <f t="array" ref="I322">IFERROR(INDEX(Data_Input!$A$1:$ZZ$502, MATCH("평가금액", INDEX(Data_Input!$A$1:$ZZ$502, 0, MATCH(1, (Data_Input!$7:$7=$F$3)*(Data_Input!$8:$8=$B322), 0)), 0) + 1, MATCH(1, (Data_Input!$7:$7=$F$3)*(Data_Input!$8:$8=$B322), 0)),"")</f>
        <v/>
      </c>
      <c r="J322" s="20" t="str" cm="1">
        <f t="array" ref="J322">IFERROR(INDEX(Data_Input!$A$1:$ZZ$502, MATCH("평가손익", INDEX(Data_Input!$A$1:$ZZ$502, 0, MATCH(1, (Data_Input!$7:$7=$F$3)*(Data_Input!$8:$8=$B322), 0)), 0) + 1, MATCH(1, (Data_Input!$7:$7=$F$3)*(Data_Input!$8:$8=$B322), 0)),"")</f>
        <v/>
      </c>
      <c r="K322" s="14" t="str" cm="1">
        <f t="array" ref="K322">IFERROR(INDEX(Data_Input!$A$1:$ZZ$502, MATCH("총수익률", INDEX(Data_Input!$A$1:$ZZ$502, 0, MATCH(1, (Data_Input!$7:$7=$F$3)*(Data_Input!$8:$8=$B322), 0)), 0) + 1, MATCH(1, (Data_Input!$7:$7=$F$3)*(Data_Input!$8:$8=$B322), 0)),"")</f>
        <v/>
      </c>
      <c r="L322" t="str" cm="1">
        <f t="array" ref="L322">IFERROR(_xlfn.LET(
    _xlpm.targetDate, B322,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23" spans="1:12" x14ac:dyDescent="0.3">
      <c r="A323" s="16" t="str">
        <f t="shared" si="9"/>
        <v/>
      </c>
      <c r="B323" s="8"/>
      <c r="C323" s="17" t="str">
        <f t="shared" si="10"/>
        <v/>
      </c>
      <c r="D323" s="29" t="str" cm="1">
        <f t="array" ref="D323">IFERROR(INDEX(Data_Input!$1:$100, 10, MATCH(1, (Data_Input!$F$7:$ZZ$7=$F$3) * (Data_Input!$F$8:$ZZ$8=$B323), 0)),"")</f>
        <v/>
      </c>
      <c r="E323" s="29" t="str" cm="1">
        <f t="array" ref="E323">IFERROR(INDEX(Data_Input!$1:$100, 9, MATCH(1, (Data_Input!$7:$7=$F$3) * (Data_Input!$8:$8=$B323), 0)),"")</f>
        <v/>
      </c>
      <c r="F323" s="20" t="str" cm="1">
        <f t="array" ref="F323">IFERROR(INDEX(Data_Input!$A$1:$ZZ$502, MATCH("예수금", INDEX(Data_Input!$A$1:$ZZ$502, 0, MATCH(1, (Data_Input!$7:$7=$F$3)*(Data_Input!$8:$8=$B323), 0)), 0) + 1, MATCH(1, (Data_Input!$7:$7=$F$3)*(Data_Input!$8:$8=$B323), 0)),"")</f>
        <v/>
      </c>
      <c r="G323" s="20" t="str" cm="1">
        <f t="array" ref="G323">IFERROR(INDEX(Data_Input!$A$1:$ZZ$502, MATCH("총자산", INDEX(Data_Input!$A$1:$ZZ$502, 0, MATCH(1, (Data_Input!$7:$7=$F$3)*(Data_Input!$8:$8=$B323), 0)), 0) + 1, MATCH(1, (Data_Input!$7:$7=$F$3)*(Data_Input!$8:$8=$B323), 0)),"")</f>
        <v/>
      </c>
      <c r="H323" s="20" t="str" cm="1">
        <f t="array" ref="H323">IFERROR(INDEX(Data_Input!$A$1:$ZZ$502, MATCH("매입금액", INDEX(Data_Input!$A$1:$ZZ$502, 0, MATCH(1, (Data_Input!$7:$7=$F$3)*(Data_Input!$8:$8=$B323), 0)), 0) + 1, MATCH(1, (Data_Input!$7:$7=$F$3)*(Data_Input!$8:$8=$B323), 0)),"")</f>
        <v/>
      </c>
      <c r="I323" s="20" t="str" cm="1">
        <f t="array" ref="I323">IFERROR(INDEX(Data_Input!$A$1:$ZZ$502, MATCH("평가금액", INDEX(Data_Input!$A$1:$ZZ$502, 0, MATCH(1, (Data_Input!$7:$7=$F$3)*(Data_Input!$8:$8=$B323), 0)), 0) + 1, MATCH(1, (Data_Input!$7:$7=$F$3)*(Data_Input!$8:$8=$B323), 0)),"")</f>
        <v/>
      </c>
      <c r="J323" s="20" t="str" cm="1">
        <f t="array" ref="J323">IFERROR(INDEX(Data_Input!$A$1:$ZZ$502, MATCH("평가손익", INDEX(Data_Input!$A$1:$ZZ$502, 0, MATCH(1, (Data_Input!$7:$7=$F$3)*(Data_Input!$8:$8=$B323), 0)), 0) + 1, MATCH(1, (Data_Input!$7:$7=$F$3)*(Data_Input!$8:$8=$B323), 0)),"")</f>
        <v/>
      </c>
      <c r="K323" s="14" t="str" cm="1">
        <f t="array" ref="K323">IFERROR(INDEX(Data_Input!$A$1:$ZZ$502, MATCH("총수익률", INDEX(Data_Input!$A$1:$ZZ$502, 0, MATCH(1, (Data_Input!$7:$7=$F$3)*(Data_Input!$8:$8=$B323), 0)), 0) + 1, MATCH(1, (Data_Input!$7:$7=$F$3)*(Data_Input!$8:$8=$B323), 0)),"")</f>
        <v/>
      </c>
      <c r="L323" t="str" cm="1">
        <f t="array" ref="L323">IFERROR(_xlfn.LET(
    _xlpm.targetDate, B323,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24" spans="1:12" x14ac:dyDescent="0.3">
      <c r="A324" s="16" t="str">
        <f t="shared" si="9"/>
        <v/>
      </c>
      <c r="B324" s="8"/>
      <c r="C324" s="17" t="str">
        <f t="shared" si="10"/>
        <v/>
      </c>
      <c r="D324" s="29" t="str" cm="1">
        <f t="array" ref="D324">IFERROR(INDEX(Data_Input!$1:$100, 10, MATCH(1, (Data_Input!$F$7:$ZZ$7=$F$3) * (Data_Input!$F$8:$ZZ$8=$B324), 0)),"")</f>
        <v/>
      </c>
      <c r="E324" s="29" t="str" cm="1">
        <f t="array" ref="E324">IFERROR(INDEX(Data_Input!$1:$100, 9, MATCH(1, (Data_Input!$7:$7=$F$3) * (Data_Input!$8:$8=$B324), 0)),"")</f>
        <v/>
      </c>
      <c r="F324" s="20" t="str" cm="1">
        <f t="array" ref="F324">IFERROR(INDEX(Data_Input!$A$1:$ZZ$502, MATCH("예수금", INDEX(Data_Input!$A$1:$ZZ$502, 0, MATCH(1, (Data_Input!$7:$7=$F$3)*(Data_Input!$8:$8=$B324), 0)), 0) + 1, MATCH(1, (Data_Input!$7:$7=$F$3)*(Data_Input!$8:$8=$B324), 0)),"")</f>
        <v/>
      </c>
      <c r="G324" s="20" t="str" cm="1">
        <f t="array" ref="G324">IFERROR(INDEX(Data_Input!$A$1:$ZZ$502, MATCH("총자산", INDEX(Data_Input!$A$1:$ZZ$502, 0, MATCH(1, (Data_Input!$7:$7=$F$3)*(Data_Input!$8:$8=$B324), 0)), 0) + 1, MATCH(1, (Data_Input!$7:$7=$F$3)*(Data_Input!$8:$8=$B324), 0)),"")</f>
        <v/>
      </c>
      <c r="H324" s="20" t="str" cm="1">
        <f t="array" ref="H324">IFERROR(INDEX(Data_Input!$A$1:$ZZ$502, MATCH("매입금액", INDEX(Data_Input!$A$1:$ZZ$502, 0, MATCH(1, (Data_Input!$7:$7=$F$3)*(Data_Input!$8:$8=$B324), 0)), 0) + 1, MATCH(1, (Data_Input!$7:$7=$F$3)*(Data_Input!$8:$8=$B324), 0)),"")</f>
        <v/>
      </c>
      <c r="I324" s="20" t="str" cm="1">
        <f t="array" ref="I324">IFERROR(INDEX(Data_Input!$A$1:$ZZ$502, MATCH("평가금액", INDEX(Data_Input!$A$1:$ZZ$502, 0, MATCH(1, (Data_Input!$7:$7=$F$3)*(Data_Input!$8:$8=$B324), 0)), 0) + 1, MATCH(1, (Data_Input!$7:$7=$F$3)*(Data_Input!$8:$8=$B324), 0)),"")</f>
        <v/>
      </c>
      <c r="J324" s="20" t="str" cm="1">
        <f t="array" ref="J324">IFERROR(INDEX(Data_Input!$A$1:$ZZ$502, MATCH("평가손익", INDEX(Data_Input!$A$1:$ZZ$502, 0, MATCH(1, (Data_Input!$7:$7=$F$3)*(Data_Input!$8:$8=$B324), 0)), 0) + 1, MATCH(1, (Data_Input!$7:$7=$F$3)*(Data_Input!$8:$8=$B324), 0)),"")</f>
        <v/>
      </c>
      <c r="K324" s="14" t="str" cm="1">
        <f t="array" ref="K324">IFERROR(INDEX(Data_Input!$A$1:$ZZ$502, MATCH("총수익률", INDEX(Data_Input!$A$1:$ZZ$502, 0, MATCH(1, (Data_Input!$7:$7=$F$3)*(Data_Input!$8:$8=$B324), 0)), 0) + 1, MATCH(1, (Data_Input!$7:$7=$F$3)*(Data_Input!$8:$8=$B324), 0)),"")</f>
        <v/>
      </c>
      <c r="L324" t="str" cm="1">
        <f t="array" ref="L324">IFERROR(_xlfn.LET(
    _xlpm.targetDate, B324,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25" spans="1:12" x14ac:dyDescent="0.3">
      <c r="A325" s="16" t="str">
        <f t="shared" si="9"/>
        <v/>
      </c>
      <c r="B325" s="8"/>
      <c r="C325" s="17" t="str">
        <f t="shared" si="10"/>
        <v/>
      </c>
      <c r="D325" s="29" t="str" cm="1">
        <f t="array" ref="D325">IFERROR(INDEX(Data_Input!$1:$100, 10, MATCH(1, (Data_Input!$F$7:$ZZ$7=$F$3) * (Data_Input!$F$8:$ZZ$8=$B325), 0)),"")</f>
        <v/>
      </c>
      <c r="E325" s="29" t="str" cm="1">
        <f t="array" ref="E325">IFERROR(INDEX(Data_Input!$1:$100, 9, MATCH(1, (Data_Input!$7:$7=$F$3) * (Data_Input!$8:$8=$B325), 0)),"")</f>
        <v/>
      </c>
      <c r="F325" s="20" t="str" cm="1">
        <f t="array" ref="F325">IFERROR(INDEX(Data_Input!$A$1:$ZZ$502, MATCH("예수금", INDEX(Data_Input!$A$1:$ZZ$502, 0, MATCH(1, (Data_Input!$7:$7=$F$3)*(Data_Input!$8:$8=$B325), 0)), 0) + 1, MATCH(1, (Data_Input!$7:$7=$F$3)*(Data_Input!$8:$8=$B325), 0)),"")</f>
        <v/>
      </c>
      <c r="G325" s="20" t="str" cm="1">
        <f t="array" ref="G325">IFERROR(INDEX(Data_Input!$A$1:$ZZ$502, MATCH("총자산", INDEX(Data_Input!$A$1:$ZZ$502, 0, MATCH(1, (Data_Input!$7:$7=$F$3)*(Data_Input!$8:$8=$B325), 0)), 0) + 1, MATCH(1, (Data_Input!$7:$7=$F$3)*(Data_Input!$8:$8=$B325), 0)),"")</f>
        <v/>
      </c>
      <c r="H325" s="20" t="str" cm="1">
        <f t="array" ref="H325">IFERROR(INDEX(Data_Input!$A$1:$ZZ$502, MATCH("매입금액", INDEX(Data_Input!$A$1:$ZZ$502, 0, MATCH(1, (Data_Input!$7:$7=$F$3)*(Data_Input!$8:$8=$B325), 0)), 0) + 1, MATCH(1, (Data_Input!$7:$7=$F$3)*(Data_Input!$8:$8=$B325), 0)),"")</f>
        <v/>
      </c>
      <c r="I325" s="20" t="str" cm="1">
        <f t="array" ref="I325">IFERROR(INDEX(Data_Input!$A$1:$ZZ$502, MATCH("평가금액", INDEX(Data_Input!$A$1:$ZZ$502, 0, MATCH(1, (Data_Input!$7:$7=$F$3)*(Data_Input!$8:$8=$B325), 0)), 0) + 1, MATCH(1, (Data_Input!$7:$7=$F$3)*(Data_Input!$8:$8=$B325), 0)),"")</f>
        <v/>
      </c>
      <c r="J325" s="20" t="str" cm="1">
        <f t="array" ref="J325">IFERROR(INDEX(Data_Input!$A$1:$ZZ$502, MATCH("평가손익", INDEX(Data_Input!$A$1:$ZZ$502, 0, MATCH(1, (Data_Input!$7:$7=$F$3)*(Data_Input!$8:$8=$B325), 0)), 0) + 1, MATCH(1, (Data_Input!$7:$7=$F$3)*(Data_Input!$8:$8=$B325), 0)),"")</f>
        <v/>
      </c>
      <c r="K325" s="14" t="str" cm="1">
        <f t="array" ref="K325">IFERROR(INDEX(Data_Input!$A$1:$ZZ$502, MATCH("총수익률", INDEX(Data_Input!$A$1:$ZZ$502, 0, MATCH(1, (Data_Input!$7:$7=$F$3)*(Data_Input!$8:$8=$B325), 0)), 0) + 1, MATCH(1, (Data_Input!$7:$7=$F$3)*(Data_Input!$8:$8=$B325), 0)),"")</f>
        <v/>
      </c>
      <c r="L325" t="str" cm="1">
        <f t="array" ref="L325">IFERROR(_xlfn.LET(
    _xlpm.targetDate, B325,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26" spans="1:12" x14ac:dyDescent="0.3">
      <c r="A326" s="16" t="str">
        <f t="shared" si="9"/>
        <v/>
      </c>
      <c r="B326" s="8"/>
      <c r="C326" s="17" t="str">
        <f t="shared" si="10"/>
        <v/>
      </c>
      <c r="D326" s="29" t="str" cm="1">
        <f t="array" ref="D326">IFERROR(INDEX(Data_Input!$1:$100, 10, MATCH(1, (Data_Input!$F$7:$ZZ$7=$F$3) * (Data_Input!$F$8:$ZZ$8=$B326), 0)),"")</f>
        <v/>
      </c>
      <c r="E326" s="29" t="str" cm="1">
        <f t="array" ref="E326">IFERROR(INDEX(Data_Input!$1:$100, 9, MATCH(1, (Data_Input!$7:$7=$F$3) * (Data_Input!$8:$8=$B326), 0)),"")</f>
        <v/>
      </c>
      <c r="F326" s="20" t="str" cm="1">
        <f t="array" ref="F326">IFERROR(INDEX(Data_Input!$A$1:$ZZ$502, MATCH("예수금", INDEX(Data_Input!$A$1:$ZZ$502, 0, MATCH(1, (Data_Input!$7:$7=$F$3)*(Data_Input!$8:$8=$B326), 0)), 0) + 1, MATCH(1, (Data_Input!$7:$7=$F$3)*(Data_Input!$8:$8=$B326), 0)),"")</f>
        <v/>
      </c>
      <c r="G326" s="20" t="str" cm="1">
        <f t="array" ref="G326">IFERROR(INDEX(Data_Input!$A$1:$ZZ$502, MATCH("총자산", INDEX(Data_Input!$A$1:$ZZ$502, 0, MATCH(1, (Data_Input!$7:$7=$F$3)*(Data_Input!$8:$8=$B326), 0)), 0) + 1, MATCH(1, (Data_Input!$7:$7=$F$3)*(Data_Input!$8:$8=$B326), 0)),"")</f>
        <v/>
      </c>
      <c r="H326" s="20" t="str" cm="1">
        <f t="array" ref="H326">IFERROR(INDEX(Data_Input!$A$1:$ZZ$502, MATCH("매입금액", INDEX(Data_Input!$A$1:$ZZ$502, 0, MATCH(1, (Data_Input!$7:$7=$F$3)*(Data_Input!$8:$8=$B326), 0)), 0) + 1, MATCH(1, (Data_Input!$7:$7=$F$3)*(Data_Input!$8:$8=$B326), 0)),"")</f>
        <v/>
      </c>
      <c r="I326" s="20" t="str" cm="1">
        <f t="array" ref="I326">IFERROR(INDEX(Data_Input!$A$1:$ZZ$502, MATCH("평가금액", INDEX(Data_Input!$A$1:$ZZ$502, 0, MATCH(1, (Data_Input!$7:$7=$F$3)*(Data_Input!$8:$8=$B326), 0)), 0) + 1, MATCH(1, (Data_Input!$7:$7=$F$3)*(Data_Input!$8:$8=$B326), 0)),"")</f>
        <v/>
      </c>
      <c r="J326" s="20" t="str" cm="1">
        <f t="array" ref="J326">IFERROR(INDEX(Data_Input!$A$1:$ZZ$502, MATCH("평가손익", INDEX(Data_Input!$A$1:$ZZ$502, 0, MATCH(1, (Data_Input!$7:$7=$F$3)*(Data_Input!$8:$8=$B326), 0)), 0) + 1, MATCH(1, (Data_Input!$7:$7=$F$3)*(Data_Input!$8:$8=$B326), 0)),"")</f>
        <v/>
      </c>
      <c r="K326" s="14" t="str" cm="1">
        <f t="array" ref="K326">IFERROR(INDEX(Data_Input!$A$1:$ZZ$502, MATCH("총수익률", INDEX(Data_Input!$A$1:$ZZ$502, 0, MATCH(1, (Data_Input!$7:$7=$F$3)*(Data_Input!$8:$8=$B326), 0)), 0) + 1, MATCH(1, (Data_Input!$7:$7=$F$3)*(Data_Input!$8:$8=$B326), 0)),"")</f>
        <v/>
      </c>
      <c r="L326" t="str" cm="1">
        <f t="array" ref="L326">IFERROR(_xlfn.LET(
    _xlpm.targetDate, B326,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27" spans="1:12" x14ac:dyDescent="0.3">
      <c r="A327" s="16" t="str">
        <f t="shared" ref="A327:A390" si="11">IF(B327&gt;0,A326+1,"")</f>
        <v/>
      </c>
      <c r="B327" s="8"/>
      <c r="C327" s="17" t="str">
        <f t="shared" si="10"/>
        <v/>
      </c>
      <c r="D327" s="29" t="str" cm="1">
        <f t="array" ref="D327">IFERROR(INDEX(Data_Input!$1:$100, 10, MATCH(1, (Data_Input!$F$7:$ZZ$7=$F$3) * (Data_Input!$F$8:$ZZ$8=$B327), 0)),"")</f>
        <v/>
      </c>
      <c r="E327" s="29" t="str" cm="1">
        <f t="array" ref="E327">IFERROR(INDEX(Data_Input!$1:$100, 9, MATCH(1, (Data_Input!$7:$7=$F$3) * (Data_Input!$8:$8=$B327), 0)),"")</f>
        <v/>
      </c>
      <c r="F327" s="20" t="str" cm="1">
        <f t="array" ref="F327">IFERROR(INDEX(Data_Input!$A$1:$ZZ$502, MATCH("예수금", INDEX(Data_Input!$A$1:$ZZ$502, 0, MATCH(1, (Data_Input!$7:$7=$F$3)*(Data_Input!$8:$8=$B327), 0)), 0) + 1, MATCH(1, (Data_Input!$7:$7=$F$3)*(Data_Input!$8:$8=$B327), 0)),"")</f>
        <v/>
      </c>
      <c r="G327" s="20" t="str" cm="1">
        <f t="array" ref="G327">IFERROR(INDEX(Data_Input!$A$1:$ZZ$502, MATCH("총자산", INDEX(Data_Input!$A$1:$ZZ$502, 0, MATCH(1, (Data_Input!$7:$7=$F$3)*(Data_Input!$8:$8=$B327), 0)), 0) + 1, MATCH(1, (Data_Input!$7:$7=$F$3)*(Data_Input!$8:$8=$B327), 0)),"")</f>
        <v/>
      </c>
      <c r="H327" s="20" t="str" cm="1">
        <f t="array" ref="H327">IFERROR(INDEX(Data_Input!$A$1:$ZZ$502, MATCH("매입금액", INDEX(Data_Input!$A$1:$ZZ$502, 0, MATCH(1, (Data_Input!$7:$7=$F$3)*(Data_Input!$8:$8=$B327), 0)), 0) + 1, MATCH(1, (Data_Input!$7:$7=$F$3)*(Data_Input!$8:$8=$B327), 0)),"")</f>
        <v/>
      </c>
      <c r="I327" s="20" t="str" cm="1">
        <f t="array" ref="I327">IFERROR(INDEX(Data_Input!$A$1:$ZZ$502, MATCH("평가금액", INDEX(Data_Input!$A$1:$ZZ$502, 0, MATCH(1, (Data_Input!$7:$7=$F$3)*(Data_Input!$8:$8=$B327), 0)), 0) + 1, MATCH(1, (Data_Input!$7:$7=$F$3)*(Data_Input!$8:$8=$B327), 0)),"")</f>
        <v/>
      </c>
      <c r="J327" s="20" t="str" cm="1">
        <f t="array" ref="J327">IFERROR(INDEX(Data_Input!$A$1:$ZZ$502, MATCH("평가손익", INDEX(Data_Input!$A$1:$ZZ$502, 0, MATCH(1, (Data_Input!$7:$7=$F$3)*(Data_Input!$8:$8=$B327), 0)), 0) + 1, MATCH(1, (Data_Input!$7:$7=$F$3)*(Data_Input!$8:$8=$B327), 0)),"")</f>
        <v/>
      </c>
      <c r="K327" s="14" t="str" cm="1">
        <f t="array" ref="K327">IFERROR(INDEX(Data_Input!$A$1:$ZZ$502, MATCH("총수익률", INDEX(Data_Input!$A$1:$ZZ$502, 0, MATCH(1, (Data_Input!$7:$7=$F$3)*(Data_Input!$8:$8=$B327), 0)), 0) + 1, MATCH(1, (Data_Input!$7:$7=$F$3)*(Data_Input!$8:$8=$B327), 0)),"")</f>
        <v/>
      </c>
      <c r="L327" t="str" cm="1">
        <f t="array" ref="L327">IFERROR(_xlfn.LET(
    _xlpm.targetDate, B327,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28" spans="1:12" x14ac:dyDescent="0.3">
      <c r="A328" s="16" t="str">
        <f t="shared" si="11"/>
        <v/>
      </c>
      <c r="B328" s="8"/>
      <c r="C328" s="17" t="str">
        <f t="shared" si="10"/>
        <v/>
      </c>
      <c r="D328" s="29" t="str" cm="1">
        <f t="array" ref="D328">IFERROR(INDEX(Data_Input!$1:$100, 10, MATCH(1, (Data_Input!$F$7:$ZZ$7=$F$3) * (Data_Input!$F$8:$ZZ$8=$B328), 0)),"")</f>
        <v/>
      </c>
      <c r="E328" s="29" t="str" cm="1">
        <f t="array" ref="E328">IFERROR(INDEX(Data_Input!$1:$100, 9, MATCH(1, (Data_Input!$7:$7=$F$3) * (Data_Input!$8:$8=$B328), 0)),"")</f>
        <v/>
      </c>
      <c r="F328" s="20" t="str" cm="1">
        <f t="array" ref="F328">IFERROR(INDEX(Data_Input!$A$1:$ZZ$502, MATCH("예수금", INDEX(Data_Input!$A$1:$ZZ$502, 0, MATCH(1, (Data_Input!$7:$7=$F$3)*(Data_Input!$8:$8=$B328), 0)), 0) + 1, MATCH(1, (Data_Input!$7:$7=$F$3)*(Data_Input!$8:$8=$B328), 0)),"")</f>
        <v/>
      </c>
      <c r="G328" s="20" t="str" cm="1">
        <f t="array" ref="G328">IFERROR(INDEX(Data_Input!$A$1:$ZZ$502, MATCH("총자산", INDEX(Data_Input!$A$1:$ZZ$502, 0, MATCH(1, (Data_Input!$7:$7=$F$3)*(Data_Input!$8:$8=$B328), 0)), 0) + 1, MATCH(1, (Data_Input!$7:$7=$F$3)*(Data_Input!$8:$8=$B328), 0)),"")</f>
        <v/>
      </c>
      <c r="H328" s="20" t="str" cm="1">
        <f t="array" ref="H328">IFERROR(INDEX(Data_Input!$A$1:$ZZ$502, MATCH("매입금액", INDEX(Data_Input!$A$1:$ZZ$502, 0, MATCH(1, (Data_Input!$7:$7=$F$3)*(Data_Input!$8:$8=$B328), 0)), 0) + 1, MATCH(1, (Data_Input!$7:$7=$F$3)*(Data_Input!$8:$8=$B328), 0)),"")</f>
        <v/>
      </c>
      <c r="I328" s="20" t="str" cm="1">
        <f t="array" ref="I328">IFERROR(INDEX(Data_Input!$A$1:$ZZ$502, MATCH("평가금액", INDEX(Data_Input!$A$1:$ZZ$502, 0, MATCH(1, (Data_Input!$7:$7=$F$3)*(Data_Input!$8:$8=$B328), 0)), 0) + 1, MATCH(1, (Data_Input!$7:$7=$F$3)*(Data_Input!$8:$8=$B328), 0)),"")</f>
        <v/>
      </c>
      <c r="J328" s="20" t="str" cm="1">
        <f t="array" ref="J328">IFERROR(INDEX(Data_Input!$A$1:$ZZ$502, MATCH("평가손익", INDEX(Data_Input!$A$1:$ZZ$502, 0, MATCH(1, (Data_Input!$7:$7=$F$3)*(Data_Input!$8:$8=$B328), 0)), 0) + 1, MATCH(1, (Data_Input!$7:$7=$F$3)*(Data_Input!$8:$8=$B328), 0)),"")</f>
        <v/>
      </c>
      <c r="K328" s="14" t="str" cm="1">
        <f t="array" ref="K328">IFERROR(INDEX(Data_Input!$A$1:$ZZ$502, MATCH("총수익률", INDEX(Data_Input!$A$1:$ZZ$502, 0, MATCH(1, (Data_Input!$7:$7=$F$3)*(Data_Input!$8:$8=$B328), 0)), 0) + 1, MATCH(1, (Data_Input!$7:$7=$F$3)*(Data_Input!$8:$8=$B328), 0)),"")</f>
        <v/>
      </c>
      <c r="L328" t="str" cm="1">
        <f t="array" ref="L328">IFERROR(_xlfn.LET(
    _xlpm.targetDate, B328,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29" spans="1:12" x14ac:dyDescent="0.3">
      <c r="A329" s="16" t="str">
        <f t="shared" si="11"/>
        <v/>
      </c>
      <c r="B329" s="8"/>
      <c r="C329" s="17" t="str">
        <f t="shared" si="10"/>
        <v/>
      </c>
      <c r="D329" s="29" t="str" cm="1">
        <f t="array" ref="D329">IFERROR(INDEX(Data_Input!$1:$100, 10, MATCH(1, (Data_Input!$F$7:$ZZ$7=$F$3) * (Data_Input!$F$8:$ZZ$8=$B329), 0)),"")</f>
        <v/>
      </c>
      <c r="E329" s="29" t="str" cm="1">
        <f t="array" ref="E329">IFERROR(INDEX(Data_Input!$1:$100, 9, MATCH(1, (Data_Input!$7:$7=$F$3) * (Data_Input!$8:$8=$B329), 0)),"")</f>
        <v/>
      </c>
      <c r="F329" s="20" t="str" cm="1">
        <f t="array" ref="F329">IFERROR(INDEX(Data_Input!$A$1:$ZZ$502, MATCH("예수금", INDEX(Data_Input!$A$1:$ZZ$502, 0, MATCH(1, (Data_Input!$7:$7=$F$3)*(Data_Input!$8:$8=$B329), 0)), 0) + 1, MATCH(1, (Data_Input!$7:$7=$F$3)*(Data_Input!$8:$8=$B329), 0)),"")</f>
        <v/>
      </c>
      <c r="G329" s="20" t="str" cm="1">
        <f t="array" ref="G329">IFERROR(INDEX(Data_Input!$A$1:$ZZ$502, MATCH("총자산", INDEX(Data_Input!$A$1:$ZZ$502, 0, MATCH(1, (Data_Input!$7:$7=$F$3)*(Data_Input!$8:$8=$B329), 0)), 0) + 1, MATCH(1, (Data_Input!$7:$7=$F$3)*(Data_Input!$8:$8=$B329), 0)),"")</f>
        <v/>
      </c>
      <c r="H329" s="20" t="str" cm="1">
        <f t="array" ref="H329">IFERROR(INDEX(Data_Input!$A$1:$ZZ$502, MATCH("매입금액", INDEX(Data_Input!$A$1:$ZZ$502, 0, MATCH(1, (Data_Input!$7:$7=$F$3)*(Data_Input!$8:$8=$B329), 0)), 0) + 1, MATCH(1, (Data_Input!$7:$7=$F$3)*(Data_Input!$8:$8=$B329), 0)),"")</f>
        <v/>
      </c>
      <c r="I329" s="20" t="str" cm="1">
        <f t="array" ref="I329">IFERROR(INDEX(Data_Input!$A$1:$ZZ$502, MATCH("평가금액", INDEX(Data_Input!$A$1:$ZZ$502, 0, MATCH(1, (Data_Input!$7:$7=$F$3)*(Data_Input!$8:$8=$B329), 0)), 0) + 1, MATCH(1, (Data_Input!$7:$7=$F$3)*(Data_Input!$8:$8=$B329), 0)),"")</f>
        <v/>
      </c>
      <c r="J329" s="20" t="str" cm="1">
        <f t="array" ref="J329">IFERROR(INDEX(Data_Input!$A$1:$ZZ$502, MATCH("평가손익", INDEX(Data_Input!$A$1:$ZZ$502, 0, MATCH(1, (Data_Input!$7:$7=$F$3)*(Data_Input!$8:$8=$B329), 0)), 0) + 1, MATCH(1, (Data_Input!$7:$7=$F$3)*(Data_Input!$8:$8=$B329), 0)),"")</f>
        <v/>
      </c>
      <c r="K329" s="14" t="str" cm="1">
        <f t="array" ref="K329">IFERROR(INDEX(Data_Input!$A$1:$ZZ$502, MATCH("총수익률", INDEX(Data_Input!$A$1:$ZZ$502, 0, MATCH(1, (Data_Input!$7:$7=$F$3)*(Data_Input!$8:$8=$B329), 0)), 0) + 1, MATCH(1, (Data_Input!$7:$7=$F$3)*(Data_Input!$8:$8=$B329), 0)),"")</f>
        <v/>
      </c>
      <c r="L329" t="str" cm="1">
        <f t="array" ref="L329">IFERROR(_xlfn.LET(
    _xlpm.targetDate, B329,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30" spans="1:12" x14ac:dyDescent="0.3">
      <c r="A330" s="16" t="str">
        <f t="shared" si="11"/>
        <v/>
      </c>
      <c r="B330" s="8"/>
      <c r="C330" s="17" t="str">
        <f t="shared" ref="C330:C393" si="12">IF(B330&gt;0,C329,"")</f>
        <v/>
      </c>
      <c r="D330" s="29" t="str" cm="1">
        <f t="array" ref="D330">IFERROR(INDEX(Data_Input!$1:$100, 10, MATCH(1, (Data_Input!$F$7:$ZZ$7=$F$3) * (Data_Input!$F$8:$ZZ$8=$B330), 0)),"")</f>
        <v/>
      </c>
      <c r="E330" s="29" t="str" cm="1">
        <f t="array" ref="E330">IFERROR(INDEX(Data_Input!$1:$100, 9, MATCH(1, (Data_Input!$7:$7=$F$3) * (Data_Input!$8:$8=$B330), 0)),"")</f>
        <v/>
      </c>
      <c r="F330" s="20" t="str" cm="1">
        <f t="array" ref="F330">IFERROR(INDEX(Data_Input!$A$1:$ZZ$502, MATCH("예수금", INDEX(Data_Input!$A$1:$ZZ$502, 0, MATCH(1, (Data_Input!$7:$7=$F$3)*(Data_Input!$8:$8=$B330), 0)), 0) + 1, MATCH(1, (Data_Input!$7:$7=$F$3)*(Data_Input!$8:$8=$B330), 0)),"")</f>
        <v/>
      </c>
      <c r="G330" s="20" t="str" cm="1">
        <f t="array" ref="G330">IFERROR(INDEX(Data_Input!$A$1:$ZZ$502, MATCH("총자산", INDEX(Data_Input!$A$1:$ZZ$502, 0, MATCH(1, (Data_Input!$7:$7=$F$3)*(Data_Input!$8:$8=$B330), 0)), 0) + 1, MATCH(1, (Data_Input!$7:$7=$F$3)*(Data_Input!$8:$8=$B330), 0)),"")</f>
        <v/>
      </c>
      <c r="H330" s="20" t="str" cm="1">
        <f t="array" ref="H330">IFERROR(INDEX(Data_Input!$A$1:$ZZ$502, MATCH("매입금액", INDEX(Data_Input!$A$1:$ZZ$502, 0, MATCH(1, (Data_Input!$7:$7=$F$3)*(Data_Input!$8:$8=$B330), 0)), 0) + 1, MATCH(1, (Data_Input!$7:$7=$F$3)*(Data_Input!$8:$8=$B330), 0)),"")</f>
        <v/>
      </c>
      <c r="I330" s="20" t="str" cm="1">
        <f t="array" ref="I330">IFERROR(INDEX(Data_Input!$A$1:$ZZ$502, MATCH("평가금액", INDEX(Data_Input!$A$1:$ZZ$502, 0, MATCH(1, (Data_Input!$7:$7=$F$3)*(Data_Input!$8:$8=$B330), 0)), 0) + 1, MATCH(1, (Data_Input!$7:$7=$F$3)*(Data_Input!$8:$8=$B330), 0)),"")</f>
        <v/>
      </c>
      <c r="J330" s="20" t="str" cm="1">
        <f t="array" ref="J330">IFERROR(INDEX(Data_Input!$A$1:$ZZ$502, MATCH("평가손익", INDEX(Data_Input!$A$1:$ZZ$502, 0, MATCH(1, (Data_Input!$7:$7=$F$3)*(Data_Input!$8:$8=$B330), 0)), 0) + 1, MATCH(1, (Data_Input!$7:$7=$F$3)*(Data_Input!$8:$8=$B330), 0)),"")</f>
        <v/>
      </c>
      <c r="K330" s="14" t="str" cm="1">
        <f t="array" ref="K330">IFERROR(INDEX(Data_Input!$A$1:$ZZ$502, MATCH("총수익률", INDEX(Data_Input!$A$1:$ZZ$502, 0, MATCH(1, (Data_Input!$7:$7=$F$3)*(Data_Input!$8:$8=$B330), 0)), 0) + 1, MATCH(1, (Data_Input!$7:$7=$F$3)*(Data_Input!$8:$8=$B330), 0)),"")</f>
        <v/>
      </c>
      <c r="L330" t="str" cm="1">
        <f t="array" ref="L330">IFERROR(_xlfn.LET(
    _xlpm.targetDate, B330,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31" spans="1:12" x14ac:dyDescent="0.3">
      <c r="A331" s="16" t="str">
        <f t="shared" si="11"/>
        <v/>
      </c>
      <c r="B331" s="8"/>
      <c r="C331" s="17" t="str">
        <f t="shared" si="12"/>
        <v/>
      </c>
      <c r="D331" s="29" t="str" cm="1">
        <f t="array" ref="D331">IFERROR(INDEX(Data_Input!$1:$100, 10, MATCH(1, (Data_Input!$F$7:$ZZ$7=$F$3) * (Data_Input!$F$8:$ZZ$8=$B331), 0)),"")</f>
        <v/>
      </c>
      <c r="E331" s="29" t="str" cm="1">
        <f t="array" ref="E331">IFERROR(INDEX(Data_Input!$1:$100, 9, MATCH(1, (Data_Input!$7:$7=$F$3) * (Data_Input!$8:$8=$B331), 0)),"")</f>
        <v/>
      </c>
      <c r="F331" s="20" t="str" cm="1">
        <f t="array" ref="F331">IFERROR(INDEX(Data_Input!$A$1:$ZZ$502, MATCH("예수금", INDEX(Data_Input!$A$1:$ZZ$502, 0, MATCH(1, (Data_Input!$7:$7=$F$3)*(Data_Input!$8:$8=$B331), 0)), 0) + 1, MATCH(1, (Data_Input!$7:$7=$F$3)*(Data_Input!$8:$8=$B331), 0)),"")</f>
        <v/>
      </c>
      <c r="G331" s="20" t="str" cm="1">
        <f t="array" ref="G331">IFERROR(INDEX(Data_Input!$A$1:$ZZ$502, MATCH("총자산", INDEX(Data_Input!$A$1:$ZZ$502, 0, MATCH(1, (Data_Input!$7:$7=$F$3)*(Data_Input!$8:$8=$B331), 0)), 0) + 1, MATCH(1, (Data_Input!$7:$7=$F$3)*(Data_Input!$8:$8=$B331), 0)),"")</f>
        <v/>
      </c>
      <c r="H331" s="20" t="str" cm="1">
        <f t="array" ref="H331">IFERROR(INDEX(Data_Input!$A$1:$ZZ$502, MATCH("매입금액", INDEX(Data_Input!$A$1:$ZZ$502, 0, MATCH(1, (Data_Input!$7:$7=$F$3)*(Data_Input!$8:$8=$B331), 0)), 0) + 1, MATCH(1, (Data_Input!$7:$7=$F$3)*(Data_Input!$8:$8=$B331), 0)),"")</f>
        <v/>
      </c>
      <c r="I331" s="20" t="str" cm="1">
        <f t="array" ref="I331">IFERROR(INDEX(Data_Input!$A$1:$ZZ$502, MATCH("평가금액", INDEX(Data_Input!$A$1:$ZZ$502, 0, MATCH(1, (Data_Input!$7:$7=$F$3)*(Data_Input!$8:$8=$B331), 0)), 0) + 1, MATCH(1, (Data_Input!$7:$7=$F$3)*(Data_Input!$8:$8=$B331), 0)),"")</f>
        <v/>
      </c>
      <c r="J331" s="20" t="str" cm="1">
        <f t="array" ref="J331">IFERROR(INDEX(Data_Input!$A$1:$ZZ$502, MATCH("평가손익", INDEX(Data_Input!$A$1:$ZZ$502, 0, MATCH(1, (Data_Input!$7:$7=$F$3)*(Data_Input!$8:$8=$B331), 0)), 0) + 1, MATCH(1, (Data_Input!$7:$7=$F$3)*(Data_Input!$8:$8=$B331), 0)),"")</f>
        <v/>
      </c>
      <c r="K331" s="14" t="str" cm="1">
        <f t="array" ref="K331">IFERROR(INDEX(Data_Input!$A$1:$ZZ$502, MATCH("총수익률", INDEX(Data_Input!$A$1:$ZZ$502, 0, MATCH(1, (Data_Input!$7:$7=$F$3)*(Data_Input!$8:$8=$B331), 0)), 0) + 1, MATCH(1, (Data_Input!$7:$7=$F$3)*(Data_Input!$8:$8=$B331), 0)),"")</f>
        <v/>
      </c>
      <c r="L331" t="str" cm="1">
        <f t="array" ref="L331">IFERROR(_xlfn.LET(
    _xlpm.targetDate, B331,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32" spans="1:12" x14ac:dyDescent="0.3">
      <c r="A332" s="16" t="str">
        <f t="shared" si="11"/>
        <v/>
      </c>
      <c r="B332" s="8"/>
      <c r="C332" s="17" t="str">
        <f t="shared" si="12"/>
        <v/>
      </c>
      <c r="D332" s="29" t="str" cm="1">
        <f t="array" ref="D332">IFERROR(INDEX(Data_Input!$1:$100, 10, MATCH(1, (Data_Input!$F$7:$ZZ$7=$F$3) * (Data_Input!$F$8:$ZZ$8=$B332), 0)),"")</f>
        <v/>
      </c>
      <c r="E332" s="29" t="str" cm="1">
        <f t="array" ref="E332">IFERROR(INDEX(Data_Input!$1:$100, 9, MATCH(1, (Data_Input!$7:$7=$F$3) * (Data_Input!$8:$8=$B332), 0)),"")</f>
        <v/>
      </c>
      <c r="F332" s="20" t="str" cm="1">
        <f t="array" ref="F332">IFERROR(INDEX(Data_Input!$A$1:$ZZ$502, MATCH("예수금", INDEX(Data_Input!$A$1:$ZZ$502, 0, MATCH(1, (Data_Input!$7:$7=$F$3)*(Data_Input!$8:$8=$B332), 0)), 0) + 1, MATCH(1, (Data_Input!$7:$7=$F$3)*(Data_Input!$8:$8=$B332), 0)),"")</f>
        <v/>
      </c>
      <c r="G332" s="20" t="str" cm="1">
        <f t="array" ref="G332">IFERROR(INDEX(Data_Input!$A$1:$ZZ$502, MATCH("총자산", INDEX(Data_Input!$A$1:$ZZ$502, 0, MATCH(1, (Data_Input!$7:$7=$F$3)*(Data_Input!$8:$8=$B332), 0)), 0) + 1, MATCH(1, (Data_Input!$7:$7=$F$3)*(Data_Input!$8:$8=$B332), 0)),"")</f>
        <v/>
      </c>
      <c r="H332" s="20" t="str" cm="1">
        <f t="array" ref="H332">IFERROR(INDEX(Data_Input!$A$1:$ZZ$502, MATCH("매입금액", INDEX(Data_Input!$A$1:$ZZ$502, 0, MATCH(1, (Data_Input!$7:$7=$F$3)*(Data_Input!$8:$8=$B332), 0)), 0) + 1, MATCH(1, (Data_Input!$7:$7=$F$3)*(Data_Input!$8:$8=$B332), 0)),"")</f>
        <v/>
      </c>
      <c r="I332" s="20" t="str" cm="1">
        <f t="array" ref="I332">IFERROR(INDEX(Data_Input!$A$1:$ZZ$502, MATCH("평가금액", INDEX(Data_Input!$A$1:$ZZ$502, 0, MATCH(1, (Data_Input!$7:$7=$F$3)*(Data_Input!$8:$8=$B332), 0)), 0) + 1, MATCH(1, (Data_Input!$7:$7=$F$3)*(Data_Input!$8:$8=$B332), 0)),"")</f>
        <v/>
      </c>
      <c r="J332" s="20" t="str" cm="1">
        <f t="array" ref="J332">IFERROR(INDEX(Data_Input!$A$1:$ZZ$502, MATCH("평가손익", INDEX(Data_Input!$A$1:$ZZ$502, 0, MATCH(1, (Data_Input!$7:$7=$F$3)*(Data_Input!$8:$8=$B332), 0)), 0) + 1, MATCH(1, (Data_Input!$7:$7=$F$3)*(Data_Input!$8:$8=$B332), 0)),"")</f>
        <v/>
      </c>
      <c r="K332" s="14" t="str" cm="1">
        <f t="array" ref="K332">IFERROR(INDEX(Data_Input!$A$1:$ZZ$502, MATCH("총수익률", INDEX(Data_Input!$A$1:$ZZ$502, 0, MATCH(1, (Data_Input!$7:$7=$F$3)*(Data_Input!$8:$8=$B332), 0)), 0) + 1, MATCH(1, (Data_Input!$7:$7=$F$3)*(Data_Input!$8:$8=$B332), 0)),"")</f>
        <v/>
      </c>
      <c r="L332" t="str" cm="1">
        <f t="array" ref="L332">IFERROR(_xlfn.LET(
    _xlpm.targetDate, B332,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33" spans="1:12" x14ac:dyDescent="0.3">
      <c r="A333" s="16" t="str">
        <f t="shared" si="11"/>
        <v/>
      </c>
      <c r="B333" s="8"/>
      <c r="C333" s="17" t="str">
        <f t="shared" si="12"/>
        <v/>
      </c>
      <c r="D333" s="29" t="str" cm="1">
        <f t="array" ref="D333">IFERROR(INDEX(Data_Input!$1:$100, 10, MATCH(1, (Data_Input!$F$7:$ZZ$7=$F$3) * (Data_Input!$F$8:$ZZ$8=$B333), 0)),"")</f>
        <v/>
      </c>
      <c r="E333" s="29" t="str" cm="1">
        <f t="array" ref="E333">IFERROR(INDEX(Data_Input!$1:$100, 9, MATCH(1, (Data_Input!$7:$7=$F$3) * (Data_Input!$8:$8=$B333), 0)),"")</f>
        <v/>
      </c>
      <c r="F333" s="20" t="str" cm="1">
        <f t="array" ref="F333">IFERROR(INDEX(Data_Input!$A$1:$ZZ$502, MATCH("예수금", INDEX(Data_Input!$A$1:$ZZ$502, 0, MATCH(1, (Data_Input!$7:$7=$F$3)*(Data_Input!$8:$8=$B333), 0)), 0) + 1, MATCH(1, (Data_Input!$7:$7=$F$3)*(Data_Input!$8:$8=$B333), 0)),"")</f>
        <v/>
      </c>
      <c r="G333" s="20" t="str" cm="1">
        <f t="array" ref="G333">IFERROR(INDEX(Data_Input!$A$1:$ZZ$502, MATCH("총자산", INDEX(Data_Input!$A$1:$ZZ$502, 0, MATCH(1, (Data_Input!$7:$7=$F$3)*(Data_Input!$8:$8=$B333), 0)), 0) + 1, MATCH(1, (Data_Input!$7:$7=$F$3)*(Data_Input!$8:$8=$B333), 0)),"")</f>
        <v/>
      </c>
      <c r="H333" s="20" t="str" cm="1">
        <f t="array" ref="H333">IFERROR(INDEX(Data_Input!$A$1:$ZZ$502, MATCH("매입금액", INDEX(Data_Input!$A$1:$ZZ$502, 0, MATCH(1, (Data_Input!$7:$7=$F$3)*(Data_Input!$8:$8=$B333), 0)), 0) + 1, MATCH(1, (Data_Input!$7:$7=$F$3)*(Data_Input!$8:$8=$B333), 0)),"")</f>
        <v/>
      </c>
      <c r="I333" s="20" t="str" cm="1">
        <f t="array" ref="I333">IFERROR(INDEX(Data_Input!$A$1:$ZZ$502, MATCH("평가금액", INDEX(Data_Input!$A$1:$ZZ$502, 0, MATCH(1, (Data_Input!$7:$7=$F$3)*(Data_Input!$8:$8=$B333), 0)), 0) + 1, MATCH(1, (Data_Input!$7:$7=$F$3)*(Data_Input!$8:$8=$B333), 0)),"")</f>
        <v/>
      </c>
      <c r="J333" s="20" t="str" cm="1">
        <f t="array" ref="J333">IFERROR(INDEX(Data_Input!$A$1:$ZZ$502, MATCH("평가손익", INDEX(Data_Input!$A$1:$ZZ$502, 0, MATCH(1, (Data_Input!$7:$7=$F$3)*(Data_Input!$8:$8=$B333), 0)), 0) + 1, MATCH(1, (Data_Input!$7:$7=$F$3)*(Data_Input!$8:$8=$B333), 0)),"")</f>
        <v/>
      </c>
      <c r="K333" s="14" t="str" cm="1">
        <f t="array" ref="K333">IFERROR(INDEX(Data_Input!$A$1:$ZZ$502, MATCH("총수익률", INDEX(Data_Input!$A$1:$ZZ$502, 0, MATCH(1, (Data_Input!$7:$7=$F$3)*(Data_Input!$8:$8=$B333), 0)), 0) + 1, MATCH(1, (Data_Input!$7:$7=$F$3)*(Data_Input!$8:$8=$B333), 0)),"")</f>
        <v/>
      </c>
      <c r="L333" t="str" cm="1">
        <f t="array" ref="L333">IFERROR(_xlfn.LET(
    _xlpm.targetDate, B333,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34" spans="1:12" x14ac:dyDescent="0.3">
      <c r="A334" s="16" t="str">
        <f t="shared" si="11"/>
        <v/>
      </c>
      <c r="B334" s="8"/>
      <c r="C334" s="17" t="str">
        <f t="shared" si="12"/>
        <v/>
      </c>
      <c r="D334" s="29" t="str" cm="1">
        <f t="array" ref="D334">IFERROR(INDEX(Data_Input!$1:$100, 10, MATCH(1, (Data_Input!$F$7:$ZZ$7=$F$3) * (Data_Input!$F$8:$ZZ$8=$B334), 0)),"")</f>
        <v/>
      </c>
      <c r="E334" s="29" t="str" cm="1">
        <f t="array" ref="E334">IFERROR(INDEX(Data_Input!$1:$100, 9, MATCH(1, (Data_Input!$7:$7=$F$3) * (Data_Input!$8:$8=$B334), 0)),"")</f>
        <v/>
      </c>
      <c r="F334" s="20" t="str" cm="1">
        <f t="array" ref="F334">IFERROR(INDEX(Data_Input!$A$1:$ZZ$502, MATCH("예수금", INDEX(Data_Input!$A$1:$ZZ$502, 0, MATCH(1, (Data_Input!$7:$7=$F$3)*(Data_Input!$8:$8=$B334), 0)), 0) + 1, MATCH(1, (Data_Input!$7:$7=$F$3)*(Data_Input!$8:$8=$B334), 0)),"")</f>
        <v/>
      </c>
      <c r="G334" s="20" t="str" cm="1">
        <f t="array" ref="G334">IFERROR(INDEX(Data_Input!$A$1:$ZZ$502, MATCH("총자산", INDEX(Data_Input!$A$1:$ZZ$502, 0, MATCH(1, (Data_Input!$7:$7=$F$3)*(Data_Input!$8:$8=$B334), 0)), 0) + 1, MATCH(1, (Data_Input!$7:$7=$F$3)*(Data_Input!$8:$8=$B334), 0)),"")</f>
        <v/>
      </c>
      <c r="H334" s="20" t="str" cm="1">
        <f t="array" ref="H334">IFERROR(INDEX(Data_Input!$A$1:$ZZ$502, MATCH("매입금액", INDEX(Data_Input!$A$1:$ZZ$502, 0, MATCH(1, (Data_Input!$7:$7=$F$3)*(Data_Input!$8:$8=$B334), 0)), 0) + 1, MATCH(1, (Data_Input!$7:$7=$F$3)*(Data_Input!$8:$8=$B334), 0)),"")</f>
        <v/>
      </c>
      <c r="I334" s="20" t="str" cm="1">
        <f t="array" ref="I334">IFERROR(INDEX(Data_Input!$A$1:$ZZ$502, MATCH("평가금액", INDEX(Data_Input!$A$1:$ZZ$502, 0, MATCH(1, (Data_Input!$7:$7=$F$3)*(Data_Input!$8:$8=$B334), 0)), 0) + 1, MATCH(1, (Data_Input!$7:$7=$F$3)*(Data_Input!$8:$8=$B334), 0)),"")</f>
        <v/>
      </c>
      <c r="J334" s="20" t="str" cm="1">
        <f t="array" ref="J334">IFERROR(INDEX(Data_Input!$A$1:$ZZ$502, MATCH("평가손익", INDEX(Data_Input!$A$1:$ZZ$502, 0, MATCH(1, (Data_Input!$7:$7=$F$3)*(Data_Input!$8:$8=$B334), 0)), 0) + 1, MATCH(1, (Data_Input!$7:$7=$F$3)*(Data_Input!$8:$8=$B334), 0)),"")</f>
        <v/>
      </c>
      <c r="K334" s="14" t="str" cm="1">
        <f t="array" ref="K334">IFERROR(INDEX(Data_Input!$A$1:$ZZ$502, MATCH("총수익률", INDEX(Data_Input!$A$1:$ZZ$502, 0, MATCH(1, (Data_Input!$7:$7=$F$3)*(Data_Input!$8:$8=$B334), 0)), 0) + 1, MATCH(1, (Data_Input!$7:$7=$F$3)*(Data_Input!$8:$8=$B334), 0)),"")</f>
        <v/>
      </c>
      <c r="L334" t="str" cm="1">
        <f t="array" ref="L334">IFERROR(_xlfn.LET(
    _xlpm.targetDate, B334,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35" spans="1:12" x14ac:dyDescent="0.3">
      <c r="A335" s="16" t="str">
        <f t="shared" si="11"/>
        <v/>
      </c>
      <c r="B335" s="8"/>
      <c r="C335" s="17" t="str">
        <f t="shared" si="12"/>
        <v/>
      </c>
      <c r="D335" s="29" t="str" cm="1">
        <f t="array" ref="D335">IFERROR(INDEX(Data_Input!$1:$100, 10, MATCH(1, (Data_Input!$F$7:$ZZ$7=$F$3) * (Data_Input!$F$8:$ZZ$8=$B335), 0)),"")</f>
        <v/>
      </c>
      <c r="E335" s="29" t="str" cm="1">
        <f t="array" ref="E335">IFERROR(INDEX(Data_Input!$1:$100, 9, MATCH(1, (Data_Input!$7:$7=$F$3) * (Data_Input!$8:$8=$B335), 0)),"")</f>
        <v/>
      </c>
      <c r="F335" s="20" t="str" cm="1">
        <f t="array" ref="F335">IFERROR(INDEX(Data_Input!$A$1:$ZZ$502, MATCH("예수금", INDEX(Data_Input!$A$1:$ZZ$502, 0, MATCH(1, (Data_Input!$7:$7=$F$3)*(Data_Input!$8:$8=$B335), 0)), 0) + 1, MATCH(1, (Data_Input!$7:$7=$F$3)*(Data_Input!$8:$8=$B335), 0)),"")</f>
        <v/>
      </c>
      <c r="G335" s="20" t="str" cm="1">
        <f t="array" ref="G335">IFERROR(INDEX(Data_Input!$A$1:$ZZ$502, MATCH("총자산", INDEX(Data_Input!$A$1:$ZZ$502, 0, MATCH(1, (Data_Input!$7:$7=$F$3)*(Data_Input!$8:$8=$B335), 0)), 0) + 1, MATCH(1, (Data_Input!$7:$7=$F$3)*(Data_Input!$8:$8=$B335), 0)),"")</f>
        <v/>
      </c>
      <c r="H335" s="20" t="str" cm="1">
        <f t="array" ref="H335">IFERROR(INDEX(Data_Input!$A$1:$ZZ$502, MATCH("매입금액", INDEX(Data_Input!$A$1:$ZZ$502, 0, MATCH(1, (Data_Input!$7:$7=$F$3)*(Data_Input!$8:$8=$B335), 0)), 0) + 1, MATCH(1, (Data_Input!$7:$7=$F$3)*(Data_Input!$8:$8=$B335), 0)),"")</f>
        <v/>
      </c>
      <c r="I335" s="20" t="str" cm="1">
        <f t="array" ref="I335">IFERROR(INDEX(Data_Input!$A$1:$ZZ$502, MATCH("평가금액", INDEX(Data_Input!$A$1:$ZZ$502, 0, MATCH(1, (Data_Input!$7:$7=$F$3)*(Data_Input!$8:$8=$B335), 0)), 0) + 1, MATCH(1, (Data_Input!$7:$7=$F$3)*(Data_Input!$8:$8=$B335), 0)),"")</f>
        <v/>
      </c>
      <c r="J335" s="20" t="str" cm="1">
        <f t="array" ref="J335">IFERROR(INDEX(Data_Input!$A$1:$ZZ$502, MATCH("평가손익", INDEX(Data_Input!$A$1:$ZZ$502, 0, MATCH(1, (Data_Input!$7:$7=$F$3)*(Data_Input!$8:$8=$B335), 0)), 0) + 1, MATCH(1, (Data_Input!$7:$7=$F$3)*(Data_Input!$8:$8=$B335), 0)),"")</f>
        <v/>
      </c>
      <c r="K335" s="14" t="str" cm="1">
        <f t="array" ref="K335">IFERROR(INDEX(Data_Input!$A$1:$ZZ$502, MATCH("총수익률", INDEX(Data_Input!$A$1:$ZZ$502, 0, MATCH(1, (Data_Input!$7:$7=$F$3)*(Data_Input!$8:$8=$B335), 0)), 0) + 1, MATCH(1, (Data_Input!$7:$7=$F$3)*(Data_Input!$8:$8=$B335), 0)),"")</f>
        <v/>
      </c>
      <c r="L335" t="str" cm="1">
        <f t="array" ref="L335">IFERROR(_xlfn.LET(
    _xlpm.targetDate, B335,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36" spans="1:12" x14ac:dyDescent="0.3">
      <c r="A336" s="16" t="str">
        <f t="shared" si="11"/>
        <v/>
      </c>
      <c r="B336" s="8"/>
      <c r="C336" s="17" t="str">
        <f t="shared" si="12"/>
        <v/>
      </c>
      <c r="D336" s="29" t="str" cm="1">
        <f t="array" ref="D336">IFERROR(INDEX(Data_Input!$1:$100, 10, MATCH(1, (Data_Input!$F$7:$ZZ$7=$F$3) * (Data_Input!$F$8:$ZZ$8=$B336), 0)),"")</f>
        <v/>
      </c>
      <c r="E336" s="29" t="str" cm="1">
        <f t="array" ref="E336">IFERROR(INDEX(Data_Input!$1:$100, 9, MATCH(1, (Data_Input!$7:$7=$F$3) * (Data_Input!$8:$8=$B336), 0)),"")</f>
        <v/>
      </c>
      <c r="F336" s="20" t="str" cm="1">
        <f t="array" ref="F336">IFERROR(INDEX(Data_Input!$A$1:$ZZ$502, MATCH("예수금", INDEX(Data_Input!$A$1:$ZZ$502, 0, MATCH(1, (Data_Input!$7:$7=$F$3)*(Data_Input!$8:$8=$B336), 0)), 0) + 1, MATCH(1, (Data_Input!$7:$7=$F$3)*(Data_Input!$8:$8=$B336), 0)),"")</f>
        <v/>
      </c>
      <c r="G336" s="20" t="str" cm="1">
        <f t="array" ref="G336">IFERROR(INDEX(Data_Input!$A$1:$ZZ$502, MATCH("총자산", INDEX(Data_Input!$A$1:$ZZ$502, 0, MATCH(1, (Data_Input!$7:$7=$F$3)*(Data_Input!$8:$8=$B336), 0)), 0) + 1, MATCH(1, (Data_Input!$7:$7=$F$3)*(Data_Input!$8:$8=$B336), 0)),"")</f>
        <v/>
      </c>
      <c r="H336" s="20" t="str" cm="1">
        <f t="array" ref="H336">IFERROR(INDEX(Data_Input!$A$1:$ZZ$502, MATCH("매입금액", INDEX(Data_Input!$A$1:$ZZ$502, 0, MATCH(1, (Data_Input!$7:$7=$F$3)*(Data_Input!$8:$8=$B336), 0)), 0) + 1, MATCH(1, (Data_Input!$7:$7=$F$3)*(Data_Input!$8:$8=$B336), 0)),"")</f>
        <v/>
      </c>
      <c r="I336" s="20" t="str" cm="1">
        <f t="array" ref="I336">IFERROR(INDEX(Data_Input!$A$1:$ZZ$502, MATCH("평가금액", INDEX(Data_Input!$A$1:$ZZ$502, 0, MATCH(1, (Data_Input!$7:$7=$F$3)*(Data_Input!$8:$8=$B336), 0)), 0) + 1, MATCH(1, (Data_Input!$7:$7=$F$3)*(Data_Input!$8:$8=$B336), 0)),"")</f>
        <v/>
      </c>
      <c r="J336" s="20" t="str" cm="1">
        <f t="array" ref="J336">IFERROR(INDEX(Data_Input!$A$1:$ZZ$502, MATCH("평가손익", INDEX(Data_Input!$A$1:$ZZ$502, 0, MATCH(1, (Data_Input!$7:$7=$F$3)*(Data_Input!$8:$8=$B336), 0)), 0) + 1, MATCH(1, (Data_Input!$7:$7=$F$3)*(Data_Input!$8:$8=$B336), 0)),"")</f>
        <v/>
      </c>
      <c r="K336" s="14" t="str" cm="1">
        <f t="array" ref="K336">IFERROR(INDEX(Data_Input!$A$1:$ZZ$502, MATCH("총수익률", INDEX(Data_Input!$A$1:$ZZ$502, 0, MATCH(1, (Data_Input!$7:$7=$F$3)*(Data_Input!$8:$8=$B336), 0)), 0) + 1, MATCH(1, (Data_Input!$7:$7=$F$3)*(Data_Input!$8:$8=$B336), 0)),"")</f>
        <v/>
      </c>
      <c r="L336" t="str" cm="1">
        <f t="array" ref="L336">IFERROR(_xlfn.LET(
    _xlpm.targetDate, B336,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37" spans="1:12" x14ac:dyDescent="0.3">
      <c r="A337" s="16" t="str">
        <f t="shared" si="11"/>
        <v/>
      </c>
      <c r="B337" s="8"/>
      <c r="C337" s="17" t="str">
        <f t="shared" si="12"/>
        <v/>
      </c>
      <c r="D337" s="29" t="str" cm="1">
        <f t="array" ref="D337">IFERROR(INDEX(Data_Input!$1:$100, 10, MATCH(1, (Data_Input!$F$7:$ZZ$7=$F$3) * (Data_Input!$F$8:$ZZ$8=$B337), 0)),"")</f>
        <v/>
      </c>
      <c r="E337" s="29" t="str" cm="1">
        <f t="array" ref="E337">IFERROR(INDEX(Data_Input!$1:$100, 9, MATCH(1, (Data_Input!$7:$7=$F$3) * (Data_Input!$8:$8=$B337), 0)),"")</f>
        <v/>
      </c>
      <c r="F337" s="20" t="str" cm="1">
        <f t="array" ref="F337">IFERROR(INDEX(Data_Input!$A$1:$ZZ$502, MATCH("예수금", INDEX(Data_Input!$A$1:$ZZ$502, 0, MATCH(1, (Data_Input!$7:$7=$F$3)*(Data_Input!$8:$8=$B337), 0)), 0) + 1, MATCH(1, (Data_Input!$7:$7=$F$3)*(Data_Input!$8:$8=$B337), 0)),"")</f>
        <v/>
      </c>
      <c r="G337" s="20" t="str" cm="1">
        <f t="array" ref="G337">IFERROR(INDEX(Data_Input!$A$1:$ZZ$502, MATCH("총자산", INDEX(Data_Input!$A$1:$ZZ$502, 0, MATCH(1, (Data_Input!$7:$7=$F$3)*(Data_Input!$8:$8=$B337), 0)), 0) + 1, MATCH(1, (Data_Input!$7:$7=$F$3)*(Data_Input!$8:$8=$B337), 0)),"")</f>
        <v/>
      </c>
      <c r="H337" s="20" t="str" cm="1">
        <f t="array" ref="H337">IFERROR(INDEX(Data_Input!$A$1:$ZZ$502, MATCH("매입금액", INDEX(Data_Input!$A$1:$ZZ$502, 0, MATCH(1, (Data_Input!$7:$7=$F$3)*(Data_Input!$8:$8=$B337), 0)), 0) + 1, MATCH(1, (Data_Input!$7:$7=$F$3)*(Data_Input!$8:$8=$B337), 0)),"")</f>
        <v/>
      </c>
      <c r="I337" s="20" t="str" cm="1">
        <f t="array" ref="I337">IFERROR(INDEX(Data_Input!$A$1:$ZZ$502, MATCH("평가금액", INDEX(Data_Input!$A$1:$ZZ$502, 0, MATCH(1, (Data_Input!$7:$7=$F$3)*(Data_Input!$8:$8=$B337), 0)), 0) + 1, MATCH(1, (Data_Input!$7:$7=$F$3)*(Data_Input!$8:$8=$B337), 0)),"")</f>
        <v/>
      </c>
      <c r="J337" s="20" t="str" cm="1">
        <f t="array" ref="J337">IFERROR(INDEX(Data_Input!$A$1:$ZZ$502, MATCH("평가손익", INDEX(Data_Input!$A$1:$ZZ$502, 0, MATCH(1, (Data_Input!$7:$7=$F$3)*(Data_Input!$8:$8=$B337), 0)), 0) + 1, MATCH(1, (Data_Input!$7:$7=$F$3)*(Data_Input!$8:$8=$B337), 0)),"")</f>
        <v/>
      </c>
      <c r="K337" s="14" t="str" cm="1">
        <f t="array" ref="K337">IFERROR(INDEX(Data_Input!$A$1:$ZZ$502, MATCH("총수익률", INDEX(Data_Input!$A$1:$ZZ$502, 0, MATCH(1, (Data_Input!$7:$7=$F$3)*(Data_Input!$8:$8=$B337), 0)), 0) + 1, MATCH(1, (Data_Input!$7:$7=$F$3)*(Data_Input!$8:$8=$B337), 0)),"")</f>
        <v/>
      </c>
      <c r="L337" t="str" cm="1">
        <f t="array" ref="L337">IFERROR(_xlfn.LET(
    _xlpm.targetDate, B337,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38" spans="1:12" x14ac:dyDescent="0.3">
      <c r="A338" s="16" t="str">
        <f t="shared" si="11"/>
        <v/>
      </c>
      <c r="B338" s="8"/>
      <c r="C338" s="17" t="str">
        <f t="shared" si="12"/>
        <v/>
      </c>
      <c r="D338" s="29" t="str" cm="1">
        <f t="array" ref="D338">IFERROR(INDEX(Data_Input!$1:$100, 10, MATCH(1, (Data_Input!$F$7:$ZZ$7=$F$3) * (Data_Input!$F$8:$ZZ$8=$B338), 0)),"")</f>
        <v/>
      </c>
      <c r="E338" s="29" t="str" cm="1">
        <f t="array" ref="E338">IFERROR(INDEX(Data_Input!$1:$100, 9, MATCH(1, (Data_Input!$7:$7=$F$3) * (Data_Input!$8:$8=$B338), 0)),"")</f>
        <v/>
      </c>
      <c r="F338" s="20" t="str" cm="1">
        <f t="array" ref="F338">IFERROR(INDEX(Data_Input!$A$1:$ZZ$502, MATCH("예수금", INDEX(Data_Input!$A$1:$ZZ$502, 0, MATCH(1, (Data_Input!$7:$7=$F$3)*(Data_Input!$8:$8=$B338), 0)), 0) + 1, MATCH(1, (Data_Input!$7:$7=$F$3)*(Data_Input!$8:$8=$B338), 0)),"")</f>
        <v/>
      </c>
      <c r="G338" s="20" t="str" cm="1">
        <f t="array" ref="G338">IFERROR(INDEX(Data_Input!$A$1:$ZZ$502, MATCH("총자산", INDEX(Data_Input!$A$1:$ZZ$502, 0, MATCH(1, (Data_Input!$7:$7=$F$3)*(Data_Input!$8:$8=$B338), 0)), 0) + 1, MATCH(1, (Data_Input!$7:$7=$F$3)*(Data_Input!$8:$8=$B338), 0)),"")</f>
        <v/>
      </c>
      <c r="H338" s="20" t="str" cm="1">
        <f t="array" ref="H338">IFERROR(INDEX(Data_Input!$A$1:$ZZ$502, MATCH("매입금액", INDEX(Data_Input!$A$1:$ZZ$502, 0, MATCH(1, (Data_Input!$7:$7=$F$3)*(Data_Input!$8:$8=$B338), 0)), 0) + 1, MATCH(1, (Data_Input!$7:$7=$F$3)*(Data_Input!$8:$8=$B338), 0)),"")</f>
        <v/>
      </c>
      <c r="I338" s="20" t="str" cm="1">
        <f t="array" ref="I338">IFERROR(INDEX(Data_Input!$A$1:$ZZ$502, MATCH("평가금액", INDEX(Data_Input!$A$1:$ZZ$502, 0, MATCH(1, (Data_Input!$7:$7=$F$3)*(Data_Input!$8:$8=$B338), 0)), 0) + 1, MATCH(1, (Data_Input!$7:$7=$F$3)*(Data_Input!$8:$8=$B338), 0)),"")</f>
        <v/>
      </c>
      <c r="J338" s="20" t="str" cm="1">
        <f t="array" ref="J338">IFERROR(INDEX(Data_Input!$A$1:$ZZ$502, MATCH("평가손익", INDEX(Data_Input!$A$1:$ZZ$502, 0, MATCH(1, (Data_Input!$7:$7=$F$3)*(Data_Input!$8:$8=$B338), 0)), 0) + 1, MATCH(1, (Data_Input!$7:$7=$F$3)*(Data_Input!$8:$8=$B338), 0)),"")</f>
        <v/>
      </c>
      <c r="K338" s="14" t="str" cm="1">
        <f t="array" ref="K338">IFERROR(INDEX(Data_Input!$A$1:$ZZ$502, MATCH("총수익률", INDEX(Data_Input!$A$1:$ZZ$502, 0, MATCH(1, (Data_Input!$7:$7=$F$3)*(Data_Input!$8:$8=$B338), 0)), 0) + 1, MATCH(1, (Data_Input!$7:$7=$F$3)*(Data_Input!$8:$8=$B338), 0)),"")</f>
        <v/>
      </c>
      <c r="L338" t="str" cm="1">
        <f t="array" ref="L338">IFERROR(_xlfn.LET(
    _xlpm.targetDate, B338,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39" spans="1:12" x14ac:dyDescent="0.3">
      <c r="A339" s="16" t="str">
        <f t="shared" si="11"/>
        <v/>
      </c>
      <c r="B339" s="8"/>
      <c r="C339" s="17" t="str">
        <f t="shared" si="12"/>
        <v/>
      </c>
      <c r="D339" s="29" t="str" cm="1">
        <f t="array" ref="D339">IFERROR(INDEX(Data_Input!$1:$100, 10, MATCH(1, (Data_Input!$F$7:$ZZ$7=$F$3) * (Data_Input!$F$8:$ZZ$8=$B339), 0)),"")</f>
        <v/>
      </c>
      <c r="E339" s="29" t="str" cm="1">
        <f t="array" ref="E339">IFERROR(INDEX(Data_Input!$1:$100, 9, MATCH(1, (Data_Input!$7:$7=$F$3) * (Data_Input!$8:$8=$B339), 0)),"")</f>
        <v/>
      </c>
      <c r="F339" s="20" t="str" cm="1">
        <f t="array" ref="F339">IFERROR(INDEX(Data_Input!$A$1:$ZZ$502, MATCH("예수금", INDEX(Data_Input!$A$1:$ZZ$502, 0, MATCH(1, (Data_Input!$7:$7=$F$3)*(Data_Input!$8:$8=$B339), 0)), 0) + 1, MATCH(1, (Data_Input!$7:$7=$F$3)*(Data_Input!$8:$8=$B339), 0)),"")</f>
        <v/>
      </c>
      <c r="G339" s="20" t="str" cm="1">
        <f t="array" ref="G339">IFERROR(INDEX(Data_Input!$A$1:$ZZ$502, MATCH("총자산", INDEX(Data_Input!$A$1:$ZZ$502, 0, MATCH(1, (Data_Input!$7:$7=$F$3)*(Data_Input!$8:$8=$B339), 0)), 0) + 1, MATCH(1, (Data_Input!$7:$7=$F$3)*(Data_Input!$8:$8=$B339), 0)),"")</f>
        <v/>
      </c>
      <c r="H339" s="20" t="str" cm="1">
        <f t="array" ref="H339">IFERROR(INDEX(Data_Input!$A$1:$ZZ$502, MATCH("매입금액", INDEX(Data_Input!$A$1:$ZZ$502, 0, MATCH(1, (Data_Input!$7:$7=$F$3)*(Data_Input!$8:$8=$B339), 0)), 0) + 1, MATCH(1, (Data_Input!$7:$7=$F$3)*(Data_Input!$8:$8=$B339), 0)),"")</f>
        <v/>
      </c>
      <c r="I339" s="20" t="str" cm="1">
        <f t="array" ref="I339">IFERROR(INDEX(Data_Input!$A$1:$ZZ$502, MATCH("평가금액", INDEX(Data_Input!$A$1:$ZZ$502, 0, MATCH(1, (Data_Input!$7:$7=$F$3)*(Data_Input!$8:$8=$B339), 0)), 0) + 1, MATCH(1, (Data_Input!$7:$7=$F$3)*(Data_Input!$8:$8=$B339), 0)),"")</f>
        <v/>
      </c>
      <c r="J339" s="20" t="str" cm="1">
        <f t="array" ref="J339">IFERROR(INDEX(Data_Input!$A$1:$ZZ$502, MATCH("평가손익", INDEX(Data_Input!$A$1:$ZZ$502, 0, MATCH(1, (Data_Input!$7:$7=$F$3)*(Data_Input!$8:$8=$B339), 0)), 0) + 1, MATCH(1, (Data_Input!$7:$7=$F$3)*(Data_Input!$8:$8=$B339), 0)),"")</f>
        <v/>
      </c>
      <c r="K339" s="14" t="str" cm="1">
        <f t="array" ref="K339">IFERROR(INDEX(Data_Input!$A$1:$ZZ$502, MATCH("총수익률", INDEX(Data_Input!$A$1:$ZZ$502, 0, MATCH(1, (Data_Input!$7:$7=$F$3)*(Data_Input!$8:$8=$B339), 0)), 0) + 1, MATCH(1, (Data_Input!$7:$7=$F$3)*(Data_Input!$8:$8=$B339), 0)),"")</f>
        <v/>
      </c>
      <c r="L339" t="str" cm="1">
        <f t="array" ref="L339">IFERROR(_xlfn.LET(
    _xlpm.targetDate, B339,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40" spans="1:12" x14ac:dyDescent="0.3">
      <c r="A340" s="16" t="str">
        <f t="shared" si="11"/>
        <v/>
      </c>
      <c r="B340" s="8"/>
      <c r="C340" s="17" t="str">
        <f t="shared" si="12"/>
        <v/>
      </c>
      <c r="D340" s="29" t="str" cm="1">
        <f t="array" ref="D340">IFERROR(INDEX(Data_Input!$1:$100, 10, MATCH(1, (Data_Input!$F$7:$ZZ$7=$F$3) * (Data_Input!$F$8:$ZZ$8=$B340), 0)),"")</f>
        <v/>
      </c>
      <c r="E340" s="29" t="str" cm="1">
        <f t="array" ref="E340">IFERROR(INDEX(Data_Input!$1:$100, 9, MATCH(1, (Data_Input!$7:$7=$F$3) * (Data_Input!$8:$8=$B340), 0)),"")</f>
        <v/>
      </c>
      <c r="F340" s="20" t="str" cm="1">
        <f t="array" ref="F340">IFERROR(INDEX(Data_Input!$A$1:$ZZ$502, MATCH("예수금", INDEX(Data_Input!$A$1:$ZZ$502, 0, MATCH(1, (Data_Input!$7:$7=$F$3)*(Data_Input!$8:$8=$B340), 0)), 0) + 1, MATCH(1, (Data_Input!$7:$7=$F$3)*(Data_Input!$8:$8=$B340), 0)),"")</f>
        <v/>
      </c>
      <c r="G340" s="20" t="str" cm="1">
        <f t="array" ref="G340">IFERROR(INDEX(Data_Input!$A$1:$ZZ$502, MATCH("총자산", INDEX(Data_Input!$A$1:$ZZ$502, 0, MATCH(1, (Data_Input!$7:$7=$F$3)*(Data_Input!$8:$8=$B340), 0)), 0) + 1, MATCH(1, (Data_Input!$7:$7=$F$3)*(Data_Input!$8:$8=$B340), 0)),"")</f>
        <v/>
      </c>
      <c r="H340" s="20" t="str" cm="1">
        <f t="array" ref="H340">IFERROR(INDEX(Data_Input!$A$1:$ZZ$502, MATCH("매입금액", INDEX(Data_Input!$A$1:$ZZ$502, 0, MATCH(1, (Data_Input!$7:$7=$F$3)*(Data_Input!$8:$8=$B340), 0)), 0) + 1, MATCH(1, (Data_Input!$7:$7=$F$3)*(Data_Input!$8:$8=$B340), 0)),"")</f>
        <v/>
      </c>
      <c r="I340" s="20" t="str" cm="1">
        <f t="array" ref="I340">IFERROR(INDEX(Data_Input!$A$1:$ZZ$502, MATCH("평가금액", INDEX(Data_Input!$A$1:$ZZ$502, 0, MATCH(1, (Data_Input!$7:$7=$F$3)*(Data_Input!$8:$8=$B340), 0)), 0) + 1, MATCH(1, (Data_Input!$7:$7=$F$3)*(Data_Input!$8:$8=$B340), 0)),"")</f>
        <v/>
      </c>
      <c r="J340" s="20" t="str" cm="1">
        <f t="array" ref="J340">IFERROR(INDEX(Data_Input!$A$1:$ZZ$502, MATCH("평가손익", INDEX(Data_Input!$A$1:$ZZ$502, 0, MATCH(1, (Data_Input!$7:$7=$F$3)*(Data_Input!$8:$8=$B340), 0)), 0) + 1, MATCH(1, (Data_Input!$7:$7=$F$3)*(Data_Input!$8:$8=$B340), 0)),"")</f>
        <v/>
      </c>
      <c r="K340" s="14" t="str" cm="1">
        <f t="array" ref="K340">IFERROR(INDEX(Data_Input!$A$1:$ZZ$502, MATCH("총수익률", INDEX(Data_Input!$A$1:$ZZ$502, 0, MATCH(1, (Data_Input!$7:$7=$F$3)*(Data_Input!$8:$8=$B340), 0)), 0) + 1, MATCH(1, (Data_Input!$7:$7=$F$3)*(Data_Input!$8:$8=$B340), 0)),"")</f>
        <v/>
      </c>
      <c r="L340" t="str" cm="1">
        <f t="array" ref="L340">IFERROR(_xlfn.LET(
    _xlpm.targetDate, B340,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41" spans="1:12" x14ac:dyDescent="0.3">
      <c r="A341" s="16" t="str">
        <f t="shared" si="11"/>
        <v/>
      </c>
      <c r="B341" s="8"/>
      <c r="C341" s="17" t="str">
        <f t="shared" si="12"/>
        <v/>
      </c>
      <c r="D341" s="29" t="str" cm="1">
        <f t="array" ref="D341">IFERROR(INDEX(Data_Input!$1:$100, 10, MATCH(1, (Data_Input!$F$7:$ZZ$7=$F$3) * (Data_Input!$F$8:$ZZ$8=$B341), 0)),"")</f>
        <v/>
      </c>
      <c r="E341" s="29" t="str" cm="1">
        <f t="array" ref="E341">IFERROR(INDEX(Data_Input!$1:$100, 9, MATCH(1, (Data_Input!$7:$7=$F$3) * (Data_Input!$8:$8=$B341), 0)),"")</f>
        <v/>
      </c>
      <c r="F341" s="20" t="str" cm="1">
        <f t="array" ref="F341">IFERROR(INDEX(Data_Input!$A$1:$ZZ$502, MATCH("예수금", INDEX(Data_Input!$A$1:$ZZ$502, 0, MATCH(1, (Data_Input!$7:$7=$F$3)*(Data_Input!$8:$8=$B341), 0)), 0) + 1, MATCH(1, (Data_Input!$7:$7=$F$3)*(Data_Input!$8:$8=$B341), 0)),"")</f>
        <v/>
      </c>
      <c r="G341" s="20" t="str" cm="1">
        <f t="array" ref="G341">IFERROR(INDEX(Data_Input!$A$1:$ZZ$502, MATCH("총자산", INDEX(Data_Input!$A$1:$ZZ$502, 0, MATCH(1, (Data_Input!$7:$7=$F$3)*(Data_Input!$8:$8=$B341), 0)), 0) + 1, MATCH(1, (Data_Input!$7:$7=$F$3)*(Data_Input!$8:$8=$B341), 0)),"")</f>
        <v/>
      </c>
      <c r="H341" s="20" t="str" cm="1">
        <f t="array" ref="H341">IFERROR(INDEX(Data_Input!$A$1:$ZZ$502, MATCH("매입금액", INDEX(Data_Input!$A$1:$ZZ$502, 0, MATCH(1, (Data_Input!$7:$7=$F$3)*(Data_Input!$8:$8=$B341), 0)), 0) + 1, MATCH(1, (Data_Input!$7:$7=$F$3)*(Data_Input!$8:$8=$B341), 0)),"")</f>
        <v/>
      </c>
      <c r="I341" s="20" t="str" cm="1">
        <f t="array" ref="I341">IFERROR(INDEX(Data_Input!$A$1:$ZZ$502, MATCH("평가금액", INDEX(Data_Input!$A$1:$ZZ$502, 0, MATCH(1, (Data_Input!$7:$7=$F$3)*(Data_Input!$8:$8=$B341), 0)), 0) + 1, MATCH(1, (Data_Input!$7:$7=$F$3)*(Data_Input!$8:$8=$B341), 0)),"")</f>
        <v/>
      </c>
      <c r="J341" s="20" t="str" cm="1">
        <f t="array" ref="J341">IFERROR(INDEX(Data_Input!$A$1:$ZZ$502, MATCH("평가손익", INDEX(Data_Input!$A$1:$ZZ$502, 0, MATCH(1, (Data_Input!$7:$7=$F$3)*(Data_Input!$8:$8=$B341), 0)), 0) + 1, MATCH(1, (Data_Input!$7:$7=$F$3)*(Data_Input!$8:$8=$B341), 0)),"")</f>
        <v/>
      </c>
      <c r="K341" s="14" t="str" cm="1">
        <f t="array" ref="K341">IFERROR(INDEX(Data_Input!$A$1:$ZZ$502, MATCH("총수익률", INDEX(Data_Input!$A$1:$ZZ$502, 0, MATCH(1, (Data_Input!$7:$7=$F$3)*(Data_Input!$8:$8=$B341), 0)), 0) + 1, MATCH(1, (Data_Input!$7:$7=$F$3)*(Data_Input!$8:$8=$B341), 0)),"")</f>
        <v/>
      </c>
      <c r="L341" t="str" cm="1">
        <f t="array" ref="L341">IFERROR(_xlfn.LET(
    _xlpm.targetDate, B341,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42" spans="1:12" x14ac:dyDescent="0.3">
      <c r="A342" s="16" t="str">
        <f t="shared" si="11"/>
        <v/>
      </c>
      <c r="B342" s="8"/>
      <c r="C342" s="17" t="str">
        <f t="shared" si="12"/>
        <v/>
      </c>
      <c r="D342" s="29" t="str" cm="1">
        <f t="array" ref="D342">IFERROR(INDEX(Data_Input!$1:$100, 10, MATCH(1, (Data_Input!$F$7:$ZZ$7=$F$3) * (Data_Input!$F$8:$ZZ$8=$B342), 0)),"")</f>
        <v/>
      </c>
      <c r="E342" s="29" t="str" cm="1">
        <f t="array" ref="E342">IFERROR(INDEX(Data_Input!$1:$100, 9, MATCH(1, (Data_Input!$7:$7=$F$3) * (Data_Input!$8:$8=$B342), 0)),"")</f>
        <v/>
      </c>
      <c r="F342" s="20" t="str" cm="1">
        <f t="array" ref="F342">IFERROR(INDEX(Data_Input!$A$1:$ZZ$502, MATCH("예수금", INDEX(Data_Input!$A$1:$ZZ$502, 0, MATCH(1, (Data_Input!$7:$7=$F$3)*(Data_Input!$8:$8=$B342), 0)), 0) + 1, MATCH(1, (Data_Input!$7:$7=$F$3)*(Data_Input!$8:$8=$B342), 0)),"")</f>
        <v/>
      </c>
      <c r="G342" s="20" t="str" cm="1">
        <f t="array" ref="G342">IFERROR(INDEX(Data_Input!$A$1:$ZZ$502, MATCH("총자산", INDEX(Data_Input!$A$1:$ZZ$502, 0, MATCH(1, (Data_Input!$7:$7=$F$3)*(Data_Input!$8:$8=$B342), 0)), 0) + 1, MATCH(1, (Data_Input!$7:$7=$F$3)*(Data_Input!$8:$8=$B342), 0)),"")</f>
        <v/>
      </c>
      <c r="H342" s="20" t="str" cm="1">
        <f t="array" ref="H342">IFERROR(INDEX(Data_Input!$A$1:$ZZ$502, MATCH("매입금액", INDEX(Data_Input!$A$1:$ZZ$502, 0, MATCH(1, (Data_Input!$7:$7=$F$3)*(Data_Input!$8:$8=$B342), 0)), 0) + 1, MATCH(1, (Data_Input!$7:$7=$F$3)*(Data_Input!$8:$8=$B342), 0)),"")</f>
        <v/>
      </c>
      <c r="I342" s="20" t="str" cm="1">
        <f t="array" ref="I342">IFERROR(INDEX(Data_Input!$A$1:$ZZ$502, MATCH("평가금액", INDEX(Data_Input!$A$1:$ZZ$502, 0, MATCH(1, (Data_Input!$7:$7=$F$3)*(Data_Input!$8:$8=$B342), 0)), 0) + 1, MATCH(1, (Data_Input!$7:$7=$F$3)*(Data_Input!$8:$8=$B342), 0)),"")</f>
        <v/>
      </c>
      <c r="J342" s="20" t="str" cm="1">
        <f t="array" ref="J342">IFERROR(INDEX(Data_Input!$A$1:$ZZ$502, MATCH("평가손익", INDEX(Data_Input!$A$1:$ZZ$502, 0, MATCH(1, (Data_Input!$7:$7=$F$3)*(Data_Input!$8:$8=$B342), 0)), 0) + 1, MATCH(1, (Data_Input!$7:$7=$F$3)*(Data_Input!$8:$8=$B342), 0)),"")</f>
        <v/>
      </c>
      <c r="K342" s="14" t="str" cm="1">
        <f t="array" ref="K342">IFERROR(INDEX(Data_Input!$A$1:$ZZ$502, MATCH("총수익률", INDEX(Data_Input!$A$1:$ZZ$502, 0, MATCH(1, (Data_Input!$7:$7=$F$3)*(Data_Input!$8:$8=$B342), 0)), 0) + 1, MATCH(1, (Data_Input!$7:$7=$F$3)*(Data_Input!$8:$8=$B342), 0)),"")</f>
        <v/>
      </c>
      <c r="L342" t="str" cm="1">
        <f t="array" ref="L342">IFERROR(_xlfn.LET(
    _xlpm.targetDate, B342,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43" spans="1:12" x14ac:dyDescent="0.3">
      <c r="A343" s="16" t="str">
        <f t="shared" si="11"/>
        <v/>
      </c>
      <c r="B343" s="8"/>
      <c r="C343" s="17" t="str">
        <f t="shared" si="12"/>
        <v/>
      </c>
      <c r="D343" s="29" t="str" cm="1">
        <f t="array" ref="D343">IFERROR(INDEX(Data_Input!$1:$100, 10, MATCH(1, (Data_Input!$F$7:$ZZ$7=$F$3) * (Data_Input!$F$8:$ZZ$8=$B343), 0)),"")</f>
        <v/>
      </c>
      <c r="E343" s="29" t="str" cm="1">
        <f t="array" ref="E343">IFERROR(INDEX(Data_Input!$1:$100, 9, MATCH(1, (Data_Input!$7:$7=$F$3) * (Data_Input!$8:$8=$B343), 0)),"")</f>
        <v/>
      </c>
      <c r="F343" s="20" t="str" cm="1">
        <f t="array" ref="F343">IFERROR(INDEX(Data_Input!$A$1:$ZZ$502, MATCH("예수금", INDEX(Data_Input!$A$1:$ZZ$502, 0, MATCH(1, (Data_Input!$7:$7=$F$3)*(Data_Input!$8:$8=$B343), 0)), 0) + 1, MATCH(1, (Data_Input!$7:$7=$F$3)*(Data_Input!$8:$8=$B343), 0)),"")</f>
        <v/>
      </c>
      <c r="G343" s="20" t="str" cm="1">
        <f t="array" ref="G343">IFERROR(INDEX(Data_Input!$A$1:$ZZ$502, MATCH("총자산", INDEX(Data_Input!$A$1:$ZZ$502, 0, MATCH(1, (Data_Input!$7:$7=$F$3)*(Data_Input!$8:$8=$B343), 0)), 0) + 1, MATCH(1, (Data_Input!$7:$7=$F$3)*(Data_Input!$8:$8=$B343), 0)),"")</f>
        <v/>
      </c>
      <c r="H343" s="20" t="str" cm="1">
        <f t="array" ref="H343">IFERROR(INDEX(Data_Input!$A$1:$ZZ$502, MATCH("매입금액", INDEX(Data_Input!$A$1:$ZZ$502, 0, MATCH(1, (Data_Input!$7:$7=$F$3)*(Data_Input!$8:$8=$B343), 0)), 0) + 1, MATCH(1, (Data_Input!$7:$7=$F$3)*(Data_Input!$8:$8=$B343), 0)),"")</f>
        <v/>
      </c>
      <c r="I343" s="20" t="str" cm="1">
        <f t="array" ref="I343">IFERROR(INDEX(Data_Input!$A$1:$ZZ$502, MATCH("평가금액", INDEX(Data_Input!$A$1:$ZZ$502, 0, MATCH(1, (Data_Input!$7:$7=$F$3)*(Data_Input!$8:$8=$B343), 0)), 0) + 1, MATCH(1, (Data_Input!$7:$7=$F$3)*(Data_Input!$8:$8=$B343), 0)),"")</f>
        <v/>
      </c>
      <c r="J343" s="20" t="str" cm="1">
        <f t="array" ref="J343">IFERROR(INDEX(Data_Input!$A$1:$ZZ$502, MATCH("평가손익", INDEX(Data_Input!$A$1:$ZZ$502, 0, MATCH(1, (Data_Input!$7:$7=$F$3)*(Data_Input!$8:$8=$B343), 0)), 0) + 1, MATCH(1, (Data_Input!$7:$7=$F$3)*(Data_Input!$8:$8=$B343), 0)),"")</f>
        <v/>
      </c>
      <c r="K343" s="14" t="str" cm="1">
        <f t="array" ref="K343">IFERROR(INDEX(Data_Input!$A$1:$ZZ$502, MATCH("총수익률", INDEX(Data_Input!$A$1:$ZZ$502, 0, MATCH(1, (Data_Input!$7:$7=$F$3)*(Data_Input!$8:$8=$B343), 0)), 0) + 1, MATCH(1, (Data_Input!$7:$7=$F$3)*(Data_Input!$8:$8=$B343), 0)),"")</f>
        <v/>
      </c>
      <c r="L343" t="str" cm="1">
        <f t="array" ref="L343">IFERROR(_xlfn.LET(
    _xlpm.targetDate, B343,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44" spans="1:12" x14ac:dyDescent="0.3">
      <c r="A344" s="16" t="str">
        <f t="shared" si="11"/>
        <v/>
      </c>
      <c r="B344" s="8"/>
      <c r="C344" s="17" t="str">
        <f t="shared" si="12"/>
        <v/>
      </c>
      <c r="D344" s="29" t="str" cm="1">
        <f t="array" ref="D344">IFERROR(INDEX(Data_Input!$1:$100, 10, MATCH(1, (Data_Input!$F$7:$ZZ$7=$F$3) * (Data_Input!$F$8:$ZZ$8=$B344), 0)),"")</f>
        <v/>
      </c>
      <c r="E344" s="29" t="str" cm="1">
        <f t="array" ref="E344">IFERROR(INDEX(Data_Input!$1:$100, 9, MATCH(1, (Data_Input!$7:$7=$F$3) * (Data_Input!$8:$8=$B344), 0)),"")</f>
        <v/>
      </c>
      <c r="F344" s="20" t="str" cm="1">
        <f t="array" ref="F344">IFERROR(INDEX(Data_Input!$A$1:$ZZ$502, MATCH("예수금", INDEX(Data_Input!$A$1:$ZZ$502, 0, MATCH(1, (Data_Input!$7:$7=$F$3)*(Data_Input!$8:$8=$B344), 0)), 0) + 1, MATCH(1, (Data_Input!$7:$7=$F$3)*(Data_Input!$8:$8=$B344), 0)),"")</f>
        <v/>
      </c>
      <c r="G344" s="20" t="str" cm="1">
        <f t="array" ref="G344">IFERROR(INDEX(Data_Input!$A$1:$ZZ$502, MATCH("총자산", INDEX(Data_Input!$A$1:$ZZ$502, 0, MATCH(1, (Data_Input!$7:$7=$F$3)*(Data_Input!$8:$8=$B344), 0)), 0) + 1, MATCH(1, (Data_Input!$7:$7=$F$3)*(Data_Input!$8:$8=$B344), 0)),"")</f>
        <v/>
      </c>
      <c r="H344" s="20" t="str" cm="1">
        <f t="array" ref="H344">IFERROR(INDEX(Data_Input!$A$1:$ZZ$502, MATCH("매입금액", INDEX(Data_Input!$A$1:$ZZ$502, 0, MATCH(1, (Data_Input!$7:$7=$F$3)*(Data_Input!$8:$8=$B344), 0)), 0) + 1, MATCH(1, (Data_Input!$7:$7=$F$3)*(Data_Input!$8:$8=$B344), 0)),"")</f>
        <v/>
      </c>
      <c r="I344" s="20" t="str" cm="1">
        <f t="array" ref="I344">IFERROR(INDEX(Data_Input!$A$1:$ZZ$502, MATCH("평가금액", INDEX(Data_Input!$A$1:$ZZ$502, 0, MATCH(1, (Data_Input!$7:$7=$F$3)*(Data_Input!$8:$8=$B344), 0)), 0) + 1, MATCH(1, (Data_Input!$7:$7=$F$3)*(Data_Input!$8:$8=$B344), 0)),"")</f>
        <v/>
      </c>
      <c r="J344" s="20" t="str" cm="1">
        <f t="array" ref="J344">IFERROR(INDEX(Data_Input!$A$1:$ZZ$502, MATCH("평가손익", INDEX(Data_Input!$A$1:$ZZ$502, 0, MATCH(1, (Data_Input!$7:$7=$F$3)*(Data_Input!$8:$8=$B344), 0)), 0) + 1, MATCH(1, (Data_Input!$7:$7=$F$3)*(Data_Input!$8:$8=$B344), 0)),"")</f>
        <v/>
      </c>
      <c r="K344" s="14" t="str" cm="1">
        <f t="array" ref="K344">IFERROR(INDEX(Data_Input!$A$1:$ZZ$502, MATCH("총수익률", INDEX(Data_Input!$A$1:$ZZ$502, 0, MATCH(1, (Data_Input!$7:$7=$F$3)*(Data_Input!$8:$8=$B344), 0)), 0) + 1, MATCH(1, (Data_Input!$7:$7=$F$3)*(Data_Input!$8:$8=$B344), 0)),"")</f>
        <v/>
      </c>
      <c r="L344" t="str" cm="1">
        <f t="array" ref="L344">IFERROR(_xlfn.LET(
    _xlpm.targetDate, B344,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45" spans="1:12" x14ac:dyDescent="0.3">
      <c r="A345" s="16" t="str">
        <f t="shared" si="11"/>
        <v/>
      </c>
      <c r="B345" s="8"/>
      <c r="C345" s="17" t="str">
        <f t="shared" si="12"/>
        <v/>
      </c>
      <c r="D345" s="29" t="str" cm="1">
        <f t="array" ref="D345">IFERROR(INDEX(Data_Input!$1:$100, 10, MATCH(1, (Data_Input!$F$7:$ZZ$7=$F$3) * (Data_Input!$F$8:$ZZ$8=$B345), 0)),"")</f>
        <v/>
      </c>
      <c r="E345" s="29" t="str" cm="1">
        <f t="array" ref="E345">IFERROR(INDEX(Data_Input!$1:$100, 9, MATCH(1, (Data_Input!$7:$7=$F$3) * (Data_Input!$8:$8=$B345), 0)),"")</f>
        <v/>
      </c>
      <c r="F345" s="20" t="str" cm="1">
        <f t="array" ref="F345">IFERROR(INDEX(Data_Input!$A$1:$ZZ$502, MATCH("예수금", INDEX(Data_Input!$A$1:$ZZ$502, 0, MATCH(1, (Data_Input!$7:$7=$F$3)*(Data_Input!$8:$8=$B345), 0)), 0) + 1, MATCH(1, (Data_Input!$7:$7=$F$3)*(Data_Input!$8:$8=$B345), 0)),"")</f>
        <v/>
      </c>
      <c r="G345" s="20" t="str" cm="1">
        <f t="array" ref="G345">IFERROR(INDEX(Data_Input!$A$1:$ZZ$502, MATCH("총자산", INDEX(Data_Input!$A$1:$ZZ$502, 0, MATCH(1, (Data_Input!$7:$7=$F$3)*(Data_Input!$8:$8=$B345), 0)), 0) + 1, MATCH(1, (Data_Input!$7:$7=$F$3)*(Data_Input!$8:$8=$B345), 0)),"")</f>
        <v/>
      </c>
      <c r="H345" s="20" t="str" cm="1">
        <f t="array" ref="H345">IFERROR(INDEX(Data_Input!$A$1:$ZZ$502, MATCH("매입금액", INDEX(Data_Input!$A$1:$ZZ$502, 0, MATCH(1, (Data_Input!$7:$7=$F$3)*(Data_Input!$8:$8=$B345), 0)), 0) + 1, MATCH(1, (Data_Input!$7:$7=$F$3)*(Data_Input!$8:$8=$B345), 0)),"")</f>
        <v/>
      </c>
      <c r="I345" s="20" t="str" cm="1">
        <f t="array" ref="I345">IFERROR(INDEX(Data_Input!$A$1:$ZZ$502, MATCH("평가금액", INDEX(Data_Input!$A$1:$ZZ$502, 0, MATCH(1, (Data_Input!$7:$7=$F$3)*(Data_Input!$8:$8=$B345), 0)), 0) + 1, MATCH(1, (Data_Input!$7:$7=$F$3)*(Data_Input!$8:$8=$B345), 0)),"")</f>
        <v/>
      </c>
      <c r="J345" s="20" t="str" cm="1">
        <f t="array" ref="J345">IFERROR(INDEX(Data_Input!$A$1:$ZZ$502, MATCH("평가손익", INDEX(Data_Input!$A$1:$ZZ$502, 0, MATCH(1, (Data_Input!$7:$7=$F$3)*(Data_Input!$8:$8=$B345), 0)), 0) + 1, MATCH(1, (Data_Input!$7:$7=$F$3)*(Data_Input!$8:$8=$B345), 0)),"")</f>
        <v/>
      </c>
      <c r="K345" s="14" t="str" cm="1">
        <f t="array" ref="K345">IFERROR(INDEX(Data_Input!$A$1:$ZZ$502, MATCH("총수익률", INDEX(Data_Input!$A$1:$ZZ$502, 0, MATCH(1, (Data_Input!$7:$7=$F$3)*(Data_Input!$8:$8=$B345), 0)), 0) + 1, MATCH(1, (Data_Input!$7:$7=$F$3)*(Data_Input!$8:$8=$B345), 0)),"")</f>
        <v/>
      </c>
      <c r="L345" t="str" cm="1">
        <f t="array" ref="L345">IFERROR(_xlfn.LET(
    _xlpm.targetDate, B345,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46" spans="1:12" x14ac:dyDescent="0.3">
      <c r="A346" s="16" t="str">
        <f t="shared" si="11"/>
        <v/>
      </c>
      <c r="B346" s="8"/>
      <c r="C346" s="17" t="str">
        <f t="shared" si="12"/>
        <v/>
      </c>
      <c r="D346" s="29" t="str" cm="1">
        <f t="array" ref="D346">IFERROR(INDEX(Data_Input!$1:$100, 10, MATCH(1, (Data_Input!$F$7:$ZZ$7=$F$3) * (Data_Input!$F$8:$ZZ$8=$B346), 0)),"")</f>
        <v/>
      </c>
      <c r="E346" s="29" t="str" cm="1">
        <f t="array" ref="E346">IFERROR(INDEX(Data_Input!$1:$100, 9, MATCH(1, (Data_Input!$7:$7=$F$3) * (Data_Input!$8:$8=$B346), 0)),"")</f>
        <v/>
      </c>
      <c r="F346" s="20" t="str" cm="1">
        <f t="array" ref="F346">IFERROR(INDEX(Data_Input!$A$1:$ZZ$502, MATCH("예수금", INDEX(Data_Input!$A$1:$ZZ$502, 0, MATCH(1, (Data_Input!$7:$7=$F$3)*(Data_Input!$8:$8=$B346), 0)), 0) + 1, MATCH(1, (Data_Input!$7:$7=$F$3)*(Data_Input!$8:$8=$B346), 0)),"")</f>
        <v/>
      </c>
      <c r="G346" s="20" t="str" cm="1">
        <f t="array" ref="G346">IFERROR(INDEX(Data_Input!$A$1:$ZZ$502, MATCH("총자산", INDEX(Data_Input!$A$1:$ZZ$502, 0, MATCH(1, (Data_Input!$7:$7=$F$3)*(Data_Input!$8:$8=$B346), 0)), 0) + 1, MATCH(1, (Data_Input!$7:$7=$F$3)*(Data_Input!$8:$8=$B346), 0)),"")</f>
        <v/>
      </c>
      <c r="H346" s="20" t="str" cm="1">
        <f t="array" ref="H346">IFERROR(INDEX(Data_Input!$A$1:$ZZ$502, MATCH("매입금액", INDEX(Data_Input!$A$1:$ZZ$502, 0, MATCH(1, (Data_Input!$7:$7=$F$3)*(Data_Input!$8:$8=$B346), 0)), 0) + 1, MATCH(1, (Data_Input!$7:$7=$F$3)*(Data_Input!$8:$8=$B346), 0)),"")</f>
        <v/>
      </c>
      <c r="I346" s="20" t="str" cm="1">
        <f t="array" ref="I346">IFERROR(INDEX(Data_Input!$A$1:$ZZ$502, MATCH("평가금액", INDEX(Data_Input!$A$1:$ZZ$502, 0, MATCH(1, (Data_Input!$7:$7=$F$3)*(Data_Input!$8:$8=$B346), 0)), 0) + 1, MATCH(1, (Data_Input!$7:$7=$F$3)*(Data_Input!$8:$8=$B346), 0)),"")</f>
        <v/>
      </c>
      <c r="J346" s="20" t="str" cm="1">
        <f t="array" ref="J346">IFERROR(INDEX(Data_Input!$A$1:$ZZ$502, MATCH("평가손익", INDEX(Data_Input!$A$1:$ZZ$502, 0, MATCH(1, (Data_Input!$7:$7=$F$3)*(Data_Input!$8:$8=$B346), 0)), 0) + 1, MATCH(1, (Data_Input!$7:$7=$F$3)*(Data_Input!$8:$8=$B346), 0)),"")</f>
        <v/>
      </c>
      <c r="K346" s="14" t="str" cm="1">
        <f t="array" ref="K346">IFERROR(INDEX(Data_Input!$A$1:$ZZ$502, MATCH("총수익률", INDEX(Data_Input!$A$1:$ZZ$502, 0, MATCH(1, (Data_Input!$7:$7=$F$3)*(Data_Input!$8:$8=$B346), 0)), 0) + 1, MATCH(1, (Data_Input!$7:$7=$F$3)*(Data_Input!$8:$8=$B346), 0)),"")</f>
        <v/>
      </c>
      <c r="L346" t="str" cm="1">
        <f t="array" ref="L346">IFERROR(_xlfn.LET(
    _xlpm.targetDate, B346,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47" spans="1:12" x14ac:dyDescent="0.3">
      <c r="A347" s="16" t="str">
        <f t="shared" si="11"/>
        <v/>
      </c>
      <c r="B347" s="8"/>
      <c r="C347" s="17" t="str">
        <f t="shared" si="12"/>
        <v/>
      </c>
      <c r="D347" s="29" t="str" cm="1">
        <f t="array" ref="D347">IFERROR(INDEX(Data_Input!$1:$100, 10, MATCH(1, (Data_Input!$F$7:$ZZ$7=$F$3) * (Data_Input!$F$8:$ZZ$8=$B347), 0)),"")</f>
        <v/>
      </c>
      <c r="E347" s="29" t="str" cm="1">
        <f t="array" ref="E347">IFERROR(INDEX(Data_Input!$1:$100, 9, MATCH(1, (Data_Input!$7:$7=$F$3) * (Data_Input!$8:$8=$B347), 0)),"")</f>
        <v/>
      </c>
      <c r="F347" s="20" t="str" cm="1">
        <f t="array" ref="F347">IFERROR(INDEX(Data_Input!$A$1:$ZZ$502, MATCH("예수금", INDEX(Data_Input!$A$1:$ZZ$502, 0, MATCH(1, (Data_Input!$7:$7=$F$3)*(Data_Input!$8:$8=$B347), 0)), 0) + 1, MATCH(1, (Data_Input!$7:$7=$F$3)*(Data_Input!$8:$8=$B347), 0)),"")</f>
        <v/>
      </c>
      <c r="G347" s="20" t="str" cm="1">
        <f t="array" ref="G347">IFERROR(INDEX(Data_Input!$A$1:$ZZ$502, MATCH("총자산", INDEX(Data_Input!$A$1:$ZZ$502, 0, MATCH(1, (Data_Input!$7:$7=$F$3)*(Data_Input!$8:$8=$B347), 0)), 0) + 1, MATCH(1, (Data_Input!$7:$7=$F$3)*(Data_Input!$8:$8=$B347), 0)),"")</f>
        <v/>
      </c>
      <c r="H347" s="20" t="str" cm="1">
        <f t="array" ref="H347">IFERROR(INDEX(Data_Input!$A$1:$ZZ$502, MATCH("매입금액", INDEX(Data_Input!$A$1:$ZZ$502, 0, MATCH(1, (Data_Input!$7:$7=$F$3)*(Data_Input!$8:$8=$B347), 0)), 0) + 1, MATCH(1, (Data_Input!$7:$7=$F$3)*(Data_Input!$8:$8=$B347), 0)),"")</f>
        <v/>
      </c>
      <c r="I347" s="20" t="str" cm="1">
        <f t="array" ref="I347">IFERROR(INDEX(Data_Input!$A$1:$ZZ$502, MATCH("평가금액", INDEX(Data_Input!$A$1:$ZZ$502, 0, MATCH(1, (Data_Input!$7:$7=$F$3)*(Data_Input!$8:$8=$B347), 0)), 0) + 1, MATCH(1, (Data_Input!$7:$7=$F$3)*(Data_Input!$8:$8=$B347), 0)),"")</f>
        <v/>
      </c>
      <c r="J347" s="20" t="str" cm="1">
        <f t="array" ref="J347">IFERROR(INDEX(Data_Input!$A$1:$ZZ$502, MATCH("평가손익", INDEX(Data_Input!$A$1:$ZZ$502, 0, MATCH(1, (Data_Input!$7:$7=$F$3)*(Data_Input!$8:$8=$B347), 0)), 0) + 1, MATCH(1, (Data_Input!$7:$7=$F$3)*(Data_Input!$8:$8=$B347), 0)),"")</f>
        <v/>
      </c>
      <c r="K347" s="14" t="str" cm="1">
        <f t="array" ref="K347">IFERROR(INDEX(Data_Input!$A$1:$ZZ$502, MATCH("총수익률", INDEX(Data_Input!$A$1:$ZZ$502, 0, MATCH(1, (Data_Input!$7:$7=$F$3)*(Data_Input!$8:$8=$B347), 0)), 0) + 1, MATCH(1, (Data_Input!$7:$7=$F$3)*(Data_Input!$8:$8=$B347), 0)),"")</f>
        <v/>
      </c>
      <c r="L347" t="str" cm="1">
        <f t="array" ref="L347">IFERROR(_xlfn.LET(
    _xlpm.targetDate, B347,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48" spans="1:12" x14ac:dyDescent="0.3">
      <c r="A348" s="16" t="str">
        <f t="shared" si="11"/>
        <v/>
      </c>
      <c r="B348" s="8"/>
      <c r="C348" s="17" t="str">
        <f t="shared" si="12"/>
        <v/>
      </c>
      <c r="D348" s="29" t="str" cm="1">
        <f t="array" ref="D348">IFERROR(INDEX(Data_Input!$1:$100, 10, MATCH(1, (Data_Input!$F$7:$ZZ$7=$F$3) * (Data_Input!$F$8:$ZZ$8=$B348), 0)),"")</f>
        <v/>
      </c>
      <c r="E348" s="29" t="str" cm="1">
        <f t="array" ref="E348">IFERROR(INDEX(Data_Input!$1:$100, 9, MATCH(1, (Data_Input!$7:$7=$F$3) * (Data_Input!$8:$8=$B348), 0)),"")</f>
        <v/>
      </c>
      <c r="F348" s="20" t="str" cm="1">
        <f t="array" ref="F348">IFERROR(INDEX(Data_Input!$A$1:$ZZ$502, MATCH("예수금", INDEX(Data_Input!$A$1:$ZZ$502, 0, MATCH(1, (Data_Input!$7:$7=$F$3)*(Data_Input!$8:$8=$B348), 0)), 0) + 1, MATCH(1, (Data_Input!$7:$7=$F$3)*(Data_Input!$8:$8=$B348), 0)),"")</f>
        <v/>
      </c>
      <c r="G348" s="20" t="str" cm="1">
        <f t="array" ref="G348">IFERROR(INDEX(Data_Input!$A$1:$ZZ$502, MATCH("총자산", INDEX(Data_Input!$A$1:$ZZ$502, 0, MATCH(1, (Data_Input!$7:$7=$F$3)*(Data_Input!$8:$8=$B348), 0)), 0) + 1, MATCH(1, (Data_Input!$7:$7=$F$3)*(Data_Input!$8:$8=$B348), 0)),"")</f>
        <v/>
      </c>
      <c r="H348" s="20" t="str" cm="1">
        <f t="array" ref="H348">IFERROR(INDEX(Data_Input!$A$1:$ZZ$502, MATCH("매입금액", INDEX(Data_Input!$A$1:$ZZ$502, 0, MATCH(1, (Data_Input!$7:$7=$F$3)*(Data_Input!$8:$8=$B348), 0)), 0) + 1, MATCH(1, (Data_Input!$7:$7=$F$3)*(Data_Input!$8:$8=$B348), 0)),"")</f>
        <v/>
      </c>
      <c r="I348" s="20" t="str" cm="1">
        <f t="array" ref="I348">IFERROR(INDEX(Data_Input!$A$1:$ZZ$502, MATCH("평가금액", INDEX(Data_Input!$A$1:$ZZ$502, 0, MATCH(1, (Data_Input!$7:$7=$F$3)*(Data_Input!$8:$8=$B348), 0)), 0) + 1, MATCH(1, (Data_Input!$7:$7=$F$3)*(Data_Input!$8:$8=$B348), 0)),"")</f>
        <v/>
      </c>
      <c r="J348" s="20" t="str" cm="1">
        <f t="array" ref="J348">IFERROR(INDEX(Data_Input!$A$1:$ZZ$502, MATCH("평가손익", INDEX(Data_Input!$A$1:$ZZ$502, 0, MATCH(1, (Data_Input!$7:$7=$F$3)*(Data_Input!$8:$8=$B348), 0)), 0) + 1, MATCH(1, (Data_Input!$7:$7=$F$3)*(Data_Input!$8:$8=$B348), 0)),"")</f>
        <v/>
      </c>
      <c r="K348" s="14" t="str" cm="1">
        <f t="array" ref="K348">IFERROR(INDEX(Data_Input!$A$1:$ZZ$502, MATCH("총수익률", INDEX(Data_Input!$A$1:$ZZ$502, 0, MATCH(1, (Data_Input!$7:$7=$F$3)*(Data_Input!$8:$8=$B348), 0)), 0) + 1, MATCH(1, (Data_Input!$7:$7=$F$3)*(Data_Input!$8:$8=$B348), 0)),"")</f>
        <v/>
      </c>
      <c r="L348" t="str" cm="1">
        <f t="array" ref="L348">IFERROR(_xlfn.LET(
    _xlpm.targetDate, B348,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49" spans="1:12" x14ac:dyDescent="0.3">
      <c r="A349" s="16" t="str">
        <f t="shared" si="11"/>
        <v/>
      </c>
      <c r="B349" s="8"/>
      <c r="C349" s="17" t="str">
        <f t="shared" si="12"/>
        <v/>
      </c>
      <c r="D349" s="29" t="str" cm="1">
        <f t="array" ref="D349">IFERROR(INDEX(Data_Input!$1:$100, 10, MATCH(1, (Data_Input!$F$7:$ZZ$7=$F$3) * (Data_Input!$F$8:$ZZ$8=$B349), 0)),"")</f>
        <v/>
      </c>
      <c r="E349" s="29" t="str" cm="1">
        <f t="array" ref="E349">IFERROR(INDEX(Data_Input!$1:$100, 9, MATCH(1, (Data_Input!$7:$7=$F$3) * (Data_Input!$8:$8=$B349), 0)),"")</f>
        <v/>
      </c>
      <c r="F349" s="20" t="str" cm="1">
        <f t="array" ref="F349">IFERROR(INDEX(Data_Input!$A$1:$ZZ$502, MATCH("예수금", INDEX(Data_Input!$A$1:$ZZ$502, 0, MATCH(1, (Data_Input!$7:$7=$F$3)*(Data_Input!$8:$8=$B349), 0)), 0) + 1, MATCH(1, (Data_Input!$7:$7=$F$3)*(Data_Input!$8:$8=$B349), 0)),"")</f>
        <v/>
      </c>
      <c r="G349" s="20" t="str" cm="1">
        <f t="array" ref="G349">IFERROR(INDEX(Data_Input!$A$1:$ZZ$502, MATCH("총자산", INDEX(Data_Input!$A$1:$ZZ$502, 0, MATCH(1, (Data_Input!$7:$7=$F$3)*(Data_Input!$8:$8=$B349), 0)), 0) + 1, MATCH(1, (Data_Input!$7:$7=$F$3)*(Data_Input!$8:$8=$B349), 0)),"")</f>
        <v/>
      </c>
      <c r="H349" s="20" t="str" cm="1">
        <f t="array" ref="H349">IFERROR(INDEX(Data_Input!$A$1:$ZZ$502, MATCH("매입금액", INDEX(Data_Input!$A$1:$ZZ$502, 0, MATCH(1, (Data_Input!$7:$7=$F$3)*(Data_Input!$8:$8=$B349), 0)), 0) + 1, MATCH(1, (Data_Input!$7:$7=$F$3)*(Data_Input!$8:$8=$B349), 0)),"")</f>
        <v/>
      </c>
      <c r="I349" s="20" t="str" cm="1">
        <f t="array" ref="I349">IFERROR(INDEX(Data_Input!$A$1:$ZZ$502, MATCH("평가금액", INDEX(Data_Input!$A$1:$ZZ$502, 0, MATCH(1, (Data_Input!$7:$7=$F$3)*(Data_Input!$8:$8=$B349), 0)), 0) + 1, MATCH(1, (Data_Input!$7:$7=$F$3)*(Data_Input!$8:$8=$B349), 0)),"")</f>
        <v/>
      </c>
      <c r="J349" s="20" t="str" cm="1">
        <f t="array" ref="J349">IFERROR(INDEX(Data_Input!$A$1:$ZZ$502, MATCH("평가손익", INDEX(Data_Input!$A$1:$ZZ$502, 0, MATCH(1, (Data_Input!$7:$7=$F$3)*(Data_Input!$8:$8=$B349), 0)), 0) + 1, MATCH(1, (Data_Input!$7:$7=$F$3)*(Data_Input!$8:$8=$B349), 0)),"")</f>
        <v/>
      </c>
      <c r="K349" s="14" t="str" cm="1">
        <f t="array" ref="K349">IFERROR(INDEX(Data_Input!$A$1:$ZZ$502, MATCH("총수익률", INDEX(Data_Input!$A$1:$ZZ$502, 0, MATCH(1, (Data_Input!$7:$7=$F$3)*(Data_Input!$8:$8=$B349), 0)), 0) + 1, MATCH(1, (Data_Input!$7:$7=$F$3)*(Data_Input!$8:$8=$B349), 0)),"")</f>
        <v/>
      </c>
      <c r="L349" t="str" cm="1">
        <f t="array" ref="L349">IFERROR(_xlfn.LET(
    _xlpm.targetDate, B349,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50" spans="1:12" x14ac:dyDescent="0.3">
      <c r="A350" s="16" t="str">
        <f t="shared" si="11"/>
        <v/>
      </c>
      <c r="B350" s="8"/>
      <c r="C350" s="17" t="str">
        <f t="shared" si="12"/>
        <v/>
      </c>
      <c r="D350" s="29" t="str" cm="1">
        <f t="array" ref="D350">IFERROR(INDEX(Data_Input!$1:$100, 10, MATCH(1, (Data_Input!$F$7:$ZZ$7=$F$3) * (Data_Input!$F$8:$ZZ$8=$B350), 0)),"")</f>
        <v/>
      </c>
      <c r="E350" s="29" t="str" cm="1">
        <f t="array" ref="E350">IFERROR(INDEX(Data_Input!$1:$100, 9, MATCH(1, (Data_Input!$7:$7=$F$3) * (Data_Input!$8:$8=$B350), 0)),"")</f>
        <v/>
      </c>
      <c r="F350" s="20" t="str" cm="1">
        <f t="array" ref="F350">IFERROR(INDEX(Data_Input!$A$1:$ZZ$502, MATCH("예수금", INDEX(Data_Input!$A$1:$ZZ$502, 0, MATCH(1, (Data_Input!$7:$7=$F$3)*(Data_Input!$8:$8=$B350), 0)), 0) + 1, MATCH(1, (Data_Input!$7:$7=$F$3)*(Data_Input!$8:$8=$B350), 0)),"")</f>
        <v/>
      </c>
      <c r="G350" s="20" t="str" cm="1">
        <f t="array" ref="G350">IFERROR(INDEX(Data_Input!$A$1:$ZZ$502, MATCH("총자산", INDEX(Data_Input!$A$1:$ZZ$502, 0, MATCH(1, (Data_Input!$7:$7=$F$3)*(Data_Input!$8:$8=$B350), 0)), 0) + 1, MATCH(1, (Data_Input!$7:$7=$F$3)*(Data_Input!$8:$8=$B350), 0)),"")</f>
        <v/>
      </c>
      <c r="H350" s="20" t="str" cm="1">
        <f t="array" ref="H350">IFERROR(INDEX(Data_Input!$A$1:$ZZ$502, MATCH("매입금액", INDEX(Data_Input!$A$1:$ZZ$502, 0, MATCH(1, (Data_Input!$7:$7=$F$3)*(Data_Input!$8:$8=$B350), 0)), 0) + 1, MATCH(1, (Data_Input!$7:$7=$F$3)*(Data_Input!$8:$8=$B350), 0)),"")</f>
        <v/>
      </c>
      <c r="I350" s="20" t="str" cm="1">
        <f t="array" ref="I350">IFERROR(INDEX(Data_Input!$A$1:$ZZ$502, MATCH("평가금액", INDEX(Data_Input!$A$1:$ZZ$502, 0, MATCH(1, (Data_Input!$7:$7=$F$3)*(Data_Input!$8:$8=$B350), 0)), 0) + 1, MATCH(1, (Data_Input!$7:$7=$F$3)*(Data_Input!$8:$8=$B350), 0)),"")</f>
        <v/>
      </c>
      <c r="J350" s="20" t="str" cm="1">
        <f t="array" ref="J350">IFERROR(INDEX(Data_Input!$A$1:$ZZ$502, MATCH("평가손익", INDEX(Data_Input!$A$1:$ZZ$502, 0, MATCH(1, (Data_Input!$7:$7=$F$3)*(Data_Input!$8:$8=$B350), 0)), 0) + 1, MATCH(1, (Data_Input!$7:$7=$F$3)*(Data_Input!$8:$8=$B350), 0)),"")</f>
        <v/>
      </c>
      <c r="K350" s="14" t="str" cm="1">
        <f t="array" ref="K350">IFERROR(INDEX(Data_Input!$A$1:$ZZ$502, MATCH("총수익률", INDEX(Data_Input!$A$1:$ZZ$502, 0, MATCH(1, (Data_Input!$7:$7=$F$3)*(Data_Input!$8:$8=$B350), 0)), 0) + 1, MATCH(1, (Data_Input!$7:$7=$F$3)*(Data_Input!$8:$8=$B350), 0)),"")</f>
        <v/>
      </c>
      <c r="L350" t="str" cm="1">
        <f t="array" ref="L350">IFERROR(_xlfn.LET(
    _xlpm.targetDate, B350,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51" spans="1:12" x14ac:dyDescent="0.3">
      <c r="A351" s="16" t="str">
        <f t="shared" si="11"/>
        <v/>
      </c>
      <c r="B351" s="8"/>
      <c r="C351" s="17" t="str">
        <f t="shared" si="12"/>
        <v/>
      </c>
      <c r="D351" s="29" t="str" cm="1">
        <f t="array" ref="D351">IFERROR(INDEX(Data_Input!$1:$100, 10, MATCH(1, (Data_Input!$F$7:$ZZ$7=$F$3) * (Data_Input!$F$8:$ZZ$8=$B351), 0)),"")</f>
        <v/>
      </c>
      <c r="E351" s="29" t="str" cm="1">
        <f t="array" ref="E351">IFERROR(INDEX(Data_Input!$1:$100, 9, MATCH(1, (Data_Input!$7:$7=$F$3) * (Data_Input!$8:$8=$B351), 0)),"")</f>
        <v/>
      </c>
      <c r="F351" s="20" t="str" cm="1">
        <f t="array" ref="F351">IFERROR(INDEX(Data_Input!$A$1:$ZZ$502, MATCH("예수금", INDEX(Data_Input!$A$1:$ZZ$502, 0, MATCH(1, (Data_Input!$7:$7=$F$3)*(Data_Input!$8:$8=$B351), 0)), 0) + 1, MATCH(1, (Data_Input!$7:$7=$F$3)*(Data_Input!$8:$8=$B351), 0)),"")</f>
        <v/>
      </c>
      <c r="G351" s="20" t="str" cm="1">
        <f t="array" ref="G351">IFERROR(INDEX(Data_Input!$A$1:$ZZ$502, MATCH("총자산", INDEX(Data_Input!$A$1:$ZZ$502, 0, MATCH(1, (Data_Input!$7:$7=$F$3)*(Data_Input!$8:$8=$B351), 0)), 0) + 1, MATCH(1, (Data_Input!$7:$7=$F$3)*(Data_Input!$8:$8=$B351), 0)),"")</f>
        <v/>
      </c>
      <c r="H351" s="20" t="str" cm="1">
        <f t="array" ref="H351">IFERROR(INDEX(Data_Input!$A$1:$ZZ$502, MATCH("매입금액", INDEX(Data_Input!$A$1:$ZZ$502, 0, MATCH(1, (Data_Input!$7:$7=$F$3)*(Data_Input!$8:$8=$B351), 0)), 0) + 1, MATCH(1, (Data_Input!$7:$7=$F$3)*(Data_Input!$8:$8=$B351), 0)),"")</f>
        <v/>
      </c>
      <c r="I351" s="20" t="str" cm="1">
        <f t="array" ref="I351">IFERROR(INDEX(Data_Input!$A$1:$ZZ$502, MATCH("평가금액", INDEX(Data_Input!$A$1:$ZZ$502, 0, MATCH(1, (Data_Input!$7:$7=$F$3)*(Data_Input!$8:$8=$B351), 0)), 0) + 1, MATCH(1, (Data_Input!$7:$7=$F$3)*(Data_Input!$8:$8=$B351), 0)),"")</f>
        <v/>
      </c>
      <c r="J351" s="20" t="str" cm="1">
        <f t="array" ref="J351">IFERROR(INDEX(Data_Input!$A$1:$ZZ$502, MATCH("평가손익", INDEX(Data_Input!$A$1:$ZZ$502, 0, MATCH(1, (Data_Input!$7:$7=$F$3)*(Data_Input!$8:$8=$B351), 0)), 0) + 1, MATCH(1, (Data_Input!$7:$7=$F$3)*(Data_Input!$8:$8=$B351), 0)),"")</f>
        <v/>
      </c>
      <c r="K351" s="14" t="str" cm="1">
        <f t="array" ref="K351">IFERROR(INDEX(Data_Input!$A$1:$ZZ$502, MATCH("총수익률", INDEX(Data_Input!$A$1:$ZZ$502, 0, MATCH(1, (Data_Input!$7:$7=$F$3)*(Data_Input!$8:$8=$B351), 0)), 0) + 1, MATCH(1, (Data_Input!$7:$7=$F$3)*(Data_Input!$8:$8=$B351), 0)),"")</f>
        <v/>
      </c>
      <c r="L351" t="str" cm="1">
        <f t="array" ref="L351">IFERROR(_xlfn.LET(
    _xlpm.targetDate, B351,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52" spans="1:12" x14ac:dyDescent="0.3">
      <c r="A352" s="16" t="str">
        <f t="shared" si="11"/>
        <v/>
      </c>
      <c r="B352" s="8"/>
      <c r="C352" s="17" t="str">
        <f t="shared" si="12"/>
        <v/>
      </c>
      <c r="D352" s="29" t="str" cm="1">
        <f t="array" ref="D352">IFERROR(INDEX(Data_Input!$1:$100, 10, MATCH(1, (Data_Input!$F$7:$ZZ$7=$F$3) * (Data_Input!$F$8:$ZZ$8=$B352), 0)),"")</f>
        <v/>
      </c>
      <c r="E352" s="29" t="str" cm="1">
        <f t="array" ref="E352">IFERROR(INDEX(Data_Input!$1:$100, 9, MATCH(1, (Data_Input!$7:$7=$F$3) * (Data_Input!$8:$8=$B352), 0)),"")</f>
        <v/>
      </c>
      <c r="F352" s="20" t="str" cm="1">
        <f t="array" ref="F352">IFERROR(INDEX(Data_Input!$A$1:$ZZ$502, MATCH("예수금", INDEX(Data_Input!$A$1:$ZZ$502, 0, MATCH(1, (Data_Input!$7:$7=$F$3)*(Data_Input!$8:$8=$B352), 0)), 0) + 1, MATCH(1, (Data_Input!$7:$7=$F$3)*(Data_Input!$8:$8=$B352), 0)),"")</f>
        <v/>
      </c>
      <c r="G352" s="20" t="str" cm="1">
        <f t="array" ref="G352">IFERROR(INDEX(Data_Input!$A$1:$ZZ$502, MATCH("총자산", INDEX(Data_Input!$A$1:$ZZ$502, 0, MATCH(1, (Data_Input!$7:$7=$F$3)*(Data_Input!$8:$8=$B352), 0)), 0) + 1, MATCH(1, (Data_Input!$7:$7=$F$3)*(Data_Input!$8:$8=$B352), 0)),"")</f>
        <v/>
      </c>
      <c r="H352" s="20" t="str" cm="1">
        <f t="array" ref="H352">IFERROR(INDEX(Data_Input!$A$1:$ZZ$502, MATCH("매입금액", INDEX(Data_Input!$A$1:$ZZ$502, 0, MATCH(1, (Data_Input!$7:$7=$F$3)*(Data_Input!$8:$8=$B352), 0)), 0) + 1, MATCH(1, (Data_Input!$7:$7=$F$3)*(Data_Input!$8:$8=$B352), 0)),"")</f>
        <v/>
      </c>
      <c r="I352" s="20" t="str" cm="1">
        <f t="array" ref="I352">IFERROR(INDEX(Data_Input!$A$1:$ZZ$502, MATCH("평가금액", INDEX(Data_Input!$A$1:$ZZ$502, 0, MATCH(1, (Data_Input!$7:$7=$F$3)*(Data_Input!$8:$8=$B352), 0)), 0) + 1, MATCH(1, (Data_Input!$7:$7=$F$3)*(Data_Input!$8:$8=$B352), 0)),"")</f>
        <v/>
      </c>
      <c r="J352" s="20" t="str" cm="1">
        <f t="array" ref="J352">IFERROR(INDEX(Data_Input!$A$1:$ZZ$502, MATCH("평가손익", INDEX(Data_Input!$A$1:$ZZ$502, 0, MATCH(1, (Data_Input!$7:$7=$F$3)*(Data_Input!$8:$8=$B352), 0)), 0) + 1, MATCH(1, (Data_Input!$7:$7=$F$3)*(Data_Input!$8:$8=$B352), 0)),"")</f>
        <v/>
      </c>
      <c r="K352" s="14" t="str" cm="1">
        <f t="array" ref="K352">IFERROR(INDEX(Data_Input!$A$1:$ZZ$502, MATCH("총수익률", INDEX(Data_Input!$A$1:$ZZ$502, 0, MATCH(1, (Data_Input!$7:$7=$F$3)*(Data_Input!$8:$8=$B352), 0)), 0) + 1, MATCH(1, (Data_Input!$7:$7=$F$3)*(Data_Input!$8:$8=$B352), 0)),"")</f>
        <v/>
      </c>
      <c r="L352" t="str" cm="1">
        <f t="array" ref="L352">IFERROR(_xlfn.LET(
    _xlpm.targetDate, B352,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53" spans="1:12" x14ac:dyDescent="0.3">
      <c r="A353" s="16" t="str">
        <f t="shared" si="11"/>
        <v/>
      </c>
      <c r="B353" s="8"/>
      <c r="C353" s="17" t="str">
        <f t="shared" si="12"/>
        <v/>
      </c>
      <c r="D353" s="29" t="str" cm="1">
        <f t="array" ref="D353">IFERROR(INDEX(Data_Input!$1:$100, 10, MATCH(1, (Data_Input!$F$7:$ZZ$7=$F$3) * (Data_Input!$F$8:$ZZ$8=$B353), 0)),"")</f>
        <v/>
      </c>
      <c r="E353" s="29" t="str" cm="1">
        <f t="array" ref="E353">IFERROR(INDEX(Data_Input!$1:$100, 9, MATCH(1, (Data_Input!$7:$7=$F$3) * (Data_Input!$8:$8=$B353), 0)),"")</f>
        <v/>
      </c>
      <c r="F353" s="20" t="str" cm="1">
        <f t="array" ref="F353">IFERROR(INDEX(Data_Input!$A$1:$ZZ$502, MATCH("예수금", INDEX(Data_Input!$A$1:$ZZ$502, 0, MATCH(1, (Data_Input!$7:$7=$F$3)*(Data_Input!$8:$8=$B353), 0)), 0) + 1, MATCH(1, (Data_Input!$7:$7=$F$3)*(Data_Input!$8:$8=$B353), 0)),"")</f>
        <v/>
      </c>
      <c r="G353" s="20" t="str" cm="1">
        <f t="array" ref="G353">IFERROR(INDEX(Data_Input!$A$1:$ZZ$502, MATCH("총자산", INDEX(Data_Input!$A$1:$ZZ$502, 0, MATCH(1, (Data_Input!$7:$7=$F$3)*(Data_Input!$8:$8=$B353), 0)), 0) + 1, MATCH(1, (Data_Input!$7:$7=$F$3)*(Data_Input!$8:$8=$B353), 0)),"")</f>
        <v/>
      </c>
      <c r="H353" s="20" t="str" cm="1">
        <f t="array" ref="H353">IFERROR(INDEX(Data_Input!$A$1:$ZZ$502, MATCH("매입금액", INDEX(Data_Input!$A$1:$ZZ$502, 0, MATCH(1, (Data_Input!$7:$7=$F$3)*(Data_Input!$8:$8=$B353), 0)), 0) + 1, MATCH(1, (Data_Input!$7:$7=$F$3)*(Data_Input!$8:$8=$B353), 0)),"")</f>
        <v/>
      </c>
      <c r="I353" s="20" t="str" cm="1">
        <f t="array" ref="I353">IFERROR(INDEX(Data_Input!$A$1:$ZZ$502, MATCH("평가금액", INDEX(Data_Input!$A$1:$ZZ$502, 0, MATCH(1, (Data_Input!$7:$7=$F$3)*(Data_Input!$8:$8=$B353), 0)), 0) + 1, MATCH(1, (Data_Input!$7:$7=$F$3)*(Data_Input!$8:$8=$B353), 0)),"")</f>
        <v/>
      </c>
      <c r="J353" s="20" t="str" cm="1">
        <f t="array" ref="J353">IFERROR(INDEX(Data_Input!$A$1:$ZZ$502, MATCH("평가손익", INDEX(Data_Input!$A$1:$ZZ$502, 0, MATCH(1, (Data_Input!$7:$7=$F$3)*(Data_Input!$8:$8=$B353), 0)), 0) + 1, MATCH(1, (Data_Input!$7:$7=$F$3)*(Data_Input!$8:$8=$B353), 0)),"")</f>
        <v/>
      </c>
      <c r="K353" s="14" t="str" cm="1">
        <f t="array" ref="K353">IFERROR(INDEX(Data_Input!$A$1:$ZZ$502, MATCH("총수익률", INDEX(Data_Input!$A$1:$ZZ$502, 0, MATCH(1, (Data_Input!$7:$7=$F$3)*(Data_Input!$8:$8=$B353), 0)), 0) + 1, MATCH(1, (Data_Input!$7:$7=$F$3)*(Data_Input!$8:$8=$B353), 0)),"")</f>
        <v/>
      </c>
      <c r="L353" t="str" cm="1">
        <f t="array" ref="L353">IFERROR(_xlfn.LET(
    _xlpm.targetDate, B353,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54" spans="1:12" x14ac:dyDescent="0.3">
      <c r="A354" s="16" t="str">
        <f t="shared" si="11"/>
        <v/>
      </c>
      <c r="B354" s="8"/>
      <c r="C354" s="17" t="str">
        <f t="shared" si="12"/>
        <v/>
      </c>
      <c r="D354" s="29" t="str" cm="1">
        <f t="array" ref="D354">IFERROR(INDEX(Data_Input!$1:$100, 10, MATCH(1, (Data_Input!$F$7:$ZZ$7=$F$3) * (Data_Input!$F$8:$ZZ$8=$B354), 0)),"")</f>
        <v/>
      </c>
      <c r="E354" s="29" t="str" cm="1">
        <f t="array" ref="E354">IFERROR(INDEX(Data_Input!$1:$100, 9, MATCH(1, (Data_Input!$7:$7=$F$3) * (Data_Input!$8:$8=$B354), 0)),"")</f>
        <v/>
      </c>
      <c r="F354" s="20" t="str" cm="1">
        <f t="array" ref="F354">IFERROR(INDEX(Data_Input!$A$1:$ZZ$502, MATCH("예수금", INDEX(Data_Input!$A$1:$ZZ$502, 0, MATCH(1, (Data_Input!$7:$7=$F$3)*(Data_Input!$8:$8=$B354), 0)), 0) + 1, MATCH(1, (Data_Input!$7:$7=$F$3)*(Data_Input!$8:$8=$B354), 0)),"")</f>
        <v/>
      </c>
      <c r="G354" s="20" t="str" cm="1">
        <f t="array" ref="G354">IFERROR(INDEX(Data_Input!$A$1:$ZZ$502, MATCH("총자산", INDEX(Data_Input!$A$1:$ZZ$502, 0, MATCH(1, (Data_Input!$7:$7=$F$3)*(Data_Input!$8:$8=$B354), 0)), 0) + 1, MATCH(1, (Data_Input!$7:$7=$F$3)*(Data_Input!$8:$8=$B354), 0)),"")</f>
        <v/>
      </c>
      <c r="H354" s="20" t="str" cm="1">
        <f t="array" ref="H354">IFERROR(INDEX(Data_Input!$A$1:$ZZ$502, MATCH("매입금액", INDEX(Data_Input!$A$1:$ZZ$502, 0, MATCH(1, (Data_Input!$7:$7=$F$3)*(Data_Input!$8:$8=$B354), 0)), 0) + 1, MATCH(1, (Data_Input!$7:$7=$F$3)*(Data_Input!$8:$8=$B354), 0)),"")</f>
        <v/>
      </c>
      <c r="I354" s="20" t="str" cm="1">
        <f t="array" ref="I354">IFERROR(INDEX(Data_Input!$A$1:$ZZ$502, MATCH("평가금액", INDEX(Data_Input!$A$1:$ZZ$502, 0, MATCH(1, (Data_Input!$7:$7=$F$3)*(Data_Input!$8:$8=$B354), 0)), 0) + 1, MATCH(1, (Data_Input!$7:$7=$F$3)*(Data_Input!$8:$8=$B354), 0)),"")</f>
        <v/>
      </c>
      <c r="J354" s="20" t="str" cm="1">
        <f t="array" ref="J354">IFERROR(INDEX(Data_Input!$A$1:$ZZ$502, MATCH("평가손익", INDEX(Data_Input!$A$1:$ZZ$502, 0, MATCH(1, (Data_Input!$7:$7=$F$3)*(Data_Input!$8:$8=$B354), 0)), 0) + 1, MATCH(1, (Data_Input!$7:$7=$F$3)*(Data_Input!$8:$8=$B354), 0)),"")</f>
        <v/>
      </c>
      <c r="K354" s="14" t="str" cm="1">
        <f t="array" ref="K354">IFERROR(INDEX(Data_Input!$A$1:$ZZ$502, MATCH("총수익률", INDEX(Data_Input!$A$1:$ZZ$502, 0, MATCH(1, (Data_Input!$7:$7=$F$3)*(Data_Input!$8:$8=$B354), 0)), 0) + 1, MATCH(1, (Data_Input!$7:$7=$F$3)*(Data_Input!$8:$8=$B354), 0)),"")</f>
        <v/>
      </c>
      <c r="L354" t="str" cm="1">
        <f t="array" ref="L354">IFERROR(_xlfn.LET(
    _xlpm.targetDate, B354,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55" spans="1:12" x14ac:dyDescent="0.3">
      <c r="A355" s="16" t="str">
        <f t="shared" si="11"/>
        <v/>
      </c>
      <c r="B355" s="8"/>
      <c r="C355" s="17" t="str">
        <f t="shared" si="12"/>
        <v/>
      </c>
      <c r="D355" s="29" t="str" cm="1">
        <f t="array" ref="D355">IFERROR(INDEX(Data_Input!$1:$100, 10, MATCH(1, (Data_Input!$F$7:$ZZ$7=$F$3) * (Data_Input!$F$8:$ZZ$8=$B355), 0)),"")</f>
        <v/>
      </c>
      <c r="E355" s="29" t="str" cm="1">
        <f t="array" ref="E355">IFERROR(INDEX(Data_Input!$1:$100, 9, MATCH(1, (Data_Input!$7:$7=$F$3) * (Data_Input!$8:$8=$B355), 0)),"")</f>
        <v/>
      </c>
      <c r="F355" s="20" t="str" cm="1">
        <f t="array" ref="F355">IFERROR(INDEX(Data_Input!$A$1:$ZZ$502, MATCH("예수금", INDEX(Data_Input!$A$1:$ZZ$502, 0, MATCH(1, (Data_Input!$7:$7=$F$3)*(Data_Input!$8:$8=$B355), 0)), 0) + 1, MATCH(1, (Data_Input!$7:$7=$F$3)*(Data_Input!$8:$8=$B355), 0)),"")</f>
        <v/>
      </c>
      <c r="G355" s="20" t="str" cm="1">
        <f t="array" ref="G355">IFERROR(INDEX(Data_Input!$A$1:$ZZ$502, MATCH("총자산", INDEX(Data_Input!$A$1:$ZZ$502, 0, MATCH(1, (Data_Input!$7:$7=$F$3)*(Data_Input!$8:$8=$B355), 0)), 0) + 1, MATCH(1, (Data_Input!$7:$7=$F$3)*(Data_Input!$8:$8=$B355), 0)),"")</f>
        <v/>
      </c>
      <c r="H355" s="20" t="str" cm="1">
        <f t="array" ref="H355">IFERROR(INDEX(Data_Input!$A$1:$ZZ$502, MATCH("매입금액", INDEX(Data_Input!$A$1:$ZZ$502, 0, MATCH(1, (Data_Input!$7:$7=$F$3)*(Data_Input!$8:$8=$B355), 0)), 0) + 1, MATCH(1, (Data_Input!$7:$7=$F$3)*(Data_Input!$8:$8=$B355), 0)),"")</f>
        <v/>
      </c>
      <c r="I355" s="20" t="str" cm="1">
        <f t="array" ref="I355">IFERROR(INDEX(Data_Input!$A$1:$ZZ$502, MATCH("평가금액", INDEX(Data_Input!$A$1:$ZZ$502, 0, MATCH(1, (Data_Input!$7:$7=$F$3)*(Data_Input!$8:$8=$B355), 0)), 0) + 1, MATCH(1, (Data_Input!$7:$7=$F$3)*(Data_Input!$8:$8=$B355), 0)),"")</f>
        <v/>
      </c>
      <c r="J355" s="20" t="str" cm="1">
        <f t="array" ref="J355">IFERROR(INDEX(Data_Input!$A$1:$ZZ$502, MATCH("평가손익", INDEX(Data_Input!$A$1:$ZZ$502, 0, MATCH(1, (Data_Input!$7:$7=$F$3)*(Data_Input!$8:$8=$B355), 0)), 0) + 1, MATCH(1, (Data_Input!$7:$7=$F$3)*(Data_Input!$8:$8=$B355), 0)),"")</f>
        <v/>
      </c>
      <c r="K355" s="14" t="str" cm="1">
        <f t="array" ref="K355">IFERROR(INDEX(Data_Input!$A$1:$ZZ$502, MATCH("총수익률", INDEX(Data_Input!$A$1:$ZZ$502, 0, MATCH(1, (Data_Input!$7:$7=$F$3)*(Data_Input!$8:$8=$B355), 0)), 0) + 1, MATCH(1, (Data_Input!$7:$7=$F$3)*(Data_Input!$8:$8=$B355), 0)),"")</f>
        <v/>
      </c>
      <c r="L355" t="str" cm="1">
        <f t="array" ref="L355">IFERROR(_xlfn.LET(
    _xlpm.targetDate, B355,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56" spans="1:12" x14ac:dyDescent="0.3">
      <c r="A356" s="16" t="str">
        <f t="shared" si="11"/>
        <v/>
      </c>
      <c r="B356" s="8"/>
      <c r="C356" s="17" t="str">
        <f t="shared" si="12"/>
        <v/>
      </c>
      <c r="D356" s="29" t="str" cm="1">
        <f t="array" ref="D356">IFERROR(INDEX(Data_Input!$1:$100, 10, MATCH(1, (Data_Input!$F$7:$ZZ$7=$F$3) * (Data_Input!$F$8:$ZZ$8=$B356), 0)),"")</f>
        <v/>
      </c>
      <c r="E356" s="29" t="str" cm="1">
        <f t="array" ref="E356">IFERROR(INDEX(Data_Input!$1:$100, 9, MATCH(1, (Data_Input!$7:$7=$F$3) * (Data_Input!$8:$8=$B356), 0)),"")</f>
        <v/>
      </c>
      <c r="F356" s="20" t="str" cm="1">
        <f t="array" ref="F356">IFERROR(INDEX(Data_Input!$A$1:$ZZ$502, MATCH("예수금", INDEX(Data_Input!$A$1:$ZZ$502, 0, MATCH(1, (Data_Input!$7:$7=$F$3)*(Data_Input!$8:$8=$B356), 0)), 0) + 1, MATCH(1, (Data_Input!$7:$7=$F$3)*(Data_Input!$8:$8=$B356), 0)),"")</f>
        <v/>
      </c>
      <c r="G356" s="20" t="str" cm="1">
        <f t="array" ref="G356">IFERROR(INDEX(Data_Input!$A$1:$ZZ$502, MATCH("총자산", INDEX(Data_Input!$A$1:$ZZ$502, 0, MATCH(1, (Data_Input!$7:$7=$F$3)*(Data_Input!$8:$8=$B356), 0)), 0) + 1, MATCH(1, (Data_Input!$7:$7=$F$3)*(Data_Input!$8:$8=$B356), 0)),"")</f>
        <v/>
      </c>
      <c r="H356" s="20" t="str" cm="1">
        <f t="array" ref="H356">IFERROR(INDEX(Data_Input!$A$1:$ZZ$502, MATCH("매입금액", INDEX(Data_Input!$A$1:$ZZ$502, 0, MATCH(1, (Data_Input!$7:$7=$F$3)*(Data_Input!$8:$8=$B356), 0)), 0) + 1, MATCH(1, (Data_Input!$7:$7=$F$3)*(Data_Input!$8:$8=$B356), 0)),"")</f>
        <v/>
      </c>
      <c r="I356" s="20" t="str" cm="1">
        <f t="array" ref="I356">IFERROR(INDEX(Data_Input!$A$1:$ZZ$502, MATCH("평가금액", INDEX(Data_Input!$A$1:$ZZ$502, 0, MATCH(1, (Data_Input!$7:$7=$F$3)*(Data_Input!$8:$8=$B356), 0)), 0) + 1, MATCH(1, (Data_Input!$7:$7=$F$3)*(Data_Input!$8:$8=$B356), 0)),"")</f>
        <v/>
      </c>
      <c r="J356" s="20" t="str" cm="1">
        <f t="array" ref="J356">IFERROR(INDEX(Data_Input!$A$1:$ZZ$502, MATCH("평가손익", INDEX(Data_Input!$A$1:$ZZ$502, 0, MATCH(1, (Data_Input!$7:$7=$F$3)*(Data_Input!$8:$8=$B356), 0)), 0) + 1, MATCH(1, (Data_Input!$7:$7=$F$3)*(Data_Input!$8:$8=$B356), 0)),"")</f>
        <v/>
      </c>
      <c r="K356" s="14" t="str" cm="1">
        <f t="array" ref="K356">IFERROR(INDEX(Data_Input!$A$1:$ZZ$502, MATCH("총수익률", INDEX(Data_Input!$A$1:$ZZ$502, 0, MATCH(1, (Data_Input!$7:$7=$F$3)*(Data_Input!$8:$8=$B356), 0)), 0) + 1, MATCH(1, (Data_Input!$7:$7=$F$3)*(Data_Input!$8:$8=$B356), 0)),"")</f>
        <v/>
      </c>
      <c r="L356" t="str" cm="1">
        <f t="array" ref="L356">IFERROR(_xlfn.LET(
    _xlpm.targetDate, B356,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57" spans="1:12" x14ac:dyDescent="0.3">
      <c r="A357" s="16" t="str">
        <f t="shared" si="11"/>
        <v/>
      </c>
      <c r="B357" s="8"/>
      <c r="C357" s="17" t="str">
        <f t="shared" si="12"/>
        <v/>
      </c>
      <c r="D357" s="29" t="str" cm="1">
        <f t="array" ref="D357">IFERROR(INDEX(Data_Input!$1:$100, 10, MATCH(1, (Data_Input!$F$7:$ZZ$7=$F$3) * (Data_Input!$F$8:$ZZ$8=$B357), 0)),"")</f>
        <v/>
      </c>
      <c r="E357" s="29" t="str" cm="1">
        <f t="array" ref="E357">IFERROR(INDEX(Data_Input!$1:$100, 9, MATCH(1, (Data_Input!$7:$7=$F$3) * (Data_Input!$8:$8=$B357), 0)),"")</f>
        <v/>
      </c>
      <c r="F357" s="20" t="str" cm="1">
        <f t="array" ref="F357">IFERROR(INDEX(Data_Input!$A$1:$ZZ$502, MATCH("예수금", INDEX(Data_Input!$A$1:$ZZ$502, 0, MATCH(1, (Data_Input!$7:$7=$F$3)*(Data_Input!$8:$8=$B357), 0)), 0) + 1, MATCH(1, (Data_Input!$7:$7=$F$3)*(Data_Input!$8:$8=$B357), 0)),"")</f>
        <v/>
      </c>
      <c r="G357" s="20" t="str" cm="1">
        <f t="array" ref="G357">IFERROR(INDEX(Data_Input!$A$1:$ZZ$502, MATCH("총자산", INDEX(Data_Input!$A$1:$ZZ$502, 0, MATCH(1, (Data_Input!$7:$7=$F$3)*(Data_Input!$8:$8=$B357), 0)), 0) + 1, MATCH(1, (Data_Input!$7:$7=$F$3)*(Data_Input!$8:$8=$B357), 0)),"")</f>
        <v/>
      </c>
      <c r="H357" s="20" t="str" cm="1">
        <f t="array" ref="H357">IFERROR(INDEX(Data_Input!$A$1:$ZZ$502, MATCH("매입금액", INDEX(Data_Input!$A$1:$ZZ$502, 0, MATCH(1, (Data_Input!$7:$7=$F$3)*(Data_Input!$8:$8=$B357), 0)), 0) + 1, MATCH(1, (Data_Input!$7:$7=$F$3)*(Data_Input!$8:$8=$B357), 0)),"")</f>
        <v/>
      </c>
      <c r="I357" s="20" t="str" cm="1">
        <f t="array" ref="I357">IFERROR(INDEX(Data_Input!$A$1:$ZZ$502, MATCH("평가금액", INDEX(Data_Input!$A$1:$ZZ$502, 0, MATCH(1, (Data_Input!$7:$7=$F$3)*(Data_Input!$8:$8=$B357), 0)), 0) + 1, MATCH(1, (Data_Input!$7:$7=$F$3)*(Data_Input!$8:$8=$B357), 0)),"")</f>
        <v/>
      </c>
      <c r="J357" s="20" t="str" cm="1">
        <f t="array" ref="J357">IFERROR(INDEX(Data_Input!$A$1:$ZZ$502, MATCH("평가손익", INDEX(Data_Input!$A$1:$ZZ$502, 0, MATCH(1, (Data_Input!$7:$7=$F$3)*(Data_Input!$8:$8=$B357), 0)), 0) + 1, MATCH(1, (Data_Input!$7:$7=$F$3)*(Data_Input!$8:$8=$B357), 0)),"")</f>
        <v/>
      </c>
      <c r="K357" s="14" t="str" cm="1">
        <f t="array" ref="K357">IFERROR(INDEX(Data_Input!$A$1:$ZZ$502, MATCH("총수익률", INDEX(Data_Input!$A$1:$ZZ$502, 0, MATCH(1, (Data_Input!$7:$7=$F$3)*(Data_Input!$8:$8=$B357), 0)), 0) + 1, MATCH(1, (Data_Input!$7:$7=$F$3)*(Data_Input!$8:$8=$B357), 0)),"")</f>
        <v/>
      </c>
      <c r="L357" t="str" cm="1">
        <f t="array" ref="L357">IFERROR(_xlfn.LET(
    _xlpm.targetDate, B357,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58" spans="1:12" x14ac:dyDescent="0.3">
      <c r="A358" s="16" t="str">
        <f t="shared" si="11"/>
        <v/>
      </c>
      <c r="B358" s="8"/>
      <c r="C358" s="17" t="str">
        <f t="shared" si="12"/>
        <v/>
      </c>
      <c r="D358" s="29" t="str" cm="1">
        <f t="array" ref="D358">IFERROR(INDEX(Data_Input!$1:$100, 10, MATCH(1, (Data_Input!$F$7:$ZZ$7=$F$3) * (Data_Input!$F$8:$ZZ$8=$B358), 0)),"")</f>
        <v/>
      </c>
      <c r="E358" s="29" t="str" cm="1">
        <f t="array" ref="E358">IFERROR(INDEX(Data_Input!$1:$100, 9, MATCH(1, (Data_Input!$7:$7=$F$3) * (Data_Input!$8:$8=$B358), 0)),"")</f>
        <v/>
      </c>
      <c r="F358" s="20" t="str" cm="1">
        <f t="array" ref="F358">IFERROR(INDEX(Data_Input!$A$1:$ZZ$502, MATCH("예수금", INDEX(Data_Input!$A$1:$ZZ$502, 0, MATCH(1, (Data_Input!$7:$7=$F$3)*(Data_Input!$8:$8=$B358), 0)), 0) + 1, MATCH(1, (Data_Input!$7:$7=$F$3)*(Data_Input!$8:$8=$B358), 0)),"")</f>
        <v/>
      </c>
      <c r="G358" s="20" t="str" cm="1">
        <f t="array" ref="G358">IFERROR(INDEX(Data_Input!$A$1:$ZZ$502, MATCH("총자산", INDEX(Data_Input!$A$1:$ZZ$502, 0, MATCH(1, (Data_Input!$7:$7=$F$3)*(Data_Input!$8:$8=$B358), 0)), 0) + 1, MATCH(1, (Data_Input!$7:$7=$F$3)*(Data_Input!$8:$8=$B358), 0)),"")</f>
        <v/>
      </c>
      <c r="H358" s="20" t="str" cm="1">
        <f t="array" ref="H358">IFERROR(INDEX(Data_Input!$A$1:$ZZ$502, MATCH("매입금액", INDEX(Data_Input!$A$1:$ZZ$502, 0, MATCH(1, (Data_Input!$7:$7=$F$3)*(Data_Input!$8:$8=$B358), 0)), 0) + 1, MATCH(1, (Data_Input!$7:$7=$F$3)*(Data_Input!$8:$8=$B358), 0)),"")</f>
        <v/>
      </c>
      <c r="I358" s="20" t="str" cm="1">
        <f t="array" ref="I358">IFERROR(INDEX(Data_Input!$A$1:$ZZ$502, MATCH("평가금액", INDEX(Data_Input!$A$1:$ZZ$502, 0, MATCH(1, (Data_Input!$7:$7=$F$3)*(Data_Input!$8:$8=$B358), 0)), 0) + 1, MATCH(1, (Data_Input!$7:$7=$F$3)*(Data_Input!$8:$8=$B358), 0)),"")</f>
        <v/>
      </c>
      <c r="J358" s="20" t="str" cm="1">
        <f t="array" ref="J358">IFERROR(INDEX(Data_Input!$A$1:$ZZ$502, MATCH("평가손익", INDEX(Data_Input!$A$1:$ZZ$502, 0, MATCH(1, (Data_Input!$7:$7=$F$3)*(Data_Input!$8:$8=$B358), 0)), 0) + 1, MATCH(1, (Data_Input!$7:$7=$F$3)*(Data_Input!$8:$8=$B358), 0)),"")</f>
        <v/>
      </c>
      <c r="K358" s="14" t="str" cm="1">
        <f t="array" ref="K358">IFERROR(INDEX(Data_Input!$A$1:$ZZ$502, MATCH("총수익률", INDEX(Data_Input!$A$1:$ZZ$502, 0, MATCH(1, (Data_Input!$7:$7=$F$3)*(Data_Input!$8:$8=$B358), 0)), 0) + 1, MATCH(1, (Data_Input!$7:$7=$F$3)*(Data_Input!$8:$8=$B358), 0)),"")</f>
        <v/>
      </c>
      <c r="L358" t="str" cm="1">
        <f t="array" ref="L358">IFERROR(_xlfn.LET(
    _xlpm.targetDate, B358,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59" spans="1:12" x14ac:dyDescent="0.3">
      <c r="A359" s="16" t="str">
        <f t="shared" si="11"/>
        <v/>
      </c>
      <c r="B359" s="8"/>
      <c r="C359" s="17" t="str">
        <f t="shared" si="12"/>
        <v/>
      </c>
      <c r="D359" s="29" t="str" cm="1">
        <f t="array" ref="D359">IFERROR(INDEX(Data_Input!$1:$100, 10, MATCH(1, (Data_Input!$F$7:$ZZ$7=$F$3) * (Data_Input!$F$8:$ZZ$8=$B359), 0)),"")</f>
        <v/>
      </c>
      <c r="E359" s="29" t="str" cm="1">
        <f t="array" ref="E359">IFERROR(INDEX(Data_Input!$1:$100, 9, MATCH(1, (Data_Input!$7:$7=$F$3) * (Data_Input!$8:$8=$B359), 0)),"")</f>
        <v/>
      </c>
      <c r="F359" s="20" t="str" cm="1">
        <f t="array" ref="F359">IFERROR(INDEX(Data_Input!$A$1:$ZZ$502, MATCH("예수금", INDEX(Data_Input!$A$1:$ZZ$502, 0, MATCH(1, (Data_Input!$7:$7=$F$3)*(Data_Input!$8:$8=$B359), 0)), 0) + 1, MATCH(1, (Data_Input!$7:$7=$F$3)*(Data_Input!$8:$8=$B359), 0)),"")</f>
        <v/>
      </c>
      <c r="G359" s="20" t="str" cm="1">
        <f t="array" ref="G359">IFERROR(INDEX(Data_Input!$A$1:$ZZ$502, MATCH("총자산", INDEX(Data_Input!$A$1:$ZZ$502, 0, MATCH(1, (Data_Input!$7:$7=$F$3)*(Data_Input!$8:$8=$B359), 0)), 0) + 1, MATCH(1, (Data_Input!$7:$7=$F$3)*(Data_Input!$8:$8=$B359), 0)),"")</f>
        <v/>
      </c>
      <c r="H359" s="20" t="str" cm="1">
        <f t="array" ref="H359">IFERROR(INDEX(Data_Input!$A$1:$ZZ$502, MATCH("매입금액", INDEX(Data_Input!$A$1:$ZZ$502, 0, MATCH(1, (Data_Input!$7:$7=$F$3)*(Data_Input!$8:$8=$B359), 0)), 0) + 1, MATCH(1, (Data_Input!$7:$7=$F$3)*(Data_Input!$8:$8=$B359), 0)),"")</f>
        <v/>
      </c>
      <c r="I359" s="20" t="str" cm="1">
        <f t="array" ref="I359">IFERROR(INDEX(Data_Input!$A$1:$ZZ$502, MATCH("평가금액", INDEX(Data_Input!$A$1:$ZZ$502, 0, MATCH(1, (Data_Input!$7:$7=$F$3)*(Data_Input!$8:$8=$B359), 0)), 0) + 1, MATCH(1, (Data_Input!$7:$7=$F$3)*(Data_Input!$8:$8=$B359), 0)),"")</f>
        <v/>
      </c>
      <c r="J359" s="20" t="str" cm="1">
        <f t="array" ref="J359">IFERROR(INDEX(Data_Input!$A$1:$ZZ$502, MATCH("평가손익", INDEX(Data_Input!$A$1:$ZZ$502, 0, MATCH(1, (Data_Input!$7:$7=$F$3)*(Data_Input!$8:$8=$B359), 0)), 0) + 1, MATCH(1, (Data_Input!$7:$7=$F$3)*(Data_Input!$8:$8=$B359), 0)),"")</f>
        <v/>
      </c>
      <c r="K359" s="14" t="str" cm="1">
        <f t="array" ref="K359">IFERROR(INDEX(Data_Input!$A$1:$ZZ$502, MATCH("총수익률", INDEX(Data_Input!$A$1:$ZZ$502, 0, MATCH(1, (Data_Input!$7:$7=$F$3)*(Data_Input!$8:$8=$B359), 0)), 0) + 1, MATCH(1, (Data_Input!$7:$7=$F$3)*(Data_Input!$8:$8=$B359), 0)),"")</f>
        <v/>
      </c>
      <c r="L359" t="str" cm="1">
        <f t="array" ref="L359">IFERROR(_xlfn.LET(
    _xlpm.targetDate, B359,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60" spans="1:12" x14ac:dyDescent="0.3">
      <c r="A360" s="16" t="str">
        <f t="shared" si="11"/>
        <v/>
      </c>
      <c r="B360" s="8"/>
      <c r="C360" s="17" t="str">
        <f t="shared" si="12"/>
        <v/>
      </c>
      <c r="D360" s="29" t="str" cm="1">
        <f t="array" ref="D360">IFERROR(INDEX(Data_Input!$1:$100, 10, MATCH(1, (Data_Input!$F$7:$ZZ$7=$F$3) * (Data_Input!$F$8:$ZZ$8=$B360), 0)),"")</f>
        <v/>
      </c>
      <c r="E360" s="29" t="str" cm="1">
        <f t="array" ref="E360">IFERROR(INDEX(Data_Input!$1:$100, 9, MATCH(1, (Data_Input!$7:$7=$F$3) * (Data_Input!$8:$8=$B360), 0)),"")</f>
        <v/>
      </c>
      <c r="F360" s="20" t="str" cm="1">
        <f t="array" ref="F360">IFERROR(INDEX(Data_Input!$A$1:$ZZ$502, MATCH("예수금", INDEX(Data_Input!$A$1:$ZZ$502, 0, MATCH(1, (Data_Input!$7:$7=$F$3)*(Data_Input!$8:$8=$B360), 0)), 0) + 1, MATCH(1, (Data_Input!$7:$7=$F$3)*(Data_Input!$8:$8=$B360), 0)),"")</f>
        <v/>
      </c>
      <c r="G360" s="20" t="str" cm="1">
        <f t="array" ref="G360">IFERROR(INDEX(Data_Input!$A$1:$ZZ$502, MATCH("총자산", INDEX(Data_Input!$A$1:$ZZ$502, 0, MATCH(1, (Data_Input!$7:$7=$F$3)*(Data_Input!$8:$8=$B360), 0)), 0) + 1, MATCH(1, (Data_Input!$7:$7=$F$3)*(Data_Input!$8:$8=$B360), 0)),"")</f>
        <v/>
      </c>
      <c r="H360" s="20" t="str" cm="1">
        <f t="array" ref="H360">IFERROR(INDEX(Data_Input!$A$1:$ZZ$502, MATCH("매입금액", INDEX(Data_Input!$A$1:$ZZ$502, 0, MATCH(1, (Data_Input!$7:$7=$F$3)*(Data_Input!$8:$8=$B360), 0)), 0) + 1, MATCH(1, (Data_Input!$7:$7=$F$3)*(Data_Input!$8:$8=$B360), 0)),"")</f>
        <v/>
      </c>
      <c r="I360" s="20" t="str" cm="1">
        <f t="array" ref="I360">IFERROR(INDEX(Data_Input!$A$1:$ZZ$502, MATCH("평가금액", INDEX(Data_Input!$A$1:$ZZ$502, 0, MATCH(1, (Data_Input!$7:$7=$F$3)*(Data_Input!$8:$8=$B360), 0)), 0) + 1, MATCH(1, (Data_Input!$7:$7=$F$3)*(Data_Input!$8:$8=$B360), 0)),"")</f>
        <v/>
      </c>
      <c r="J360" s="20" t="str" cm="1">
        <f t="array" ref="J360">IFERROR(INDEX(Data_Input!$A$1:$ZZ$502, MATCH("평가손익", INDEX(Data_Input!$A$1:$ZZ$502, 0, MATCH(1, (Data_Input!$7:$7=$F$3)*(Data_Input!$8:$8=$B360), 0)), 0) + 1, MATCH(1, (Data_Input!$7:$7=$F$3)*(Data_Input!$8:$8=$B360), 0)),"")</f>
        <v/>
      </c>
      <c r="K360" s="14" t="str" cm="1">
        <f t="array" ref="K360">IFERROR(INDEX(Data_Input!$A$1:$ZZ$502, MATCH("총수익률", INDEX(Data_Input!$A$1:$ZZ$502, 0, MATCH(1, (Data_Input!$7:$7=$F$3)*(Data_Input!$8:$8=$B360), 0)), 0) + 1, MATCH(1, (Data_Input!$7:$7=$F$3)*(Data_Input!$8:$8=$B360), 0)),"")</f>
        <v/>
      </c>
      <c r="L360" t="str" cm="1">
        <f t="array" ref="L360">IFERROR(_xlfn.LET(
    _xlpm.targetDate, B360,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61" spans="1:12" x14ac:dyDescent="0.3">
      <c r="A361" s="16" t="str">
        <f t="shared" si="11"/>
        <v/>
      </c>
      <c r="B361" s="8"/>
      <c r="C361" s="17" t="str">
        <f t="shared" si="12"/>
        <v/>
      </c>
      <c r="D361" s="29" t="str" cm="1">
        <f t="array" ref="D361">IFERROR(INDEX(Data_Input!$1:$100, 10, MATCH(1, (Data_Input!$F$7:$ZZ$7=$F$3) * (Data_Input!$F$8:$ZZ$8=$B361), 0)),"")</f>
        <v/>
      </c>
      <c r="E361" s="29" t="str" cm="1">
        <f t="array" ref="E361">IFERROR(INDEX(Data_Input!$1:$100, 9, MATCH(1, (Data_Input!$7:$7=$F$3) * (Data_Input!$8:$8=$B361), 0)),"")</f>
        <v/>
      </c>
      <c r="F361" s="20" t="str" cm="1">
        <f t="array" ref="F361">IFERROR(INDEX(Data_Input!$A$1:$ZZ$502, MATCH("예수금", INDEX(Data_Input!$A$1:$ZZ$502, 0, MATCH(1, (Data_Input!$7:$7=$F$3)*(Data_Input!$8:$8=$B361), 0)), 0) + 1, MATCH(1, (Data_Input!$7:$7=$F$3)*(Data_Input!$8:$8=$B361), 0)),"")</f>
        <v/>
      </c>
      <c r="G361" s="20" t="str" cm="1">
        <f t="array" ref="G361">IFERROR(INDEX(Data_Input!$A$1:$ZZ$502, MATCH("총자산", INDEX(Data_Input!$A$1:$ZZ$502, 0, MATCH(1, (Data_Input!$7:$7=$F$3)*(Data_Input!$8:$8=$B361), 0)), 0) + 1, MATCH(1, (Data_Input!$7:$7=$F$3)*(Data_Input!$8:$8=$B361), 0)),"")</f>
        <v/>
      </c>
      <c r="H361" s="20" t="str" cm="1">
        <f t="array" ref="H361">IFERROR(INDEX(Data_Input!$A$1:$ZZ$502, MATCH("매입금액", INDEX(Data_Input!$A$1:$ZZ$502, 0, MATCH(1, (Data_Input!$7:$7=$F$3)*(Data_Input!$8:$8=$B361), 0)), 0) + 1, MATCH(1, (Data_Input!$7:$7=$F$3)*(Data_Input!$8:$8=$B361), 0)),"")</f>
        <v/>
      </c>
      <c r="I361" s="20" t="str" cm="1">
        <f t="array" ref="I361">IFERROR(INDEX(Data_Input!$A$1:$ZZ$502, MATCH("평가금액", INDEX(Data_Input!$A$1:$ZZ$502, 0, MATCH(1, (Data_Input!$7:$7=$F$3)*(Data_Input!$8:$8=$B361), 0)), 0) + 1, MATCH(1, (Data_Input!$7:$7=$F$3)*(Data_Input!$8:$8=$B361), 0)),"")</f>
        <v/>
      </c>
      <c r="J361" s="20" t="str" cm="1">
        <f t="array" ref="J361">IFERROR(INDEX(Data_Input!$A$1:$ZZ$502, MATCH("평가손익", INDEX(Data_Input!$A$1:$ZZ$502, 0, MATCH(1, (Data_Input!$7:$7=$F$3)*(Data_Input!$8:$8=$B361), 0)), 0) + 1, MATCH(1, (Data_Input!$7:$7=$F$3)*(Data_Input!$8:$8=$B361), 0)),"")</f>
        <v/>
      </c>
      <c r="K361" s="14" t="str" cm="1">
        <f t="array" ref="K361">IFERROR(INDEX(Data_Input!$A$1:$ZZ$502, MATCH("총수익률", INDEX(Data_Input!$A$1:$ZZ$502, 0, MATCH(1, (Data_Input!$7:$7=$F$3)*(Data_Input!$8:$8=$B361), 0)), 0) + 1, MATCH(1, (Data_Input!$7:$7=$F$3)*(Data_Input!$8:$8=$B361), 0)),"")</f>
        <v/>
      </c>
      <c r="L361" t="str" cm="1">
        <f t="array" ref="L361">IFERROR(_xlfn.LET(
    _xlpm.targetDate, B361,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62" spans="1:12" x14ac:dyDescent="0.3">
      <c r="A362" s="16" t="str">
        <f t="shared" si="11"/>
        <v/>
      </c>
      <c r="B362" s="8"/>
      <c r="C362" s="17" t="str">
        <f t="shared" si="12"/>
        <v/>
      </c>
      <c r="D362" s="29" t="str" cm="1">
        <f t="array" ref="D362">IFERROR(INDEX(Data_Input!$1:$100, 10, MATCH(1, (Data_Input!$F$7:$ZZ$7=$F$3) * (Data_Input!$F$8:$ZZ$8=$B362), 0)),"")</f>
        <v/>
      </c>
      <c r="E362" s="29" t="str" cm="1">
        <f t="array" ref="E362">IFERROR(INDEX(Data_Input!$1:$100, 9, MATCH(1, (Data_Input!$7:$7=$F$3) * (Data_Input!$8:$8=$B362), 0)),"")</f>
        <v/>
      </c>
      <c r="F362" s="20" t="str" cm="1">
        <f t="array" ref="F362">IFERROR(INDEX(Data_Input!$A$1:$ZZ$502, MATCH("예수금", INDEX(Data_Input!$A$1:$ZZ$502, 0, MATCH(1, (Data_Input!$7:$7=$F$3)*(Data_Input!$8:$8=$B362), 0)), 0) + 1, MATCH(1, (Data_Input!$7:$7=$F$3)*(Data_Input!$8:$8=$B362), 0)),"")</f>
        <v/>
      </c>
      <c r="G362" s="20" t="str" cm="1">
        <f t="array" ref="G362">IFERROR(INDEX(Data_Input!$A$1:$ZZ$502, MATCH("총자산", INDEX(Data_Input!$A$1:$ZZ$502, 0, MATCH(1, (Data_Input!$7:$7=$F$3)*(Data_Input!$8:$8=$B362), 0)), 0) + 1, MATCH(1, (Data_Input!$7:$7=$F$3)*(Data_Input!$8:$8=$B362), 0)),"")</f>
        <v/>
      </c>
      <c r="H362" s="20" t="str" cm="1">
        <f t="array" ref="H362">IFERROR(INDEX(Data_Input!$A$1:$ZZ$502, MATCH("매입금액", INDEX(Data_Input!$A$1:$ZZ$502, 0, MATCH(1, (Data_Input!$7:$7=$F$3)*(Data_Input!$8:$8=$B362), 0)), 0) + 1, MATCH(1, (Data_Input!$7:$7=$F$3)*(Data_Input!$8:$8=$B362), 0)),"")</f>
        <v/>
      </c>
      <c r="I362" s="20" t="str" cm="1">
        <f t="array" ref="I362">IFERROR(INDEX(Data_Input!$A$1:$ZZ$502, MATCH("평가금액", INDEX(Data_Input!$A$1:$ZZ$502, 0, MATCH(1, (Data_Input!$7:$7=$F$3)*(Data_Input!$8:$8=$B362), 0)), 0) + 1, MATCH(1, (Data_Input!$7:$7=$F$3)*(Data_Input!$8:$8=$B362), 0)),"")</f>
        <v/>
      </c>
      <c r="J362" s="20" t="str" cm="1">
        <f t="array" ref="J362">IFERROR(INDEX(Data_Input!$A$1:$ZZ$502, MATCH("평가손익", INDEX(Data_Input!$A$1:$ZZ$502, 0, MATCH(1, (Data_Input!$7:$7=$F$3)*(Data_Input!$8:$8=$B362), 0)), 0) + 1, MATCH(1, (Data_Input!$7:$7=$F$3)*(Data_Input!$8:$8=$B362), 0)),"")</f>
        <v/>
      </c>
      <c r="K362" s="14" t="str" cm="1">
        <f t="array" ref="K362">IFERROR(INDEX(Data_Input!$A$1:$ZZ$502, MATCH("총수익률", INDEX(Data_Input!$A$1:$ZZ$502, 0, MATCH(1, (Data_Input!$7:$7=$F$3)*(Data_Input!$8:$8=$B362), 0)), 0) + 1, MATCH(1, (Data_Input!$7:$7=$F$3)*(Data_Input!$8:$8=$B362), 0)),"")</f>
        <v/>
      </c>
      <c r="L362" t="str" cm="1">
        <f t="array" ref="L362">IFERROR(_xlfn.LET(
    _xlpm.targetDate, B362,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63" spans="1:12" x14ac:dyDescent="0.3">
      <c r="A363" s="16" t="str">
        <f t="shared" si="11"/>
        <v/>
      </c>
      <c r="B363" s="8"/>
      <c r="C363" s="17" t="str">
        <f t="shared" si="12"/>
        <v/>
      </c>
      <c r="D363" s="29" t="str" cm="1">
        <f t="array" ref="D363">IFERROR(INDEX(Data_Input!$1:$100, 10, MATCH(1, (Data_Input!$F$7:$ZZ$7=$F$3) * (Data_Input!$F$8:$ZZ$8=$B363), 0)),"")</f>
        <v/>
      </c>
      <c r="E363" s="29" t="str" cm="1">
        <f t="array" ref="E363">IFERROR(INDEX(Data_Input!$1:$100, 9, MATCH(1, (Data_Input!$7:$7=$F$3) * (Data_Input!$8:$8=$B363), 0)),"")</f>
        <v/>
      </c>
      <c r="F363" s="20" t="str" cm="1">
        <f t="array" ref="F363">IFERROR(INDEX(Data_Input!$A$1:$ZZ$502, MATCH("예수금", INDEX(Data_Input!$A$1:$ZZ$502, 0, MATCH(1, (Data_Input!$7:$7=$F$3)*(Data_Input!$8:$8=$B363), 0)), 0) + 1, MATCH(1, (Data_Input!$7:$7=$F$3)*(Data_Input!$8:$8=$B363), 0)),"")</f>
        <v/>
      </c>
      <c r="G363" s="20" t="str" cm="1">
        <f t="array" ref="G363">IFERROR(INDEX(Data_Input!$A$1:$ZZ$502, MATCH("총자산", INDEX(Data_Input!$A$1:$ZZ$502, 0, MATCH(1, (Data_Input!$7:$7=$F$3)*(Data_Input!$8:$8=$B363), 0)), 0) + 1, MATCH(1, (Data_Input!$7:$7=$F$3)*(Data_Input!$8:$8=$B363), 0)),"")</f>
        <v/>
      </c>
      <c r="H363" s="20" t="str" cm="1">
        <f t="array" ref="H363">IFERROR(INDEX(Data_Input!$A$1:$ZZ$502, MATCH("매입금액", INDEX(Data_Input!$A$1:$ZZ$502, 0, MATCH(1, (Data_Input!$7:$7=$F$3)*(Data_Input!$8:$8=$B363), 0)), 0) + 1, MATCH(1, (Data_Input!$7:$7=$F$3)*(Data_Input!$8:$8=$B363), 0)),"")</f>
        <v/>
      </c>
      <c r="I363" s="20" t="str" cm="1">
        <f t="array" ref="I363">IFERROR(INDEX(Data_Input!$A$1:$ZZ$502, MATCH("평가금액", INDEX(Data_Input!$A$1:$ZZ$502, 0, MATCH(1, (Data_Input!$7:$7=$F$3)*(Data_Input!$8:$8=$B363), 0)), 0) + 1, MATCH(1, (Data_Input!$7:$7=$F$3)*(Data_Input!$8:$8=$B363), 0)),"")</f>
        <v/>
      </c>
      <c r="J363" s="20" t="str" cm="1">
        <f t="array" ref="J363">IFERROR(INDEX(Data_Input!$A$1:$ZZ$502, MATCH("평가손익", INDEX(Data_Input!$A$1:$ZZ$502, 0, MATCH(1, (Data_Input!$7:$7=$F$3)*(Data_Input!$8:$8=$B363), 0)), 0) + 1, MATCH(1, (Data_Input!$7:$7=$F$3)*(Data_Input!$8:$8=$B363), 0)),"")</f>
        <v/>
      </c>
      <c r="K363" s="14" t="str" cm="1">
        <f t="array" ref="K363">IFERROR(INDEX(Data_Input!$A$1:$ZZ$502, MATCH("총수익률", INDEX(Data_Input!$A$1:$ZZ$502, 0, MATCH(1, (Data_Input!$7:$7=$F$3)*(Data_Input!$8:$8=$B363), 0)), 0) + 1, MATCH(1, (Data_Input!$7:$7=$F$3)*(Data_Input!$8:$8=$B363), 0)),"")</f>
        <v/>
      </c>
      <c r="L363" t="str" cm="1">
        <f t="array" ref="L363">IFERROR(_xlfn.LET(
    _xlpm.targetDate, B363,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64" spans="1:12" x14ac:dyDescent="0.3">
      <c r="A364" s="16" t="str">
        <f t="shared" si="11"/>
        <v/>
      </c>
      <c r="B364" s="8"/>
      <c r="C364" s="17" t="str">
        <f t="shared" si="12"/>
        <v/>
      </c>
      <c r="D364" s="29" t="str" cm="1">
        <f t="array" ref="D364">IFERROR(INDEX(Data_Input!$1:$100, 10, MATCH(1, (Data_Input!$F$7:$ZZ$7=$F$3) * (Data_Input!$F$8:$ZZ$8=$B364), 0)),"")</f>
        <v/>
      </c>
      <c r="E364" s="29" t="str" cm="1">
        <f t="array" ref="E364">IFERROR(INDEX(Data_Input!$1:$100, 9, MATCH(1, (Data_Input!$7:$7=$F$3) * (Data_Input!$8:$8=$B364), 0)),"")</f>
        <v/>
      </c>
      <c r="F364" s="20" t="str" cm="1">
        <f t="array" ref="F364">IFERROR(INDEX(Data_Input!$A$1:$ZZ$502, MATCH("예수금", INDEX(Data_Input!$A$1:$ZZ$502, 0, MATCH(1, (Data_Input!$7:$7=$F$3)*(Data_Input!$8:$8=$B364), 0)), 0) + 1, MATCH(1, (Data_Input!$7:$7=$F$3)*(Data_Input!$8:$8=$B364), 0)),"")</f>
        <v/>
      </c>
      <c r="G364" s="20" t="str" cm="1">
        <f t="array" ref="G364">IFERROR(INDEX(Data_Input!$A$1:$ZZ$502, MATCH("총자산", INDEX(Data_Input!$A$1:$ZZ$502, 0, MATCH(1, (Data_Input!$7:$7=$F$3)*(Data_Input!$8:$8=$B364), 0)), 0) + 1, MATCH(1, (Data_Input!$7:$7=$F$3)*(Data_Input!$8:$8=$B364), 0)),"")</f>
        <v/>
      </c>
      <c r="H364" s="20" t="str" cm="1">
        <f t="array" ref="H364">IFERROR(INDEX(Data_Input!$A$1:$ZZ$502, MATCH("매입금액", INDEX(Data_Input!$A$1:$ZZ$502, 0, MATCH(1, (Data_Input!$7:$7=$F$3)*(Data_Input!$8:$8=$B364), 0)), 0) + 1, MATCH(1, (Data_Input!$7:$7=$F$3)*(Data_Input!$8:$8=$B364), 0)),"")</f>
        <v/>
      </c>
      <c r="I364" s="20" t="str" cm="1">
        <f t="array" ref="I364">IFERROR(INDEX(Data_Input!$A$1:$ZZ$502, MATCH("평가금액", INDEX(Data_Input!$A$1:$ZZ$502, 0, MATCH(1, (Data_Input!$7:$7=$F$3)*(Data_Input!$8:$8=$B364), 0)), 0) + 1, MATCH(1, (Data_Input!$7:$7=$F$3)*(Data_Input!$8:$8=$B364), 0)),"")</f>
        <v/>
      </c>
      <c r="J364" s="20" t="str" cm="1">
        <f t="array" ref="J364">IFERROR(INDEX(Data_Input!$A$1:$ZZ$502, MATCH("평가손익", INDEX(Data_Input!$A$1:$ZZ$502, 0, MATCH(1, (Data_Input!$7:$7=$F$3)*(Data_Input!$8:$8=$B364), 0)), 0) + 1, MATCH(1, (Data_Input!$7:$7=$F$3)*(Data_Input!$8:$8=$B364), 0)),"")</f>
        <v/>
      </c>
      <c r="K364" s="14" t="str" cm="1">
        <f t="array" ref="K364">IFERROR(INDEX(Data_Input!$A$1:$ZZ$502, MATCH("총수익률", INDEX(Data_Input!$A$1:$ZZ$502, 0, MATCH(1, (Data_Input!$7:$7=$F$3)*(Data_Input!$8:$8=$B364), 0)), 0) + 1, MATCH(1, (Data_Input!$7:$7=$F$3)*(Data_Input!$8:$8=$B364), 0)),"")</f>
        <v/>
      </c>
      <c r="L364" t="str" cm="1">
        <f t="array" ref="L364">IFERROR(_xlfn.LET(
    _xlpm.targetDate, B364,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65" spans="1:12" x14ac:dyDescent="0.3">
      <c r="A365" s="16" t="str">
        <f t="shared" si="11"/>
        <v/>
      </c>
      <c r="B365" s="8"/>
      <c r="C365" s="17" t="str">
        <f t="shared" si="12"/>
        <v/>
      </c>
      <c r="D365" s="29" t="str" cm="1">
        <f t="array" ref="D365">IFERROR(INDEX(Data_Input!$1:$100, 10, MATCH(1, (Data_Input!$F$7:$ZZ$7=$F$3) * (Data_Input!$F$8:$ZZ$8=$B365), 0)),"")</f>
        <v/>
      </c>
      <c r="E365" s="29" t="str" cm="1">
        <f t="array" ref="E365">IFERROR(INDEX(Data_Input!$1:$100, 9, MATCH(1, (Data_Input!$7:$7=$F$3) * (Data_Input!$8:$8=$B365), 0)),"")</f>
        <v/>
      </c>
      <c r="F365" s="20" t="str" cm="1">
        <f t="array" ref="F365">IFERROR(INDEX(Data_Input!$A$1:$ZZ$502, MATCH("예수금", INDEX(Data_Input!$A$1:$ZZ$502, 0, MATCH(1, (Data_Input!$7:$7=$F$3)*(Data_Input!$8:$8=$B365), 0)), 0) + 1, MATCH(1, (Data_Input!$7:$7=$F$3)*(Data_Input!$8:$8=$B365), 0)),"")</f>
        <v/>
      </c>
      <c r="G365" s="20" t="str" cm="1">
        <f t="array" ref="G365">IFERROR(INDEX(Data_Input!$A$1:$ZZ$502, MATCH("총자산", INDEX(Data_Input!$A$1:$ZZ$502, 0, MATCH(1, (Data_Input!$7:$7=$F$3)*(Data_Input!$8:$8=$B365), 0)), 0) + 1, MATCH(1, (Data_Input!$7:$7=$F$3)*(Data_Input!$8:$8=$B365), 0)),"")</f>
        <v/>
      </c>
      <c r="H365" s="20" t="str" cm="1">
        <f t="array" ref="H365">IFERROR(INDEX(Data_Input!$A$1:$ZZ$502, MATCH("매입금액", INDEX(Data_Input!$A$1:$ZZ$502, 0, MATCH(1, (Data_Input!$7:$7=$F$3)*(Data_Input!$8:$8=$B365), 0)), 0) + 1, MATCH(1, (Data_Input!$7:$7=$F$3)*(Data_Input!$8:$8=$B365), 0)),"")</f>
        <v/>
      </c>
      <c r="I365" s="20" t="str" cm="1">
        <f t="array" ref="I365">IFERROR(INDEX(Data_Input!$A$1:$ZZ$502, MATCH("평가금액", INDEX(Data_Input!$A$1:$ZZ$502, 0, MATCH(1, (Data_Input!$7:$7=$F$3)*(Data_Input!$8:$8=$B365), 0)), 0) + 1, MATCH(1, (Data_Input!$7:$7=$F$3)*(Data_Input!$8:$8=$B365), 0)),"")</f>
        <v/>
      </c>
      <c r="J365" s="20" t="str" cm="1">
        <f t="array" ref="J365">IFERROR(INDEX(Data_Input!$A$1:$ZZ$502, MATCH("평가손익", INDEX(Data_Input!$A$1:$ZZ$502, 0, MATCH(1, (Data_Input!$7:$7=$F$3)*(Data_Input!$8:$8=$B365), 0)), 0) + 1, MATCH(1, (Data_Input!$7:$7=$F$3)*(Data_Input!$8:$8=$B365), 0)),"")</f>
        <v/>
      </c>
      <c r="K365" s="14" t="str" cm="1">
        <f t="array" ref="K365">IFERROR(INDEX(Data_Input!$A$1:$ZZ$502, MATCH("총수익률", INDEX(Data_Input!$A$1:$ZZ$502, 0, MATCH(1, (Data_Input!$7:$7=$F$3)*(Data_Input!$8:$8=$B365), 0)), 0) + 1, MATCH(1, (Data_Input!$7:$7=$F$3)*(Data_Input!$8:$8=$B365), 0)),"")</f>
        <v/>
      </c>
      <c r="L365" t="str" cm="1">
        <f t="array" ref="L365">IFERROR(_xlfn.LET(
    _xlpm.targetDate, B365,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66" spans="1:12" x14ac:dyDescent="0.3">
      <c r="A366" s="16" t="str">
        <f t="shared" si="11"/>
        <v/>
      </c>
      <c r="B366" s="8"/>
      <c r="C366" s="17" t="str">
        <f t="shared" si="12"/>
        <v/>
      </c>
      <c r="D366" s="29" t="str" cm="1">
        <f t="array" ref="D366">IFERROR(INDEX(Data_Input!$1:$100, 10, MATCH(1, (Data_Input!$F$7:$ZZ$7=$F$3) * (Data_Input!$F$8:$ZZ$8=$B366), 0)),"")</f>
        <v/>
      </c>
      <c r="E366" s="29" t="str" cm="1">
        <f t="array" ref="E366">IFERROR(INDEX(Data_Input!$1:$100, 9, MATCH(1, (Data_Input!$7:$7=$F$3) * (Data_Input!$8:$8=$B366), 0)),"")</f>
        <v/>
      </c>
      <c r="F366" s="20" t="str" cm="1">
        <f t="array" ref="F366">IFERROR(INDEX(Data_Input!$A$1:$ZZ$502, MATCH("예수금", INDEX(Data_Input!$A$1:$ZZ$502, 0, MATCH(1, (Data_Input!$7:$7=$F$3)*(Data_Input!$8:$8=$B366), 0)), 0) + 1, MATCH(1, (Data_Input!$7:$7=$F$3)*(Data_Input!$8:$8=$B366), 0)),"")</f>
        <v/>
      </c>
      <c r="G366" s="20" t="str" cm="1">
        <f t="array" ref="G366">IFERROR(INDEX(Data_Input!$A$1:$ZZ$502, MATCH("총자산", INDEX(Data_Input!$A$1:$ZZ$502, 0, MATCH(1, (Data_Input!$7:$7=$F$3)*(Data_Input!$8:$8=$B366), 0)), 0) + 1, MATCH(1, (Data_Input!$7:$7=$F$3)*(Data_Input!$8:$8=$B366), 0)),"")</f>
        <v/>
      </c>
      <c r="H366" s="20" t="str" cm="1">
        <f t="array" ref="H366">IFERROR(INDEX(Data_Input!$A$1:$ZZ$502, MATCH("매입금액", INDEX(Data_Input!$A$1:$ZZ$502, 0, MATCH(1, (Data_Input!$7:$7=$F$3)*(Data_Input!$8:$8=$B366), 0)), 0) + 1, MATCH(1, (Data_Input!$7:$7=$F$3)*(Data_Input!$8:$8=$B366), 0)),"")</f>
        <v/>
      </c>
      <c r="I366" s="20" t="str" cm="1">
        <f t="array" ref="I366">IFERROR(INDEX(Data_Input!$A$1:$ZZ$502, MATCH("평가금액", INDEX(Data_Input!$A$1:$ZZ$502, 0, MATCH(1, (Data_Input!$7:$7=$F$3)*(Data_Input!$8:$8=$B366), 0)), 0) + 1, MATCH(1, (Data_Input!$7:$7=$F$3)*(Data_Input!$8:$8=$B366), 0)),"")</f>
        <v/>
      </c>
      <c r="J366" s="20" t="str" cm="1">
        <f t="array" ref="J366">IFERROR(INDEX(Data_Input!$A$1:$ZZ$502, MATCH("평가손익", INDEX(Data_Input!$A$1:$ZZ$502, 0, MATCH(1, (Data_Input!$7:$7=$F$3)*(Data_Input!$8:$8=$B366), 0)), 0) + 1, MATCH(1, (Data_Input!$7:$7=$F$3)*(Data_Input!$8:$8=$B366), 0)),"")</f>
        <v/>
      </c>
      <c r="K366" s="14" t="str" cm="1">
        <f t="array" ref="K366">IFERROR(INDEX(Data_Input!$A$1:$ZZ$502, MATCH("총수익률", INDEX(Data_Input!$A$1:$ZZ$502, 0, MATCH(1, (Data_Input!$7:$7=$F$3)*(Data_Input!$8:$8=$B366), 0)), 0) + 1, MATCH(1, (Data_Input!$7:$7=$F$3)*(Data_Input!$8:$8=$B366), 0)),"")</f>
        <v/>
      </c>
      <c r="L366" t="str" cm="1">
        <f t="array" ref="L366">IFERROR(_xlfn.LET(
    _xlpm.targetDate, B366,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67" spans="1:12" x14ac:dyDescent="0.3">
      <c r="A367" s="16" t="str">
        <f t="shared" si="11"/>
        <v/>
      </c>
      <c r="B367" s="8"/>
      <c r="C367" s="17" t="str">
        <f t="shared" si="12"/>
        <v/>
      </c>
      <c r="D367" s="29" t="str" cm="1">
        <f t="array" ref="D367">IFERROR(INDEX(Data_Input!$1:$100, 10, MATCH(1, (Data_Input!$F$7:$ZZ$7=$F$3) * (Data_Input!$F$8:$ZZ$8=$B367), 0)),"")</f>
        <v/>
      </c>
      <c r="E367" s="29" t="str" cm="1">
        <f t="array" ref="E367">IFERROR(INDEX(Data_Input!$1:$100, 9, MATCH(1, (Data_Input!$7:$7=$F$3) * (Data_Input!$8:$8=$B367), 0)),"")</f>
        <v/>
      </c>
      <c r="F367" s="20" t="str" cm="1">
        <f t="array" ref="F367">IFERROR(INDEX(Data_Input!$A$1:$ZZ$502, MATCH("예수금", INDEX(Data_Input!$A$1:$ZZ$502, 0, MATCH(1, (Data_Input!$7:$7=$F$3)*(Data_Input!$8:$8=$B367), 0)), 0) + 1, MATCH(1, (Data_Input!$7:$7=$F$3)*(Data_Input!$8:$8=$B367), 0)),"")</f>
        <v/>
      </c>
      <c r="G367" s="20" t="str" cm="1">
        <f t="array" ref="G367">IFERROR(INDEX(Data_Input!$A$1:$ZZ$502, MATCH("총자산", INDEX(Data_Input!$A$1:$ZZ$502, 0, MATCH(1, (Data_Input!$7:$7=$F$3)*(Data_Input!$8:$8=$B367), 0)), 0) + 1, MATCH(1, (Data_Input!$7:$7=$F$3)*(Data_Input!$8:$8=$B367), 0)),"")</f>
        <v/>
      </c>
      <c r="H367" s="20" t="str" cm="1">
        <f t="array" ref="H367">IFERROR(INDEX(Data_Input!$A$1:$ZZ$502, MATCH("매입금액", INDEX(Data_Input!$A$1:$ZZ$502, 0, MATCH(1, (Data_Input!$7:$7=$F$3)*(Data_Input!$8:$8=$B367), 0)), 0) + 1, MATCH(1, (Data_Input!$7:$7=$F$3)*(Data_Input!$8:$8=$B367), 0)),"")</f>
        <v/>
      </c>
      <c r="I367" s="20" t="str" cm="1">
        <f t="array" ref="I367">IFERROR(INDEX(Data_Input!$A$1:$ZZ$502, MATCH("평가금액", INDEX(Data_Input!$A$1:$ZZ$502, 0, MATCH(1, (Data_Input!$7:$7=$F$3)*(Data_Input!$8:$8=$B367), 0)), 0) + 1, MATCH(1, (Data_Input!$7:$7=$F$3)*(Data_Input!$8:$8=$B367), 0)),"")</f>
        <v/>
      </c>
      <c r="J367" s="20" t="str" cm="1">
        <f t="array" ref="J367">IFERROR(INDEX(Data_Input!$A$1:$ZZ$502, MATCH("평가손익", INDEX(Data_Input!$A$1:$ZZ$502, 0, MATCH(1, (Data_Input!$7:$7=$F$3)*(Data_Input!$8:$8=$B367), 0)), 0) + 1, MATCH(1, (Data_Input!$7:$7=$F$3)*(Data_Input!$8:$8=$B367), 0)),"")</f>
        <v/>
      </c>
      <c r="K367" s="14" t="str" cm="1">
        <f t="array" ref="K367">IFERROR(INDEX(Data_Input!$A$1:$ZZ$502, MATCH("총수익률", INDEX(Data_Input!$A$1:$ZZ$502, 0, MATCH(1, (Data_Input!$7:$7=$F$3)*(Data_Input!$8:$8=$B367), 0)), 0) + 1, MATCH(1, (Data_Input!$7:$7=$F$3)*(Data_Input!$8:$8=$B367), 0)),"")</f>
        <v/>
      </c>
      <c r="L367" t="str" cm="1">
        <f t="array" ref="L367">IFERROR(_xlfn.LET(
    _xlpm.targetDate, B367,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68" spans="1:12" x14ac:dyDescent="0.3">
      <c r="A368" s="16" t="str">
        <f t="shared" si="11"/>
        <v/>
      </c>
      <c r="B368" s="8"/>
      <c r="C368" s="17" t="str">
        <f t="shared" si="12"/>
        <v/>
      </c>
      <c r="D368" s="29" t="str" cm="1">
        <f t="array" ref="D368">IFERROR(INDEX(Data_Input!$1:$100, 10, MATCH(1, (Data_Input!$F$7:$ZZ$7=$F$3) * (Data_Input!$F$8:$ZZ$8=$B368), 0)),"")</f>
        <v/>
      </c>
      <c r="E368" s="29" t="str" cm="1">
        <f t="array" ref="E368">IFERROR(INDEX(Data_Input!$1:$100, 9, MATCH(1, (Data_Input!$7:$7=$F$3) * (Data_Input!$8:$8=$B368), 0)),"")</f>
        <v/>
      </c>
      <c r="F368" s="20" t="str" cm="1">
        <f t="array" ref="F368">IFERROR(INDEX(Data_Input!$A$1:$ZZ$502, MATCH("예수금", INDEX(Data_Input!$A$1:$ZZ$502, 0, MATCH(1, (Data_Input!$7:$7=$F$3)*(Data_Input!$8:$8=$B368), 0)), 0) + 1, MATCH(1, (Data_Input!$7:$7=$F$3)*(Data_Input!$8:$8=$B368), 0)),"")</f>
        <v/>
      </c>
      <c r="G368" s="20" t="str" cm="1">
        <f t="array" ref="G368">IFERROR(INDEX(Data_Input!$A$1:$ZZ$502, MATCH("총자산", INDEX(Data_Input!$A$1:$ZZ$502, 0, MATCH(1, (Data_Input!$7:$7=$F$3)*(Data_Input!$8:$8=$B368), 0)), 0) + 1, MATCH(1, (Data_Input!$7:$7=$F$3)*(Data_Input!$8:$8=$B368), 0)),"")</f>
        <v/>
      </c>
      <c r="H368" s="20" t="str" cm="1">
        <f t="array" ref="H368">IFERROR(INDEX(Data_Input!$A$1:$ZZ$502, MATCH("매입금액", INDEX(Data_Input!$A$1:$ZZ$502, 0, MATCH(1, (Data_Input!$7:$7=$F$3)*(Data_Input!$8:$8=$B368), 0)), 0) + 1, MATCH(1, (Data_Input!$7:$7=$F$3)*(Data_Input!$8:$8=$B368), 0)),"")</f>
        <v/>
      </c>
      <c r="I368" s="20" t="str" cm="1">
        <f t="array" ref="I368">IFERROR(INDEX(Data_Input!$A$1:$ZZ$502, MATCH("평가금액", INDEX(Data_Input!$A$1:$ZZ$502, 0, MATCH(1, (Data_Input!$7:$7=$F$3)*(Data_Input!$8:$8=$B368), 0)), 0) + 1, MATCH(1, (Data_Input!$7:$7=$F$3)*(Data_Input!$8:$8=$B368), 0)),"")</f>
        <v/>
      </c>
      <c r="J368" s="20" t="str" cm="1">
        <f t="array" ref="J368">IFERROR(INDEX(Data_Input!$A$1:$ZZ$502, MATCH("평가손익", INDEX(Data_Input!$A$1:$ZZ$502, 0, MATCH(1, (Data_Input!$7:$7=$F$3)*(Data_Input!$8:$8=$B368), 0)), 0) + 1, MATCH(1, (Data_Input!$7:$7=$F$3)*(Data_Input!$8:$8=$B368), 0)),"")</f>
        <v/>
      </c>
      <c r="K368" s="14" t="str" cm="1">
        <f t="array" ref="K368">IFERROR(INDEX(Data_Input!$A$1:$ZZ$502, MATCH("총수익률", INDEX(Data_Input!$A$1:$ZZ$502, 0, MATCH(1, (Data_Input!$7:$7=$F$3)*(Data_Input!$8:$8=$B368), 0)), 0) + 1, MATCH(1, (Data_Input!$7:$7=$F$3)*(Data_Input!$8:$8=$B368), 0)),"")</f>
        <v/>
      </c>
      <c r="L368" t="str" cm="1">
        <f t="array" ref="L368">IFERROR(_xlfn.LET(
    _xlpm.targetDate, B368,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69" spans="1:12" x14ac:dyDescent="0.3">
      <c r="A369" s="16" t="str">
        <f t="shared" si="11"/>
        <v/>
      </c>
      <c r="B369" s="8"/>
      <c r="C369" s="17" t="str">
        <f t="shared" si="12"/>
        <v/>
      </c>
      <c r="D369" s="29" t="str" cm="1">
        <f t="array" ref="D369">IFERROR(INDEX(Data_Input!$1:$100, 10, MATCH(1, (Data_Input!$F$7:$ZZ$7=$F$3) * (Data_Input!$F$8:$ZZ$8=$B369), 0)),"")</f>
        <v/>
      </c>
      <c r="E369" s="29" t="str" cm="1">
        <f t="array" ref="E369">IFERROR(INDEX(Data_Input!$1:$100, 9, MATCH(1, (Data_Input!$7:$7=$F$3) * (Data_Input!$8:$8=$B369), 0)),"")</f>
        <v/>
      </c>
      <c r="F369" s="20" t="str" cm="1">
        <f t="array" ref="F369">IFERROR(INDEX(Data_Input!$A$1:$ZZ$502, MATCH("예수금", INDEX(Data_Input!$A$1:$ZZ$502, 0, MATCH(1, (Data_Input!$7:$7=$F$3)*(Data_Input!$8:$8=$B369), 0)), 0) + 1, MATCH(1, (Data_Input!$7:$7=$F$3)*(Data_Input!$8:$8=$B369), 0)),"")</f>
        <v/>
      </c>
      <c r="G369" s="20" t="str" cm="1">
        <f t="array" ref="G369">IFERROR(INDEX(Data_Input!$A$1:$ZZ$502, MATCH("총자산", INDEX(Data_Input!$A$1:$ZZ$502, 0, MATCH(1, (Data_Input!$7:$7=$F$3)*(Data_Input!$8:$8=$B369), 0)), 0) + 1, MATCH(1, (Data_Input!$7:$7=$F$3)*(Data_Input!$8:$8=$B369), 0)),"")</f>
        <v/>
      </c>
      <c r="H369" s="20" t="str" cm="1">
        <f t="array" ref="H369">IFERROR(INDEX(Data_Input!$A$1:$ZZ$502, MATCH("매입금액", INDEX(Data_Input!$A$1:$ZZ$502, 0, MATCH(1, (Data_Input!$7:$7=$F$3)*(Data_Input!$8:$8=$B369), 0)), 0) + 1, MATCH(1, (Data_Input!$7:$7=$F$3)*(Data_Input!$8:$8=$B369), 0)),"")</f>
        <v/>
      </c>
      <c r="I369" s="20" t="str" cm="1">
        <f t="array" ref="I369">IFERROR(INDEX(Data_Input!$A$1:$ZZ$502, MATCH("평가금액", INDEX(Data_Input!$A$1:$ZZ$502, 0, MATCH(1, (Data_Input!$7:$7=$F$3)*(Data_Input!$8:$8=$B369), 0)), 0) + 1, MATCH(1, (Data_Input!$7:$7=$F$3)*(Data_Input!$8:$8=$B369), 0)),"")</f>
        <v/>
      </c>
      <c r="J369" s="20" t="str" cm="1">
        <f t="array" ref="J369">IFERROR(INDEX(Data_Input!$A$1:$ZZ$502, MATCH("평가손익", INDEX(Data_Input!$A$1:$ZZ$502, 0, MATCH(1, (Data_Input!$7:$7=$F$3)*(Data_Input!$8:$8=$B369), 0)), 0) + 1, MATCH(1, (Data_Input!$7:$7=$F$3)*(Data_Input!$8:$8=$B369), 0)),"")</f>
        <v/>
      </c>
      <c r="K369" s="14" t="str" cm="1">
        <f t="array" ref="K369">IFERROR(INDEX(Data_Input!$A$1:$ZZ$502, MATCH("총수익률", INDEX(Data_Input!$A$1:$ZZ$502, 0, MATCH(1, (Data_Input!$7:$7=$F$3)*(Data_Input!$8:$8=$B369), 0)), 0) + 1, MATCH(1, (Data_Input!$7:$7=$F$3)*(Data_Input!$8:$8=$B369), 0)),"")</f>
        <v/>
      </c>
      <c r="L369" t="str" cm="1">
        <f t="array" ref="L369">IFERROR(_xlfn.LET(
    _xlpm.targetDate, B369,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70" spans="1:12" x14ac:dyDescent="0.3">
      <c r="A370" s="16" t="str">
        <f t="shared" si="11"/>
        <v/>
      </c>
      <c r="B370" s="8"/>
      <c r="C370" s="17" t="str">
        <f t="shared" si="12"/>
        <v/>
      </c>
      <c r="D370" s="29" t="str" cm="1">
        <f t="array" ref="D370">IFERROR(INDEX(Data_Input!$1:$100, 10, MATCH(1, (Data_Input!$F$7:$ZZ$7=$F$3) * (Data_Input!$F$8:$ZZ$8=$B370), 0)),"")</f>
        <v/>
      </c>
      <c r="E370" s="29" t="str" cm="1">
        <f t="array" ref="E370">IFERROR(INDEX(Data_Input!$1:$100, 9, MATCH(1, (Data_Input!$7:$7=$F$3) * (Data_Input!$8:$8=$B370), 0)),"")</f>
        <v/>
      </c>
      <c r="F370" s="20" t="str" cm="1">
        <f t="array" ref="F370">IFERROR(INDEX(Data_Input!$A$1:$ZZ$502, MATCH("예수금", INDEX(Data_Input!$A$1:$ZZ$502, 0, MATCH(1, (Data_Input!$7:$7=$F$3)*(Data_Input!$8:$8=$B370), 0)), 0) + 1, MATCH(1, (Data_Input!$7:$7=$F$3)*(Data_Input!$8:$8=$B370), 0)),"")</f>
        <v/>
      </c>
      <c r="G370" s="20" t="str" cm="1">
        <f t="array" ref="G370">IFERROR(INDEX(Data_Input!$A$1:$ZZ$502, MATCH("총자산", INDEX(Data_Input!$A$1:$ZZ$502, 0, MATCH(1, (Data_Input!$7:$7=$F$3)*(Data_Input!$8:$8=$B370), 0)), 0) + 1, MATCH(1, (Data_Input!$7:$7=$F$3)*(Data_Input!$8:$8=$B370), 0)),"")</f>
        <v/>
      </c>
      <c r="H370" s="20" t="str" cm="1">
        <f t="array" ref="H370">IFERROR(INDEX(Data_Input!$A$1:$ZZ$502, MATCH("매입금액", INDEX(Data_Input!$A$1:$ZZ$502, 0, MATCH(1, (Data_Input!$7:$7=$F$3)*(Data_Input!$8:$8=$B370), 0)), 0) + 1, MATCH(1, (Data_Input!$7:$7=$F$3)*(Data_Input!$8:$8=$B370), 0)),"")</f>
        <v/>
      </c>
      <c r="I370" s="20" t="str" cm="1">
        <f t="array" ref="I370">IFERROR(INDEX(Data_Input!$A$1:$ZZ$502, MATCH("평가금액", INDEX(Data_Input!$A$1:$ZZ$502, 0, MATCH(1, (Data_Input!$7:$7=$F$3)*(Data_Input!$8:$8=$B370), 0)), 0) + 1, MATCH(1, (Data_Input!$7:$7=$F$3)*(Data_Input!$8:$8=$B370), 0)),"")</f>
        <v/>
      </c>
      <c r="J370" s="20" t="str" cm="1">
        <f t="array" ref="J370">IFERROR(INDEX(Data_Input!$A$1:$ZZ$502, MATCH("평가손익", INDEX(Data_Input!$A$1:$ZZ$502, 0, MATCH(1, (Data_Input!$7:$7=$F$3)*(Data_Input!$8:$8=$B370), 0)), 0) + 1, MATCH(1, (Data_Input!$7:$7=$F$3)*(Data_Input!$8:$8=$B370), 0)),"")</f>
        <v/>
      </c>
      <c r="K370" s="14" t="str" cm="1">
        <f t="array" ref="K370">IFERROR(INDEX(Data_Input!$A$1:$ZZ$502, MATCH("총수익률", INDEX(Data_Input!$A$1:$ZZ$502, 0, MATCH(1, (Data_Input!$7:$7=$F$3)*(Data_Input!$8:$8=$B370), 0)), 0) + 1, MATCH(1, (Data_Input!$7:$7=$F$3)*(Data_Input!$8:$8=$B370), 0)),"")</f>
        <v/>
      </c>
      <c r="L370" t="str" cm="1">
        <f t="array" ref="L370">IFERROR(_xlfn.LET(
    _xlpm.targetDate, B370,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71" spans="1:12" x14ac:dyDescent="0.3">
      <c r="A371" s="16" t="str">
        <f t="shared" si="11"/>
        <v/>
      </c>
      <c r="B371" s="8"/>
      <c r="C371" s="17" t="str">
        <f t="shared" si="12"/>
        <v/>
      </c>
      <c r="D371" s="29" t="str" cm="1">
        <f t="array" ref="D371">IFERROR(INDEX(Data_Input!$1:$100, 10, MATCH(1, (Data_Input!$F$7:$ZZ$7=$F$3) * (Data_Input!$F$8:$ZZ$8=$B371), 0)),"")</f>
        <v/>
      </c>
      <c r="E371" s="29" t="str" cm="1">
        <f t="array" ref="E371">IFERROR(INDEX(Data_Input!$1:$100, 9, MATCH(1, (Data_Input!$7:$7=$F$3) * (Data_Input!$8:$8=$B371), 0)),"")</f>
        <v/>
      </c>
      <c r="F371" s="20" t="str" cm="1">
        <f t="array" ref="F371">IFERROR(INDEX(Data_Input!$A$1:$ZZ$502, MATCH("예수금", INDEX(Data_Input!$A$1:$ZZ$502, 0, MATCH(1, (Data_Input!$7:$7=$F$3)*(Data_Input!$8:$8=$B371), 0)), 0) + 1, MATCH(1, (Data_Input!$7:$7=$F$3)*(Data_Input!$8:$8=$B371), 0)),"")</f>
        <v/>
      </c>
      <c r="G371" s="20" t="str" cm="1">
        <f t="array" ref="G371">IFERROR(INDEX(Data_Input!$A$1:$ZZ$502, MATCH("총자산", INDEX(Data_Input!$A$1:$ZZ$502, 0, MATCH(1, (Data_Input!$7:$7=$F$3)*(Data_Input!$8:$8=$B371), 0)), 0) + 1, MATCH(1, (Data_Input!$7:$7=$F$3)*(Data_Input!$8:$8=$B371), 0)),"")</f>
        <v/>
      </c>
      <c r="H371" s="20" t="str" cm="1">
        <f t="array" ref="H371">IFERROR(INDEX(Data_Input!$A$1:$ZZ$502, MATCH("매입금액", INDEX(Data_Input!$A$1:$ZZ$502, 0, MATCH(1, (Data_Input!$7:$7=$F$3)*(Data_Input!$8:$8=$B371), 0)), 0) + 1, MATCH(1, (Data_Input!$7:$7=$F$3)*(Data_Input!$8:$8=$B371), 0)),"")</f>
        <v/>
      </c>
      <c r="I371" s="20" t="str" cm="1">
        <f t="array" ref="I371">IFERROR(INDEX(Data_Input!$A$1:$ZZ$502, MATCH("평가금액", INDEX(Data_Input!$A$1:$ZZ$502, 0, MATCH(1, (Data_Input!$7:$7=$F$3)*(Data_Input!$8:$8=$B371), 0)), 0) + 1, MATCH(1, (Data_Input!$7:$7=$F$3)*(Data_Input!$8:$8=$B371), 0)),"")</f>
        <v/>
      </c>
      <c r="J371" s="20" t="str" cm="1">
        <f t="array" ref="J371">IFERROR(INDEX(Data_Input!$A$1:$ZZ$502, MATCH("평가손익", INDEX(Data_Input!$A$1:$ZZ$502, 0, MATCH(1, (Data_Input!$7:$7=$F$3)*(Data_Input!$8:$8=$B371), 0)), 0) + 1, MATCH(1, (Data_Input!$7:$7=$F$3)*(Data_Input!$8:$8=$B371), 0)),"")</f>
        <v/>
      </c>
      <c r="K371" s="14" t="str" cm="1">
        <f t="array" ref="K371">IFERROR(INDEX(Data_Input!$A$1:$ZZ$502, MATCH("총수익률", INDEX(Data_Input!$A$1:$ZZ$502, 0, MATCH(1, (Data_Input!$7:$7=$F$3)*(Data_Input!$8:$8=$B371), 0)), 0) + 1, MATCH(1, (Data_Input!$7:$7=$F$3)*(Data_Input!$8:$8=$B371), 0)),"")</f>
        <v/>
      </c>
      <c r="L371" t="str" cm="1">
        <f t="array" ref="L371">IFERROR(_xlfn.LET(
    _xlpm.targetDate, B371,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72" spans="1:12" x14ac:dyDescent="0.3">
      <c r="A372" s="16" t="str">
        <f t="shared" si="11"/>
        <v/>
      </c>
      <c r="B372" s="8"/>
      <c r="C372" s="17" t="str">
        <f t="shared" si="12"/>
        <v/>
      </c>
      <c r="D372" s="29" t="str" cm="1">
        <f t="array" ref="D372">IFERROR(INDEX(Data_Input!$1:$100, 10, MATCH(1, (Data_Input!$F$7:$ZZ$7=$F$3) * (Data_Input!$F$8:$ZZ$8=$B372), 0)),"")</f>
        <v/>
      </c>
      <c r="E372" s="29" t="str" cm="1">
        <f t="array" ref="E372">IFERROR(INDEX(Data_Input!$1:$100, 9, MATCH(1, (Data_Input!$7:$7=$F$3) * (Data_Input!$8:$8=$B372), 0)),"")</f>
        <v/>
      </c>
      <c r="F372" s="20" t="str" cm="1">
        <f t="array" ref="F372">IFERROR(INDEX(Data_Input!$A$1:$ZZ$502, MATCH("예수금", INDEX(Data_Input!$A$1:$ZZ$502, 0, MATCH(1, (Data_Input!$7:$7=$F$3)*(Data_Input!$8:$8=$B372), 0)), 0) + 1, MATCH(1, (Data_Input!$7:$7=$F$3)*(Data_Input!$8:$8=$B372), 0)),"")</f>
        <v/>
      </c>
      <c r="G372" s="20" t="str" cm="1">
        <f t="array" ref="G372">IFERROR(INDEX(Data_Input!$A$1:$ZZ$502, MATCH("총자산", INDEX(Data_Input!$A$1:$ZZ$502, 0, MATCH(1, (Data_Input!$7:$7=$F$3)*(Data_Input!$8:$8=$B372), 0)), 0) + 1, MATCH(1, (Data_Input!$7:$7=$F$3)*(Data_Input!$8:$8=$B372), 0)),"")</f>
        <v/>
      </c>
      <c r="H372" s="20" t="str" cm="1">
        <f t="array" ref="H372">IFERROR(INDEX(Data_Input!$A$1:$ZZ$502, MATCH("매입금액", INDEX(Data_Input!$A$1:$ZZ$502, 0, MATCH(1, (Data_Input!$7:$7=$F$3)*(Data_Input!$8:$8=$B372), 0)), 0) + 1, MATCH(1, (Data_Input!$7:$7=$F$3)*(Data_Input!$8:$8=$B372), 0)),"")</f>
        <v/>
      </c>
      <c r="I372" s="20" t="str" cm="1">
        <f t="array" ref="I372">IFERROR(INDEX(Data_Input!$A$1:$ZZ$502, MATCH("평가금액", INDEX(Data_Input!$A$1:$ZZ$502, 0, MATCH(1, (Data_Input!$7:$7=$F$3)*(Data_Input!$8:$8=$B372), 0)), 0) + 1, MATCH(1, (Data_Input!$7:$7=$F$3)*(Data_Input!$8:$8=$B372), 0)),"")</f>
        <v/>
      </c>
      <c r="J372" s="20" t="str" cm="1">
        <f t="array" ref="J372">IFERROR(INDEX(Data_Input!$A$1:$ZZ$502, MATCH("평가손익", INDEX(Data_Input!$A$1:$ZZ$502, 0, MATCH(1, (Data_Input!$7:$7=$F$3)*(Data_Input!$8:$8=$B372), 0)), 0) + 1, MATCH(1, (Data_Input!$7:$7=$F$3)*(Data_Input!$8:$8=$B372), 0)),"")</f>
        <v/>
      </c>
      <c r="K372" s="14" t="str" cm="1">
        <f t="array" ref="K372">IFERROR(INDEX(Data_Input!$A$1:$ZZ$502, MATCH("총수익률", INDEX(Data_Input!$A$1:$ZZ$502, 0, MATCH(1, (Data_Input!$7:$7=$F$3)*(Data_Input!$8:$8=$B372), 0)), 0) + 1, MATCH(1, (Data_Input!$7:$7=$F$3)*(Data_Input!$8:$8=$B372), 0)),"")</f>
        <v/>
      </c>
      <c r="L372" t="str" cm="1">
        <f t="array" ref="L372">IFERROR(_xlfn.LET(
    _xlpm.targetDate, B372,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73" spans="1:12" x14ac:dyDescent="0.3">
      <c r="A373" s="16" t="str">
        <f t="shared" si="11"/>
        <v/>
      </c>
      <c r="B373" s="8"/>
      <c r="C373" s="17" t="str">
        <f t="shared" si="12"/>
        <v/>
      </c>
      <c r="D373" s="29" t="str" cm="1">
        <f t="array" ref="D373">IFERROR(INDEX(Data_Input!$1:$100, 10, MATCH(1, (Data_Input!$F$7:$ZZ$7=$F$3) * (Data_Input!$F$8:$ZZ$8=$B373), 0)),"")</f>
        <v/>
      </c>
      <c r="E373" s="29" t="str" cm="1">
        <f t="array" ref="E373">IFERROR(INDEX(Data_Input!$1:$100, 9, MATCH(1, (Data_Input!$7:$7=$F$3) * (Data_Input!$8:$8=$B373), 0)),"")</f>
        <v/>
      </c>
      <c r="F373" s="20" t="str" cm="1">
        <f t="array" ref="F373">IFERROR(INDEX(Data_Input!$A$1:$ZZ$502, MATCH("예수금", INDEX(Data_Input!$A$1:$ZZ$502, 0, MATCH(1, (Data_Input!$7:$7=$F$3)*(Data_Input!$8:$8=$B373), 0)), 0) + 1, MATCH(1, (Data_Input!$7:$7=$F$3)*(Data_Input!$8:$8=$B373), 0)),"")</f>
        <v/>
      </c>
      <c r="G373" s="20" t="str" cm="1">
        <f t="array" ref="G373">IFERROR(INDEX(Data_Input!$A$1:$ZZ$502, MATCH("총자산", INDEX(Data_Input!$A$1:$ZZ$502, 0, MATCH(1, (Data_Input!$7:$7=$F$3)*(Data_Input!$8:$8=$B373), 0)), 0) + 1, MATCH(1, (Data_Input!$7:$7=$F$3)*(Data_Input!$8:$8=$B373), 0)),"")</f>
        <v/>
      </c>
      <c r="H373" s="20" t="str" cm="1">
        <f t="array" ref="H373">IFERROR(INDEX(Data_Input!$A$1:$ZZ$502, MATCH("매입금액", INDEX(Data_Input!$A$1:$ZZ$502, 0, MATCH(1, (Data_Input!$7:$7=$F$3)*(Data_Input!$8:$8=$B373), 0)), 0) + 1, MATCH(1, (Data_Input!$7:$7=$F$3)*(Data_Input!$8:$8=$B373), 0)),"")</f>
        <v/>
      </c>
      <c r="I373" s="20" t="str" cm="1">
        <f t="array" ref="I373">IFERROR(INDEX(Data_Input!$A$1:$ZZ$502, MATCH("평가금액", INDEX(Data_Input!$A$1:$ZZ$502, 0, MATCH(1, (Data_Input!$7:$7=$F$3)*(Data_Input!$8:$8=$B373), 0)), 0) + 1, MATCH(1, (Data_Input!$7:$7=$F$3)*(Data_Input!$8:$8=$B373), 0)),"")</f>
        <v/>
      </c>
      <c r="J373" s="20" t="str" cm="1">
        <f t="array" ref="J373">IFERROR(INDEX(Data_Input!$A$1:$ZZ$502, MATCH("평가손익", INDEX(Data_Input!$A$1:$ZZ$502, 0, MATCH(1, (Data_Input!$7:$7=$F$3)*(Data_Input!$8:$8=$B373), 0)), 0) + 1, MATCH(1, (Data_Input!$7:$7=$F$3)*(Data_Input!$8:$8=$B373), 0)),"")</f>
        <v/>
      </c>
      <c r="K373" s="14" t="str" cm="1">
        <f t="array" ref="K373">IFERROR(INDEX(Data_Input!$A$1:$ZZ$502, MATCH("총수익률", INDEX(Data_Input!$A$1:$ZZ$502, 0, MATCH(1, (Data_Input!$7:$7=$F$3)*(Data_Input!$8:$8=$B373), 0)), 0) + 1, MATCH(1, (Data_Input!$7:$7=$F$3)*(Data_Input!$8:$8=$B373), 0)),"")</f>
        <v/>
      </c>
      <c r="L373" t="str" cm="1">
        <f t="array" ref="L373">IFERROR(_xlfn.LET(
    _xlpm.targetDate, B373,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74" spans="1:12" x14ac:dyDescent="0.3">
      <c r="A374" s="16" t="str">
        <f t="shared" si="11"/>
        <v/>
      </c>
      <c r="B374" s="8"/>
      <c r="C374" s="17" t="str">
        <f t="shared" si="12"/>
        <v/>
      </c>
      <c r="D374" s="29" t="str" cm="1">
        <f t="array" ref="D374">IFERROR(INDEX(Data_Input!$1:$100, 10, MATCH(1, (Data_Input!$F$7:$ZZ$7=$F$3) * (Data_Input!$F$8:$ZZ$8=$B374), 0)),"")</f>
        <v/>
      </c>
      <c r="E374" s="29" t="str" cm="1">
        <f t="array" ref="E374">IFERROR(INDEX(Data_Input!$1:$100, 9, MATCH(1, (Data_Input!$7:$7=$F$3) * (Data_Input!$8:$8=$B374), 0)),"")</f>
        <v/>
      </c>
      <c r="F374" s="20" t="str" cm="1">
        <f t="array" ref="F374">IFERROR(INDEX(Data_Input!$A$1:$ZZ$502, MATCH("예수금", INDEX(Data_Input!$A$1:$ZZ$502, 0, MATCH(1, (Data_Input!$7:$7=$F$3)*(Data_Input!$8:$8=$B374), 0)), 0) + 1, MATCH(1, (Data_Input!$7:$7=$F$3)*(Data_Input!$8:$8=$B374), 0)),"")</f>
        <v/>
      </c>
      <c r="G374" s="20" t="str" cm="1">
        <f t="array" ref="G374">IFERROR(INDEX(Data_Input!$A$1:$ZZ$502, MATCH("총자산", INDEX(Data_Input!$A$1:$ZZ$502, 0, MATCH(1, (Data_Input!$7:$7=$F$3)*(Data_Input!$8:$8=$B374), 0)), 0) + 1, MATCH(1, (Data_Input!$7:$7=$F$3)*(Data_Input!$8:$8=$B374), 0)),"")</f>
        <v/>
      </c>
      <c r="H374" s="20" t="str" cm="1">
        <f t="array" ref="H374">IFERROR(INDEX(Data_Input!$A$1:$ZZ$502, MATCH("매입금액", INDEX(Data_Input!$A$1:$ZZ$502, 0, MATCH(1, (Data_Input!$7:$7=$F$3)*(Data_Input!$8:$8=$B374), 0)), 0) + 1, MATCH(1, (Data_Input!$7:$7=$F$3)*(Data_Input!$8:$8=$B374), 0)),"")</f>
        <v/>
      </c>
      <c r="I374" s="20" t="str" cm="1">
        <f t="array" ref="I374">IFERROR(INDEX(Data_Input!$A$1:$ZZ$502, MATCH("평가금액", INDEX(Data_Input!$A$1:$ZZ$502, 0, MATCH(1, (Data_Input!$7:$7=$F$3)*(Data_Input!$8:$8=$B374), 0)), 0) + 1, MATCH(1, (Data_Input!$7:$7=$F$3)*(Data_Input!$8:$8=$B374), 0)),"")</f>
        <v/>
      </c>
      <c r="J374" s="20" t="str" cm="1">
        <f t="array" ref="J374">IFERROR(INDEX(Data_Input!$A$1:$ZZ$502, MATCH("평가손익", INDEX(Data_Input!$A$1:$ZZ$502, 0, MATCH(1, (Data_Input!$7:$7=$F$3)*(Data_Input!$8:$8=$B374), 0)), 0) + 1, MATCH(1, (Data_Input!$7:$7=$F$3)*(Data_Input!$8:$8=$B374), 0)),"")</f>
        <v/>
      </c>
      <c r="K374" s="14" t="str" cm="1">
        <f t="array" ref="K374">IFERROR(INDEX(Data_Input!$A$1:$ZZ$502, MATCH("총수익률", INDEX(Data_Input!$A$1:$ZZ$502, 0, MATCH(1, (Data_Input!$7:$7=$F$3)*(Data_Input!$8:$8=$B374), 0)), 0) + 1, MATCH(1, (Data_Input!$7:$7=$F$3)*(Data_Input!$8:$8=$B374), 0)),"")</f>
        <v/>
      </c>
      <c r="L374" t="str" cm="1">
        <f t="array" ref="L374">IFERROR(_xlfn.LET(
    _xlpm.targetDate, B374,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75" spans="1:12" x14ac:dyDescent="0.3">
      <c r="A375" s="16" t="str">
        <f t="shared" si="11"/>
        <v/>
      </c>
      <c r="B375" s="8"/>
      <c r="C375" s="17" t="str">
        <f t="shared" si="12"/>
        <v/>
      </c>
      <c r="D375" s="29" t="str" cm="1">
        <f t="array" ref="D375">IFERROR(INDEX(Data_Input!$1:$100, 10, MATCH(1, (Data_Input!$F$7:$ZZ$7=$F$3) * (Data_Input!$F$8:$ZZ$8=$B375), 0)),"")</f>
        <v/>
      </c>
      <c r="E375" s="29" t="str" cm="1">
        <f t="array" ref="E375">IFERROR(INDEX(Data_Input!$1:$100, 9, MATCH(1, (Data_Input!$7:$7=$F$3) * (Data_Input!$8:$8=$B375), 0)),"")</f>
        <v/>
      </c>
      <c r="F375" s="20" t="str" cm="1">
        <f t="array" ref="F375">IFERROR(INDEX(Data_Input!$A$1:$ZZ$502, MATCH("예수금", INDEX(Data_Input!$A$1:$ZZ$502, 0, MATCH(1, (Data_Input!$7:$7=$F$3)*(Data_Input!$8:$8=$B375), 0)), 0) + 1, MATCH(1, (Data_Input!$7:$7=$F$3)*(Data_Input!$8:$8=$B375), 0)),"")</f>
        <v/>
      </c>
      <c r="G375" s="20" t="str" cm="1">
        <f t="array" ref="G375">IFERROR(INDEX(Data_Input!$A$1:$ZZ$502, MATCH("총자산", INDEX(Data_Input!$A$1:$ZZ$502, 0, MATCH(1, (Data_Input!$7:$7=$F$3)*(Data_Input!$8:$8=$B375), 0)), 0) + 1, MATCH(1, (Data_Input!$7:$7=$F$3)*(Data_Input!$8:$8=$B375), 0)),"")</f>
        <v/>
      </c>
      <c r="H375" s="20" t="str" cm="1">
        <f t="array" ref="H375">IFERROR(INDEX(Data_Input!$A$1:$ZZ$502, MATCH("매입금액", INDEX(Data_Input!$A$1:$ZZ$502, 0, MATCH(1, (Data_Input!$7:$7=$F$3)*(Data_Input!$8:$8=$B375), 0)), 0) + 1, MATCH(1, (Data_Input!$7:$7=$F$3)*(Data_Input!$8:$8=$B375), 0)),"")</f>
        <v/>
      </c>
      <c r="I375" s="20" t="str" cm="1">
        <f t="array" ref="I375">IFERROR(INDEX(Data_Input!$A$1:$ZZ$502, MATCH("평가금액", INDEX(Data_Input!$A$1:$ZZ$502, 0, MATCH(1, (Data_Input!$7:$7=$F$3)*(Data_Input!$8:$8=$B375), 0)), 0) + 1, MATCH(1, (Data_Input!$7:$7=$F$3)*(Data_Input!$8:$8=$B375), 0)),"")</f>
        <v/>
      </c>
      <c r="J375" s="20" t="str" cm="1">
        <f t="array" ref="J375">IFERROR(INDEX(Data_Input!$A$1:$ZZ$502, MATCH("평가손익", INDEX(Data_Input!$A$1:$ZZ$502, 0, MATCH(1, (Data_Input!$7:$7=$F$3)*(Data_Input!$8:$8=$B375), 0)), 0) + 1, MATCH(1, (Data_Input!$7:$7=$F$3)*(Data_Input!$8:$8=$B375), 0)),"")</f>
        <v/>
      </c>
      <c r="K375" s="14" t="str" cm="1">
        <f t="array" ref="K375">IFERROR(INDEX(Data_Input!$A$1:$ZZ$502, MATCH("총수익률", INDEX(Data_Input!$A$1:$ZZ$502, 0, MATCH(1, (Data_Input!$7:$7=$F$3)*(Data_Input!$8:$8=$B375), 0)), 0) + 1, MATCH(1, (Data_Input!$7:$7=$F$3)*(Data_Input!$8:$8=$B375), 0)),"")</f>
        <v/>
      </c>
      <c r="L375" t="str" cm="1">
        <f t="array" ref="L375">IFERROR(_xlfn.LET(
    _xlpm.targetDate, B375,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76" spans="1:12" x14ac:dyDescent="0.3">
      <c r="A376" s="16" t="str">
        <f t="shared" si="11"/>
        <v/>
      </c>
      <c r="B376" s="8"/>
      <c r="C376" s="17" t="str">
        <f t="shared" si="12"/>
        <v/>
      </c>
      <c r="D376" s="29" t="str" cm="1">
        <f t="array" ref="D376">IFERROR(INDEX(Data_Input!$1:$100, 10, MATCH(1, (Data_Input!$F$7:$ZZ$7=$F$3) * (Data_Input!$F$8:$ZZ$8=$B376), 0)),"")</f>
        <v/>
      </c>
      <c r="E376" s="29" t="str" cm="1">
        <f t="array" ref="E376">IFERROR(INDEX(Data_Input!$1:$100, 9, MATCH(1, (Data_Input!$7:$7=$F$3) * (Data_Input!$8:$8=$B376), 0)),"")</f>
        <v/>
      </c>
      <c r="F376" s="20" t="str" cm="1">
        <f t="array" ref="F376">IFERROR(INDEX(Data_Input!$A$1:$ZZ$502, MATCH("예수금", INDEX(Data_Input!$A$1:$ZZ$502, 0, MATCH(1, (Data_Input!$7:$7=$F$3)*(Data_Input!$8:$8=$B376), 0)), 0) + 1, MATCH(1, (Data_Input!$7:$7=$F$3)*(Data_Input!$8:$8=$B376), 0)),"")</f>
        <v/>
      </c>
      <c r="G376" s="20" t="str" cm="1">
        <f t="array" ref="G376">IFERROR(INDEX(Data_Input!$A$1:$ZZ$502, MATCH("총자산", INDEX(Data_Input!$A$1:$ZZ$502, 0, MATCH(1, (Data_Input!$7:$7=$F$3)*(Data_Input!$8:$8=$B376), 0)), 0) + 1, MATCH(1, (Data_Input!$7:$7=$F$3)*(Data_Input!$8:$8=$B376), 0)),"")</f>
        <v/>
      </c>
      <c r="H376" s="20" t="str" cm="1">
        <f t="array" ref="H376">IFERROR(INDEX(Data_Input!$A$1:$ZZ$502, MATCH("매입금액", INDEX(Data_Input!$A$1:$ZZ$502, 0, MATCH(1, (Data_Input!$7:$7=$F$3)*(Data_Input!$8:$8=$B376), 0)), 0) + 1, MATCH(1, (Data_Input!$7:$7=$F$3)*(Data_Input!$8:$8=$B376), 0)),"")</f>
        <v/>
      </c>
      <c r="I376" s="20" t="str" cm="1">
        <f t="array" ref="I376">IFERROR(INDEX(Data_Input!$A$1:$ZZ$502, MATCH("평가금액", INDEX(Data_Input!$A$1:$ZZ$502, 0, MATCH(1, (Data_Input!$7:$7=$F$3)*(Data_Input!$8:$8=$B376), 0)), 0) + 1, MATCH(1, (Data_Input!$7:$7=$F$3)*(Data_Input!$8:$8=$B376), 0)),"")</f>
        <v/>
      </c>
      <c r="J376" s="20" t="str" cm="1">
        <f t="array" ref="J376">IFERROR(INDEX(Data_Input!$A$1:$ZZ$502, MATCH("평가손익", INDEX(Data_Input!$A$1:$ZZ$502, 0, MATCH(1, (Data_Input!$7:$7=$F$3)*(Data_Input!$8:$8=$B376), 0)), 0) + 1, MATCH(1, (Data_Input!$7:$7=$F$3)*(Data_Input!$8:$8=$B376), 0)),"")</f>
        <v/>
      </c>
      <c r="K376" s="14" t="str" cm="1">
        <f t="array" ref="K376">IFERROR(INDEX(Data_Input!$A$1:$ZZ$502, MATCH("총수익률", INDEX(Data_Input!$A$1:$ZZ$502, 0, MATCH(1, (Data_Input!$7:$7=$F$3)*(Data_Input!$8:$8=$B376), 0)), 0) + 1, MATCH(1, (Data_Input!$7:$7=$F$3)*(Data_Input!$8:$8=$B376), 0)),"")</f>
        <v/>
      </c>
      <c r="L376" t="str" cm="1">
        <f t="array" ref="L376">IFERROR(_xlfn.LET(
    _xlpm.targetDate, B376,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77" spans="1:12" x14ac:dyDescent="0.3">
      <c r="A377" s="16" t="str">
        <f t="shared" si="11"/>
        <v/>
      </c>
      <c r="B377" s="8"/>
      <c r="C377" s="17" t="str">
        <f t="shared" si="12"/>
        <v/>
      </c>
      <c r="D377" s="29" t="str" cm="1">
        <f t="array" ref="D377">IFERROR(INDEX(Data_Input!$1:$100, 10, MATCH(1, (Data_Input!$F$7:$ZZ$7=$F$3) * (Data_Input!$F$8:$ZZ$8=$B377), 0)),"")</f>
        <v/>
      </c>
      <c r="E377" s="29" t="str" cm="1">
        <f t="array" ref="E377">IFERROR(INDEX(Data_Input!$1:$100, 9, MATCH(1, (Data_Input!$7:$7=$F$3) * (Data_Input!$8:$8=$B377), 0)),"")</f>
        <v/>
      </c>
      <c r="F377" s="20" t="str" cm="1">
        <f t="array" ref="F377">IFERROR(INDEX(Data_Input!$A$1:$ZZ$502, MATCH("예수금", INDEX(Data_Input!$A$1:$ZZ$502, 0, MATCH(1, (Data_Input!$7:$7=$F$3)*(Data_Input!$8:$8=$B377), 0)), 0) + 1, MATCH(1, (Data_Input!$7:$7=$F$3)*(Data_Input!$8:$8=$B377), 0)),"")</f>
        <v/>
      </c>
      <c r="G377" s="20" t="str" cm="1">
        <f t="array" ref="G377">IFERROR(INDEX(Data_Input!$A$1:$ZZ$502, MATCH("총자산", INDEX(Data_Input!$A$1:$ZZ$502, 0, MATCH(1, (Data_Input!$7:$7=$F$3)*(Data_Input!$8:$8=$B377), 0)), 0) + 1, MATCH(1, (Data_Input!$7:$7=$F$3)*(Data_Input!$8:$8=$B377), 0)),"")</f>
        <v/>
      </c>
      <c r="H377" s="20" t="str" cm="1">
        <f t="array" ref="H377">IFERROR(INDEX(Data_Input!$A$1:$ZZ$502, MATCH("매입금액", INDEX(Data_Input!$A$1:$ZZ$502, 0, MATCH(1, (Data_Input!$7:$7=$F$3)*(Data_Input!$8:$8=$B377), 0)), 0) + 1, MATCH(1, (Data_Input!$7:$7=$F$3)*(Data_Input!$8:$8=$B377), 0)),"")</f>
        <v/>
      </c>
      <c r="I377" s="20" t="str" cm="1">
        <f t="array" ref="I377">IFERROR(INDEX(Data_Input!$A$1:$ZZ$502, MATCH("평가금액", INDEX(Data_Input!$A$1:$ZZ$502, 0, MATCH(1, (Data_Input!$7:$7=$F$3)*(Data_Input!$8:$8=$B377), 0)), 0) + 1, MATCH(1, (Data_Input!$7:$7=$F$3)*(Data_Input!$8:$8=$B377), 0)),"")</f>
        <v/>
      </c>
      <c r="J377" s="20" t="str" cm="1">
        <f t="array" ref="J377">IFERROR(INDEX(Data_Input!$A$1:$ZZ$502, MATCH("평가손익", INDEX(Data_Input!$A$1:$ZZ$502, 0, MATCH(1, (Data_Input!$7:$7=$F$3)*(Data_Input!$8:$8=$B377), 0)), 0) + 1, MATCH(1, (Data_Input!$7:$7=$F$3)*(Data_Input!$8:$8=$B377), 0)),"")</f>
        <v/>
      </c>
      <c r="K377" s="14" t="str" cm="1">
        <f t="array" ref="K377">IFERROR(INDEX(Data_Input!$A$1:$ZZ$502, MATCH("총수익률", INDEX(Data_Input!$A$1:$ZZ$502, 0, MATCH(1, (Data_Input!$7:$7=$F$3)*(Data_Input!$8:$8=$B377), 0)), 0) + 1, MATCH(1, (Data_Input!$7:$7=$F$3)*(Data_Input!$8:$8=$B377), 0)),"")</f>
        <v/>
      </c>
      <c r="L377" t="str" cm="1">
        <f t="array" ref="L377">IFERROR(_xlfn.LET(
    _xlpm.targetDate, B377,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78" spans="1:12" x14ac:dyDescent="0.3">
      <c r="A378" s="16" t="str">
        <f t="shared" si="11"/>
        <v/>
      </c>
      <c r="B378" s="8"/>
      <c r="C378" s="17" t="str">
        <f t="shared" si="12"/>
        <v/>
      </c>
      <c r="D378" s="29" t="str" cm="1">
        <f t="array" ref="D378">IFERROR(INDEX(Data_Input!$1:$100, 10, MATCH(1, (Data_Input!$F$7:$ZZ$7=$F$3) * (Data_Input!$F$8:$ZZ$8=$B378), 0)),"")</f>
        <v/>
      </c>
      <c r="E378" s="29" t="str" cm="1">
        <f t="array" ref="E378">IFERROR(INDEX(Data_Input!$1:$100, 9, MATCH(1, (Data_Input!$7:$7=$F$3) * (Data_Input!$8:$8=$B378), 0)),"")</f>
        <v/>
      </c>
      <c r="F378" s="20" t="str" cm="1">
        <f t="array" ref="F378">IFERROR(INDEX(Data_Input!$A$1:$ZZ$502, MATCH("예수금", INDEX(Data_Input!$A$1:$ZZ$502, 0, MATCH(1, (Data_Input!$7:$7=$F$3)*(Data_Input!$8:$8=$B378), 0)), 0) + 1, MATCH(1, (Data_Input!$7:$7=$F$3)*(Data_Input!$8:$8=$B378), 0)),"")</f>
        <v/>
      </c>
      <c r="G378" s="20" t="str" cm="1">
        <f t="array" ref="G378">IFERROR(INDEX(Data_Input!$A$1:$ZZ$502, MATCH("총자산", INDEX(Data_Input!$A$1:$ZZ$502, 0, MATCH(1, (Data_Input!$7:$7=$F$3)*(Data_Input!$8:$8=$B378), 0)), 0) + 1, MATCH(1, (Data_Input!$7:$7=$F$3)*(Data_Input!$8:$8=$B378), 0)),"")</f>
        <v/>
      </c>
      <c r="H378" s="20" t="str" cm="1">
        <f t="array" ref="H378">IFERROR(INDEX(Data_Input!$A$1:$ZZ$502, MATCH("매입금액", INDEX(Data_Input!$A$1:$ZZ$502, 0, MATCH(1, (Data_Input!$7:$7=$F$3)*(Data_Input!$8:$8=$B378), 0)), 0) + 1, MATCH(1, (Data_Input!$7:$7=$F$3)*(Data_Input!$8:$8=$B378), 0)),"")</f>
        <v/>
      </c>
      <c r="I378" s="20" t="str" cm="1">
        <f t="array" ref="I378">IFERROR(INDEX(Data_Input!$A$1:$ZZ$502, MATCH("평가금액", INDEX(Data_Input!$A$1:$ZZ$502, 0, MATCH(1, (Data_Input!$7:$7=$F$3)*(Data_Input!$8:$8=$B378), 0)), 0) + 1, MATCH(1, (Data_Input!$7:$7=$F$3)*(Data_Input!$8:$8=$B378), 0)),"")</f>
        <v/>
      </c>
      <c r="J378" s="20" t="str" cm="1">
        <f t="array" ref="J378">IFERROR(INDEX(Data_Input!$A$1:$ZZ$502, MATCH("평가손익", INDEX(Data_Input!$A$1:$ZZ$502, 0, MATCH(1, (Data_Input!$7:$7=$F$3)*(Data_Input!$8:$8=$B378), 0)), 0) + 1, MATCH(1, (Data_Input!$7:$7=$F$3)*(Data_Input!$8:$8=$B378), 0)),"")</f>
        <v/>
      </c>
      <c r="K378" s="14" t="str" cm="1">
        <f t="array" ref="K378">IFERROR(INDEX(Data_Input!$A$1:$ZZ$502, MATCH("총수익률", INDEX(Data_Input!$A$1:$ZZ$502, 0, MATCH(1, (Data_Input!$7:$7=$F$3)*(Data_Input!$8:$8=$B378), 0)), 0) + 1, MATCH(1, (Data_Input!$7:$7=$F$3)*(Data_Input!$8:$8=$B378), 0)),"")</f>
        <v/>
      </c>
      <c r="L378" t="str" cm="1">
        <f t="array" ref="L378">IFERROR(_xlfn.LET(
    _xlpm.targetDate, B378,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79" spans="1:12" x14ac:dyDescent="0.3">
      <c r="A379" s="16" t="str">
        <f t="shared" si="11"/>
        <v/>
      </c>
      <c r="B379" s="8"/>
      <c r="C379" s="17" t="str">
        <f t="shared" si="12"/>
        <v/>
      </c>
      <c r="D379" s="29" t="str" cm="1">
        <f t="array" ref="D379">IFERROR(INDEX(Data_Input!$1:$100, 10, MATCH(1, (Data_Input!$F$7:$ZZ$7=$F$3) * (Data_Input!$F$8:$ZZ$8=$B379), 0)),"")</f>
        <v/>
      </c>
      <c r="E379" s="29" t="str" cm="1">
        <f t="array" ref="E379">IFERROR(INDEX(Data_Input!$1:$100, 9, MATCH(1, (Data_Input!$7:$7=$F$3) * (Data_Input!$8:$8=$B379), 0)),"")</f>
        <v/>
      </c>
      <c r="F379" s="20" t="str" cm="1">
        <f t="array" ref="F379">IFERROR(INDEX(Data_Input!$A$1:$ZZ$502, MATCH("예수금", INDEX(Data_Input!$A$1:$ZZ$502, 0, MATCH(1, (Data_Input!$7:$7=$F$3)*(Data_Input!$8:$8=$B379), 0)), 0) + 1, MATCH(1, (Data_Input!$7:$7=$F$3)*(Data_Input!$8:$8=$B379), 0)),"")</f>
        <v/>
      </c>
      <c r="G379" s="20" t="str" cm="1">
        <f t="array" ref="G379">IFERROR(INDEX(Data_Input!$A$1:$ZZ$502, MATCH("총자산", INDEX(Data_Input!$A$1:$ZZ$502, 0, MATCH(1, (Data_Input!$7:$7=$F$3)*(Data_Input!$8:$8=$B379), 0)), 0) + 1, MATCH(1, (Data_Input!$7:$7=$F$3)*(Data_Input!$8:$8=$B379), 0)),"")</f>
        <v/>
      </c>
      <c r="H379" s="20" t="str" cm="1">
        <f t="array" ref="H379">IFERROR(INDEX(Data_Input!$A$1:$ZZ$502, MATCH("매입금액", INDEX(Data_Input!$A$1:$ZZ$502, 0, MATCH(1, (Data_Input!$7:$7=$F$3)*(Data_Input!$8:$8=$B379), 0)), 0) + 1, MATCH(1, (Data_Input!$7:$7=$F$3)*(Data_Input!$8:$8=$B379), 0)),"")</f>
        <v/>
      </c>
      <c r="I379" s="20" t="str" cm="1">
        <f t="array" ref="I379">IFERROR(INDEX(Data_Input!$A$1:$ZZ$502, MATCH("평가금액", INDEX(Data_Input!$A$1:$ZZ$502, 0, MATCH(1, (Data_Input!$7:$7=$F$3)*(Data_Input!$8:$8=$B379), 0)), 0) + 1, MATCH(1, (Data_Input!$7:$7=$F$3)*(Data_Input!$8:$8=$B379), 0)),"")</f>
        <v/>
      </c>
      <c r="J379" s="20" t="str" cm="1">
        <f t="array" ref="J379">IFERROR(INDEX(Data_Input!$A$1:$ZZ$502, MATCH("평가손익", INDEX(Data_Input!$A$1:$ZZ$502, 0, MATCH(1, (Data_Input!$7:$7=$F$3)*(Data_Input!$8:$8=$B379), 0)), 0) + 1, MATCH(1, (Data_Input!$7:$7=$F$3)*(Data_Input!$8:$8=$B379), 0)),"")</f>
        <v/>
      </c>
      <c r="K379" s="14" t="str" cm="1">
        <f t="array" ref="K379">IFERROR(INDEX(Data_Input!$A$1:$ZZ$502, MATCH("총수익률", INDEX(Data_Input!$A$1:$ZZ$502, 0, MATCH(1, (Data_Input!$7:$7=$F$3)*(Data_Input!$8:$8=$B379), 0)), 0) + 1, MATCH(1, (Data_Input!$7:$7=$F$3)*(Data_Input!$8:$8=$B379), 0)),"")</f>
        <v/>
      </c>
      <c r="L379" t="str" cm="1">
        <f t="array" ref="L379">IFERROR(_xlfn.LET(
    _xlpm.targetDate, B379,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80" spans="1:12" x14ac:dyDescent="0.3">
      <c r="A380" s="16" t="str">
        <f t="shared" si="11"/>
        <v/>
      </c>
      <c r="B380" s="8"/>
      <c r="C380" s="17" t="str">
        <f t="shared" si="12"/>
        <v/>
      </c>
      <c r="D380" s="29" t="str" cm="1">
        <f t="array" ref="D380">IFERROR(INDEX(Data_Input!$1:$100, 10, MATCH(1, (Data_Input!$F$7:$ZZ$7=$F$3) * (Data_Input!$F$8:$ZZ$8=$B380), 0)),"")</f>
        <v/>
      </c>
      <c r="E380" s="29" t="str" cm="1">
        <f t="array" ref="E380">IFERROR(INDEX(Data_Input!$1:$100, 9, MATCH(1, (Data_Input!$7:$7=$F$3) * (Data_Input!$8:$8=$B380), 0)),"")</f>
        <v/>
      </c>
      <c r="F380" s="20" t="str" cm="1">
        <f t="array" ref="F380">IFERROR(INDEX(Data_Input!$A$1:$ZZ$502, MATCH("예수금", INDEX(Data_Input!$A$1:$ZZ$502, 0, MATCH(1, (Data_Input!$7:$7=$F$3)*(Data_Input!$8:$8=$B380), 0)), 0) + 1, MATCH(1, (Data_Input!$7:$7=$F$3)*(Data_Input!$8:$8=$B380), 0)),"")</f>
        <v/>
      </c>
      <c r="G380" s="20" t="str" cm="1">
        <f t="array" ref="G380">IFERROR(INDEX(Data_Input!$A$1:$ZZ$502, MATCH("총자산", INDEX(Data_Input!$A$1:$ZZ$502, 0, MATCH(1, (Data_Input!$7:$7=$F$3)*(Data_Input!$8:$8=$B380), 0)), 0) + 1, MATCH(1, (Data_Input!$7:$7=$F$3)*(Data_Input!$8:$8=$B380), 0)),"")</f>
        <v/>
      </c>
      <c r="H380" s="20" t="str" cm="1">
        <f t="array" ref="H380">IFERROR(INDEX(Data_Input!$A$1:$ZZ$502, MATCH("매입금액", INDEX(Data_Input!$A$1:$ZZ$502, 0, MATCH(1, (Data_Input!$7:$7=$F$3)*(Data_Input!$8:$8=$B380), 0)), 0) + 1, MATCH(1, (Data_Input!$7:$7=$F$3)*(Data_Input!$8:$8=$B380), 0)),"")</f>
        <v/>
      </c>
      <c r="I380" s="20" t="str" cm="1">
        <f t="array" ref="I380">IFERROR(INDEX(Data_Input!$A$1:$ZZ$502, MATCH("평가금액", INDEX(Data_Input!$A$1:$ZZ$502, 0, MATCH(1, (Data_Input!$7:$7=$F$3)*(Data_Input!$8:$8=$B380), 0)), 0) + 1, MATCH(1, (Data_Input!$7:$7=$F$3)*(Data_Input!$8:$8=$B380), 0)),"")</f>
        <v/>
      </c>
      <c r="J380" s="20" t="str" cm="1">
        <f t="array" ref="J380">IFERROR(INDEX(Data_Input!$A$1:$ZZ$502, MATCH("평가손익", INDEX(Data_Input!$A$1:$ZZ$502, 0, MATCH(1, (Data_Input!$7:$7=$F$3)*(Data_Input!$8:$8=$B380), 0)), 0) + 1, MATCH(1, (Data_Input!$7:$7=$F$3)*(Data_Input!$8:$8=$B380), 0)),"")</f>
        <v/>
      </c>
      <c r="K380" s="14" t="str" cm="1">
        <f t="array" ref="K380">IFERROR(INDEX(Data_Input!$A$1:$ZZ$502, MATCH("총수익률", INDEX(Data_Input!$A$1:$ZZ$502, 0, MATCH(1, (Data_Input!$7:$7=$F$3)*(Data_Input!$8:$8=$B380), 0)), 0) + 1, MATCH(1, (Data_Input!$7:$7=$F$3)*(Data_Input!$8:$8=$B380), 0)),"")</f>
        <v/>
      </c>
      <c r="L380" t="str" cm="1">
        <f t="array" ref="L380">IFERROR(_xlfn.LET(
    _xlpm.targetDate, B380,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81" spans="1:12" x14ac:dyDescent="0.3">
      <c r="A381" s="16" t="str">
        <f t="shared" si="11"/>
        <v/>
      </c>
      <c r="B381" s="8"/>
      <c r="C381" s="17" t="str">
        <f t="shared" si="12"/>
        <v/>
      </c>
      <c r="D381" s="29" t="str" cm="1">
        <f t="array" ref="D381">IFERROR(INDEX(Data_Input!$1:$100, 10, MATCH(1, (Data_Input!$F$7:$ZZ$7=$F$3) * (Data_Input!$F$8:$ZZ$8=$B381), 0)),"")</f>
        <v/>
      </c>
      <c r="E381" s="29" t="str" cm="1">
        <f t="array" ref="E381">IFERROR(INDEX(Data_Input!$1:$100, 9, MATCH(1, (Data_Input!$7:$7=$F$3) * (Data_Input!$8:$8=$B381), 0)),"")</f>
        <v/>
      </c>
      <c r="F381" s="20" t="str" cm="1">
        <f t="array" ref="F381">IFERROR(INDEX(Data_Input!$A$1:$ZZ$502, MATCH("예수금", INDEX(Data_Input!$A$1:$ZZ$502, 0, MATCH(1, (Data_Input!$7:$7=$F$3)*(Data_Input!$8:$8=$B381), 0)), 0) + 1, MATCH(1, (Data_Input!$7:$7=$F$3)*(Data_Input!$8:$8=$B381), 0)),"")</f>
        <v/>
      </c>
      <c r="G381" s="20" t="str" cm="1">
        <f t="array" ref="G381">IFERROR(INDEX(Data_Input!$A$1:$ZZ$502, MATCH("총자산", INDEX(Data_Input!$A$1:$ZZ$502, 0, MATCH(1, (Data_Input!$7:$7=$F$3)*(Data_Input!$8:$8=$B381), 0)), 0) + 1, MATCH(1, (Data_Input!$7:$7=$F$3)*(Data_Input!$8:$8=$B381), 0)),"")</f>
        <v/>
      </c>
      <c r="H381" s="20" t="str" cm="1">
        <f t="array" ref="H381">IFERROR(INDEX(Data_Input!$A$1:$ZZ$502, MATCH("매입금액", INDEX(Data_Input!$A$1:$ZZ$502, 0, MATCH(1, (Data_Input!$7:$7=$F$3)*(Data_Input!$8:$8=$B381), 0)), 0) + 1, MATCH(1, (Data_Input!$7:$7=$F$3)*(Data_Input!$8:$8=$B381), 0)),"")</f>
        <v/>
      </c>
      <c r="I381" s="20" t="str" cm="1">
        <f t="array" ref="I381">IFERROR(INDEX(Data_Input!$A$1:$ZZ$502, MATCH("평가금액", INDEX(Data_Input!$A$1:$ZZ$502, 0, MATCH(1, (Data_Input!$7:$7=$F$3)*(Data_Input!$8:$8=$B381), 0)), 0) + 1, MATCH(1, (Data_Input!$7:$7=$F$3)*(Data_Input!$8:$8=$B381), 0)),"")</f>
        <v/>
      </c>
      <c r="J381" s="20" t="str" cm="1">
        <f t="array" ref="J381">IFERROR(INDEX(Data_Input!$A$1:$ZZ$502, MATCH("평가손익", INDEX(Data_Input!$A$1:$ZZ$502, 0, MATCH(1, (Data_Input!$7:$7=$F$3)*(Data_Input!$8:$8=$B381), 0)), 0) + 1, MATCH(1, (Data_Input!$7:$7=$F$3)*(Data_Input!$8:$8=$B381), 0)),"")</f>
        <v/>
      </c>
      <c r="K381" s="14" t="str" cm="1">
        <f t="array" ref="K381">IFERROR(INDEX(Data_Input!$A$1:$ZZ$502, MATCH("총수익률", INDEX(Data_Input!$A$1:$ZZ$502, 0, MATCH(1, (Data_Input!$7:$7=$F$3)*(Data_Input!$8:$8=$B381), 0)), 0) + 1, MATCH(1, (Data_Input!$7:$7=$F$3)*(Data_Input!$8:$8=$B381), 0)),"")</f>
        <v/>
      </c>
      <c r="L381" t="str" cm="1">
        <f t="array" ref="L381">IFERROR(_xlfn.LET(
    _xlpm.targetDate, B381,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82" spans="1:12" x14ac:dyDescent="0.3">
      <c r="A382" s="16" t="str">
        <f t="shared" si="11"/>
        <v/>
      </c>
      <c r="B382" s="8"/>
      <c r="C382" s="17" t="str">
        <f t="shared" si="12"/>
        <v/>
      </c>
      <c r="D382" s="29" t="str" cm="1">
        <f t="array" ref="D382">IFERROR(INDEX(Data_Input!$1:$100, 10, MATCH(1, (Data_Input!$F$7:$ZZ$7=$F$3) * (Data_Input!$F$8:$ZZ$8=$B382), 0)),"")</f>
        <v/>
      </c>
      <c r="E382" s="29" t="str" cm="1">
        <f t="array" ref="E382">IFERROR(INDEX(Data_Input!$1:$100, 9, MATCH(1, (Data_Input!$7:$7=$F$3) * (Data_Input!$8:$8=$B382), 0)),"")</f>
        <v/>
      </c>
      <c r="F382" s="20" t="str" cm="1">
        <f t="array" ref="F382">IFERROR(INDEX(Data_Input!$A$1:$ZZ$502, MATCH("예수금", INDEX(Data_Input!$A$1:$ZZ$502, 0, MATCH(1, (Data_Input!$7:$7=$F$3)*(Data_Input!$8:$8=$B382), 0)), 0) + 1, MATCH(1, (Data_Input!$7:$7=$F$3)*(Data_Input!$8:$8=$B382), 0)),"")</f>
        <v/>
      </c>
      <c r="G382" s="20" t="str" cm="1">
        <f t="array" ref="G382">IFERROR(INDEX(Data_Input!$A$1:$ZZ$502, MATCH("총자산", INDEX(Data_Input!$A$1:$ZZ$502, 0, MATCH(1, (Data_Input!$7:$7=$F$3)*(Data_Input!$8:$8=$B382), 0)), 0) + 1, MATCH(1, (Data_Input!$7:$7=$F$3)*(Data_Input!$8:$8=$B382), 0)),"")</f>
        <v/>
      </c>
      <c r="H382" s="20" t="str" cm="1">
        <f t="array" ref="H382">IFERROR(INDEX(Data_Input!$A$1:$ZZ$502, MATCH("매입금액", INDEX(Data_Input!$A$1:$ZZ$502, 0, MATCH(1, (Data_Input!$7:$7=$F$3)*(Data_Input!$8:$8=$B382), 0)), 0) + 1, MATCH(1, (Data_Input!$7:$7=$F$3)*(Data_Input!$8:$8=$B382), 0)),"")</f>
        <v/>
      </c>
      <c r="I382" s="20" t="str" cm="1">
        <f t="array" ref="I382">IFERROR(INDEX(Data_Input!$A$1:$ZZ$502, MATCH("평가금액", INDEX(Data_Input!$A$1:$ZZ$502, 0, MATCH(1, (Data_Input!$7:$7=$F$3)*(Data_Input!$8:$8=$B382), 0)), 0) + 1, MATCH(1, (Data_Input!$7:$7=$F$3)*(Data_Input!$8:$8=$B382), 0)),"")</f>
        <v/>
      </c>
      <c r="J382" s="20" t="str" cm="1">
        <f t="array" ref="J382">IFERROR(INDEX(Data_Input!$A$1:$ZZ$502, MATCH("평가손익", INDEX(Data_Input!$A$1:$ZZ$502, 0, MATCH(1, (Data_Input!$7:$7=$F$3)*(Data_Input!$8:$8=$B382), 0)), 0) + 1, MATCH(1, (Data_Input!$7:$7=$F$3)*(Data_Input!$8:$8=$B382), 0)),"")</f>
        <v/>
      </c>
      <c r="K382" s="14" t="str" cm="1">
        <f t="array" ref="K382">IFERROR(INDEX(Data_Input!$A$1:$ZZ$502, MATCH("총수익률", INDEX(Data_Input!$A$1:$ZZ$502, 0, MATCH(1, (Data_Input!$7:$7=$F$3)*(Data_Input!$8:$8=$B382), 0)), 0) + 1, MATCH(1, (Data_Input!$7:$7=$F$3)*(Data_Input!$8:$8=$B382), 0)),"")</f>
        <v/>
      </c>
      <c r="L382" t="str" cm="1">
        <f t="array" ref="L382">IFERROR(_xlfn.LET(
    _xlpm.targetDate, B382,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83" spans="1:12" x14ac:dyDescent="0.3">
      <c r="A383" s="16" t="str">
        <f t="shared" si="11"/>
        <v/>
      </c>
      <c r="B383" s="8"/>
      <c r="C383" s="17" t="str">
        <f t="shared" si="12"/>
        <v/>
      </c>
      <c r="D383" s="29" t="str" cm="1">
        <f t="array" ref="D383">IFERROR(INDEX(Data_Input!$1:$100, 10, MATCH(1, (Data_Input!$F$7:$ZZ$7=$F$3) * (Data_Input!$F$8:$ZZ$8=$B383), 0)),"")</f>
        <v/>
      </c>
      <c r="E383" s="29" t="str" cm="1">
        <f t="array" ref="E383">IFERROR(INDEX(Data_Input!$1:$100, 9, MATCH(1, (Data_Input!$7:$7=$F$3) * (Data_Input!$8:$8=$B383), 0)),"")</f>
        <v/>
      </c>
      <c r="F383" s="20" t="str" cm="1">
        <f t="array" ref="F383">IFERROR(INDEX(Data_Input!$A$1:$ZZ$502, MATCH("예수금", INDEX(Data_Input!$A$1:$ZZ$502, 0, MATCH(1, (Data_Input!$7:$7=$F$3)*(Data_Input!$8:$8=$B383), 0)), 0) + 1, MATCH(1, (Data_Input!$7:$7=$F$3)*(Data_Input!$8:$8=$B383), 0)),"")</f>
        <v/>
      </c>
      <c r="G383" s="20" t="str" cm="1">
        <f t="array" ref="G383">IFERROR(INDEX(Data_Input!$A$1:$ZZ$502, MATCH("총자산", INDEX(Data_Input!$A$1:$ZZ$502, 0, MATCH(1, (Data_Input!$7:$7=$F$3)*(Data_Input!$8:$8=$B383), 0)), 0) + 1, MATCH(1, (Data_Input!$7:$7=$F$3)*(Data_Input!$8:$8=$B383), 0)),"")</f>
        <v/>
      </c>
      <c r="H383" s="20" t="str" cm="1">
        <f t="array" ref="H383">IFERROR(INDEX(Data_Input!$A$1:$ZZ$502, MATCH("매입금액", INDEX(Data_Input!$A$1:$ZZ$502, 0, MATCH(1, (Data_Input!$7:$7=$F$3)*(Data_Input!$8:$8=$B383), 0)), 0) + 1, MATCH(1, (Data_Input!$7:$7=$F$3)*(Data_Input!$8:$8=$B383), 0)),"")</f>
        <v/>
      </c>
      <c r="I383" s="20" t="str" cm="1">
        <f t="array" ref="I383">IFERROR(INDEX(Data_Input!$A$1:$ZZ$502, MATCH("평가금액", INDEX(Data_Input!$A$1:$ZZ$502, 0, MATCH(1, (Data_Input!$7:$7=$F$3)*(Data_Input!$8:$8=$B383), 0)), 0) + 1, MATCH(1, (Data_Input!$7:$7=$F$3)*(Data_Input!$8:$8=$B383), 0)),"")</f>
        <v/>
      </c>
      <c r="J383" s="20" t="str" cm="1">
        <f t="array" ref="J383">IFERROR(INDEX(Data_Input!$A$1:$ZZ$502, MATCH("평가손익", INDEX(Data_Input!$A$1:$ZZ$502, 0, MATCH(1, (Data_Input!$7:$7=$F$3)*(Data_Input!$8:$8=$B383), 0)), 0) + 1, MATCH(1, (Data_Input!$7:$7=$F$3)*(Data_Input!$8:$8=$B383), 0)),"")</f>
        <v/>
      </c>
      <c r="K383" s="14" t="str" cm="1">
        <f t="array" ref="K383">IFERROR(INDEX(Data_Input!$A$1:$ZZ$502, MATCH("총수익률", INDEX(Data_Input!$A$1:$ZZ$502, 0, MATCH(1, (Data_Input!$7:$7=$F$3)*(Data_Input!$8:$8=$B383), 0)), 0) + 1, MATCH(1, (Data_Input!$7:$7=$F$3)*(Data_Input!$8:$8=$B383), 0)),"")</f>
        <v/>
      </c>
      <c r="L383" t="str" cm="1">
        <f t="array" ref="L383">IFERROR(_xlfn.LET(
    _xlpm.targetDate, B383,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84" spans="1:12" x14ac:dyDescent="0.3">
      <c r="A384" s="16" t="str">
        <f t="shared" si="11"/>
        <v/>
      </c>
      <c r="B384" s="8"/>
      <c r="C384" s="17" t="str">
        <f t="shared" si="12"/>
        <v/>
      </c>
      <c r="D384" s="29" t="str" cm="1">
        <f t="array" ref="D384">IFERROR(INDEX(Data_Input!$1:$100, 10, MATCH(1, (Data_Input!$F$7:$ZZ$7=$F$3) * (Data_Input!$F$8:$ZZ$8=$B384), 0)),"")</f>
        <v/>
      </c>
      <c r="E384" s="29" t="str" cm="1">
        <f t="array" ref="E384">IFERROR(INDEX(Data_Input!$1:$100, 9, MATCH(1, (Data_Input!$7:$7=$F$3) * (Data_Input!$8:$8=$B384), 0)),"")</f>
        <v/>
      </c>
      <c r="F384" s="20" t="str" cm="1">
        <f t="array" ref="F384">IFERROR(INDEX(Data_Input!$A$1:$ZZ$502, MATCH("예수금", INDEX(Data_Input!$A$1:$ZZ$502, 0, MATCH(1, (Data_Input!$7:$7=$F$3)*(Data_Input!$8:$8=$B384), 0)), 0) + 1, MATCH(1, (Data_Input!$7:$7=$F$3)*(Data_Input!$8:$8=$B384), 0)),"")</f>
        <v/>
      </c>
      <c r="G384" s="20" t="str" cm="1">
        <f t="array" ref="G384">IFERROR(INDEX(Data_Input!$A$1:$ZZ$502, MATCH("총자산", INDEX(Data_Input!$A$1:$ZZ$502, 0, MATCH(1, (Data_Input!$7:$7=$F$3)*(Data_Input!$8:$8=$B384), 0)), 0) + 1, MATCH(1, (Data_Input!$7:$7=$F$3)*(Data_Input!$8:$8=$B384), 0)),"")</f>
        <v/>
      </c>
      <c r="H384" s="20" t="str" cm="1">
        <f t="array" ref="H384">IFERROR(INDEX(Data_Input!$A$1:$ZZ$502, MATCH("매입금액", INDEX(Data_Input!$A$1:$ZZ$502, 0, MATCH(1, (Data_Input!$7:$7=$F$3)*(Data_Input!$8:$8=$B384), 0)), 0) + 1, MATCH(1, (Data_Input!$7:$7=$F$3)*(Data_Input!$8:$8=$B384), 0)),"")</f>
        <v/>
      </c>
      <c r="I384" s="20" t="str" cm="1">
        <f t="array" ref="I384">IFERROR(INDEX(Data_Input!$A$1:$ZZ$502, MATCH("평가금액", INDEX(Data_Input!$A$1:$ZZ$502, 0, MATCH(1, (Data_Input!$7:$7=$F$3)*(Data_Input!$8:$8=$B384), 0)), 0) + 1, MATCH(1, (Data_Input!$7:$7=$F$3)*(Data_Input!$8:$8=$B384), 0)),"")</f>
        <v/>
      </c>
      <c r="J384" s="20" t="str" cm="1">
        <f t="array" ref="J384">IFERROR(INDEX(Data_Input!$A$1:$ZZ$502, MATCH("평가손익", INDEX(Data_Input!$A$1:$ZZ$502, 0, MATCH(1, (Data_Input!$7:$7=$F$3)*(Data_Input!$8:$8=$B384), 0)), 0) + 1, MATCH(1, (Data_Input!$7:$7=$F$3)*(Data_Input!$8:$8=$B384), 0)),"")</f>
        <v/>
      </c>
      <c r="K384" s="14" t="str" cm="1">
        <f t="array" ref="K384">IFERROR(INDEX(Data_Input!$A$1:$ZZ$502, MATCH("총수익률", INDEX(Data_Input!$A$1:$ZZ$502, 0, MATCH(1, (Data_Input!$7:$7=$F$3)*(Data_Input!$8:$8=$B384), 0)), 0) + 1, MATCH(1, (Data_Input!$7:$7=$F$3)*(Data_Input!$8:$8=$B384), 0)),"")</f>
        <v/>
      </c>
      <c r="L384" t="str" cm="1">
        <f t="array" ref="L384">IFERROR(_xlfn.LET(
    _xlpm.targetDate, B384,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85" spans="1:12" x14ac:dyDescent="0.3">
      <c r="A385" s="16" t="str">
        <f t="shared" si="11"/>
        <v/>
      </c>
      <c r="B385" s="8"/>
      <c r="C385" s="17" t="str">
        <f t="shared" si="12"/>
        <v/>
      </c>
      <c r="D385" s="29" t="str" cm="1">
        <f t="array" ref="D385">IFERROR(INDEX(Data_Input!$1:$100, 10, MATCH(1, (Data_Input!$F$7:$ZZ$7=$F$3) * (Data_Input!$F$8:$ZZ$8=$B385), 0)),"")</f>
        <v/>
      </c>
      <c r="E385" s="29" t="str" cm="1">
        <f t="array" ref="E385">IFERROR(INDEX(Data_Input!$1:$100, 9, MATCH(1, (Data_Input!$7:$7=$F$3) * (Data_Input!$8:$8=$B385), 0)),"")</f>
        <v/>
      </c>
      <c r="F385" s="20" t="str" cm="1">
        <f t="array" ref="F385">IFERROR(INDEX(Data_Input!$A$1:$ZZ$502, MATCH("예수금", INDEX(Data_Input!$A$1:$ZZ$502, 0, MATCH(1, (Data_Input!$7:$7=$F$3)*(Data_Input!$8:$8=$B385), 0)), 0) + 1, MATCH(1, (Data_Input!$7:$7=$F$3)*(Data_Input!$8:$8=$B385), 0)),"")</f>
        <v/>
      </c>
      <c r="G385" s="20" t="str" cm="1">
        <f t="array" ref="G385">IFERROR(INDEX(Data_Input!$A$1:$ZZ$502, MATCH("총자산", INDEX(Data_Input!$A$1:$ZZ$502, 0, MATCH(1, (Data_Input!$7:$7=$F$3)*(Data_Input!$8:$8=$B385), 0)), 0) + 1, MATCH(1, (Data_Input!$7:$7=$F$3)*(Data_Input!$8:$8=$B385), 0)),"")</f>
        <v/>
      </c>
      <c r="H385" s="20" t="str" cm="1">
        <f t="array" ref="H385">IFERROR(INDEX(Data_Input!$A$1:$ZZ$502, MATCH("매입금액", INDEX(Data_Input!$A$1:$ZZ$502, 0, MATCH(1, (Data_Input!$7:$7=$F$3)*(Data_Input!$8:$8=$B385), 0)), 0) + 1, MATCH(1, (Data_Input!$7:$7=$F$3)*(Data_Input!$8:$8=$B385), 0)),"")</f>
        <v/>
      </c>
      <c r="I385" s="20" t="str" cm="1">
        <f t="array" ref="I385">IFERROR(INDEX(Data_Input!$A$1:$ZZ$502, MATCH("평가금액", INDEX(Data_Input!$A$1:$ZZ$502, 0, MATCH(1, (Data_Input!$7:$7=$F$3)*(Data_Input!$8:$8=$B385), 0)), 0) + 1, MATCH(1, (Data_Input!$7:$7=$F$3)*(Data_Input!$8:$8=$B385), 0)),"")</f>
        <v/>
      </c>
      <c r="J385" s="20" t="str" cm="1">
        <f t="array" ref="J385">IFERROR(INDEX(Data_Input!$A$1:$ZZ$502, MATCH("평가손익", INDEX(Data_Input!$A$1:$ZZ$502, 0, MATCH(1, (Data_Input!$7:$7=$F$3)*(Data_Input!$8:$8=$B385), 0)), 0) + 1, MATCH(1, (Data_Input!$7:$7=$F$3)*(Data_Input!$8:$8=$B385), 0)),"")</f>
        <v/>
      </c>
      <c r="K385" s="14" t="str" cm="1">
        <f t="array" ref="K385">IFERROR(INDEX(Data_Input!$A$1:$ZZ$502, MATCH("총수익률", INDEX(Data_Input!$A$1:$ZZ$502, 0, MATCH(1, (Data_Input!$7:$7=$F$3)*(Data_Input!$8:$8=$B385), 0)), 0) + 1, MATCH(1, (Data_Input!$7:$7=$F$3)*(Data_Input!$8:$8=$B385), 0)),"")</f>
        <v/>
      </c>
      <c r="L385" t="str" cm="1">
        <f t="array" ref="L385">IFERROR(_xlfn.LET(
    _xlpm.targetDate, B385,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86" spans="1:12" x14ac:dyDescent="0.3">
      <c r="A386" s="16" t="str">
        <f t="shared" si="11"/>
        <v/>
      </c>
      <c r="B386" s="8"/>
      <c r="C386" s="17" t="str">
        <f t="shared" si="12"/>
        <v/>
      </c>
      <c r="D386" s="29" t="str" cm="1">
        <f t="array" ref="D386">IFERROR(INDEX(Data_Input!$1:$100, 10, MATCH(1, (Data_Input!$F$7:$ZZ$7=$F$3) * (Data_Input!$F$8:$ZZ$8=$B386), 0)),"")</f>
        <v/>
      </c>
      <c r="E386" s="29" t="str" cm="1">
        <f t="array" ref="E386">IFERROR(INDEX(Data_Input!$1:$100, 9, MATCH(1, (Data_Input!$7:$7=$F$3) * (Data_Input!$8:$8=$B386), 0)),"")</f>
        <v/>
      </c>
      <c r="F386" s="20" t="str" cm="1">
        <f t="array" ref="F386">IFERROR(INDEX(Data_Input!$A$1:$ZZ$502, MATCH("예수금", INDEX(Data_Input!$A$1:$ZZ$502, 0, MATCH(1, (Data_Input!$7:$7=$F$3)*(Data_Input!$8:$8=$B386), 0)), 0) + 1, MATCH(1, (Data_Input!$7:$7=$F$3)*(Data_Input!$8:$8=$B386), 0)),"")</f>
        <v/>
      </c>
      <c r="G386" s="20" t="str" cm="1">
        <f t="array" ref="G386">IFERROR(INDEX(Data_Input!$A$1:$ZZ$502, MATCH("총자산", INDEX(Data_Input!$A$1:$ZZ$502, 0, MATCH(1, (Data_Input!$7:$7=$F$3)*(Data_Input!$8:$8=$B386), 0)), 0) + 1, MATCH(1, (Data_Input!$7:$7=$F$3)*(Data_Input!$8:$8=$B386), 0)),"")</f>
        <v/>
      </c>
      <c r="H386" s="20" t="str" cm="1">
        <f t="array" ref="H386">IFERROR(INDEX(Data_Input!$A$1:$ZZ$502, MATCH("매입금액", INDEX(Data_Input!$A$1:$ZZ$502, 0, MATCH(1, (Data_Input!$7:$7=$F$3)*(Data_Input!$8:$8=$B386), 0)), 0) + 1, MATCH(1, (Data_Input!$7:$7=$F$3)*(Data_Input!$8:$8=$B386), 0)),"")</f>
        <v/>
      </c>
      <c r="I386" s="20" t="str" cm="1">
        <f t="array" ref="I386">IFERROR(INDEX(Data_Input!$A$1:$ZZ$502, MATCH("평가금액", INDEX(Data_Input!$A$1:$ZZ$502, 0, MATCH(1, (Data_Input!$7:$7=$F$3)*(Data_Input!$8:$8=$B386), 0)), 0) + 1, MATCH(1, (Data_Input!$7:$7=$F$3)*(Data_Input!$8:$8=$B386), 0)),"")</f>
        <v/>
      </c>
      <c r="J386" s="20" t="str" cm="1">
        <f t="array" ref="J386">IFERROR(INDEX(Data_Input!$A$1:$ZZ$502, MATCH("평가손익", INDEX(Data_Input!$A$1:$ZZ$502, 0, MATCH(1, (Data_Input!$7:$7=$F$3)*(Data_Input!$8:$8=$B386), 0)), 0) + 1, MATCH(1, (Data_Input!$7:$7=$F$3)*(Data_Input!$8:$8=$B386), 0)),"")</f>
        <v/>
      </c>
      <c r="K386" s="14" t="str" cm="1">
        <f t="array" ref="K386">IFERROR(INDEX(Data_Input!$A$1:$ZZ$502, MATCH("총수익률", INDEX(Data_Input!$A$1:$ZZ$502, 0, MATCH(1, (Data_Input!$7:$7=$F$3)*(Data_Input!$8:$8=$B386), 0)), 0) + 1, MATCH(1, (Data_Input!$7:$7=$F$3)*(Data_Input!$8:$8=$B386), 0)),"")</f>
        <v/>
      </c>
      <c r="L386" t="str" cm="1">
        <f t="array" ref="L386">IFERROR(_xlfn.LET(
    _xlpm.targetDate, B386,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87" spans="1:12" x14ac:dyDescent="0.3">
      <c r="A387" s="16" t="str">
        <f t="shared" si="11"/>
        <v/>
      </c>
      <c r="B387" s="8"/>
      <c r="C387" s="17" t="str">
        <f t="shared" si="12"/>
        <v/>
      </c>
      <c r="D387" s="29" t="str" cm="1">
        <f t="array" ref="D387">IFERROR(INDEX(Data_Input!$1:$100, 10, MATCH(1, (Data_Input!$F$7:$ZZ$7=$F$3) * (Data_Input!$F$8:$ZZ$8=$B387), 0)),"")</f>
        <v/>
      </c>
      <c r="E387" s="29" t="str" cm="1">
        <f t="array" ref="E387">IFERROR(INDEX(Data_Input!$1:$100, 9, MATCH(1, (Data_Input!$7:$7=$F$3) * (Data_Input!$8:$8=$B387), 0)),"")</f>
        <v/>
      </c>
      <c r="F387" s="20" t="str" cm="1">
        <f t="array" ref="F387">IFERROR(INDEX(Data_Input!$A$1:$ZZ$502, MATCH("예수금", INDEX(Data_Input!$A$1:$ZZ$502, 0, MATCH(1, (Data_Input!$7:$7=$F$3)*(Data_Input!$8:$8=$B387), 0)), 0) + 1, MATCH(1, (Data_Input!$7:$7=$F$3)*(Data_Input!$8:$8=$B387), 0)),"")</f>
        <v/>
      </c>
      <c r="G387" s="20" t="str" cm="1">
        <f t="array" ref="G387">IFERROR(INDEX(Data_Input!$A$1:$ZZ$502, MATCH("총자산", INDEX(Data_Input!$A$1:$ZZ$502, 0, MATCH(1, (Data_Input!$7:$7=$F$3)*(Data_Input!$8:$8=$B387), 0)), 0) + 1, MATCH(1, (Data_Input!$7:$7=$F$3)*(Data_Input!$8:$8=$B387), 0)),"")</f>
        <v/>
      </c>
      <c r="H387" s="20" t="str" cm="1">
        <f t="array" ref="H387">IFERROR(INDEX(Data_Input!$A$1:$ZZ$502, MATCH("매입금액", INDEX(Data_Input!$A$1:$ZZ$502, 0, MATCH(1, (Data_Input!$7:$7=$F$3)*(Data_Input!$8:$8=$B387), 0)), 0) + 1, MATCH(1, (Data_Input!$7:$7=$F$3)*(Data_Input!$8:$8=$B387), 0)),"")</f>
        <v/>
      </c>
      <c r="I387" s="20" t="str" cm="1">
        <f t="array" ref="I387">IFERROR(INDEX(Data_Input!$A$1:$ZZ$502, MATCH("평가금액", INDEX(Data_Input!$A$1:$ZZ$502, 0, MATCH(1, (Data_Input!$7:$7=$F$3)*(Data_Input!$8:$8=$B387), 0)), 0) + 1, MATCH(1, (Data_Input!$7:$7=$F$3)*(Data_Input!$8:$8=$B387), 0)),"")</f>
        <v/>
      </c>
      <c r="J387" s="20" t="str" cm="1">
        <f t="array" ref="J387">IFERROR(INDEX(Data_Input!$A$1:$ZZ$502, MATCH("평가손익", INDEX(Data_Input!$A$1:$ZZ$502, 0, MATCH(1, (Data_Input!$7:$7=$F$3)*(Data_Input!$8:$8=$B387), 0)), 0) + 1, MATCH(1, (Data_Input!$7:$7=$F$3)*(Data_Input!$8:$8=$B387), 0)),"")</f>
        <v/>
      </c>
      <c r="K387" s="14" t="str" cm="1">
        <f t="array" ref="K387">IFERROR(INDEX(Data_Input!$A$1:$ZZ$502, MATCH("총수익률", INDEX(Data_Input!$A$1:$ZZ$502, 0, MATCH(1, (Data_Input!$7:$7=$F$3)*(Data_Input!$8:$8=$B387), 0)), 0) + 1, MATCH(1, (Data_Input!$7:$7=$F$3)*(Data_Input!$8:$8=$B387), 0)),"")</f>
        <v/>
      </c>
      <c r="L387" t="str" cm="1">
        <f t="array" ref="L387">IFERROR(_xlfn.LET(
    _xlpm.targetDate, B387,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88" spans="1:12" x14ac:dyDescent="0.3">
      <c r="A388" s="16" t="str">
        <f t="shared" si="11"/>
        <v/>
      </c>
      <c r="B388" s="8"/>
      <c r="C388" s="17" t="str">
        <f t="shared" si="12"/>
        <v/>
      </c>
      <c r="D388" s="29" t="str" cm="1">
        <f t="array" ref="D388">IFERROR(INDEX(Data_Input!$1:$100, 10, MATCH(1, (Data_Input!$F$7:$ZZ$7=$F$3) * (Data_Input!$F$8:$ZZ$8=$B388), 0)),"")</f>
        <v/>
      </c>
      <c r="E388" s="29" t="str" cm="1">
        <f t="array" ref="E388">IFERROR(INDEX(Data_Input!$1:$100, 9, MATCH(1, (Data_Input!$7:$7=$F$3) * (Data_Input!$8:$8=$B388), 0)),"")</f>
        <v/>
      </c>
      <c r="F388" s="20" t="str" cm="1">
        <f t="array" ref="F388">IFERROR(INDEX(Data_Input!$A$1:$ZZ$502, MATCH("예수금", INDEX(Data_Input!$A$1:$ZZ$502, 0, MATCH(1, (Data_Input!$7:$7=$F$3)*(Data_Input!$8:$8=$B388), 0)), 0) + 1, MATCH(1, (Data_Input!$7:$7=$F$3)*(Data_Input!$8:$8=$B388), 0)),"")</f>
        <v/>
      </c>
      <c r="G388" s="20" t="str" cm="1">
        <f t="array" ref="G388">IFERROR(INDEX(Data_Input!$A$1:$ZZ$502, MATCH("총자산", INDEX(Data_Input!$A$1:$ZZ$502, 0, MATCH(1, (Data_Input!$7:$7=$F$3)*(Data_Input!$8:$8=$B388), 0)), 0) + 1, MATCH(1, (Data_Input!$7:$7=$F$3)*(Data_Input!$8:$8=$B388), 0)),"")</f>
        <v/>
      </c>
      <c r="H388" s="20" t="str" cm="1">
        <f t="array" ref="H388">IFERROR(INDEX(Data_Input!$A$1:$ZZ$502, MATCH("매입금액", INDEX(Data_Input!$A$1:$ZZ$502, 0, MATCH(1, (Data_Input!$7:$7=$F$3)*(Data_Input!$8:$8=$B388), 0)), 0) + 1, MATCH(1, (Data_Input!$7:$7=$F$3)*(Data_Input!$8:$8=$B388), 0)),"")</f>
        <v/>
      </c>
      <c r="I388" s="20" t="str" cm="1">
        <f t="array" ref="I388">IFERROR(INDEX(Data_Input!$A$1:$ZZ$502, MATCH("평가금액", INDEX(Data_Input!$A$1:$ZZ$502, 0, MATCH(1, (Data_Input!$7:$7=$F$3)*(Data_Input!$8:$8=$B388), 0)), 0) + 1, MATCH(1, (Data_Input!$7:$7=$F$3)*(Data_Input!$8:$8=$B388), 0)),"")</f>
        <v/>
      </c>
      <c r="J388" s="20" t="str" cm="1">
        <f t="array" ref="J388">IFERROR(INDEX(Data_Input!$A$1:$ZZ$502, MATCH("평가손익", INDEX(Data_Input!$A$1:$ZZ$502, 0, MATCH(1, (Data_Input!$7:$7=$F$3)*(Data_Input!$8:$8=$B388), 0)), 0) + 1, MATCH(1, (Data_Input!$7:$7=$F$3)*(Data_Input!$8:$8=$B388), 0)),"")</f>
        <v/>
      </c>
      <c r="K388" s="14" t="str" cm="1">
        <f t="array" ref="K388">IFERROR(INDEX(Data_Input!$A$1:$ZZ$502, MATCH("총수익률", INDEX(Data_Input!$A$1:$ZZ$502, 0, MATCH(1, (Data_Input!$7:$7=$F$3)*(Data_Input!$8:$8=$B388), 0)), 0) + 1, MATCH(1, (Data_Input!$7:$7=$F$3)*(Data_Input!$8:$8=$B388), 0)),"")</f>
        <v/>
      </c>
      <c r="L388" t="str" cm="1">
        <f t="array" ref="L388">IFERROR(_xlfn.LET(
    _xlpm.targetDate, B388,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89" spans="1:12" x14ac:dyDescent="0.3">
      <c r="A389" s="16" t="str">
        <f t="shared" si="11"/>
        <v/>
      </c>
      <c r="B389" s="8"/>
      <c r="C389" s="17" t="str">
        <f t="shared" si="12"/>
        <v/>
      </c>
      <c r="D389" s="29" t="str" cm="1">
        <f t="array" ref="D389">IFERROR(INDEX(Data_Input!$1:$100, 10, MATCH(1, (Data_Input!$F$7:$ZZ$7=$F$3) * (Data_Input!$F$8:$ZZ$8=$B389), 0)),"")</f>
        <v/>
      </c>
      <c r="E389" s="29" t="str" cm="1">
        <f t="array" ref="E389">IFERROR(INDEX(Data_Input!$1:$100, 9, MATCH(1, (Data_Input!$7:$7=$F$3) * (Data_Input!$8:$8=$B389), 0)),"")</f>
        <v/>
      </c>
      <c r="F389" s="20" t="str" cm="1">
        <f t="array" ref="F389">IFERROR(INDEX(Data_Input!$A$1:$ZZ$502, MATCH("예수금", INDEX(Data_Input!$A$1:$ZZ$502, 0, MATCH(1, (Data_Input!$7:$7=$F$3)*(Data_Input!$8:$8=$B389), 0)), 0) + 1, MATCH(1, (Data_Input!$7:$7=$F$3)*(Data_Input!$8:$8=$B389), 0)),"")</f>
        <v/>
      </c>
      <c r="G389" s="20" t="str" cm="1">
        <f t="array" ref="G389">IFERROR(INDEX(Data_Input!$A$1:$ZZ$502, MATCH("총자산", INDEX(Data_Input!$A$1:$ZZ$502, 0, MATCH(1, (Data_Input!$7:$7=$F$3)*(Data_Input!$8:$8=$B389), 0)), 0) + 1, MATCH(1, (Data_Input!$7:$7=$F$3)*(Data_Input!$8:$8=$B389), 0)),"")</f>
        <v/>
      </c>
      <c r="H389" s="20" t="str" cm="1">
        <f t="array" ref="H389">IFERROR(INDEX(Data_Input!$A$1:$ZZ$502, MATCH("매입금액", INDEX(Data_Input!$A$1:$ZZ$502, 0, MATCH(1, (Data_Input!$7:$7=$F$3)*(Data_Input!$8:$8=$B389), 0)), 0) + 1, MATCH(1, (Data_Input!$7:$7=$F$3)*(Data_Input!$8:$8=$B389), 0)),"")</f>
        <v/>
      </c>
      <c r="I389" s="20" t="str" cm="1">
        <f t="array" ref="I389">IFERROR(INDEX(Data_Input!$A$1:$ZZ$502, MATCH("평가금액", INDEX(Data_Input!$A$1:$ZZ$502, 0, MATCH(1, (Data_Input!$7:$7=$F$3)*(Data_Input!$8:$8=$B389), 0)), 0) + 1, MATCH(1, (Data_Input!$7:$7=$F$3)*(Data_Input!$8:$8=$B389), 0)),"")</f>
        <v/>
      </c>
      <c r="J389" s="20" t="str" cm="1">
        <f t="array" ref="J389">IFERROR(INDEX(Data_Input!$A$1:$ZZ$502, MATCH("평가손익", INDEX(Data_Input!$A$1:$ZZ$502, 0, MATCH(1, (Data_Input!$7:$7=$F$3)*(Data_Input!$8:$8=$B389), 0)), 0) + 1, MATCH(1, (Data_Input!$7:$7=$F$3)*(Data_Input!$8:$8=$B389), 0)),"")</f>
        <v/>
      </c>
      <c r="K389" s="14" t="str" cm="1">
        <f t="array" ref="K389">IFERROR(INDEX(Data_Input!$A$1:$ZZ$502, MATCH("총수익률", INDEX(Data_Input!$A$1:$ZZ$502, 0, MATCH(1, (Data_Input!$7:$7=$F$3)*(Data_Input!$8:$8=$B389), 0)), 0) + 1, MATCH(1, (Data_Input!$7:$7=$F$3)*(Data_Input!$8:$8=$B389), 0)),"")</f>
        <v/>
      </c>
      <c r="L389" t="str" cm="1">
        <f t="array" ref="L389">IFERROR(_xlfn.LET(
    _xlpm.targetDate, B389,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90" spans="1:12" x14ac:dyDescent="0.3">
      <c r="A390" s="16" t="str">
        <f t="shared" si="11"/>
        <v/>
      </c>
      <c r="B390" s="8"/>
      <c r="C390" s="17" t="str">
        <f t="shared" si="12"/>
        <v/>
      </c>
      <c r="D390" s="29" t="str" cm="1">
        <f t="array" ref="D390">IFERROR(INDEX(Data_Input!$1:$100, 10, MATCH(1, (Data_Input!$F$7:$ZZ$7=$F$3) * (Data_Input!$F$8:$ZZ$8=$B390), 0)),"")</f>
        <v/>
      </c>
      <c r="E390" s="29" t="str" cm="1">
        <f t="array" ref="E390">IFERROR(INDEX(Data_Input!$1:$100, 9, MATCH(1, (Data_Input!$7:$7=$F$3) * (Data_Input!$8:$8=$B390), 0)),"")</f>
        <v/>
      </c>
      <c r="F390" s="20" t="str" cm="1">
        <f t="array" ref="F390">IFERROR(INDEX(Data_Input!$A$1:$ZZ$502, MATCH("예수금", INDEX(Data_Input!$A$1:$ZZ$502, 0, MATCH(1, (Data_Input!$7:$7=$F$3)*(Data_Input!$8:$8=$B390), 0)), 0) + 1, MATCH(1, (Data_Input!$7:$7=$F$3)*(Data_Input!$8:$8=$B390), 0)),"")</f>
        <v/>
      </c>
      <c r="G390" s="20" t="str" cm="1">
        <f t="array" ref="G390">IFERROR(INDEX(Data_Input!$A$1:$ZZ$502, MATCH("총자산", INDEX(Data_Input!$A$1:$ZZ$502, 0, MATCH(1, (Data_Input!$7:$7=$F$3)*(Data_Input!$8:$8=$B390), 0)), 0) + 1, MATCH(1, (Data_Input!$7:$7=$F$3)*(Data_Input!$8:$8=$B390), 0)),"")</f>
        <v/>
      </c>
      <c r="H390" s="20" t="str" cm="1">
        <f t="array" ref="H390">IFERROR(INDEX(Data_Input!$A$1:$ZZ$502, MATCH("매입금액", INDEX(Data_Input!$A$1:$ZZ$502, 0, MATCH(1, (Data_Input!$7:$7=$F$3)*(Data_Input!$8:$8=$B390), 0)), 0) + 1, MATCH(1, (Data_Input!$7:$7=$F$3)*(Data_Input!$8:$8=$B390), 0)),"")</f>
        <v/>
      </c>
      <c r="I390" s="20" t="str" cm="1">
        <f t="array" ref="I390">IFERROR(INDEX(Data_Input!$A$1:$ZZ$502, MATCH("평가금액", INDEX(Data_Input!$A$1:$ZZ$502, 0, MATCH(1, (Data_Input!$7:$7=$F$3)*(Data_Input!$8:$8=$B390), 0)), 0) + 1, MATCH(1, (Data_Input!$7:$7=$F$3)*(Data_Input!$8:$8=$B390), 0)),"")</f>
        <v/>
      </c>
      <c r="J390" s="20" t="str" cm="1">
        <f t="array" ref="J390">IFERROR(INDEX(Data_Input!$A$1:$ZZ$502, MATCH("평가손익", INDEX(Data_Input!$A$1:$ZZ$502, 0, MATCH(1, (Data_Input!$7:$7=$F$3)*(Data_Input!$8:$8=$B390), 0)), 0) + 1, MATCH(1, (Data_Input!$7:$7=$F$3)*(Data_Input!$8:$8=$B390), 0)),"")</f>
        <v/>
      </c>
      <c r="K390" s="14" t="str" cm="1">
        <f t="array" ref="K390">IFERROR(INDEX(Data_Input!$A$1:$ZZ$502, MATCH("총수익률", INDEX(Data_Input!$A$1:$ZZ$502, 0, MATCH(1, (Data_Input!$7:$7=$F$3)*(Data_Input!$8:$8=$B390), 0)), 0) + 1, MATCH(1, (Data_Input!$7:$7=$F$3)*(Data_Input!$8:$8=$B390), 0)),"")</f>
        <v/>
      </c>
      <c r="L390" t="str" cm="1">
        <f t="array" ref="L390">IFERROR(_xlfn.LET(
    _xlpm.targetDate, B390,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91" spans="1:12" x14ac:dyDescent="0.3">
      <c r="A391" s="16" t="str">
        <f t="shared" ref="A391:A399" si="13">IF(B391&gt;0,A390+1,"")</f>
        <v/>
      </c>
      <c r="B391" s="8"/>
      <c r="C391" s="17" t="str">
        <f t="shared" si="12"/>
        <v/>
      </c>
      <c r="D391" s="29" t="str" cm="1">
        <f t="array" ref="D391">IFERROR(INDEX(Data_Input!$1:$100, 10, MATCH(1, (Data_Input!$F$7:$ZZ$7=$F$3) * (Data_Input!$F$8:$ZZ$8=$B391), 0)),"")</f>
        <v/>
      </c>
      <c r="E391" s="29" t="str" cm="1">
        <f t="array" ref="E391">IFERROR(INDEX(Data_Input!$1:$100, 9, MATCH(1, (Data_Input!$7:$7=$F$3) * (Data_Input!$8:$8=$B391), 0)),"")</f>
        <v/>
      </c>
      <c r="F391" s="20" t="str" cm="1">
        <f t="array" ref="F391">IFERROR(INDEX(Data_Input!$A$1:$ZZ$502, MATCH("예수금", INDEX(Data_Input!$A$1:$ZZ$502, 0, MATCH(1, (Data_Input!$7:$7=$F$3)*(Data_Input!$8:$8=$B391), 0)), 0) + 1, MATCH(1, (Data_Input!$7:$7=$F$3)*(Data_Input!$8:$8=$B391), 0)),"")</f>
        <v/>
      </c>
      <c r="G391" s="20" t="str" cm="1">
        <f t="array" ref="G391">IFERROR(INDEX(Data_Input!$A$1:$ZZ$502, MATCH("총자산", INDEX(Data_Input!$A$1:$ZZ$502, 0, MATCH(1, (Data_Input!$7:$7=$F$3)*(Data_Input!$8:$8=$B391), 0)), 0) + 1, MATCH(1, (Data_Input!$7:$7=$F$3)*(Data_Input!$8:$8=$B391), 0)),"")</f>
        <v/>
      </c>
      <c r="H391" s="20" t="str" cm="1">
        <f t="array" ref="H391">IFERROR(INDEX(Data_Input!$A$1:$ZZ$502, MATCH("매입금액", INDEX(Data_Input!$A$1:$ZZ$502, 0, MATCH(1, (Data_Input!$7:$7=$F$3)*(Data_Input!$8:$8=$B391), 0)), 0) + 1, MATCH(1, (Data_Input!$7:$7=$F$3)*(Data_Input!$8:$8=$B391), 0)),"")</f>
        <v/>
      </c>
      <c r="I391" s="20" t="str" cm="1">
        <f t="array" ref="I391">IFERROR(INDEX(Data_Input!$A$1:$ZZ$502, MATCH("평가금액", INDEX(Data_Input!$A$1:$ZZ$502, 0, MATCH(1, (Data_Input!$7:$7=$F$3)*(Data_Input!$8:$8=$B391), 0)), 0) + 1, MATCH(1, (Data_Input!$7:$7=$F$3)*(Data_Input!$8:$8=$B391), 0)),"")</f>
        <v/>
      </c>
      <c r="J391" s="20" t="str" cm="1">
        <f t="array" ref="J391">IFERROR(INDEX(Data_Input!$A$1:$ZZ$502, MATCH("평가손익", INDEX(Data_Input!$A$1:$ZZ$502, 0, MATCH(1, (Data_Input!$7:$7=$F$3)*(Data_Input!$8:$8=$B391), 0)), 0) + 1, MATCH(1, (Data_Input!$7:$7=$F$3)*(Data_Input!$8:$8=$B391), 0)),"")</f>
        <v/>
      </c>
      <c r="K391" s="14" t="str" cm="1">
        <f t="array" ref="K391">IFERROR(INDEX(Data_Input!$A$1:$ZZ$502, MATCH("총수익률", INDEX(Data_Input!$A$1:$ZZ$502, 0, MATCH(1, (Data_Input!$7:$7=$F$3)*(Data_Input!$8:$8=$B391), 0)), 0) + 1, MATCH(1, (Data_Input!$7:$7=$F$3)*(Data_Input!$8:$8=$B391), 0)),"")</f>
        <v/>
      </c>
      <c r="L391" t="str" cm="1">
        <f t="array" ref="L391">IFERROR(_xlfn.LET(
    _xlpm.targetDate, B391,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92" spans="1:12" x14ac:dyDescent="0.3">
      <c r="A392" s="16" t="str">
        <f t="shared" si="13"/>
        <v/>
      </c>
      <c r="B392" s="8"/>
      <c r="C392" s="17" t="str">
        <f t="shared" si="12"/>
        <v/>
      </c>
      <c r="D392" s="29" t="str" cm="1">
        <f t="array" ref="D392">IFERROR(INDEX(Data_Input!$1:$100, 10, MATCH(1, (Data_Input!$F$7:$ZZ$7=$F$3) * (Data_Input!$F$8:$ZZ$8=$B392), 0)),"")</f>
        <v/>
      </c>
      <c r="E392" s="29" t="str" cm="1">
        <f t="array" ref="E392">IFERROR(INDEX(Data_Input!$1:$100, 9, MATCH(1, (Data_Input!$7:$7=$F$3) * (Data_Input!$8:$8=$B392), 0)),"")</f>
        <v/>
      </c>
      <c r="F392" s="20" t="str" cm="1">
        <f t="array" ref="F392">IFERROR(INDEX(Data_Input!$A$1:$ZZ$502, MATCH("예수금", INDEX(Data_Input!$A$1:$ZZ$502, 0, MATCH(1, (Data_Input!$7:$7=$F$3)*(Data_Input!$8:$8=$B392), 0)), 0) + 1, MATCH(1, (Data_Input!$7:$7=$F$3)*(Data_Input!$8:$8=$B392), 0)),"")</f>
        <v/>
      </c>
      <c r="G392" s="20" t="str" cm="1">
        <f t="array" ref="G392">IFERROR(INDEX(Data_Input!$A$1:$ZZ$502, MATCH("총자산", INDEX(Data_Input!$A$1:$ZZ$502, 0, MATCH(1, (Data_Input!$7:$7=$F$3)*(Data_Input!$8:$8=$B392), 0)), 0) + 1, MATCH(1, (Data_Input!$7:$7=$F$3)*(Data_Input!$8:$8=$B392), 0)),"")</f>
        <v/>
      </c>
      <c r="H392" s="20" t="str" cm="1">
        <f t="array" ref="H392">IFERROR(INDEX(Data_Input!$A$1:$ZZ$502, MATCH("매입금액", INDEX(Data_Input!$A$1:$ZZ$502, 0, MATCH(1, (Data_Input!$7:$7=$F$3)*(Data_Input!$8:$8=$B392), 0)), 0) + 1, MATCH(1, (Data_Input!$7:$7=$F$3)*(Data_Input!$8:$8=$B392), 0)),"")</f>
        <v/>
      </c>
      <c r="I392" s="20" t="str" cm="1">
        <f t="array" ref="I392">IFERROR(INDEX(Data_Input!$A$1:$ZZ$502, MATCH("평가금액", INDEX(Data_Input!$A$1:$ZZ$502, 0, MATCH(1, (Data_Input!$7:$7=$F$3)*(Data_Input!$8:$8=$B392), 0)), 0) + 1, MATCH(1, (Data_Input!$7:$7=$F$3)*(Data_Input!$8:$8=$B392), 0)),"")</f>
        <v/>
      </c>
      <c r="J392" s="20" t="str" cm="1">
        <f t="array" ref="J392">IFERROR(INDEX(Data_Input!$A$1:$ZZ$502, MATCH("평가손익", INDEX(Data_Input!$A$1:$ZZ$502, 0, MATCH(1, (Data_Input!$7:$7=$F$3)*(Data_Input!$8:$8=$B392), 0)), 0) + 1, MATCH(1, (Data_Input!$7:$7=$F$3)*(Data_Input!$8:$8=$B392), 0)),"")</f>
        <v/>
      </c>
      <c r="K392" s="14" t="str" cm="1">
        <f t="array" ref="K392">IFERROR(INDEX(Data_Input!$A$1:$ZZ$502, MATCH("총수익률", INDEX(Data_Input!$A$1:$ZZ$502, 0, MATCH(1, (Data_Input!$7:$7=$F$3)*(Data_Input!$8:$8=$B392), 0)), 0) + 1, MATCH(1, (Data_Input!$7:$7=$F$3)*(Data_Input!$8:$8=$B392), 0)),"")</f>
        <v/>
      </c>
      <c r="L392" t="str" cm="1">
        <f t="array" ref="L392">IFERROR(_xlfn.LET(
    _xlpm.targetDate, B392,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93" spans="1:12" x14ac:dyDescent="0.3">
      <c r="A393" s="16" t="str">
        <f t="shared" si="13"/>
        <v/>
      </c>
      <c r="B393" s="8"/>
      <c r="C393" s="17" t="str">
        <f t="shared" si="12"/>
        <v/>
      </c>
      <c r="D393" s="29" t="str" cm="1">
        <f t="array" ref="D393">IFERROR(INDEX(Data_Input!$1:$100, 10, MATCH(1, (Data_Input!$F$7:$ZZ$7=$F$3) * (Data_Input!$F$8:$ZZ$8=$B393), 0)),"")</f>
        <v/>
      </c>
      <c r="E393" s="29" t="str" cm="1">
        <f t="array" ref="E393">IFERROR(INDEX(Data_Input!$1:$100, 9, MATCH(1, (Data_Input!$7:$7=$F$3) * (Data_Input!$8:$8=$B393), 0)),"")</f>
        <v/>
      </c>
      <c r="F393" s="20" t="str" cm="1">
        <f t="array" ref="F393">IFERROR(INDEX(Data_Input!$A$1:$ZZ$502, MATCH("예수금", INDEX(Data_Input!$A$1:$ZZ$502, 0, MATCH(1, (Data_Input!$7:$7=$F$3)*(Data_Input!$8:$8=$B393), 0)), 0) + 1, MATCH(1, (Data_Input!$7:$7=$F$3)*(Data_Input!$8:$8=$B393), 0)),"")</f>
        <v/>
      </c>
      <c r="G393" s="20" t="str" cm="1">
        <f t="array" ref="G393">IFERROR(INDEX(Data_Input!$A$1:$ZZ$502, MATCH("총자산", INDEX(Data_Input!$A$1:$ZZ$502, 0, MATCH(1, (Data_Input!$7:$7=$F$3)*(Data_Input!$8:$8=$B393), 0)), 0) + 1, MATCH(1, (Data_Input!$7:$7=$F$3)*(Data_Input!$8:$8=$B393), 0)),"")</f>
        <v/>
      </c>
      <c r="H393" s="20" t="str" cm="1">
        <f t="array" ref="H393">IFERROR(INDEX(Data_Input!$A$1:$ZZ$502, MATCH("매입금액", INDEX(Data_Input!$A$1:$ZZ$502, 0, MATCH(1, (Data_Input!$7:$7=$F$3)*(Data_Input!$8:$8=$B393), 0)), 0) + 1, MATCH(1, (Data_Input!$7:$7=$F$3)*(Data_Input!$8:$8=$B393), 0)),"")</f>
        <v/>
      </c>
      <c r="I393" s="20" t="str" cm="1">
        <f t="array" ref="I393">IFERROR(INDEX(Data_Input!$A$1:$ZZ$502, MATCH("평가금액", INDEX(Data_Input!$A$1:$ZZ$502, 0, MATCH(1, (Data_Input!$7:$7=$F$3)*(Data_Input!$8:$8=$B393), 0)), 0) + 1, MATCH(1, (Data_Input!$7:$7=$F$3)*(Data_Input!$8:$8=$B393), 0)),"")</f>
        <v/>
      </c>
      <c r="J393" s="20" t="str" cm="1">
        <f t="array" ref="J393">IFERROR(INDEX(Data_Input!$A$1:$ZZ$502, MATCH("평가손익", INDEX(Data_Input!$A$1:$ZZ$502, 0, MATCH(1, (Data_Input!$7:$7=$F$3)*(Data_Input!$8:$8=$B393), 0)), 0) + 1, MATCH(1, (Data_Input!$7:$7=$F$3)*(Data_Input!$8:$8=$B393), 0)),"")</f>
        <v/>
      </c>
      <c r="K393" s="14" t="str" cm="1">
        <f t="array" ref="K393">IFERROR(INDEX(Data_Input!$A$1:$ZZ$502, MATCH("총수익률", INDEX(Data_Input!$A$1:$ZZ$502, 0, MATCH(1, (Data_Input!$7:$7=$F$3)*(Data_Input!$8:$8=$B393), 0)), 0) + 1, MATCH(1, (Data_Input!$7:$7=$F$3)*(Data_Input!$8:$8=$B393), 0)),"")</f>
        <v/>
      </c>
      <c r="L393" t="str" cm="1">
        <f t="array" ref="L393">IFERROR(_xlfn.LET(
    _xlpm.targetDate, B393,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94" spans="1:12" x14ac:dyDescent="0.3">
      <c r="A394" s="16" t="str">
        <f t="shared" si="13"/>
        <v/>
      </c>
      <c r="B394" s="8"/>
      <c r="C394" s="17" t="str">
        <f t="shared" ref="C394:C399" si="14">IF(B394&gt;0,C393,"")</f>
        <v/>
      </c>
      <c r="D394" s="29" t="str" cm="1">
        <f t="array" ref="D394">IFERROR(INDEX(Data_Input!$1:$100, 10, MATCH(1, (Data_Input!$F$7:$ZZ$7=$F$3) * (Data_Input!$F$8:$ZZ$8=$B394), 0)),"")</f>
        <v/>
      </c>
      <c r="E394" s="29" t="str" cm="1">
        <f t="array" ref="E394">IFERROR(INDEX(Data_Input!$1:$100, 9, MATCH(1, (Data_Input!$7:$7=$F$3) * (Data_Input!$8:$8=$B394), 0)),"")</f>
        <v/>
      </c>
      <c r="F394" s="20" t="str" cm="1">
        <f t="array" ref="F394">IFERROR(INDEX(Data_Input!$A$1:$ZZ$502, MATCH("예수금", INDEX(Data_Input!$A$1:$ZZ$502, 0, MATCH(1, (Data_Input!$7:$7=$F$3)*(Data_Input!$8:$8=$B394), 0)), 0) + 1, MATCH(1, (Data_Input!$7:$7=$F$3)*(Data_Input!$8:$8=$B394), 0)),"")</f>
        <v/>
      </c>
      <c r="G394" s="20" t="str" cm="1">
        <f t="array" ref="G394">IFERROR(INDEX(Data_Input!$A$1:$ZZ$502, MATCH("총자산", INDEX(Data_Input!$A$1:$ZZ$502, 0, MATCH(1, (Data_Input!$7:$7=$F$3)*(Data_Input!$8:$8=$B394), 0)), 0) + 1, MATCH(1, (Data_Input!$7:$7=$F$3)*(Data_Input!$8:$8=$B394), 0)),"")</f>
        <v/>
      </c>
      <c r="H394" s="20" t="str" cm="1">
        <f t="array" ref="H394">IFERROR(INDEX(Data_Input!$A$1:$ZZ$502, MATCH("매입금액", INDEX(Data_Input!$A$1:$ZZ$502, 0, MATCH(1, (Data_Input!$7:$7=$F$3)*(Data_Input!$8:$8=$B394), 0)), 0) + 1, MATCH(1, (Data_Input!$7:$7=$F$3)*(Data_Input!$8:$8=$B394), 0)),"")</f>
        <v/>
      </c>
      <c r="I394" s="20" t="str" cm="1">
        <f t="array" ref="I394">IFERROR(INDEX(Data_Input!$A$1:$ZZ$502, MATCH("평가금액", INDEX(Data_Input!$A$1:$ZZ$502, 0, MATCH(1, (Data_Input!$7:$7=$F$3)*(Data_Input!$8:$8=$B394), 0)), 0) + 1, MATCH(1, (Data_Input!$7:$7=$F$3)*(Data_Input!$8:$8=$B394), 0)),"")</f>
        <v/>
      </c>
      <c r="J394" s="20" t="str" cm="1">
        <f t="array" ref="J394">IFERROR(INDEX(Data_Input!$A$1:$ZZ$502, MATCH("평가손익", INDEX(Data_Input!$A$1:$ZZ$502, 0, MATCH(1, (Data_Input!$7:$7=$F$3)*(Data_Input!$8:$8=$B394), 0)), 0) + 1, MATCH(1, (Data_Input!$7:$7=$F$3)*(Data_Input!$8:$8=$B394), 0)),"")</f>
        <v/>
      </c>
      <c r="K394" s="14" t="str" cm="1">
        <f t="array" ref="K394">IFERROR(INDEX(Data_Input!$A$1:$ZZ$502, MATCH("총수익률", INDEX(Data_Input!$A$1:$ZZ$502, 0, MATCH(1, (Data_Input!$7:$7=$F$3)*(Data_Input!$8:$8=$B394), 0)), 0) + 1, MATCH(1, (Data_Input!$7:$7=$F$3)*(Data_Input!$8:$8=$B394), 0)),"")</f>
        <v/>
      </c>
      <c r="L394" t="str" cm="1">
        <f t="array" ref="L394">IFERROR(_xlfn.LET(
    _xlpm.targetDate, B394,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95" spans="1:12" x14ac:dyDescent="0.3">
      <c r="A395" s="16" t="str">
        <f t="shared" si="13"/>
        <v/>
      </c>
      <c r="B395" s="8"/>
      <c r="C395" s="17" t="str">
        <f t="shared" si="14"/>
        <v/>
      </c>
      <c r="D395" s="29" t="str" cm="1">
        <f t="array" ref="D395">IFERROR(INDEX(Data_Input!$1:$100, 10, MATCH(1, (Data_Input!$F$7:$ZZ$7=$F$3) * (Data_Input!$F$8:$ZZ$8=$B395), 0)),"")</f>
        <v/>
      </c>
      <c r="E395" s="29" t="str" cm="1">
        <f t="array" ref="E395">IFERROR(INDEX(Data_Input!$1:$100, 9, MATCH(1, (Data_Input!$7:$7=$F$3) * (Data_Input!$8:$8=$B395), 0)),"")</f>
        <v/>
      </c>
      <c r="F395" s="20" t="str" cm="1">
        <f t="array" ref="F395">IFERROR(INDEX(Data_Input!$A$1:$ZZ$502, MATCH("예수금", INDEX(Data_Input!$A$1:$ZZ$502, 0, MATCH(1, (Data_Input!$7:$7=$F$3)*(Data_Input!$8:$8=$B395), 0)), 0) + 1, MATCH(1, (Data_Input!$7:$7=$F$3)*(Data_Input!$8:$8=$B395), 0)),"")</f>
        <v/>
      </c>
      <c r="G395" s="20" t="str" cm="1">
        <f t="array" ref="G395">IFERROR(INDEX(Data_Input!$A$1:$ZZ$502, MATCH("총자산", INDEX(Data_Input!$A$1:$ZZ$502, 0, MATCH(1, (Data_Input!$7:$7=$F$3)*(Data_Input!$8:$8=$B395), 0)), 0) + 1, MATCH(1, (Data_Input!$7:$7=$F$3)*(Data_Input!$8:$8=$B395), 0)),"")</f>
        <v/>
      </c>
      <c r="H395" s="20" t="str" cm="1">
        <f t="array" ref="H395">IFERROR(INDEX(Data_Input!$A$1:$ZZ$502, MATCH("매입금액", INDEX(Data_Input!$A$1:$ZZ$502, 0, MATCH(1, (Data_Input!$7:$7=$F$3)*(Data_Input!$8:$8=$B395), 0)), 0) + 1, MATCH(1, (Data_Input!$7:$7=$F$3)*(Data_Input!$8:$8=$B395), 0)),"")</f>
        <v/>
      </c>
      <c r="I395" s="20" t="str" cm="1">
        <f t="array" ref="I395">IFERROR(INDEX(Data_Input!$A$1:$ZZ$502, MATCH("평가금액", INDEX(Data_Input!$A$1:$ZZ$502, 0, MATCH(1, (Data_Input!$7:$7=$F$3)*(Data_Input!$8:$8=$B395), 0)), 0) + 1, MATCH(1, (Data_Input!$7:$7=$F$3)*(Data_Input!$8:$8=$B395), 0)),"")</f>
        <v/>
      </c>
      <c r="J395" s="20" t="str" cm="1">
        <f t="array" ref="J395">IFERROR(INDEX(Data_Input!$A$1:$ZZ$502, MATCH("평가손익", INDEX(Data_Input!$A$1:$ZZ$502, 0, MATCH(1, (Data_Input!$7:$7=$F$3)*(Data_Input!$8:$8=$B395), 0)), 0) + 1, MATCH(1, (Data_Input!$7:$7=$F$3)*(Data_Input!$8:$8=$B395), 0)),"")</f>
        <v/>
      </c>
      <c r="K395" s="14" t="str" cm="1">
        <f t="array" ref="K395">IFERROR(INDEX(Data_Input!$A$1:$ZZ$502, MATCH("총수익률", INDEX(Data_Input!$A$1:$ZZ$502, 0, MATCH(1, (Data_Input!$7:$7=$F$3)*(Data_Input!$8:$8=$B395), 0)), 0) + 1, MATCH(1, (Data_Input!$7:$7=$F$3)*(Data_Input!$8:$8=$B395), 0)),"")</f>
        <v/>
      </c>
      <c r="L395" t="str" cm="1">
        <f t="array" ref="L395">IFERROR(_xlfn.LET(
    _xlpm.targetDate, B395,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96" spans="1:12" x14ac:dyDescent="0.3">
      <c r="A396" s="16" t="str">
        <f t="shared" si="13"/>
        <v/>
      </c>
      <c r="B396" s="8"/>
      <c r="C396" s="17" t="str">
        <f t="shared" si="14"/>
        <v/>
      </c>
      <c r="D396" s="29" t="str" cm="1">
        <f t="array" ref="D396">IFERROR(INDEX(Data_Input!$1:$100, 10, MATCH(1, (Data_Input!$F$7:$ZZ$7=$F$3) * (Data_Input!$F$8:$ZZ$8=$B396), 0)),"")</f>
        <v/>
      </c>
      <c r="E396" s="29" t="str" cm="1">
        <f t="array" ref="E396">IFERROR(INDEX(Data_Input!$1:$100, 9, MATCH(1, (Data_Input!$7:$7=$F$3) * (Data_Input!$8:$8=$B396), 0)),"")</f>
        <v/>
      </c>
      <c r="F396" s="20" t="str" cm="1">
        <f t="array" ref="F396">IFERROR(INDEX(Data_Input!$A$1:$ZZ$502, MATCH("예수금", INDEX(Data_Input!$A$1:$ZZ$502, 0, MATCH(1, (Data_Input!$7:$7=$F$3)*(Data_Input!$8:$8=$B396), 0)), 0) + 1, MATCH(1, (Data_Input!$7:$7=$F$3)*(Data_Input!$8:$8=$B396), 0)),"")</f>
        <v/>
      </c>
      <c r="G396" s="20" t="str" cm="1">
        <f t="array" ref="G396">IFERROR(INDEX(Data_Input!$A$1:$ZZ$502, MATCH("총자산", INDEX(Data_Input!$A$1:$ZZ$502, 0, MATCH(1, (Data_Input!$7:$7=$F$3)*(Data_Input!$8:$8=$B396), 0)), 0) + 1, MATCH(1, (Data_Input!$7:$7=$F$3)*(Data_Input!$8:$8=$B396), 0)),"")</f>
        <v/>
      </c>
      <c r="H396" s="20" t="str" cm="1">
        <f t="array" ref="H396">IFERROR(INDEX(Data_Input!$A$1:$ZZ$502, MATCH("매입금액", INDEX(Data_Input!$A$1:$ZZ$502, 0, MATCH(1, (Data_Input!$7:$7=$F$3)*(Data_Input!$8:$8=$B396), 0)), 0) + 1, MATCH(1, (Data_Input!$7:$7=$F$3)*(Data_Input!$8:$8=$B396), 0)),"")</f>
        <v/>
      </c>
      <c r="I396" s="20" t="str" cm="1">
        <f t="array" ref="I396">IFERROR(INDEX(Data_Input!$A$1:$ZZ$502, MATCH("평가금액", INDEX(Data_Input!$A$1:$ZZ$502, 0, MATCH(1, (Data_Input!$7:$7=$F$3)*(Data_Input!$8:$8=$B396), 0)), 0) + 1, MATCH(1, (Data_Input!$7:$7=$F$3)*(Data_Input!$8:$8=$B396), 0)),"")</f>
        <v/>
      </c>
      <c r="J396" s="20" t="str" cm="1">
        <f t="array" ref="J396">IFERROR(INDEX(Data_Input!$A$1:$ZZ$502, MATCH("평가손익", INDEX(Data_Input!$A$1:$ZZ$502, 0, MATCH(1, (Data_Input!$7:$7=$F$3)*(Data_Input!$8:$8=$B396), 0)), 0) + 1, MATCH(1, (Data_Input!$7:$7=$F$3)*(Data_Input!$8:$8=$B396), 0)),"")</f>
        <v/>
      </c>
      <c r="K396" s="14" t="str" cm="1">
        <f t="array" ref="K396">IFERROR(INDEX(Data_Input!$A$1:$ZZ$502, MATCH("총수익률", INDEX(Data_Input!$A$1:$ZZ$502, 0, MATCH(1, (Data_Input!$7:$7=$F$3)*(Data_Input!$8:$8=$B396), 0)), 0) + 1, MATCH(1, (Data_Input!$7:$7=$F$3)*(Data_Input!$8:$8=$B396), 0)),"")</f>
        <v/>
      </c>
      <c r="L396" t="str" cm="1">
        <f t="array" ref="L396">IFERROR(_xlfn.LET(
    _xlpm.targetDate, B396,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97" spans="1:12" x14ac:dyDescent="0.3">
      <c r="A397" s="16" t="str">
        <f t="shared" si="13"/>
        <v/>
      </c>
      <c r="B397" s="8"/>
      <c r="C397" s="17" t="str">
        <f t="shared" si="14"/>
        <v/>
      </c>
      <c r="D397" s="29" t="str" cm="1">
        <f t="array" ref="D397">IFERROR(INDEX(Data_Input!$1:$100, 10, MATCH(1, (Data_Input!$F$7:$ZZ$7=$F$3) * (Data_Input!$F$8:$ZZ$8=$B397), 0)),"")</f>
        <v/>
      </c>
      <c r="E397" s="29" t="str" cm="1">
        <f t="array" ref="E397">IFERROR(INDEX(Data_Input!$1:$100, 9, MATCH(1, (Data_Input!$7:$7=$F$3) * (Data_Input!$8:$8=$B397), 0)),"")</f>
        <v/>
      </c>
      <c r="F397" s="20" t="str" cm="1">
        <f t="array" ref="F397">IFERROR(INDEX(Data_Input!$A$1:$ZZ$502, MATCH("예수금", INDEX(Data_Input!$A$1:$ZZ$502, 0, MATCH(1, (Data_Input!$7:$7=$F$3)*(Data_Input!$8:$8=$B397), 0)), 0) + 1, MATCH(1, (Data_Input!$7:$7=$F$3)*(Data_Input!$8:$8=$B397), 0)),"")</f>
        <v/>
      </c>
      <c r="G397" s="20" t="str" cm="1">
        <f t="array" ref="G397">IFERROR(INDEX(Data_Input!$A$1:$ZZ$502, MATCH("총자산", INDEX(Data_Input!$A$1:$ZZ$502, 0, MATCH(1, (Data_Input!$7:$7=$F$3)*(Data_Input!$8:$8=$B397), 0)), 0) + 1, MATCH(1, (Data_Input!$7:$7=$F$3)*(Data_Input!$8:$8=$B397), 0)),"")</f>
        <v/>
      </c>
      <c r="H397" s="20" t="str" cm="1">
        <f t="array" ref="H397">IFERROR(INDEX(Data_Input!$A$1:$ZZ$502, MATCH("매입금액", INDEX(Data_Input!$A$1:$ZZ$502, 0, MATCH(1, (Data_Input!$7:$7=$F$3)*(Data_Input!$8:$8=$B397), 0)), 0) + 1, MATCH(1, (Data_Input!$7:$7=$F$3)*(Data_Input!$8:$8=$B397), 0)),"")</f>
        <v/>
      </c>
      <c r="I397" s="20" t="str" cm="1">
        <f t="array" ref="I397">IFERROR(INDEX(Data_Input!$A$1:$ZZ$502, MATCH("평가금액", INDEX(Data_Input!$A$1:$ZZ$502, 0, MATCH(1, (Data_Input!$7:$7=$F$3)*(Data_Input!$8:$8=$B397), 0)), 0) + 1, MATCH(1, (Data_Input!$7:$7=$F$3)*(Data_Input!$8:$8=$B397), 0)),"")</f>
        <v/>
      </c>
      <c r="J397" s="20" t="str" cm="1">
        <f t="array" ref="J397">IFERROR(INDEX(Data_Input!$A$1:$ZZ$502, MATCH("평가손익", INDEX(Data_Input!$A$1:$ZZ$502, 0, MATCH(1, (Data_Input!$7:$7=$F$3)*(Data_Input!$8:$8=$B397), 0)), 0) + 1, MATCH(1, (Data_Input!$7:$7=$F$3)*(Data_Input!$8:$8=$B397), 0)),"")</f>
        <v/>
      </c>
      <c r="K397" s="14" t="str" cm="1">
        <f t="array" ref="K397">IFERROR(INDEX(Data_Input!$A$1:$ZZ$502, MATCH("총수익률", INDEX(Data_Input!$A$1:$ZZ$502, 0, MATCH(1, (Data_Input!$7:$7=$F$3)*(Data_Input!$8:$8=$B397), 0)), 0) + 1, MATCH(1, (Data_Input!$7:$7=$F$3)*(Data_Input!$8:$8=$B397), 0)),"")</f>
        <v/>
      </c>
      <c r="L397" t="str" cm="1">
        <f t="array" ref="L397">IFERROR(_xlfn.LET(
    _xlpm.targetDate, B397,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98" spans="1:12" x14ac:dyDescent="0.3">
      <c r="A398" s="16" t="str">
        <f t="shared" si="13"/>
        <v/>
      </c>
      <c r="B398" s="8"/>
      <c r="C398" s="17" t="str">
        <f t="shared" si="14"/>
        <v/>
      </c>
      <c r="D398" s="29" t="str" cm="1">
        <f t="array" ref="D398">IFERROR(INDEX(Data_Input!$1:$100, 10, MATCH(1, (Data_Input!$F$7:$ZZ$7=$F$3) * (Data_Input!$F$8:$ZZ$8=$B398), 0)),"")</f>
        <v/>
      </c>
      <c r="E398" s="29" t="str" cm="1">
        <f t="array" ref="E398">IFERROR(INDEX(Data_Input!$1:$100, 9, MATCH(1, (Data_Input!$7:$7=$F$3) * (Data_Input!$8:$8=$B398), 0)),"")</f>
        <v/>
      </c>
      <c r="F398" s="20" t="str" cm="1">
        <f t="array" ref="F398">IFERROR(INDEX(Data_Input!$A$1:$ZZ$502, MATCH("예수금", INDEX(Data_Input!$A$1:$ZZ$502, 0, MATCH(1, (Data_Input!$7:$7=$F$3)*(Data_Input!$8:$8=$B398), 0)), 0) + 1, MATCH(1, (Data_Input!$7:$7=$F$3)*(Data_Input!$8:$8=$B398), 0)),"")</f>
        <v/>
      </c>
      <c r="G398" s="20" t="str" cm="1">
        <f t="array" ref="G398">IFERROR(INDEX(Data_Input!$A$1:$ZZ$502, MATCH("총자산", INDEX(Data_Input!$A$1:$ZZ$502, 0, MATCH(1, (Data_Input!$7:$7=$F$3)*(Data_Input!$8:$8=$B398), 0)), 0) + 1, MATCH(1, (Data_Input!$7:$7=$F$3)*(Data_Input!$8:$8=$B398), 0)),"")</f>
        <v/>
      </c>
      <c r="H398" s="20" t="str" cm="1">
        <f t="array" ref="H398">IFERROR(INDEX(Data_Input!$A$1:$ZZ$502, MATCH("매입금액", INDEX(Data_Input!$A$1:$ZZ$502, 0, MATCH(1, (Data_Input!$7:$7=$F$3)*(Data_Input!$8:$8=$B398), 0)), 0) + 1, MATCH(1, (Data_Input!$7:$7=$F$3)*(Data_Input!$8:$8=$B398), 0)),"")</f>
        <v/>
      </c>
      <c r="I398" s="20" t="str" cm="1">
        <f t="array" ref="I398">IFERROR(INDEX(Data_Input!$A$1:$ZZ$502, MATCH("평가금액", INDEX(Data_Input!$A$1:$ZZ$502, 0, MATCH(1, (Data_Input!$7:$7=$F$3)*(Data_Input!$8:$8=$B398), 0)), 0) + 1, MATCH(1, (Data_Input!$7:$7=$F$3)*(Data_Input!$8:$8=$B398), 0)),"")</f>
        <v/>
      </c>
      <c r="J398" s="20" t="str" cm="1">
        <f t="array" ref="J398">IFERROR(INDEX(Data_Input!$A$1:$ZZ$502, MATCH("평가손익", INDEX(Data_Input!$A$1:$ZZ$502, 0, MATCH(1, (Data_Input!$7:$7=$F$3)*(Data_Input!$8:$8=$B398), 0)), 0) + 1, MATCH(1, (Data_Input!$7:$7=$F$3)*(Data_Input!$8:$8=$B398), 0)),"")</f>
        <v/>
      </c>
      <c r="K398" s="14" t="str" cm="1">
        <f t="array" ref="K398">IFERROR(INDEX(Data_Input!$A$1:$ZZ$502, MATCH("총수익률", INDEX(Data_Input!$A$1:$ZZ$502, 0, MATCH(1, (Data_Input!$7:$7=$F$3)*(Data_Input!$8:$8=$B398), 0)), 0) + 1, MATCH(1, (Data_Input!$7:$7=$F$3)*(Data_Input!$8:$8=$B398), 0)),"")</f>
        <v/>
      </c>
      <c r="L398" t="str" cm="1">
        <f t="array" ref="L398">IFERROR(_xlfn.LET(
    _xlpm.targetDate, B398,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  <row r="399" spans="1:12" x14ac:dyDescent="0.3">
      <c r="A399" s="16" t="str">
        <f t="shared" si="13"/>
        <v/>
      </c>
      <c r="B399" s="8"/>
      <c r="C399" s="17" t="str">
        <f t="shared" si="14"/>
        <v/>
      </c>
      <c r="D399" s="29" t="str" cm="1">
        <f t="array" ref="D399">IFERROR(INDEX(Data_Input!$1:$100, 10, MATCH(1, (Data_Input!$F$7:$ZZ$7=$F$3) * (Data_Input!$F$8:$ZZ$8=$B399), 0)),"")</f>
        <v/>
      </c>
      <c r="E399" s="29" t="str" cm="1">
        <f t="array" ref="E399">IFERROR(INDEX(Data_Input!$1:$100, 9, MATCH(1, (Data_Input!$7:$7=$F$3) * (Data_Input!$8:$8=$B399), 0)),"")</f>
        <v/>
      </c>
      <c r="F399" s="20" t="str" cm="1">
        <f t="array" ref="F399">IFERROR(INDEX(Data_Input!$A$1:$ZZ$502, MATCH("예수금", INDEX(Data_Input!$A$1:$ZZ$502, 0, MATCH(1, (Data_Input!$7:$7=$F$3)*(Data_Input!$8:$8=$B399), 0)), 0) + 1, MATCH(1, (Data_Input!$7:$7=$F$3)*(Data_Input!$8:$8=$B399), 0)),"")</f>
        <v/>
      </c>
      <c r="G399" s="20" t="str" cm="1">
        <f t="array" ref="G399">IFERROR(INDEX(Data_Input!$A$1:$ZZ$502, MATCH("총자산", INDEX(Data_Input!$A$1:$ZZ$502, 0, MATCH(1, (Data_Input!$7:$7=$F$3)*(Data_Input!$8:$8=$B399), 0)), 0) + 1, MATCH(1, (Data_Input!$7:$7=$F$3)*(Data_Input!$8:$8=$B399), 0)),"")</f>
        <v/>
      </c>
      <c r="H399" s="20" t="str" cm="1">
        <f t="array" ref="H399">IFERROR(INDEX(Data_Input!$A$1:$ZZ$502, MATCH("매입금액", INDEX(Data_Input!$A$1:$ZZ$502, 0, MATCH(1, (Data_Input!$7:$7=$F$3)*(Data_Input!$8:$8=$B399), 0)), 0) + 1, MATCH(1, (Data_Input!$7:$7=$F$3)*(Data_Input!$8:$8=$B399), 0)),"")</f>
        <v/>
      </c>
      <c r="I399" s="20" t="str" cm="1">
        <f t="array" ref="I399">IFERROR(INDEX(Data_Input!$A$1:$ZZ$502, MATCH("평가금액", INDEX(Data_Input!$A$1:$ZZ$502, 0, MATCH(1, (Data_Input!$7:$7=$F$3)*(Data_Input!$8:$8=$B399), 0)), 0) + 1, MATCH(1, (Data_Input!$7:$7=$F$3)*(Data_Input!$8:$8=$B399), 0)),"")</f>
        <v/>
      </c>
      <c r="J399" s="20" t="str" cm="1">
        <f t="array" ref="J399">IFERROR(INDEX(Data_Input!$A$1:$ZZ$502, MATCH("평가손익", INDEX(Data_Input!$A$1:$ZZ$502, 0, MATCH(1, (Data_Input!$7:$7=$F$3)*(Data_Input!$8:$8=$B399), 0)), 0) + 1, MATCH(1, (Data_Input!$7:$7=$F$3)*(Data_Input!$8:$8=$B399), 0)),"")</f>
        <v/>
      </c>
      <c r="K399" s="14" t="str" cm="1">
        <f t="array" ref="K399">IFERROR(INDEX(Data_Input!$A$1:$ZZ$502, MATCH("총수익률", INDEX(Data_Input!$A$1:$ZZ$502, 0, MATCH(1, (Data_Input!$7:$7=$F$3)*(Data_Input!$8:$8=$B399), 0)), 0) + 1, MATCH(1, (Data_Input!$7:$7=$F$3)*(Data_Input!$8:$8=$B399), 0)),"")</f>
        <v/>
      </c>
      <c r="L399" t="str" cm="1">
        <f t="array" ref="L399">IFERROR(_xlfn.LET(
    _xlpm.targetDate, B399,
    _xlpm.colIdx, MATCH(1, (Data_Input!$7:$7=$F$3) * (Data_Input!$8:$8=_xlpm.targetDate), 0),
    _xlpm.allData, INDEX(Data_Input!$1:$1002, 34, _xlpm.colIdx):INDEX(Data_Input!$1:$1002, 1000, _xlpm.colIdx),
    _xlpm.markedData, _xlfn.MAP(_xlfn.SEQUENCE(ROWS(_xlpm.allData)), _xlfn.LAMBDA(_xlpm.r,
        _xlfn.LET(
            _xlpm.checkRange, INDEX(_xlpm.allData, MAX(1, _xlpm.r-3)):INDEX(_xlpm.allData, _xlpm.r),
            _xlpm.isSubtotalInBlock, OR(_xlfn.MAP(_xlpm.checkRange, _xlfn.LAMBDA(_xlpm.v, ISNUMBER(SEARCH("소계", _xlpm.v))))),
            IF(_xlpm.isSubtotalInBlock, "SKIP", INDEX(_xlpm.allData, _xlpm.r))
        )
    )),
    _xlpm.validData, _xlfn._xlws.FILTER(_xlpm.markedData, (_xlpm.markedData &lt;&gt; "SKIP") * (_xlpm.markedData &lt;&gt; "")),
    _xlpm.finalArray, _xlfn.REDUCE("Start", _xlfn.SEQUENCE(ROWS(_xlpm.validData)), _xlfn.LAMBDA(_xlpm.acc,_xlpm.i,
        _xlfn.LET(
            _xlpm.curr, INDEX(_xlpm.validData, _xlpm.i),
            _xlpm.prev, IF(_xlpm.i=1, "Start", INDEX(_xlpm.validData, _xlpm.i-1)),
            _xlpm.isYield, OR(AND(ISNUMBER(_xlpm.prev), _xlpm.prev &lt;= 1.1), ISNUMBER(SEARCH("%", _xlpm.prev &amp; ""))),
            _xlpm.isNextType, ISTEXT(_xlpm.curr),
            IF(AND(_xlpm.isYield, _xlpm.isNextType),
               _xlfn.VSTACK(_xlpm.acc, " ", _xlpm.curr),
               _xlfn.VSTACK(_xlpm.acc, _xlpm.curr)
            )
        )
    )),
    _xlpm.result, _xlfn._xlws.FILTER(_xlpm.finalArray, _xlpm.finalArray &lt;&gt; "Start"),
    _xlfn.TOROW(_xlpm.result)
),"")</f>
        <v/>
      </c>
    </row>
  </sheetData>
  <autoFilter ref="B5:B399" xr:uid="{F1A347CC-6D7D-4886-8915-E5440F924F03}">
    <sortState xmlns:xlrd2="http://schemas.microsoft.com/office/spreadsheetml/2017/richdata2" ref="B6:B399">
      <sortCondition ref="B5:B399"/>
    </sortState>
  </autoFilter>
  <phoneticPr fontId="3" type="noConversion"/>
  <dataValidations disablePrompts="1" count="1">
    <dataValidation type="list" allowBlank="1" showInputMessage="1" showErrorMessage="1" sqref="F3" xr:uid="{B759C575-4454-4C3F-A235-459607089D8C}">
      <formula1>상품종류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2</vt:i4>
      </vt:variant>
    </vt:vector>
  </HeadingPairs>
  <TitlesOfParts>
    <vt:vector size="8" baseType="lpstr">
      <vt:lpstr>Data_Input</vt:lpstr>
      <vt:lpstr>DB_연금저축_History</vt:lpstr>
      <vt:lpstr>DB_IRP_History</vt:lpstr>
      <vt:lpstr>Data_Templet</vt:lpstr>
      <vt:lpstr>Dashboard</vt:lpstr>
      <vt:lpstr>DB_연금저축_거치_History</vt:lpstr>
      <vt:lpstr>Dashboard!Print_Area</vt:lpstr>
      <vt:lpstr>상품종류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minho kim</dc:creator>
  <cp:lastModifiedBy>minho kim</cp:lastModifiedBy>
  <cp:lastPrinted>2026-02-10T08:32:50Z</cp:lastPrinted>
  <dcterms:created xsi:type="dcterms:W3CDTF">2026-02-04T05:49:23Z</dcterms:created>
  <dcterms:modified xsi:type="dcterms:W3CDTF">2026-03-16T02:41:49Z</dcterms:modified>
</cp:coreProperties>
</file>