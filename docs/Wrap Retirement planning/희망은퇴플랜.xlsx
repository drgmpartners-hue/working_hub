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0FB35D24-2A8A-41CD-B12C-EF7D9EE2FF85}" xr6:coauthVersionLast="47" xr6:coauthVersionMax="47" xr10:uidLastSave="{00000000-0000-0000-0000-000000000000}"/>
  <bookViews>
    <workbookView xWindow="-120" yWindow="-120" windowWidth="29040" windowHeight="15720" xr2:uid="{91DC5EA7-A75C-4450-8E40-66788ACE5F08}"/>
  </bookViews>
  <sheets>
    <sheet name="Sheet1" sheetId="1" r:id="rId1"/>
    <sheet name="Sheet2" sheetId="2" r:id="rId2"/>
  </sheets>
  <definedNames>
    <definedName name="OX">#REF!</definedName>
    <definedName name="rng_누적투자자산_상품명">OFFSET(#REF!,,,COUNTA(#REF!))</definedName>
    <definedName name="rng_누적투자자산_위험대비수익률_연수익률">OFFSET(#REF!,,,COUNT(#REF!))</definedName>
    <definedName name="rng_누적투자자산_위험대비수익률_위험도지수">OFFSET(#REF!,,,COUNT(#REF!))</definedName>
    <definedName name="rng_누적투자자산_자산구분2_구분명">OFFSET(#REF!,,,COUNTIF(#REF!,"?*"))</definedName>
    <definedName name="rng_누적투자자산_자산구분2_비율">OFFSET(#REF!,,,COUNT(#REF!))</definedName>
    <definedName name="rng_누적투자자산_자산구분2_평가금액">OFFSET(#REF!,,,COUNTIF(#REF!,"?*"))</definedName>
    <definedName name="rng_누적투자자산_재무목표_구분명">OFFSET(#REF!,,,COUNTIF(#REF!,"?*"))</definedName>
    <definedName name="rng_누적투자자산_재무목표_비율">OFFSET(#REF!,,,COUNT(#REF!))</definedName>
    <definedName name="rng_누적투자자산_재무목표_정기투자">OFFSET(#REF!,,,COUNT(#REF!))</definedName>
    <definedName name="rng_누적투자자산_재무목표_평가금액">OFFSET(#REF!,,,COUNT(#REF!))</definedName>
    <definedName name="rng_누적투자자산리스트_고객명">OFFSET(#REF!,,,COUNTA(#REF!))</definedName>
    <definedName name="rng_누적투자자산리스트_상품명">OFFSET(#REF!,MATCH(1,--((#REF!=#REF!)*(#REF!=#REF!)),0)-1,2,COUNTIFS(#REF!,#REF!,#REF!,#REF!),1)</definedName>
    <definedName name="rng_누적투자자산리스트_자산구분1">OFFSET(#REF!,MATCH(#REF!,#REF!,0)-1,1,COUNTIF(#REF!,#REF!),1)</definedName>
    <definedName name="rng_만기관리_간트차트_가입일">OFFSET(#REF!,,,COUNT(#REF!))</definedName>
    <definedName name="rng_만기관리_간트차트_남은운용일">OFFSET(#REF!,,,COUNT(#REF!))</definedName>
    <definedName name="rng_만기관리_간트차트_만기일">OFFSET(#REF!,,,COUNT(#REF!))</definedName>
    <definedName name="rng_만기관리_간트차트_플랜명">OFFSET(#REF!,,,COUNTIF(#REF!,"?*"))</definedName>
    <definedName name="rng_만기관리_간트차트_현재일">OFFSET(#REF!,,,COUNT(#REF!))</definedName>
    <definedName name="rng_목표달성계획_상품명">OFFSET(#REF!,MATCH(1,--((#REF!=#REF!)*(#REF!=#REF!)),0)-1,2,COUNTIFS(#REF!,#REF!,#REF!,#REF!),1)</definedName>
    <definedName name="rng_목표달성계획_자산구분1">OFFSET(#REF!,MATCH(#REF!,#REF!,0)-1,1,COUNTIF(#REF!,#REF!),1)</definedName>
    <definedName name="rng_목표달성계획_재무목표">OFFSET(#REF!,,,COUNTIF(#REF!,"?*"))</definedName>
    <definedName name="rng_보험자산_간트차트_가입일">OFFSET(#REF!,,,COUNT(#REF!))</definedName>
    <definedName name="rng_보험자산_간트차트_남은일수">OFFSET(#REF!,,,COUNT(#REF!))</definedName>
    <definedName name="rng_보험자산_간트차트_상품명2">OFFSET(#REF!,,,COUNTA(#REF!))</definedName>
    <definedName name="rng_보험자산_간트차트_운영일수">OFFSET(#REF!,,,COUNT(#REF!))</definedName>
    <definedName name="rng_사업장분석_부채분석_대출금리">OFFSET(#REF!,,,COUNT(#REF!))</definedName>
    <definedName name="rng_사업장분석_부채분석_대출명">OFFSET(#REF!,,,COUNTIF(#REF!,"?*"))</definedName>
    <definedName name="rng_사업장분석_부채분석_대출액">OFFSET(#REF!,,,COUNT(#REF!))</definedName>
    <definedName name="rng_사업장분석_부채분석_대출잔액">OFFSET(#REF!,,,COUNT(#REF!))</definedName>
    <definedName name="rng_사업장분석_부채분석_상환율">OFFSET(#REF!,,,COUNT(#REF!))</definedName>
    <definedName name="rng_사업장분석_부채분석_월상환액">OFFSET(#REF!,,,COUNT(#REF!))</definedName>
    <definedName name="rng_사업장분석_부채분석_잔액비율">OFFSET(#REF!,,,COUNT(#REF!))</definedName>
    <definedName name="rng_사전증여플랜_상품명">OFFSET(#REF!,,,COUNTA(#REF!))</definedName>
    <definedName name="RNG_상속VS증여_나이">OFFSET(#REF!,,,,COUNTA(#REF!)-COUNTBLANK(#REF!))</definedName>
    <definedName name="RNG_상속VS증여_상속세">OFFSET(#REF!,,,,COUNTA(#REF!)-COUNTBLANK(#REF!))</definedName>
    <definedName name="RNG_상속VS증여_상속세재원">OFFSET(#REF!,,,,COUNTA(#REF!)-COUNTBLANK(#REF!))</definedName>
    <definedName name="RNG_상속VS증여_순자산">OFFSET(#REF!,,,,COUNTA(#REF!)-COUNTBLANK(#REF!))</definedName>
    <definedName name="rng_은퇴플랜_평가금액계산_나이">OFFSET(#REF!,,,1,COUNTA(#REF!)-COUNTBLANK(#REF!))</definedName>
    <definedName name="rng_은퇴플랜_평가금액계산_평가금액">OFFSET(#REF!,,,1,COUNTA(#REF!)-COUNTBLANK(#REF!))</definedName>
    <definedName name="rng_재무목표달성플랜_목표미지정상품_상품명">OFFSET(#REF!,MATCH(1,--((#REF!=#REF!)*(#REF!=#REF!)),0)-1,2,COUNTIFS(#REF!,#REF!,#REF!,#REF!),1)</definedName>
    <definedName name="rng_재무목표달성플랜_목표미지정상품_자산구분1">OFFSET(#REF!,MATCH(#REF!,#REF!,0)-1,1,COUNTIF(#REF!,#REF!),1)</definedName>
    <definedName name="rng_재무분석_개인대출분석_대출명">OFFSET(#REF!,,,COUNTIF(#REF!,"?*"))</definedName>
    <definedName name="rng_재무분석_개인부채분석_대출금리">OFFSET(#REF!,,,COUNT(#REF!))</definedName>
    <definedName name="rng_재무분석_개인부채분석_대출액">OFFSET(#REF!,,,COUNT(#REF!))</definedName>
    <definedName name="rng_재무분석_개인부채분석_대출잔액">OFFSET(#REF!,,,COUNT(#REF!))</definedName>
    <definedName name="rng_재무분석_개인부채분석_상환율">OFFSET(#REF!,,,COUNT(#REF!))</definedName>
    <definedName name="rng_재무분석_개인부채분석_월상환액">OFFSET(#REF!,,,COUNT(#REF!))</definedName>
    <definedName name="rng_재무분석_개인부채분석_잔액비율">OFFSET(#REF!,,,COUNT(#REF!))</definedName>
    <definedName name="rng_재무분석_기간대비총수익_기간">OFFSET(#REF!,,,COUNT(#REF!))</definedName>
    <definedName name="rng_재무분석_기간대비총수익_총수익">OFFSET(#REF!,,,COUNT(#REF!))</definedName>
    <definedName name="rng_재무분석_위험대비연수익_상품명">OFFSET(#REF!,,,COUNT(#REF!))</definedName>
    <definedName name="rng_재무분석_위험대비연수익_연수익">OFFSET(#REF!,,,COUNT(#REF!))</definedName>
    <definedName name="rng_재무분석_위험대비연수익_위험도">OFFSET(#REF!,,,COUNT(#REF!))</definedName>
    <definedName name="rng_재무분석_재무목표분석_달성률">OFFSET(#REF!,,,COUNT(#REF!))</definedName>
    <definedName name="rng_재무분석_재무목표분석_비중">OFFSET(#REF!,,,COUNT(#REF!))</definedName>
    <definedName name="rng_재무분석_재무목표분석_우선순위">OFFSET(#REF!,,,COUNT(#REF!))</definedName>
    <definedName name="rng_재무분석_재무목표분석_평가금액">OFFSET(#REF!,,,COUNT(#REF!))</definedName>
    <definedName name="rng_재무분석_재무목표분석_항목">OFFSET(#REF!,,,COUNTIF(#REF!,"?*"))</definedName>
    <definedName name="rng_포트폴리오만기관리_간트차트_남은개월수">OFFSET(#REF!,,,COUNT(#REF!))</definedName>
    <definedName name="가계소득5분위_나이">#REF!</definedName>
    <definedName name="기타가상자산">OFFSET(#REF!,,,COUNTIF(#REF!,"?*"))</definedName>
    <definedName name="보장성보험자산">OFFSET(#REF!,,,COUNTIF(#REF!,"?*"))</definedName>
    <definedName name="보험데이터_납입방법">#REF!</definedName>
    <definedName name="부동산자산">OFFSET(#REF!,,,COUNTIF(#REF!,"?*"))</definedName>
    <definedName name="유류분권자">#REF!</definedName>
    <definedName name="저축성보험자산">OFFSET(#REF!,,,COUNTIF(#REF!,"?*"))</definedName>
    <definedName name="전체데이터_고객명">#REF!</definedName>
    <definedName name="전체데이터_기간">#REF!</definedName>
    <definedName name="전체데이터_부동산자산_상품명">#REF!</definedName>
    <definedName name="전체데이터_부채상환방법">#REF!</definedName>
    <definedName name="전체데이터_위험도">#REF!</definedName>
    <definedName name="전체데이터_자산구분_1">#REF!</definedName>
    <definedName name="전체데이터_자산구분_보장과저축">#REF!</definedName>
    <definedName name="전체데이터_자산구분2_기타자산">#REF!</definedName>
    <definedName name="전체데이터_자산구분2_부동산자산">#REF!</definedName>
    <definedName name="전체데이터_자산구분2_부채자산">#REF!</definedName>
    <definedName name="전체데이터_자산구분2_절세전략자산">#REF!</definedName>
    <definedName name="전체데이터_자산구분2_투자자산">#REF!</definedName>
    <definedName name="전체데이터_자산구분2_현금성자산">#REF!</definedName>
    <definedName name="전체데이터_재무목표">#REF!</definedName>
    <definedName name="전체데이터_화폐">#REF!</definedName>
    <definedName name="절세자산">OFFSET(#REF!,,,COUNTIF(#REF!,"?*"))</definedName>
    <definedName name="지우개_3_1_재무전략점검">#REF!,#REF!,#REF!,#REF!,#REF!,#REF!,#REF!,#REF!,#REF!,#REF!,#REF!,#REF!,#REF!,#REF!,#REF!,#REF!,#REF!,#REF!,#REF!,#REF!</definedName>
    <definedName name="지우개_보조_대출">#REF!,#REF!,#REF!</definedName>
    <definedName name="지우개_보조_보험">#REF!,#REF!,#REF!,#REF!</definedName>
    <definedName name="지우개_전체데이터">#REF!,#REF!,#REF!,#REF!,#REF!,#REF!,#REF!,#REF!,#REF!,#REF!,#REF!,#REF!,#REF!,#REF!,#REF!,#REF!,#REF!,#REF!,#REF!,#REF!,#REF!,#REF!,#REF!,#REF!,#REF!,#REF!,#REF!,#REF!,#REF!,#REF!,#REF!,#REF!,#REF!,#REF!,#REF!,#REF!,#REF!,#REF!,#REF!,#REF!</definedName>
    <definedName name="투자자산">OFFSET(#REF!,,,COUNTIF(#REF!,"?*"))</definedName>
    <definedName name="표_투자자산관리">#REF!</definedName>
    <definedName name="현금성자산">OFFSET(#REF!,,,COUNTIF(#REF!,"?*"))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5" i="2" l="1"/>
  <c r="AA25" i="2"/>
  <c r="O10" i="2"/>
  <c r="P10" i="2" s="1"/>
  <c r="L35" i="2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L60" i="2" s="1"/>
  <c r="L61" i="2" s="1"/>
  <c r="L62" i="2" s="1"/>
  <c r="L63" i="2" s="1"/>
  <c r="L64" i="2" s="1"/>
  <c r="L34" i="2"/>
  <c r="L33" i="2"/>
  <c r="H65" i="2"/>
  <c r="G65" i="2"/>
  <c r="F11" i="2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J10" i="2"/>
  <c r="J11" i="2" s="1"/>
  <c r="M10" i="2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F31" i="2" l="1"/>
  <c r="F32" i="2" s="1"/>
  <c r="F33" i="2" s="1"/>
  <c r="O11" i="2"/>
  <c r="E12" i="2"/>
  <c r="J12" i="2"/>
  <c r="E11" i="2"/>
  <c r="M31" i="2"/>
  <c r="M32" i="2" s="1"/>
  <c r="M33" i="2" s="1"/>
  <c r="N10" i="2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26" i="1"/>
  <c r="C26" i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E10" i="1"/>
  <c r="D18" i="1" s="1"/>
  <c r="B27" i="1"/>
  <c r="D26" i="1"/>
  <c r="N11" i="2" l="1"/>
  <c r="P11" i="2"/>
  <c r="O12" i="2"/>
  <c r="E13" i="2"/>
  <c r="J13" i="2"/>
  <c r="D19" i="1"/>
  <c r="H18" i="1" s="1"/>
  <c r="D27" i="1"/>
  <c r="B28" i="1"/>
  <c r="N12" i="2" l="1"/>
  <c r="P12" i="2"/>
  <c r="J14" i="2"/>
  <c r="E14" i="2"/>
  <c r="O13" i="2"/>
  <c r="P13" i="2" s="1"/>
  <c r="B29" i="1"/>
  <c r="D28" i="1"/>
  <c r="O14" i="2" l="1"/>
  <c r="P14" i="2" s="1"/>
  <c r="N13" i="2"/>
  <c r="J15" i="2"/>
  <c r="E15" i="2"/>
  <c r="B30" i="1"/>
  <c r="D29" i="1"/>
  <c r="J16" i="2" l="1"/>
  <c r="J17" i="2" s="1"/>
  <c r="J18" i="2" s="1"/>
  <c r="E16" i="2"/>
  <c r="O15" i="2"/>
  <c r="P15" i="2" s="1"/>
  <c r="N14" i="2"/>
  <c r="B31" i="1"/>
  <c r="D30" i="1"/>
  <c r="J19" i="2" l="1"/>
  <c r="E19" i="2"/>
  <c r="O16" i="2"/>
  <c r="P16" i="2" s="1"/>
  <c r="N15" i="2"/>
  <c r="E17" i="2"/>
  <c r="D31" i="1"/>
  <c r="E31" i="1"/>
  <c r="B32" i="1"/>
  <c r="J20" i="2" l="1"/>
  <c r="E20" i="2"/>
  <c r="E18" i="2"/>
  <c r="O17" i="2"/>
  <c r="P17" i="2" s="1"/>
  <c r="N16" i="2"/>
  <c r="B33" i="1"/>
  <c r="E32" i="1"/>
  <c r="D32" i="1"/>
  <c r="J21" i="2" l="1"/>
  <c r="E21" i="2"/>
  <c r="O18" i="2"/>
  <c r="P18" i="2" s="1"/>
  <c r="N17" i="2"/>
  <c r="E33" i="1"/>
  <c r="D33" i="1"/>
  <c r="B34" i="1"/>
  <c r="J22" i="2" l="1"/>
  <c r="E22" i="2"/>
  <c r="O19" i="2"/>
  <c r="P19" i="2" s="1"/>
  <c r="N18" i="2"/>
  <c r="B35" i="1"/>
  <c r="E34" i="1"/>
  <c r="D34" i="1"/>
  <c r="J23" i="2" l="1"/>
  <c r="E23" i="2"/>
  <c r="O20" i="2"/>
  <c r="P20" i="2" s="1"/>
  <c r="N19" i="2"/>
  <c r="D35" i="1"/>
  <c r="E35" i="1"/>
  <c r="B36" i="1"/>
  <c r="J24" i="2" l="1"/>
  <c r="E24" i="2"/>
  <c r="O21" i="2"/>
  <c r="P21" i="2" s="1"/>
  <c r="N20" i="2"/>
  <c r="E36" i="1"/>
  <c r="B37" i="1"/>
  <c r="D36" i="1"/>
  <c r="J25" i="2" l="1"/>
  <c r="E25" i="2"/>
  <c r="O22" i="2"/>
  <c r="P22" i="2" s="1"/>
  <c r="N21" i="2"/>
  <c r="B38" i="1"/>
  <c r="E37" i="1"/>
  <c r="D37" i="1"/>
  <c r="J26" i="2" l="1"/>
  <c r="E26" i="2"/>
  <c r="O23" i="2"/>
  <c r="P23" i="2" s="1"/>
  <c r="N22" i="2"/>
  <c r="D38" i="1"/>
  <c r="E38" i="1"/>
  <c r="B39" i="1"/>
  <c r="J27" i="2" l="1"/>
  <c r="E27" i="2"/>
  <c r="O24" i="2"/>
  <c r="P24" i="2" s="1"/>
  <c r="N23" i="2"/>
  <c r="E39" i="1"/>
  <c r="D39" i="1"/>
  <c r="B40" i="1"/>
  <c r="J28" i="2" l="1"/>
  <c r="E28" i="2"/>
  <c r="O25" i="2"/>
  <c r="P25" i="2" s="1"/>
  <c r="N24" i="2"/>
  <c r="B41" i="1"/>
  <c r="E40" i="1"/>
  <c r="D40" i="1"/>
  <c r="J29" i="2" l="1"/>
  <c r="E29" i="2"/>
  <c r="O26" i="2"/>
  <c r="P26" i="2" s="1"/>
  <c r="N25" i="2"/>
  <c r="E41" i="1"/>
  <c r="D41" i="1"/>
  <c r="B42" i="1"/>
  <c r="J30" i="2" l="1"/>
  <c r="E30" i="2"/>
  <c r="O27" i="2"/>
  <c r="P27" i="2" s="1"/>
  <c r="N26" i="2"/>
  <c r="B43" i="1"/>
  <c r="E42" i="1"/>
  <c r="D42" i="1"/>
  <c r="J31" i="2" l="1"/>
  <c r="E31" i="2"/>
  <c r="O28" i="2"/>
  <c r="P28" i="2" s="1"/>
  <c r="N27" i="2"/>
  <c r="D43" i="1"/>
  <c r="E43" i="1"/>
  <c r="B44" i="1"/>
  <c r="J32" i="2" l="1"/>
  <c r="E32" i="2"/>
  <c r="O29" i="2"/>
  <c r="P29" i="2" s="1"/>
  <c r="N28" i="2"/>
  <c r="B45" i="1"/>
  <c r="D44" i="1"/>
  <c r="E44" i="1"/>
  <c r="J33" i="2" l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E33" i="2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52" i="2" s="1"/>
  <c r="E53" i="2" s="1"/>
  <c r="E54" i="2" s="1"/>
  <c r="E55" i="2" s="1"/>
  <c r="E56" i="2" s="1"/>
  <c r="E57" i="2" s="1"/>
  <c r="E58" i="2" s="1"/>
  <c r="E59" i="2" s="1"/>
  <c r="E60" i="2" s="1"/>
  <c r="E61" i="2" s="1"/>
  <c r="E62" i="2" s="1"/>
  <c r="E63" i="2" s="1"/>
  <c r="E64" i="2" s="1"/>
  <c r="E65" i="2" s="1"/>
  <c r="O30" i="2"/>
  <c r="P30" i="2" s="1"/>
  <c r="N29" i="2"/>
  <c r="E45" i="1"/>
  <c r="D45" i="1"/>
  <c r="O31" i="2" l="1"/>
  <c r="P31" i="2" s="1"/>
  <c r="N30" i="2"/>
  <c r="E46" i="1"/>
  <c r="O32" i="2" l="1"/>
  <c r="P32" i="2" s="1"/>
  <c r="N31" i="2"/>
  <c r="E13" i="1"/>
  <c r="O33" i="2" l="1"/>
  <c r="N32" i="2"/>
  <c r="E19" i="1"/>
  <c r="I18" i="1" s="1"/>
  <c r="E18" i="1"/>
  <c r="P33" i="2" l="1"/>
  <c r="N33" i="2"/>
  <c r="F46" i="1"/>
  <c r="I26" i="1"/>
  <c r="G26" i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I27" i="1" l="1"/>
  <c r="H26" i="1"/>
  <c r="G37" i="1"/>
  <c r="G38" i="1" s="1"/>
  <c r="G39" i="1" s="1"/>
  <c r="G40" i="1" s="1"/>
  <c r="G41" i="1" s="1"/>
  <c r="G42" i="1" s="1"/>
  <c r="G43" i="1" s="1"/>
  <c r="G44" i="1" s="1"/>
  <c r="G45" i="1" s="1"/>
  <c r="H27" i="1" l="1"/>
  <c r="I28" i="1"/>
  <c r="I29" i="1" l="1"/>
  <c r="I30" i="1" s="1"/>
  <c r="H28" i="1"/>
  <c r="H29" i="1" l="1"/>
  <c r="H30" i="1" l="1"/>
  <c r="I31" i="1"/>
  <c r="H31" i="1" l="1"/>
  <c r="I32" i="1"/>
  <c r="H32" i="1" l="1"/>
  <c r="I33" i="1"/>
  <c r="I34" i="1" l="1"/>
  <c r="H33" i="1"/>
  <c r="H34" i="1" l="1"/>
  <c r="I35" i="1"/>
  <c r="I36" i="1" l="1"/>
  <c r="H35" i="1"/>
  <c r="I37" i="1" l="1"/>
  <c r="H36" i="1"/>
  <c r="H37" i="1" l="1"/>
  <c r="I38" i="1"/>
  <c r="H38" i="1" l="1"/>
  <c r="I39" i="1"/>
  <c r="H39" i="1" l="1"/>
  <c r="I40" i="1"/>
  <c r="H40" i="1" l="1"/>
  <c r="I41" i="1"/>
  <c r="I42" i="1" l="1"/>
  <c r="H41" i="1"/>
  <c r="I43" i="1" l="1"/>
  <c r="H42" i="1"/>
  <c r="H43" i="1" l="1"/>
  <c r="I44" i="1"/>
  <c r="H44" i="1" l="1"/>
  <c r="I45" i="1"/>
  <c r="H45" i="1" s="1"/>
  <c r="O34" i="2" l="1"/>
  <c r="N34" i="2" s="1"/>
  <c r="F34" i="2"/>
  <c r="F35" i="2" s="1"/>
  <c r="F36" i="2" s="1"/>
  <c r="M34" i="2"/>
  <c r="O35" i="2" l="1"/>
  <c r="M35" i="2"/>
  <c r="M36" i="2" s="1"/>
  <c r="P34" i="2"/>
  <c r="O36" i="2" l="1"/>
  <c r="N35" i="2"/>
  <c r="P35" i="2"/>
  <c r="M37" i="2"/>
  <c r="F37" i="2"/>
  <c r="F38" i="2" s="1"/>
  <c r="M38" i="2" l="1"/>
  <c r="O37" i="2"/>
  <c r="N36" i="2"/>
  <c r="P36" i="2"/>
  <c r="P37" i="2" l="1"/>
  <c r="N37" i="2"/>
  <c r="O38" i="2"/>
  <c r="M39" i="2"/>
  <c r="F39" i="2"/>
  <c r="F40" i="2" s="1"/>
  <c r="P38" i="2" l="1"/>
  <c r="N38" i="2"/>
  <c r="O39" i="2"/>
  <c r="F41" i="2"/>
  <c r="M40" i="2"/>
  <c r="M41" i="2" l="1"/>
  <c r="O40" i="2"/>
  <c r="N39" i="2"/>
  <c r="P39" i="2"/>
  <c r="O41" i="2" l="1"/>
  <c r="N40" i="2"/>
  <c r="P40" i="2"/>
  <c r="M42" i="2"/>
  <c r="F42" i="2"/>
  <c r="F43" i="2" s="1"/>
  <c r="M43" i="2" l="1"/>
  <c r="N41" i="2"/>
  <c r="P41" i="2"/>
  <c r="O42" i="2"/>
  <c r="P42" i="2" l="1"/>
  <c r="N42" i="2"/>
  <c r="O43" i="2"/>
  <c r="M44" i="2"/>
  <c r="F44" i="2"/>
  <c r="F45" i="2" s="1"/>
  <c r="M45" i="2" l="1"/>
  <c r="O44" i="2"/>
  <c r="N43" i="2"/>
  <c r="P43" i="2"/>
  <c r="O45" i="2" l="1"/>
  <c r="N44" i="2"/>
  <c r="P44" i="2"/>
  <c r="M46" i="2"/>
  <c r="F46" i="2"/>
  <c r="F47" i="2" s="1"/>
  <c r="M47" i="2" l="1"/>
  <c r="O46" i="2"/>
  <c r="N45" i="2"/>
  <c r="P45" i="2"/>
  <c r="P46" i="2" l="1"/>
  <c r="O47" i="2"/>
  <c r="N46" i="2"/>
  <c r="M48" i="2"/>
  <c r="F48" i="2"/>
  <c r="F49" i="2" s="1"/>
  <c r="M49" i="2" l="1"/>
  <c r="F50" i="2"/>
  <c r="O48" i="2"/>
  <c r="N47" i="2"/>
  <c r="P47" i="2"/>
  <c r="O49" i="2" l="1"/>
  <c r="N48" i="2"/>
  <c r="P48" i="2"/>
  <c r="F51" i="2"/>
  <c r="M50" i="2"/>
  <c r="M51" i="2" l="1"/>
  <c r="N49" i="2"/>
  <c r="O50" i="2"/>
  <c r="P49" i="2"/>
  <c r="P50" i="2" l="1"/>
  <c r="O51" i="2"/>
  <c r="N50" i="2"/>
  <c r="M52" i="2"/>
  <c r="F52" i="2"/>
  <c r="F53" i="2" s="1"/>
  <c r="M53" i="2" l="1"/>
  <c r="O52" i="2"/>
  <c r="N51" i="2"/>
  <c r="P51" i="2"/>
  <c r="O53" i="2" l="1"/>
  <c r="N52" i="2"/>
  <c r="P52" i="2"/>
  <c r="M54" i="2"/>
  <c r="F54" i="2"/>
  <c r="F55" i="2" s="1"/>
  <c r="M55" i="2" l="1"/>
  <c r="N53" i="2"/>
  <c r="P53" i="2"/>
  <c r="O54" i="2"/>
  <c r="P54" i="2" l="1"/>
  <c r="O55" i="2"/>
  <c r="N54" i="2"/>
  <c r="M56" i="2"/>
  <c r="F56" i="2"/>
  <c r="F57" i="2" s="1"/>
  <c r="M57" i="2" l="1"/>
  <c r="O56" i="2"/>
  <c r="N55" i="2"/>
  <c r="P55" i="2"/>
  <c r="O57" i="2" l="1"/>
  <c r="N56" i="2"/>
  <c r="P56" i="2"/>
  <c r="M58" i="2"/>
  <c r="F58" i="2"/>
  <c r="F59" i="2" s="1"/>
  <c r="M59" i="2" l="1"/>
  <c r="N57" i="2"/>
  <c r="P57" i="2"/>
  <c r="O58" i="2"/>
  <c r="P58" i="2" l="1"/>
  <c r="O59" i="2"/>
  <c r="N58" i="2"/>
  <c r="M60" i="2"/>
  <c r="F60" i="2"/>
  <c r="F61" i="2" s="1"/>
  <c r="M61" i="2" l="1"/>
  <c r="O60" i="2"/>
  <c r="N59" i="2"/>
  <c r="P59" i="2"/>
  <c r="O61" i="2" l="1"/>
  <c r="N60" i="2"/>
  <c r="P60" i="2"/>
  <c r="M62" i="2"/>
  <c r="F62" i="2"/>
  <c r="F63" i="2" s="1"/>
  <c r="M63" i="2" l="1"/>
  <c r="N61" i="2"/>
  <c r="O62" i="2"/>
  <c r="P61" i="2"/>
  <c r="P62" i="2" l="1"/>
  <c r="O63" i="2"/>
  <c r="N62" i="2"/>
  <c r="M64" i="2"/>
  <c r="F64" i="2"/>
  <c r="F65" i="2" s="1"/>
  <c r="O64" i="2" l="1"/>
  <c r="N63" i="2"/>
  <c r="P63" i="2"/>
  <c r="O65" i="2" l="1"/>
  <c r="N64" i="2"/>
  <c r="N65" i="2" s="1"/>
  <c r="P6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8" authorId="0" shapeId="0" xr:uid="{21ACE6CB-819A-452F-B648-DA855D6F3F48}">
      <text>
        <r>
          <rPr>
            <b/>
            <sz val="9"/>
            <color indexed="81"/>
            <rFont val="Tahoma"/>
            <family val="2"/>
          </rPr>
          <t>물가고려O: 실질수익률 = (1+은퇴연금수익률)/(1+물가상승률)-1 을 적용한 연금현가(PV)</t>
        </r>
      </text>
    </comment>
    <comment ref="E18" authorId="0" shapeId="0" xr:uid="{ECA0A6B4-7678-46AC-B0FF-1C564674FA3C}">
      <text>
        <r>
          <rPr>
            <b/>
            <sz val="9"/>
            <color indexed="81"/>
            <rFont val="Tahoma"/>
            <family val="2"/>
          </rPr>
          <t>물가고려O 거치금액:
1) PV(J11/12, I11*12, 0, D17) = 거치기간 역산 → 적립완료 시점 필요금액
2) PV(J11/12, H11*12, -월적립액, -적립완료필요금액) = 플랜 시작 시 필요 투자금(거치금액)</t>
        </r>
      </text>
    </comment>
    <comment ref="H18" authorId="0" shapeId="0" xr:uid="{996D76CD-E45B-4051-A49E-B646490A83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토글 연동: 물가고려 O 선택 시 D17, X 선택 시 D18 값 반영</t>
        </r>
      </text>
    </comment>
    <comment ref="I18" authorId="0" shapeId="0" xr:uid="{D8929A7E-F022-41C2-96EC-29B7258EB4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토글 연동: 물가고려 O 선택 시 E17, X 선택 시 E18 값 반영</t>
        </r>
      </text>
    </comment>
    <comment ref="D19" authorId="0" shapeId="0" xr:uid="{DAB95065-DA25-490E-BD88-BE0037DA36F2}">
      <text>
        <r>
          <rPr>
            <b/>
            <sz val="9"/>
            <color indexed="81"/>
            <rFont val="Tahoma"/>
            <family val="2"/>
          </rPr>
          <t>물가고려X: 은퇴연금 명목수익률을 적용한 연금현가(PV)</t>
        </r>
      </text>
    </comment>
    <comment ref="E19" authorId="0" shapeId="0" xr:uid="{8A43BFD3-E768-4450-9D69-F1E69B547196}">
      <text>
        <r>
          <rPr>
            <b/>
            <sz val="9"/>
            <color indexed="81"/>
            <rFont val="Tahoma"/>
            <family val="2"/>
          </rPr>
          <t>물가고려X 거치금액:
1) PV(J11/12, I11*12, 0, D18) = 거치기간 역산 → 적립완료 시점 필요금액
2) PV(J11/12, H11*12, -월적립액, -적립완료필요금액) = 플랜 시작 시 필요 투자금(거치금액)</t>
        </r>
      </text>
    </comment>
  </commentList>
</comments>
</file>

<file path=xl/sharedStrings.xml><?xml version="1.0" encoding="utf-8"?>
<sst xmlns="http://schemas.openxmlformats.org/spreadsheetml/2006/main" count="148" uniqueCount="143">
  <si>
    <t>은퇴기간(수령기간)</t>
    <phoneticPr fontId="4" type="noConversion"/>
  </si>
  <si>
    <t>물가상승률</t>
    <phoneticPr fontId="4" type="noConversion"/>
  </si>
  <si>
    <t>고객명</t>
    <phoneticPr fontId="4" type="noConversion"/>
  </si>
  <si>
    <t>생년월일</t>
    <phoneticPr fontId="4" type="noConversion"/>
  </si>
  <si>
    <t>나이</t>
    <phoneticPr fontId="4" type="noConversion"/>
  </si>
  <si>
    <t>테스트</t>
    <phoneticPr fontId="4" type="noConversion"/>
  </si>
  <si>
    <t>희망 은퇴 조건 입력</t>
    <phoneticPr fontId="4" type="noConversion"/>
  </si>
  <si>
    <t>희망 은퇴나이</t>
    <phoneticPr fontId="4" type="noConversion"/>
  </si>
  <si>
    <t>적립기간</t>
    <phoneticPr fontId="4" type="noConversion"/>
  </si>
  <si>
    <t>거치기간</t>
    <phoneticPr fontId="4" type="noConversion"/>
  </si>
  <si>
    <t>예상수익률</t>
    <phoneticPr fontId="4" type="noConversion"/>
  </si>
  <si>
    <t>계산결과</t>
    <phoneticPr fontId="4" type="noConversion"/>
  </si>
  <si>
    <t>목표은퇴자금</t>
    <phoneticPr fontId="4" type="noConversion"/>
  </si>
  <si>
    <t>Total</t>
    <phoneticPr fontId="4" type="noConversion"/>
  </si>
  <si>
    <t>물가고려 O</t>
    <phoneticPr fontId="4" type="noConversion"/>
  </si>
  <si>
    <t>물가 고려 X</t>
    <phoneticPr fontId="4" type="noConversion"/>
  </si>
  <si>
    <t>연적립 금액</t>
    <phoneticPr fontId="4" type="noConversion"/>
  </si>
  <si>
    <t>필요 거치금액</t>
    <phoneticPr fontId="4" type="noConversion"/>
  </si>
  <si>
    <t>복리성장 시뮬레이션</t>
    <phoneticPr fontId="4" type="noConversion"/>
  </si>
  <si>
    <t>연차</t>
  </si>
  <si>
    <t>구분</t>
  </si>
  <si>
    <t>월 적립액</t>
  </si>
  <si>
    <t>누적 원금</t>
  </si>
  <si>
    <t>운용수익(누적)</t>
  </si>
  <si>
    <t>총 평가금액</t>
  </si>
  <si>
    <t>물가고려</t>
  </si>
  <si>
    <t>→ 적용값</t>
  </si>
  <si>
    <t>X</t>
  </si>
  <si>
    <t>은퇴연금 수익률</t>
    <phoneticPr fontId="4" type="noConversion"/>
  </si>
  <si>
    <t>추가 거치금액</t>
  </si>
  <si>
    <t>연금수령기간</t>
    <phoneticPr fontId="4" type="noConversion"/>
  </si>
  <si>
    <t>연금준비기간</t>
    <phoneticPr fontId="4" type="noConversion"/>
  </si>
  <si>
    <t>현재가치 희망 수령액</t>
    <phoneticPr fontId="4" type="noConversion"/>
  </si>
  <si>
    <t>은퇴당시 수령액</t>
    <phoneticPr fontId="4" type="noConversion"/>
  </si>
  <si>
    <t>희망은퇴플랜</t>
    <phoneticPr fontId="4" type="noConversion"/>
  </si>
  <si>
    <t>투자흐름</t>
    <phoneticPr fontId="4" type="noConversion"/>
  </si>
  <si>
    <t>은퇴플랜</t>
    <phoneticPr fontId="4" type="noConversion"/>
  </si>
  <si>
    <t>인터렉티브 계산기</t>
    <phoneticPr fontId="4" type="noConversion"/>
  </si>
  <si>
    <t>연금수령 계획</t>
    <phoneticPr fontId="4" type="noConversion"/>
  </si>
  <si>
    <t>&lt;= 표는 아코디언 버튼으로 접었다 폈다 할 수 있도록하고, 그래프는 상시 보이도록</t>
    <phoneticPr fontId="4" type="noConversion"/>
  </si>
  <si>
    <t>&lt;= 이 부분은 토글버튼으로 구현하고, 적용값은 보여지는 부분 아님.</t>
    <phoneticPr fontId="4" type="noConversion"/>
  </si>
  <si>
    <t>연차(나이)</t>
    <phoneticPr fontId="4" type="noConversion"/>
  </si>
  <si>
    <t>연도</t>
    <phoneticPr fontId="4" type="noConversion"/>
  </si>
  <si>
    <t>연차</t>
    <phoneticPr fontId="4" type="noConversion"/>
  </si>
  <si>
    <t>누적원금</t>
    <phoneticPr fontId="4" type="noConversion"/>
  </si>
  <si>
    <t>총 평가액</t>
    <phoneticPr fontId="4" type="noConversion"/>
  </si>
  <si>
    <t>연적립금액</t>
    <phoneticPr fontId="4" type="noConversion"/>
  </si>
  <si>
    <t>연수익률</t>
    <phoneticPr fontId="4" type="noConversion"/>
  </si>
  <si>
    <t>순자산</t>
    <phoneticPr fontId="4" type="noConversion"/>
  </si>
  <si>
    <t>46세</t>
  </si>
  <si>
    <t>47세</t>
  </si>
  <si>
    <t>48세</t>
  </si>
  <si>
    <t>49세</t>
  </si>
  <si>
    <t>50세</t>
  </si>
  <si>
    <t>51세</t>
  </si>
  <si>
    <t>52세</t>
  </si>
  <si>
    <t>53세</t>
  </si>
  <si>
    <t>54세</t>
  </si>
  <si>
    <t>55세</t>
  </si>
  <si>
    <t>56세</t>
  </si>
  <si>
    <t>57세</t>
  </si>
  <si>
    <t>58세</t>
  </si>
  <si>
    <t>59세</t>
  </si>
  <si>
    <t>60세</t>
  </si>
  <si>
    <t>61세</t>
  </si>
  <si>
    <t>62세</t>
  </si>
  <si>
    <t>63세</t>
  </si>
  <si>
    <t>64세</t>
  </si>
  <si>
    <t>65세</t>
  </si>
  <si>
    <t>66세</t>
  </si>
  <si>
    <t>67세</t>
  </si>
  <si>
    <t>68세</t>
  </si>
  <si>
    <t>69세</t>
  </si>
  <si>
    <t>70세</t>
  </si>
  <si>
    <t>71세</t>
  </si>
  <si>
    <t>72세</t>
  </si>
  <si>
    <t>73세</t>
  </si>
  <si>
    <t>74세</t>
  </si>
  <si>
    <t>75세</t>
  </si>
  <si>
    <t>76세</t>
  </si>
  <si>
    <t>77세</t>
  </si>
  <si>
    <t>78세</t>
  </si>
  <si>
    <t>79세</t>
  </si>
  <si>
    <t>80세</t>
  </si>
  <si>
    <t>81세</t>
  </si>
  <si>
    <t>82세</t>
  </si>
  <si>
    <t>83세</t>
  </si>
  <si>
    <t>84세</t>
  </si>
  <si>
    <t>85세</t>
  </si>
  <si>
    <t>86세</t>
  </si>
  <si>
    <t>87세</t>
  </si>
  <si>
    <t>88세</t>
  </si>
  <si>
    <t>89세</t>
  </si>
  <si>
    <t>90세</t>
  </si>
  <si>
    <t>91세</t>
  </si>
  <si>
    <t>92세</t>
  </si>
  <si>
    <t>93세</t>
  </si>
  <si>
    <t>94세</t>
  </si>
  <si>
    <t>95세</t>
  </si>
  <si>
    <t>96세</t>
  </si>
  <si>
    <t>97세</t>
  </si>
  <si>
    <t>98세</t>
  </si>
  <si>
    <t>99세</t>
  </si>
  <si>
    <t>100세</t>
  </si>
  <si>
    <t>기간</t>
    <phoneticPr fontId="4" type="noConversion"/>
  </si>
  <si>
    <t>플랜(만)</t>
    <phoneticPr fontId="4" type="noConversion"/>
  </si>
  <si>
    <t>보정(%, 만)</t>
    <phoneticPr fontId="4" type="noConversion"/>
  </si>
  <si>
    <t>플랜 시작나이</t>
    <phoneticPr fontId="4" type="noConversion"/>
  </si>
  <si>
    <t>총 투자기간</t>
    <phoneticPr fontId="4" type="noConversion"/>
  </si>
  <si>
    <t>구성</t>
    <phoneticPr fontId="4" type="noConversion"/>
  </si>
  <si>
    <t>적립10년 + 거치 14년</t>
    <phoneticPr fontId="4" type="noConversion"/>
  </si>
  <si>
    <t>기간설정</t>
    <phoneticPr fontId="4" type="noConversion"/>
  </si>
  <si>
    <t>투자계획</t>
    <phoneticPr fontId="4" type="noConversion"/>
  </si>
  <si>
    <t>연거치금액</t>
    <phoneticPr fontId="4" type="noConversion"/>
  </si>
  <si>
    <t>총거치금액</t>
    <phoneticPr fontId="4" type="noConversion"/>
  </si>
  <si>
    <t>총투자금액</t>
    <phoneticPr fontId="4" type="noConversion"/>
  </si>
  <si>
    <t>목표</t>
    <phoneticPr fontId="4" type="noConversion"/>
  </si>
  <si>
    <t>예상 수익률</t>
    <phoneticPr fontId="4" type="noConversion"/>
  </si>
  <si>
    <t>희망 은퇴금액</t>
    <phoneticPr fontId="4" type="noConversion"/>
  </si>
  <si>
    <t>은퇴 직전 나이까지는 직전년도 원금 + 연적립액 + 거치금액 - 중도인출</t>
    <phoneticPr fontId="4" type="noConversion"/>
  </si>
  <si>
    <t>은퇴나이부터는 은퇴직전 나이까지의 원금이 유지</t>
    <phoneticPr fontId="4" type="noConversion"/>
  </si>
  <si>
    <t>은퇴연금(월)</t>
    <phoneticPr fontId="4" type="noConversion"/>
  </si>
  <si>
    <t>(물가고려)</t>
    <phoneticPr fontId="4" type="noConversion"/>
  </si>
  <si>
    <t>물가를 고려한 금액이라면 매년 물가상승률 만큼 증가</t>
    <phoneticPr fontId="4" type="noConversion"/>
  </si>
  <si>
    <t>디폴드 값은 예상 수익률</t>
    <phoneticPr fontId="4" type="noConversion"/>
  </si>
  <si>
    <t>연간 투자흐름도의 연도값이 저장되면 해당연도의 순자산 수익률을 적용</t>
    <phoneticPr fontId="4" type="noConversion"/>
  </si>
  <si>
    <t>매년 실제 수익률을 넣었을 대 해당연도 이후 순자산 금액도 함수에 맞게 바로 변경</t>
    <phoneticPr fontId="4" type="noConversion"/>
  </si>
  <si>
    <t>* 은퇴나이가 되었음을 배경색으로 구분</t>
    <phoneticPr fontId="4" type="noConversion"/>
  </si>
  <si>
    <t>계</t>
    <phoneticPr fontId="4" type="noConversion"/>
  </si>
  <si>
    <t>연간평가금액</t>
    <phoneticPr fontId="4" type="noConversion"/>
  </si>
  <si>
    <t>일시납금액</t>
    <phoneticPr fontId="4" type="noConversion"/>
  </si>
  <si>
    <t>총납입금액</t>
    <phoneticPr fontId="4" type="noConversion"/>
  </si>
  <si>
    <t>인출금액</t>
    <phoneticPr fontId="4" type="noConversion"/>
  </si>
  <si>
    <t>인출금액누적</t>
    <phoneticPr fontId="4" type="noConversion"/>
  </si>
  <si>
    <t>순이익</t>
    <phoneticPr fontId="4" type="noConversion"/>
  </si>
  <si>
    <t>순자산수익률</t>
    <phoneticPr fontId="4" type="noConversion"/>
  </si>
  <si>
    <t xml:space="preserve">* '연간 투자흐름표'에서 '적용' 버튼을 클릭하면 해당 연도의 '보정'값의 필드값이 '연간 투자흐름표'의 실제값으로 대체된다. </t>
    <phoneticPr fontId="4" type="noConversion"/>
  </si>
  <si>
    <t>* 1번 시트에서 기본 값들을 다 불러온다.</t>
    <phoneticPr fontId="4" type="noConversion"/>
  </si>
  <si>
    <t>당연히 물가를 고려하지 않는다면 첫 해금액이 마지막해 금액과 동일하게 될 것임.</t>
    <phoneticPr fontId="4" type="noConversion"/>
  </si>
  <si>
    <t>은퇴나이부터 은퇴당시 수령액 불러올 것</t>
    <phoneticPr fontId="4" type="noConversion"/>
  </si>
  <si>
    <t xml:space="preserve">연적립금액, 일시납금액, 연수익률, 인출금액 : 이 필드값들은 수정이 가능해야 함, </t>
    <phoneticPr fontId="4" type="noConversion"/>
  </si>
  <si>
    <t>단, '연간 투자흐름표'에서 불러온 값은 수정이 안됨.</t>
    <phoneticPr fontId="4" type="noConversion"/>
  </si>
  <si>
    <t>누적원금, 총 평가액 : 
1번 탭에서 저장된 플랜 값을 불러올 것.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</si>
</sst>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0&quot;년차&quot;"/>
    <numFmt numFmtId="177" formatCode="_(* #,##0_);_(* \(#,##0\);_(* &quot;-&quot;_);_(@_)"/>
    <numFmt numFmtId="178" formatCode="0&quot;세&quot;"/>
    <numFmt numFmtId="179" formatCode="0&quot;년&quot;"/>
    <numFmt numFmtId="180" formatCode="0.\1&quot;억원&quot;"/>
    <numFmt numFmtId="181" formatCode="#,##0&quot;만원&quot;"/>
    <numFmt numFmtId="182" formatCode="0.0%"/>
  </numFmts>
  <fonts count="2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rgb="FFFFFFFF"/>
      <name val="맑은 고딕"/>
      <family val="3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sz val="10"/>
      <color rgb="FF1A1A2E"/>
      <name val="Geist"/>
      <family val="2"/>
    </font>
    <font>
      <sz val="11"/>
      <color theme="1"/>
      <name val="맑은 고딕"/>
      <family val="3"/>
      <charset val="129"/>
      <scheme val="minor"/>
    </font>
    <font>
      <sz val="10"/>
      <color rgb="FF1A1A2E"/>
      <name val="맑은 고딕"/>
      <family val="3"/>
      <charset val="129"/>
      <scheme val="minor"/>
    </font>
    <font>
      <sz val="10"/>
      <color rgb="FF1E3A5F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2"/>
      <color theme="5"/>
      <name val="맑은 고딕"/>
      <family val="2"/>
      <charset val="129"/>
      <scheme val="minor"/>
    </font>
    <font>
      <b/>
      <sz val="12"/>
      <color theme="5"/>
      <name val="맑은 고딕"/>
      <family val="3"/>
      <charset val="129"/>
      <scheme val="minor"/>
    </font>
    <font>
      <b/>
      <sz val="14"/>
      <color theme="5"/>
      <name val="맑은 고딕"/>
      <family val="3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B1D2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5">
    <xf numFmtId="0" fontId="0" fillId="0" borderId="0" xfId="0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14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77" fontId="0" fillId="0" borderId="0" xfId="0" applyNumberFormat="1">
      <alignment vertical="center"/>
    </xf>
    <xf numFmtId="176" fontId="8" fillId="0" borderId="11" xfId="0" applyNumberFormat="1" applyFont="1" applyBorder="1" applyAlignment="1">
      <alignment horizontal="center" vertical="center"/>
    </xf>
    <xf numFmtId="177" fontId="8" fillId="0" borderId="11" xfId="0" applyNumberFormat="1" applyFont="1" applyBorder="1" applyAlignment="1">
      <alignment horizontal="center" vertical="center"/>
    </xf>
    <xf numFmtId="0" fontId="11" fillId="5" borderId="1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1" fontId="0" fillId="0" borderId="4" xfId="1" applyFont="1" applyBorder="1" applyAlignment="1">
      <alignment vertical="center"/>
    </xf>
    <xf numFmtId="41" fontId="0" fillId="0" borderId="5" xfId="1" applyFont="1" applyBorder="1" applyAlignment="1">
      <alignment vertical="center"/>
    </xf>
    <xf numFmtId="41" fontId="0" fillId="2" borderId="1" xfId="1" applyFont="1" applyFill="1" applyBorder="1" applyAlignment="1">
      <alignment vertical="center"/>
    </xf>
    <xf numFmtId="41" fontId="0" fillId="2" borderId="2" xfId="1" applyFont="1" applyFill="1" applyBorder="1" applyAlignment="1">
      <alignment vertical="center"/>
    </xf>
    <xf numFmtId="0" fontId="0" fillId="2" borderId="8" xfId="0" applyFill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177" fontId="1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77" fontId="13" fillId="6" borderId="0" xfId="0" applyNumberFormat="1" applyFont="1" applyFill="1" applyAlignment="1">
      <alignment horizontal="center" vertical="center"/>
    </xf>
    <xf numFmtId="177" fontId="13" fillId="6" borderId="11" xfId="0" applyNumberFormat="1" applyFon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41" fontId="0" fillId="0" borderId="16" xfId="1" applyFont="1" applyBorder="1" applyAlignment="1">
      <alignment vertical="center"/>
    </xf>
    <xf numFmtId="0" fontId="0" fillId="2" borderId="17" xfId="0" applyFill="1" applyBorder="1" applyAlignment="1">
      <alignment horizontal="center" vertical="center"/>
    </xf>
    <xf numFmtId="41" fontId="0" fillId="3" borderId="18" xfId="1" applyFont="1" applyFill="1" applyBorder="1">
      <alignment vertical="center"/>
    </xf>
    <xf numFmtId="10" fontId="0" fillId="3" borderId="5" xfId="0" applyNumberFormat="1" applyFill="1" applyBorder="1" applyAlignment="1">
      <alignment horizontal="center" vertical="center"/>
    </xf>
    <xf numFmtId="9" fontId="0" fillId="3" borderId="6" xfId="0" applyNumberFormat="1" applyFill="1" applyBorder="1" applyAlignment="1">
      <alignment horizontal="center" vertical="center"/>
    </xf>
    <xf numFmtId="41" fontId="0" fillId="3" borderId="5" xfId="1" applyFont="1" applyFill="1" applyBorder="1" applyAlignment="1">
      <alignment vertical="center"/>
    </xf>
    <xf numFmtId="0" fontId="12" fillId="3" borderId="9" xfId="0" applyFont="1" applyFill="1" applyBorder="1" applyAlignment="1">
      <alignment horizontal="center" vertical="center"/>
    </xf>
    <xf numFmtId="177" fontId="5" fillId="0" borderId="11" xfId="0" applyNumberFormat="1" applyFont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0" fontId="0" fillId="0" borderId="19" xfId="0" applyBorder="1">
      <alignment vertical="center"/>
    </xf>
    <xf numFmtId="0" fontId="3" fillId="9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3" borderId="7" xfId="0" applyNumberFormat="1" applyFill="1" applyBorder="1" applyAlignment="1">
      <alignment horizontal="center" vertical="center"/>
    </xf>
    <xf numFmtId="179" fontId="0" fillId="3" borderId="7" xfId="0" applyNumberFormat="1" applyFill="1" applyBorder="1" applyAlignment="1">
      <alignment horizontal="center" vertical="center"/>
    </xf>
    <xf numFmtId="179" fontId="0" fillId="3" borderId="5" xfId="0" applyNumberFormat="1" applyFill="1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8" fillId="0" borderId="0" xfId="0" applyFont="1">
      <alignment vertical="center"/>
    </xf>
    <xf numFmtId="41" fontId="18" fillId="0" borderId="0" xfId="1" applyFont="1">
      <alignment vertical="center"/>
    </xf>
    <xf numFmtId="0" fontId="8" fillId="0" borderId="0" xfId="0" applyFont="1">
      <alignment vertical="center"/>
    </xf>
    <xf numFmtId="41" fontId="8" fillId="0" borderId="0" xfId="1" applyFont="1">
      <alignment vertical="center"/>
    </xf>
    <xf numFmtId="0" fontId="5" fillId="0" borderId="0" xfId="0" applyFont="1" applyAlignment="1">
      <alignment horizontal="left" vertical="center"/>
    </xf>
    <xf numFmtId="41" fontId="5" fillId="0" borderId="0" xfId="1" applyFont="1" applyAlignment="1">
      <alignment horizontal="left" vertical="center"/>
    </xf>
    <xf numFmtId="0" fontId="14" fillId="10" borderId="21" xfId="0" applyFont="1" applyFill="1" applyBorder="1" applyAlignment="1">
      <alignment horizontal="center" vertical="center" wrapText="1"/>
    </xf>
    <xf numFmtId="0" fontId="16" fillId="10" borderId="21" xfId="0" applyFont="1" applyFill="1" applyBorder="1" applyAlignment="1">
      <alignment horizontal="center" vertical="center" wrapText="1"/>
    </xf>
    <xf numFmtId="0" fontId="14" fillId="11" borderId="21" xfId="0" applyFont="1" applyFill="1" applyBorder="1" applyAlignment="1">
      <alignment horizontal="center" vertical="center" wrapText="1"/>
    </xf>
    <xf numFmtId="0" fontId="16" fillId="11" borderId="2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8" fillId="11" borderId="20" xfId="0" applyFont="1" applyFill="1" applyBorder="1" applyAlignment="1">
      <alignment horizontal="center" vertical="center"/>
    </xf>
    <xf numFmtId="0" fontId="18" fillId="11" borderId="21" xfId="0" applyFont="1" applyFill="1" applyBorder="1" applyAlignment="1">
      <alignment horizontal="center" vertical="center"/>
    </xf>
    <xf numFmtId="0" fontId="8" fillId="11" borderId="21" xfId="0" applyFont="1" applyFill="1" applyBorder="1" applyAlignment="1">
      <alignment horizontal="center" vertical="center"/>
    </xf>
    <xf numFmtId="41" fontId="8" fillId="13" borderId="21" xfId="1" applyFont="1" applyFill="1" applyBorder="1" applyAlignment="1">
      <alignment horizontal="center" vertical="center"/>
    </xf>
    <xf numFmtId="41" fontId="8" fillId="15" borderId="21" xfId="1" applyFont="1" applyFill="1" applyBorder="1" applyAlignment="1">
      <alignment horizontal="center" vertical="center"/>
    </xf>
    <xf numFmtId="0" fontId="8" fillId="15" borderId="21" xfId="0" applyFont="1" applyFill="1" applyBorder="1" applyAlignment="1">
      <alignment horizontal="center" vertical="center"/>
    </xf>
    <xf numFmtId="41" fontId="8" fillId="15" borderId="22" xfId="1" applyFont="1" applyFill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41" fontId="16" fillId="10" borderId="21" xfId="1" applyFont="1" applyFill="1" applyBorder="1" applyAlignment="1">
      <alignment horizontal="center" vertical="center" wrapText="1"/>
    </xf>
    <xf numFmtId="41" fontId="17" fillId="10" borderId="21" xfId="1" applyFont="1" applyFill="1" applyBorder="1" applyAlignment="1">
      <alignment horizontal="center" vertical="center" wrapText="1"/>
    </xf>
    <xf numFmtId="41" fontId="8" fillId="0" borderId="21" xfId="1" applyFont="1" applyBorder="1" applyAlignment="1">
      <alignment horizontal="center" vertical="center"/>
    </xf>
    <xf numFmtId="41" fontId="16" fillId="11" borderId="21" xfId="1" applyFont="1" applyFill="1" applyBorder="1" applyAlignment="1">
      <alignment horizontal="center" vertical="center" wrapText="1"/>
    </xf>
    <xf numFmtId="41" fontId="17" fillId="11" borderId="21" xfId="1" applyFont="1" applyFill="1" applyBorder="1" applyAlignment="1">
      <alignment horizontal="center" vertical="center" wrapText="1"/>
    </xf>
    <xf numFmtId="41" fontId="8" fillId="11" borderId="21" xfId="1" applyFont="1" applyFill="1" applyBorder="1" applyAlignment="1">
      <alignment horizontal="center" vertical="center"/>
    </xf>
    <xf numFmtId="41" fontId="6" fillId="0" borderId="0" xfId="1" applyFont="1" applyAlignment="1">
      <alignment horizontal="left" vertical="center"/>
    </xf>
    <xf numFmtId="182" fontId="8" fillId="0" borderId="21" xfId="0" applyNumberFormat="1" applyFont="1" applyBorder="1" applyAlignment="1">
      <alignment horizontal="center" vertical="center"/>
    </xf>
    <xf numFmtId="182" fontId="8" fillId="11" borderId="21" xfId="0" applyNumberFormat="1" applyFont="1" applyFill="1" applyBorder="1" applyAlignment="1">
      <alignment horizontal="center" vertical="center"/>
    </xf>
    <xf numFmtId="0" fontId="14" fillId="0" borderId="21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41" fontId="16" fillId="0" borderId="21" xfId="1" applyFont="1" applyFill="1" applyBorder="1" applyAlignment="1">
      <alignment horizontal="center" vertical="center" wrapText="1"/>
    </xf>
    <xf numFmtId="41" fontId="17" fillId="0" borderId="21" xfId="1" applyFont="1" applyFill="1" applyBorder="1" applyAlignment="1">
      <alignment horizontal="center" vertical="center" wrapText="1"/>
    </xf>
    <xf numFmtId="41" fontId="8" fillId="0" borderId="21" xfId="1" applyFont="1" applyFill="1" applyBorder="1" applyAlignment="1">
      <alignment horizontal="center" vertical="center"/>
    </xf>
    <xf numFmtId="182" fontId="19" fillId="0" borderId="22" xfId="2" applyNumberFormat="1" applyFont="1" applyBorder="1" applyAlignment="1">
      <alignment horizontal="center" vertical="center"/>
    </xf>
    <xf numFmtId="182" fontId="19" fillId="11" borderId="22" xfId="2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3" fillId="0" borderId="0" xfId="0" applyFont="1">
      <alignment vertical="center"/>
    </xf>
    <xf numFmtId="181" fontId="15" fillId="0" borderId="21" xfId="0" applyNumberFormat="1" applyFont="1" applyBorder="1" applyAlignment="1">
      <alignment horizontal="right" vertical="center"/>
    </xf>
    <xf numFmtId="41" fontId="15" fillId="0" borderId="0" xfId="1" applyFont="1" applyAlignment="1">
      <alignment horizontal="center" vertical="center"/>
    </xf>
    <xf numFmtId="0" fontId="20" fillId="0" borderId="22" xfId="1" applyNumberFormat="1" applyFont="1" applyBorder="1" applyAlignment="1">
      <alignment horizontal="right" vertical="center"/>
    </xf>
    <xf numFmtId="0" fontId="18" fillId="0" borderId="27" xfId="0" applyFont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 wrapText="1"/>
    </xf>
    <xf numFmtId="0" fontId="16" fillId="10" borderId="28" xfId="0" applyFont="1" applyFill="1" applyBorder="1" applyAlignment="1">
      <alignment horizontal="center" vertical="center" wrapText="1"/>
    </xf>
    <xf numFmtId="41" fontId="16" fillId="10" borderId="28" xfId="1" applyFont="1" applyFill="1" applyBorder="1" applyAlignment="1">
      <alignment horizontal="center" vertical="center" wrapText="1"/>
    </xf>
    <xf numFmtId="41" fontId="17" fillId="10" borderId="28" xfId="1" applyFont="1" applyFill="1" applyBorder="1" applyAlignment="1">
      <alignment horizontal="center" vertical="center" wrapText="1"/>
    </xf>
    <xf numFmtId="41" fontId="8" fillId="0" borderId="28" xfId="1" applyFont="1" applyBorder="1" applyAlignment="1">
      <alignment horizontal="center" vertical="center"/>
    </xf>
    <xf numFmtId="182" fontId="8" fillId="0" borderId="28" xfId="0" applyNumberFormat="1" applyFont="1" applyBorder="1" applyAlignment="1">
      <alignment horizontal="center" vertical="center"/>
    </xf>
    <xf numFmtId="182" fontId="19" fillId="0" borderId="29" xfId="2" applyNumberFormat="1" applyFont="1" applyBorder="1" applyAlignment="1">
      <alignment horizontal="center" vertical="center"/>
    </xf>
    <xf numFmtId="41" fontId="19" fillId="0" borderId="31" xfId="1" applyFont="1" applyBorder="1">
      <alignment vertical="center"/>
    </xf>
    <xf numFmtId="0" fontId="19" fillId="0" borderId="31" xfId="0" applyFont="1" applyBorder="1">
      <alignment vertical="center"/>
    </xf>
    <xf numFmtId="0" fontId="19" fillId="0" borderId="32" xfId="0" applyFont="1" applyBorder="1">
      <alignment vertical="center"/>
    </xf>
    <xf numFmtId="0" fontId="19" fillId="0" borderId="30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0" fontId="8" fillId="0" borderId="0" xfId="1" applyNumberFormat="1" applyFont="1" applyAlignment="1">
      <alignment horizontal="left" vertical="center" wrapText="1"/>
    </xf>
    <xf numFmtId="41" fontId="15" fillId="0" borderId="20" xfId="1" applyFont="1" applyBorder="1" applyAlignment="1">
      <alignment horizontal="center" vertical="center"/>
    </xf>
    <xf numFmtId="41" fontId="15" fillId="0" borderId="21" xfId="1" applyFont="1" applyBorder="1" applyAlignment="1">
      <alignment horizontal="center" vertical="center"/>
    </xf>
    <xf numFmtId="41" fontId="15" fillId="0" borderId="4" xfId="1" applyFont="1" applyBorder="1" applyAlignment="1">
      <alignment horizontal="center" vertical="center"/>
    </xf>
    <xf numFmtId="41" fontId="15" fillId="0" borderId="5" xfId="1" applyFont="1" applyBorder="1" applyAlignment="1">
      <alignment horizontal="center" vertical="center"/>
    </xf>
    <xf numFmtId="0" fontId="15" fillId="0" borderId="4" xfId="1" applyNumberFormat="1" applyFont="1" applyBorder="1" applyAlignment="1">
      <alignment horizontal="center" vertical="center"/>
    </xf>
    <xf numFmtId="0" fontId="15" fillId="0" borderId="5" xfId="1" applyNumberFormat="1" applyFont="1" applyBorder="1" applyAlignment="1">
      <alignment horizontal="center" vertical="center"/>
    </xf>
    <xf numFmtId="9" fontId="15" fillId="0" borderId="8" xfId="1" applyNumberFormat="1" applyFont="1" applyBorder="1" applyAlignment="1">
      <alignment horizontal="right" vertical="center"/>
    </xf>
    <xf numFmtId="9" fontId="15" fillId="0" borderId="23" xfId="1" applyNumberFormat="1" applyFont="1" applyBorder="1" applyAlignment="1">
      <alignment horizontal="right" vertical="center"/>
    </xf>
    <xf numFmtId="180" fontId="15" fillId="0" borderId="24" xfId="1" applyNumberFormat="1" applyFont="1" applyBorder="1" applyAlignment="1">
      <alignment horizontal="right" vertical="center"/>
    </xf>
    <xf numFmtId="180" fontId="15" fillId="0" borderId="25" xfId="1" applyNumberFormat="1" applyFont="1" applyBorder="1" applyAlignment="1">
      <alignment horizontal="right" vertical="center"/>
    </xf>
    <xf numFmtId="10" fontId="15" fillId="0" borderId="7" xfId="0" applyNumberFormat="1" applyFont="1" applyBorder="1" applyAlignment="1">
      <alignment horizontal="right" vertical="center"/>
    </xf>
    <xf numFmtId="10" fontId="15" fillId="0" borderId="26" xfId="0" applyNumberFormat="1" applyFont="1" applyBorder="1" applyAlignment="1">
      <alignment horizontal="right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3" xfId="0" applyFont="1" applyFill="1" applyBorder="1" applyAlignment="1">
      <alignment horizontal="center" vertical="center"/>
    </xf>
    <xf numFmtId="178" fontId="15" fillId="0" borderId="2" xfId="0" applyNumberFormat="1" applyFont="1" applyBorder="1" applyAlignment="1">
      <alignment horizontal="right" vertical="center"/>
    </xf>
    <xf numFmtId="178" fontId="15" fillId="0" borderId="3" xfId="0" applyNumberFormat="1" applyFont="1" applyBorder="1" applyAlignment="1">
      <alignment horizontal="right" vertical="center"/>
    </xf>
    <xf numFmtId="178" fontId="15" fillId="0" borderId="21" xfId="0" applyNumberFormat="1" applyFont="1" applyBorder="1" applyAlignment="1">
      <alignment horizontal="right" vertical="center"/>
    </xf>
    <xf numFmtId="178" fontId="15" fillId="0" borderId="22" xfId="0" applyNumberFormat="1" applyFont="1" applyBorder="1" applyAlignment="1">
      <alignment horizontal="right" vertical="center"/>
    </xf>
    <xf numFmtId="179" fontId="15" fillId="0" borderId="21" xfId="0" applyNumberFormat="1" applyFont="1" applyBorder="1" applyAlignment="1">
      <alignment horizontal="right" vertical="center"/>
    </xf>
    <xf numFmtId="179" fontId="15" fillId="0" borderId="22" xfId="0" applyNumberFormat="1" applyFont="1" applyBorder="1" applyAlignment="1">
      <alignment horizontal="right" vertical="center"/>
    </xf>
    <xf numFmtId="0" fontId="15" fillId="0" borderId="5" xfId="0" applyFont="1" applyBorder="1" applyAlignment="1">
      <alignment horizontal="right" vertical="center"/>
    </xf>
    <xf numFmtId="0" fontId="15" fillId="0" borderId="6" xfId="0" applyFont="1" applyBorder="1" applyAlignment="1">
      <alignment horizontal="right" vertical="center"/>
    </xf>
    <xf numFmtId="181" fontId="15" fillId="0" borderId="2" xfId="1" applyNumberFormat="1" applyFont="1" applyBorder="1" applyAlignment="1">
      <alignment horizontal="right" vertical="center"/>
    </xf>
    <xf numFmtId="181" fontId="15" fillId="0" borderId="3" xfId="1" applyNumberFormat="1" applyFont="1" applyBorder="1" applyAlignment="1">
      <alignment horizontal="right" vertical="center"/>
    </xf>
    <xf numFmtId="181" fontId="15" fillId="0" borderId="21" xfId="1" applyNumberFormat="1" applyFont="1" applyBorder="1" applyAlignment="1">
      <alignment horizontal="right" vertical="center"/>
    </xf>
    <xf numFmtId="181" fontId="15" fillId="0" borderId="22" xfId="1" applyNumberFormat="1" applyFont="1" applyBorder="1" applyAlignment="1">
      <alignment horizontal="right" vertical="center"/>
    </xf>
    <xf numFmtId="180" fontId="15" fillId="0" borderId="21" xfId="1" applyNumberFormat="1" applyFont="1" applyBorder="1" applyAlignment="1">
      <alignment horizontal="right" vertical="center"/>
    </xf>
    <xf numFmtId="180" fontId="15" fillId="0" borderId="22" xfId="1" applyNumberFormat="1" applyFont="1" applyBorder="1" applyAlignment="1">
      <alignment horizontal="right" vertical="center"/>
    </xf>
    <xf numFmtId="180" fontId="15" fillId="0" borderId="5" xfId="1" applyNumberFormat="1" applyFont="1" applyBorder="1" applyAlignment="1">
      <alignment horizontal="right" vertical="center"/>
    </xf>
    <xf numFmtId="180" fontId="15" fillId="0" borderId="6" xfId="1" applyNumberFormat="1" applyFont="1" applyBorder="1" applyAlignment="1">
      <alignment horizontal="right" vertical="center"/>
    </xf>
    <xf numFmtId="41" fontId="15" fillId="0" borderId="1" xfId="1" applyFont="1" applyBorder="1" applyAlignment="1">
      <alignment horizontal="center" vertical="center"/>
    </xf>
    <xf numFmtId="41" fontId="15" fillId="0" borderId="2" xfId="1" applyFont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18" fillId="12" borderId="2" xfId="0" applyFont="1" applyFill="1" applyBorder="1" applyAlignment="1">
      <alignment horizontal="center" vertical="center"/>
    </xf>
    <xf numFmtId="41" fontId="18" fillId="3" borderId="2" xfId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" xfId="1" applyNumberFormat="1" applyFont="1" applyBorder="1" applyAlignment="1">
      <alignment horizontal="center" vertical="center"/>
    </xf>
    <xf numFmtId="0" fontId="15" fillId="0" borderId="2" xfId="1" applyNumberFormat="1" applyFont="1" applyBorder="1" applyAlignment="1">
      <alignment horizontal="center" vertical="center"/>
    </xf>
    <xf numFmtId="0" fontId="15" fillId="0" borderId="20" xfId="1" applyNumberFormat="1" applyFont="1" applyBorder="1" applyAlignment="1">
      <alignment horizontal="center" vertical="center"/>
    </xf>
    <xf numFmtId="0" fontId="15" fillId="0" borderId="21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41" fontId="18" fillId="0" borderId="0" xfId="1" applyFont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Sheet1!$G$25</c:f>
              <c:strCache>
                <c:ptCount val="1"/>
                <c:pt idx="0">
                  <c:v>누적 원금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Sheet1!$K$26:$K$45</c:f>
              <c:strCache>
                <c:ptCount val="20"/>
                <c:pt idx="0">
                  <c:v>1년차 (45세)</c:v>
                </c:pt>
                <c:pt idx="1">
                  <c:v>2년차 (46세)</c:v>
                </c:pt>
                <c:pt idx="2">
                  <c:v>3년차 (47세)</c:v>
                </c:pt>
                <c:pt idx="3">
                  <c:v>4년차 (48세)</c:v>
                </c:pt>
                <c:pt idx="4">
                  <c:v>5년차 (49세)</c:v>
                </c:pt>
                <c:pt idx="5">
                  <c:v>6년차 (50세)</c:v>
                </c:pt>
                <c:pt idx="6">
                  <c:v>7년차 (51세)</c:v>
                </c:pt>
                <c:pt idx="7">
                  <c:v>8년차 (52세)</c:v>
                </c:pt>
                <c:pt idx="8">
                  <c:v>9년차 (53세)</c:v>
                </c:pt>
                <c:pt idx="9">
                  <c:v>10년차 (54세)</c:v>
                </c:pt>
                <c:pt idx="10">
                  <c:v>11년차 (55세)</c:v>
                </c:pt>
                <c:pt idx="11">
                  <c:v>12년차 (56세)</c:v>
                </c:pt>
                <c:pt idx="12">
                  <c:v>13년차 (57세)</c:v>
                </c:pt>
                <c:pt idx="13">
                  <c:v>14년차 (58세)</c:v>
                </c:pt>
                <c:pt idx="14">
                  <c:v>15년차 (59세)</c:v>
                </c:pt>
                <c:pt idx="15">
                  <c:v>16년차 (60세)</c:v>
                </c:pt>
                <c:pt idx="16">
                  <c:v>17년차 (61세)</c:v>
                </c:pt>
                <c:pt idx="17">
                  <c:v>18년차 (62세)</c:v>
                </c:pt>
                <c:pt idx="18">
                  <c:v>19년차 (63세)</c:v>
                </c:pt>
                <c:pt idx="19">
                  <c:v>20년차 (64세)</c:v>
                </c:pt>
              </c:strCache>
            </c:strRef>
          </c:cat>
          <c:val>
            <c:numRef>
              <c:f>Sheet1!$G$26:$G$45</c:f>
              <c:numCache>
                <c:formatCode>_(* #,##0_);_(* \(#,##0\);_(* "-"_);_(@_)</c:formatCode>
                <c:ptCount val="20"/>
                <c:pt idx="0">
                  <c:v>2720670000</c:v>
                </c:pt>
                <c:pt idx="1">
                  <c:v>2870670000</c:v>
                </c:pt>
                <c:pt idx="2">
                  <c:v>3020670000</c:v>
                </c:pt>
                <c:pt idx="3">
                  <c:v>3170670000</c:v>
                </c:pt>
                <c:pt idx="4">
                  <c:v>3320670000</c:v>
                </c:pt>
                <c:pt idx="5">
                  <c:v>3320670000</c:v>
                </c:pt>
                <c:pt idx="6">
                  <c:v>3320670000</c:v>
                </c:pt>
                <c:pt idx="7">
                  <c:v>3320670000</c:v>
                </c:pt>
                <c:pt idx="8">
                  <c:v>3320670000</c:v>
                </c:pt>
                <c:pt idx="9">
                  <c:v>3320670000</c:v>
                </c:pt>
                <c:pt idx="10">
                  <c:v>3320670000</c:v>
                </c:pt>
                <c:pt idx="11">
                  <c:v>3320670000</c:v>
                </c:pt>
                <c:pt idx="12">
                  <c:v>3320670000</c:v>
                </c:pt>
                <c:pt idx="13">
                  <c:v>3320670000</c:v>
                </c:pt>
                <c:pt idx="14">
                  <c:v>3320670000</c:v>
                </c:pt>
                <c:pt idx="15">
                  <c:v>3320670000</c:v>
                </c:pt>
                <c:pt idx="16">
                  <c:v>3320670000</c:v>
                </c:pt>
                <c:pt idx="17">
                  <c:v>3320670000</c:v>
                </c:pt>
                <c:pt idx="18">
                  <c:v>3320670000</c:v>
                </c:pt>
                <c:pt idx="19">
                  <c:v>3320670000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6-4281-9275-BB99A4A0F4A5}"/>
            </c:ext>
          </c:extLst>
        </c:ser>
        <c:ser>
          <c:idx val="1"/>
          <c:order val="1"/>
          <c:tx>
            <c:strRef>
              <c:f>Sheet1!$H$25</c:f>
              <c:strCache>
                <c:ptCount val="1"/>
                <c:pt idx="0">
                  <c:v>운용수익(누적)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Sheet1!$K$26:$K$45</c:f>
              <c:strCache>
                <c:ptCount val="20"/>
                <c:pt idx="0">
                  <c:v>1년차 (45세)</c:v>
                </c:pt>
                <c:pt idx="1">
                  <c:v>2년차 (46세)</c:v>
                </c:pt>
                <c:pt idx="2">
                  <c:v>3년차 (47세)</c:v>
                </c:pt>
                <c:pt idx="3">
                  <c:v>4년차 (48세)</c:v>
                </c:pt>
                <c:pt idx="4">
                  <c:v>5년차 (49세)</c:v>
                </c:pt>
                <c:pt idx="5">
                  <c:v>6년차 (50세)</c:v>
                </c:pt>
                <c:pt idx="6">
                  <c:v>7년차 (51세)</c:v>
                </c:pt>
                <c:pt idx="7">
                  <c:v>8년차 (52세)</c:v>
                </c:pt>
                <c:pt idx="8">
                  <c:v>9년차 (53세)</c:v>
                </c:pt>
                <c:pt idx="9">
                  <c:v>10년차 (54세)</c:v>
                </c:pt>
                <c:pt idx="10">
                  <c:v>11년차 (55세)</c:v>
                </c:pt>
                <c:pt idx="11">
                  <c:v>12년차 (56세)</c:v>
                </c:pt>
                <c:pt idx="12">
                  <c:v>13년차 (57세)</c:v>
                </c:pt>
                <c:pt idx="13">
                  <c:v>14년차 (58세)</c:v>
                </c:pt>
                <c:pt idx="14">
                  <c:v>15년차 (59세)</c:v>
                </c:pt>
                <c:pt idx="15">
                  <c:v>16년차 (60세)</c:v>
                </c:pt>
                <c:pt idx="16">
                  <c:v>17년차 (61세)</c:v>
                </c:pt>
                <c:pt idx="17">
                  <c:v>18년차 (62세)</c:v>
                </c:pt>
                <c:pt idx="18">
                  <c:v>19년차 (63세)</c:v>
                </c:pt>
                <c:pt idx="19">
                  <c:v>20년차 (64세)</c:v>
                </c:pt>
              </c:strCache>
            </c:strRef>
          </c:cat>
          <c:val>
            <c:numRef>
              <c:f>Sheet1!$H$26:$H$45</c:f>
              <c:numCache>
                <c:formatCode>_(* #,##0_);_(* \(#,##0\);_(* "-"_);_(@_)</c:formatCode>
                <c:ptCount val="20"/>
                <c:pt idx="0">
                  <c:v>190741258.27520514</c:v>
                </c:pt>
                <c:pt idx="1">
                  <c:v>406114729.66218042</c:v>
                </c:pt>
                <c:pt idx="2">
                  <c:v>647901078.83844376</c:v>
                </c:pt>
                <c:pt idx="3">
                  <c:v>918009694.87502861</c:v>
                </c:pt>
                <c:pt idx="4">
                  <c:v>1218487996.7332993</c:v>
                </c:pt>
                <c:pt idx="5">
                  <c:v>1546624095.3363791</c:v>
                </c:pt>
                <c:pt idx="6">
                  <c:v>1898481179.0393257</c:v>
                </c:pt>
                <c:pt idx="7">
                  <c:v>2275774039.7729979</c:v>
                </c:pt>
                <c:pt idx="8">
                  <c:v>2680341431.9155874</c:v>
                </c:pt>
                <c:pt idx="9">
                  <c:v>3114155033.5479612</c:v>
                </c:pt>
                <c:pt idx="10">
                  <c:v>3579329055.5188742</c:v>
                </c:pt>
                <c:pt idx="11">
                  <c:v>4078130545.1502848</c:v>
                </c:pt>
                <c:pt idx="12">
                  <c:v>4612990434.7983608</c:v>
                </c:pt>
                <c:pt idx="13">
                  <c:v>5186515389.1158543</c:v>
                </c:pt>
                <c:pt idx="14">
                  <c:v>5801500508.7540283</c:v>
                </c:pt>
                <c:pt idx="15">
                  <c:v>6460942952.4162273</c:v>
                </c:pt>
                <c:pt idx="16">
                  <c:v>7168056543.6508007</c:v>
                </c:pt>
                <c:pt idx="17">
                  <c:v>7926287433.5702648</c:v>
                </c:pt>
                <c:pt idx="18">
                  <c:v>8739330895.8297024</c:v>
                </c:pt>
                <c:pt idx="19">
                  <c:v>9611149335.7155094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86-4281-9275-BB99A4A0F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34053208"/>
        <c:axId val="1134056448"/>
      </c:barChart>
      <c:catAx>
        <c:axId val="1134053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34056448"/>
        <c:crosses val="autoZero"/>
        <c:auto val="1"/>
        <c:lblAlgn val="ctr"/>
        <c:lblOffset val="100"/>
        <c:noMultiLvlLbl val="0"/>
      </c:catAx>
      <c:valAx>
        <c:axId val="11340564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1134053208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9811789593930707E-2"/>
          <c:y val="3.4799582305371439E-2"/>
          <c:w val="0.92662762543315225"/>
          <c:h val="0.85506534449842764"/>
        </c:manualLayout>
      </c:layout>
      <c:lineChart>
        <c:grouping val="standard"/>
        <c:varyColors val="0"/>
        <c:ser>
          <c:idx val="0"/>
          <c:order val="0"/>
          <c:tx>
            <c:strRef>
              <c:f>Sheet2!$F$9</c:f>
              <c:strCache>
                <c:ptCount val="1"/>
                <c:pt idx="0">
                  <c:v> 총 평가액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Sheet2!$D$10:$D$64</c:f>
              <c:strCache>
                <c:ptCount val="55"/>
                <c:pt idx="0">
                  <c:v>46세</c:v>
                </c:pt>
                <c:pt idx="1">
                  <c:v>47세</c:v>
                </c:pt>
                <c:pt idx="2">
                  <c:v>48세</c:v>
                </c:pt>
                <c:pt idx="3">
                  <c:v>49세</c:v>
                </c:pt>
                <c:pt idx="4">
                  <c:v>50세</c:v>
                </c:pt>
                <c:pt idx="5">
                  <c:v>51세</c:v>
                </c:pt>
                <c:pt idx="6">
                  <c:v>52세</c:v>
                </c:pt>
                <c:pt idx="7">
                  <c:v>53세</c:v>
                </c:pt>
                <c:pt idx="8">
                  <c:v>54세</c:v>
                </c:pt>
                <c:pt idx="9">
                  <c:v>55세</c:v>
                </c:pt>
                <c:pt idx="10">
                  <c:v>56세</c:v>
                </c:pt>
                <c:pt idx="11">
                  <c:v>57세</c:v>
                </c:pt>
                <c:pt idx="12">
                  <c:v>58세</c:v>
                </c:pt>
                <c:pt idx="13">
                  <c:v>59세</c:v>
                </c:pt>
                <c:pt idx="14">
                  <c:v>60세</c:v>
                </c:pt>
                <c:pt idx="15">
                  <c:v>61세</c:v>
                </c:pt>
                <c:pt idx="16">
                  <c:v>62세</c:v>
                </c:pt>
                <c:pt idx="17">
                  <c:v>63세</c:v>
                </c:pt>
                <c:pt idx="18">
                  <c:v>64세</c:v>
                </c:pt>
                <c:pt idx="19">
                  <c:v>65세</c:v>
                </c:pt>
                <c:pt idx="20">
                  <c:v>66세</c:v>
                </c:pt>
                <c:pt idx="21">
                  <c:v>67세</c:v>
                </c:pt>
                <c:pt idx="22">
                  <c:v>68세</c:v>
                </c:pt>
                <c:pt idx="23">
                  <c:v>69세</c:v>
                </c:pt>
                <c:pt idx="24">
                  <c:v>70세</c:v>
                </c:pt>
                <c:pt idx="25">
                  <c:v>71세</c:v>
                </c:pt>
                <c:pt idx="26">
                  <c:v>72세</c:v>
                </c:pt>
                <c:pt idx="27">
                  <c:v>73세</c:v>
                </c:pt>
                <c:pt idx="28">
                  <c:v>74세</c:v>
                </c:pt>
                <c:pt idx="29">
                  <c:v>75세</c:v>
                </c:pt>
                <c:pt idx="30">
                  <c:v>76세</c:v>
                </c:pt>
                <c:pt idx="31">
                  <c:v>77세</c:v>
                </c:pt>
                <c:pt idx="32">
                  <c:v>78세</c:v>
                </c:pt>
                <c:pt idx="33">
                  <c:v>79세</c:v>
                </c:pt>
                <c:pt idx="34">
                  <c:v>80세</c:v>
                </c:pt>
                <c:pt idx="35">
                  <c:v>81세</c:v>
                </c:pt>
                <c:pt idx="36">
                  <c:v>82세</c:v>
                </c:pt>
                <c:pt idx="37">
                  <c:v>83세</c:v>
                </c:pt>
                <c:pt idx="38">
                  <c:v>84세</c:v>
                </c:pt>
                <c:pt idx="39">
                  <c:v>85세</c:v>
                </c:pt>
                <c:pt idx="40">
                  <c:v>86세</c:v>
                </c:pt>
                <c:pt idx="41">
                  <c:v>87세</c:v>
                </c:pt>
                <c:pt idx="42">
                  <c:v>88세</c:v>
                </c:pt>
                <c:pt idx="43">
                  <c:v>89세</c:v>
                </c:pt>
                <c:pt idx="44">
                  <c:v>90세</c:v>
                </c:pt>
                <c:pt idx="45">
                  <c:v>91세</c:v>
                </c:pt>
                <c:pt idx="46">
                  <c:v>92세</c:v>
                </c:pt>
                <c:pt idx="47">
                  <c:v>93세</c:v>
                </c:pt>
                <c:pt idx="48">
                  <c:v>94세</c:v>
                </c:pt>
                <c:pt idx="49">
                  <c:v>95세</c:v>
                </c:pt>
                <c:pt idx="50">
                  <c:v>96세</c:v>
                </c:pt>
                <c:pt idx="51">
                  <c:v>97세</c:v>
                </c:pt>
                <c:pt idx="52">
                  <c:v>98세</c:v>
                </c:pt>
                <c:pt idx="53">
                  <c:v>99세</c:v>
                </c:pt>
                <c:pt idx="54">
                  <c:v>100세</c:v>
                </c:pt>
              </c:strCache>
            </c:strRef>
          </c:cat>
          <c:val>
            <c:numRef>
              <c:f>Sheet2!$F$10:$F$64</c:f>
              <c:numCache>
                <c:formatCode>_(* #,##0_);_(* \(#,##0\);_(* "-"_);_(@_)</c:formatCode>
                <c:ptCount val="55"/>
                <c:pt idx="0">
                  <c:v>65419</c:v>
                </c:pt>
                <c:pt idx="1">
                  <c:v>134344.14000000001</c:v>
                </c:pt>
                <c:pt idx="2">
                  <c:v>207404.78840000002</c:v>
                </c:pt>
                <c:pt idx="3">
                  <c:v>284849.07570400002</c:v>
                </c:pt>
                <c:pt idx="4">
                  <c:v>366940.02024624002</c:v>
                </c:pt>
                <c:pt idx="5">
                  <c:v>400956.42146101443</c:v>
                </c:pt>
                <c:pt idx="6">
                  <c:v>437013.8067486753</c:v>
                </c:pt>
                <c:pt idx="7">
                  <c:v>475234.63515359582</c:v>
                </c:pt>
                <c:pt idx="8">
                  <c:v>515748.71326281159</c:v>
                </c:pt>
                <c:pt idx="9">
                  <c:v>558693.63605858036</c:v>
                </c:pt>
                <c:pt idx="10">
                  <c:v>592215.25422209525</c:v>
                </c:pt>
                <c:pt idx="11">
                  <c:v>627748.16947542096</c:v>
                </c:pt>
                <c:pt idx="12">
                  <c:v>665413.05964394624</c:v>
                </c:pt>
                <c:pt idx="13">
                  <c:v>705337.84322258306</c:v>
                </c:pt>
                <c:pt idx="14">
                  <c:v>747658.11381593812</c:v>
                </c:pt>
                <c:pt idx="15">
                  <c:v>792517.60064489441</c:v>
                </c:pt>
                <c:pt idx="16">
                  <c:v>840068.65668358817</c:v>
                </c:pt>
                <c:pt idx="17">
                  <c:v>890472.77608460351</c:v>
                </c:pt>
                <c:pt idx="18">
                  <c:v>943901.14264967979</c:v>
                </c:pt>
                <c:pt idx="19">
                  <c:v>1000535.2112086606</c:v>
                </c:pt>
                <c:pt idx="20">
                  <c:v>1060567.3238811803</c:v>
                </c:pt>
                <c:pt idx="21">
                  <c:v>1124201.3633140512</c:v>
                </c:pt>
                <c:pt idx="22">
                  <c:v>1191653.4451128943</c:v>
                </c:pt>
                <c:pt idx="23">
                  <c:v>1309160.891819668</c:v>
                </c:pt>
                <c:pt idx="24">
                  <c:v>1434868.9913288483</c:v>
                </c:pt>
                <c:pt idx="25">
                  <c:v>1569298.5379585791</c:v>
                </c:pt>
                <c:pt idx="26">
                  <c:v>1713002.292564844</c:v>
                </c:pt>
                <c:pt idx="27">
                  <c:v>1866566.9185057033</c:v>
                </c:pt>
                <c:pt idx="28">
                  <c:v>2030615.0342126884</c:v>
                </c:pt>
                <c:pt idx="29">
                  <c:v>2205807.3893770091</c:v>
                </c:pt>
                <c:pt idx="30">
                  <c:v>2392845.1721789776</c:v>
                </c:pt>
                <c:pt idx="31">
                  <c:v>2592472.4554350479</c:v>
                </c:pt>
                <c:pt idx="32">
                  <c:v>2805478.7900096155</c:v>
                </c:pt>
                <c:pt idx="33">
                  <c:v>3032701.9543398693</c:v>
                </c:pt>
                <c:pt idx="34">
                  <c:v>3275030.8694531806</c:v>
                </c:pt>
                <c:pt idx="35">
                  <c:v>3533408.6894196132</c:v>
                </c:pt>
                <c:pt idx="36">
                  <c:v>3808836.0777790127</c:v>
                </c:pt>
                <c:pt idx="37">
                  <c:v>4102374.6811148319</c:v>
                </c:pt>
                <c:pt idx="38">
                  <c:v>4415150.8116175272</c:v>
                </c:pt>
                <c:pt idx="39">
                  <c:v>4748359.3511912795</c:v>
                </c:pt>
                <c:pt idx="40">
                  <c:v>5103267.8904113742</c:v>
                </c:pt>
                <c:pt idx="41">
                  <c:v>5481221.1164383898</c:v>
                </c:pt>
                <c:pt idx="42">
                  <c:v>5883645.4648420848</c:v>
                </c:pt>
                <c:pt idx="43">
                  <c:v>6312054.0511854356</c:v>
                </c:pt>
                <c:pt idx="44">
                  <c:v>6768051.8991707088</c:v>
                </c:pt>
                <c:pt idx="45">
                  <c:v>7253341.4831579523</c:v>
                </c:pt>
                <c:pt idx="46">
                  <c:v>7769728.6039353553</c:v>
                </c:pt>
                <c:pt idx="47">
                  <c:v>8319128.6177541008</c:v>
                </c:pt>
                <c:pt idx="48">
                  <c:v>8903573.0398415364</c:v>
                </c:pt>
                <c:pt idx="49">
                  <c:v>9525216.5448797718</c:v>
                </c:pt>
                <c:pt idx="50">
                  <c:v>10186344.388286496</c:v>
                </c:pt>
                <c:pt idx="51">
                  <c:v>10889380.273565471</c:v>
                </c:pt>
                <c:pt idx="52">
                  <c:v>11636894.69251073</c:v>
                </c:pt>
                <c:pt idx="53">
                  <c:v>12431613.766655989</c:v>
                </c:pt>
                <c:pt idx="54">
                  <c:v>13276428.620064829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67-4614-A5E7-6CB8B93D5FEE}"/>
            </c:ext>
          </c:extLst>
        </c:ser>
        <c:ser>
          <c:idx val="1"/>
          <c:order val="1"/>
          <c:tx>
            <c:strRef>
              <c:f>Sheet2!$O$9</c:f>
              <c:strCache>
                <c:ptCount val="1"/>
                <c:pt idx="0">
                  <c:v> 순자산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Sheet2!$D$10:$D$64</c:f>
              <c:strCache>
                <c:ptCount val="55"/>
                <c:pt idx="0">
                  <c:v>46세</c:v>
                </c:pt>
                <c:pt idx="1">
                  <c:v>47세</c:v>
                </c:pt>
                <c:pt idx="2">
                  <c:v>48세</c:v>
                </c:pt>
                <c:pt idx="3">
                  <c:v>49세</c:v>
                </c:pt>
                <c:pt idx="4">
                  <c:v>50세</c:v>
                </c:pt>
                <c:pt idx="5">
                  <c:v>51세</c:v>
                </c:pt>
                <c:pt idx="6">
                  <c:v>52세</c:v>
                </c:pt>
                <c:pt idx="7">
                  <c:v>53세</c:v>
                </c:pt>
                <c:pt idx="8">
                  <c:v>54세</c:v>
                </c:pt>
                <c:pt idx="9">
                  <c:v>55세</c:v>
                </c:pt>
                <c:pt idx="10">
                  <c:v>56세</c:v>
                </c:pt>
                <c:pt idx="11">
                  <c:v>57세</c:v>
                </c:pt>
                <c:pt idx="12">
                  <c:v>58세</c:v>
                </c:pt>
                <c:pt idx="13">
                  <c:v>59세</c:v>
                </c:pt>
                <c:pt idx="14">
                  <c:v>60세</c:v>
                </c:pt>
                <c:pt idx="15">
                  <c:v>61세</c:v>
                </c:pt>
                <c:pt idx="16">
                  <c:v>62세</c:v>
                </c:pt>
                <c:pt idx="17">
                  <c:v>63세</c:v>
                </c:pt>
                <c:pt idx="18">
                  <c:v>64세</c:v>
                </c:pt>
                <c:pt idx="19">
                  <c:v>65세</c:v>
                </c:pt>
                <c:pt idx="20">
                  <c:v>66세</c:v>
                </c:pt>
                <c:pt idx="21">
                  <c:v>67세</c:v>
                </c:pt>
                <c:pt idx="22">
                  <c:v>68세</c:v>
                </c:pt>
                <c:pt idx="23">
                  <c:v>69세</c:v>
                </c:pt>
                <c:pt idx="24">
                  <c:v>70세</c:v>
                </c:pt>
                <c:pt idx="25">
                  <c:v>71세</c:v>
                </c:pt>
                <c:pt idx="26">
                  <c:v>72세</c:v>
                </c:pt>
                <c:pt idx="27">
                  <c:v>73세</c:v>
                </c:pt>
                <c:pt idx="28">
                  <c:v>74세</c:v>
                </c:pt>
                <c:pt idx="29">
                  <c:v>75세</c:v>
                </c:pt>
                <c:pt idx="30">
                  <c:v>76세</c:v>
                </c:pt>
                <c:pt idx="31">
                  <c:v>77세</c:v>
                </c:pt>
                <c:pt idx="32">
                  <c:v>78세</c:v>
                </c:pt>
                <c:pt idx="33">
                  <c:v>79세</c:v>
                </c:pt>
                <c:pt idx="34">
                  <c:v>80세</c:v>
                </c:pt>
                <c:pt idx="35">
                  <c:v>81세</c:v>
                </c:pt>
                <c:pt idx="36">
                  <c:v>82세</c:v>
                </c:pt>
                <c:pt idx="37">
                  <c:v>83세</c:v>
                </c:pt>
                <c:pt idx="38">
                  <c:v>84세</c:v>
                </c:pt>
                <c:pt idx="39">
                  <c:v>85세</c:v>
                </c:pt>
                <c:pt idx="40">
                  <c:v>86세</c:v>
                </c:pt>
                <c:pt idx="41">
                  <c:v>87세</c:v>
                </c:pt>
                <c:pt idx="42">
                  <c:v>88세</c:v>
                </c:pt>
                <c:pt idx="43">
                  <c:v>89세</c:v>
                </c:pt>
                <c:pt idx="44">
                  <c:v>90세</c:v>
                </c:pt>
                <c:pt idx="45">
                  <c:v>91세</c:v>
                </c:pt>
                <c:pt idx="46">
                  <c:v>92세</c:v>
                </c:pt>
                <c:pt idx="47">
                  <c:v>93세</c:v>
                </c:pt>
                <c:pt idx="48">
                  <c:v>94세</c:v>
                </c:pt>
                <c:pt idx="49">
                  <c:v>95세</c:v>
                </c:pt>
                <c:pt idx="50">
                  <c:v>96세</c:v>
                </c:pt>
                <c:pt idx="51">
                  <c:v>97세</c:v>
                </c:pt>
                <c:pt idx="52">
                  <c:v>98세</c:v>
                </c:pt>
                <c:pt idx="53">
                  <c:v>99세</c:v>
                </c:pt>
                <c:pt idx="54">
                  <c:v>100세</c:v>
                </c:pt>
              </c:strCache>
            </c:strRef>
          </c:cat>
          <c:val>
            <c:numRef>
              <c:f>Sheet2!$O$10:$O$64</c:f>
              <c:numCache>
                <c:formatCode>_(* #,##0_);_(* \(#,##0\);_(* "-"_);_(@_)</c:formatCode>
                <c:ptCount val="55"/>
                <c:pt idx="0">
                  <c:v>63749.999999999964</c:v>
                </c:pt>
                <c:pt idx="1">
                  <c:v>132574.99999999997</c:v>
                </c:pt>
                <c:pt idx="2">
                  <c:v>205529.49999999997</c:v>
                </c:pt>
                <c:pt idx="3">
                  <c:v>282861.26999999996</c:v>
                </c:pt>
                <c:pt idx="4">
                  <c:v>364832.94619999995</c:v>
                </c:pt>
                <c:pt idx="5">
                  <c:v>398722.92297199997</c:v>
                </c:pt>
                <c:pt idx="6">
                  <c:v>434646.29835031996</c:v>
                </c:pt>
                <c:pt idx="7">
                  <c:v>472725.07625133917</c:v>
                </c:pt>
                <c:pt idx="8">
                  <c:v>513088.58082641952</c:v>
                </c:pt>
                <c:pt idx="9">
                  <c:v>555873.8956760047</c:v>
                </c:pt>
                <c:pt idx="10">
                  <c:v>589226.32941656501</c:v>
                </c:pt>
                <c:pt idx="11">
                  <c:v>624579.90918155899</c:v>
                </c:pt>
                <c:pt idx="12">
                  <c:v>662054.70373245259</c:v>
                </c:pt>
                <c:pt idx="13">
                  <c:v>701777.98595639982</c:v>
                </c:pt>
                <c:pt idx="14">
                  <c:v>743884.66511378379</c:v>
                </c:pt>
                <c:pt idx="15">
                  <c:v>788517.74502061086</c:v>
                </c:pt>
                <c:pt idx="16">
                  <c:v>835828.80972184753</c:v>
                </c:pt>
                <c:pt idx="17">
                  <c:v>885978.53830515838</c:v>
                </c:pt>
                <c:pt idx="18">
                  <c:v>939137.25060346792</c:v>
                </c:pt>
                <c:pt idx="19">
                  <c:v>995485.4856396761</c:v>
                </c:pt>
                <c:pt idx="20">
                  <c:v>1055214.6147780567</c:v>
                </c:pt>
                <c:pt idx="21">
                  <c:v>1118527.4916647403</c:v>
                </c:pt>
                <c:pt idx="22">
                  <c:v>1185639.1411646248</c:v>
                </c:pt>
                <c:pt idx="23">
                  <c:v>1302785.7296345024</c:v>
                </c:pt>
                <c:pt idx="24">
                  <c:v>1428111.3194125728</c:v>
                </c:pt>
                <c:pt idx="25">
                  <c:v>1562135.4057273271</c:v>
                </c:pt>
                <c:pt idx="26">
                  <c:v>1705409.3723997169</c:v>
                </c:pt>
                <c:pt idx="27">
                  <c:v>1858518.4231306687</c:v>
                </c:pt>
                <c:pt idx="28">
                  <c:v>2022083.6291151517</c:v>
                </c:pt>
                <c:pt idx="29">
                  <c:v>2196764.0999736199</c:v>
                </c:pt>
                <c:pt idx="30">
                  <c:v>2383259.2854113849</c:v>
                </c:pt>
                <c:pt idx="31">
                  <c:v>2582311.4154613996</c:v>
                </c:pt>
                <c:pt idx="32">
                  <c:v>2794708.0876375483</c:v>
                </c:pt>
                <c:pt idx="33">
                  <c:v>3021285.0098254783</c:v>
                </c:pt>
                <c:pt idx="34">
                  <c:v>3262928.908267926</c:v>
                </c:pt>
                <c:pt idx="35">
                  <c:v>3520580.6105632433</c:v>
                </c:pt>
                <c:pt idx="36">
                  <c:v>3795238.3141912608</c:v>
                </c:pt>
                <c:pt idx="37">
                  <c:v>4087961.0517118149</c:v>
                </c:pt>
                <c:pt idx="38">
                  <c:v>4399872.364450329</c:v>
                </c:pt>
                <c:pt idx="39">
                  <c:v>4732164.1971940491</c:v>
                </c:pt>
                <c:pt idx="40">
                  <c:v>5086101.0271743098</c:v>
                </c:pt>
                <c:pt idx="41">
                  <c:v>5463024.241407102</c:v>
                </c:pt>
                <c:pt idx="42">
                  <c:v>5864356.7773089195</c:v>
                </c:pt>
                <c:pt idx="43">
                  <c:v>6291608.0424002809</c:v>
                </c:pt>
                <c:pt idx="44">
                  <c:v>6746379.1298584454</c:v>
                </c:pt>
                <c:pt idx="45">
                  <c:v>7230368.3476869529</c:v>
                </c:pt>
                <c:pt idx="46">
                  <c:v>7745377.0803360967</c:v>
                </c:pt>
                <c:pt idx="47">
                  <c:v>8293316.0027388865</c:v>
                </c:pt>
                <c:pt idx="48">
                  <c:v>8876211.6679254081</c:v>
                </c:pt>
                <c:pt idx="49">
                  <c:v>9496213.4906486757</c:v>
                </c:pt>
                <c:pt idx="50">
                  <c:v>10155601.150801534</c:v>
                </c:pt>
                <c:pt idx="51">
                  <c:v>10856792.441831412</c:v>
                </c:pt>
                <c:pt idx="52">
                  <c:v>11602351.590872627</c:v>
                </c:pt>
                <c:pt idx="53">
                  <c:v>12394998.078919599</c:v>
                </c:pt>
                <c:pt idx="54">
                  <c:v>13237615.991064256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67-4614-A5E7-6CB8B93D5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909440"/>
        <c:axId val="1089909800"/>
      </c:lineChart>
      <c:catAx>
        <c:axId val="108990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89909800"/>
        <c:crosses val="autoZero"/>
        <c:auto val="1"/>
        <c:lblAlgn val="ctr"/>
        <c:lblOffset val="100"/>
        <c:noMultiLvlLbl val="0"/>
      </c:catAx>
      <c:valAx>
        <c:axId val="1089909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8990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47</xdr:row>
      <xdr:rowOff>0</xdr:rowOff>
    </xdr:from>
    <xdr:to>
      <xdr:col>9</xdr:col>
      <xdr:colOff>9524</xdr:colOff>
      <xdr:row>68</xdr:row>
      <xdr:rowOff>44450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BDC764DD-5FE3-3DF0-93DE-777C873BB2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435429</xdr:colOff>
      <xdr:row>65</xdr:row>
      <xdr:rowOff>81642</xdr:rowOff>
    </xdr:from>
    <xdr:to>
      <xdr:col>6</xdr:col>
      <xdr:colOff>612321</xdr:colOff>
      <xdr:row>73</xdr:row>
      <xdr:rowOff>136071</xdr:rowOff>
    </xdr:to>
    <xdr:sp macro="" textlink="">
      <xdr:nvSpPr>
        <xdr:cNvPr id="8" name="화살표: 아래쪽 7">
          <a:extLst>
            <a:ext uri="{FF2B5EF4-FFF2-40B4-BE49-F238E27FC236}">
              <a16:creationId xmlns:a16="http://schemas.microsoft.com/office/drawing/2014/main" id="{A037B143-E7F2-59AD-A1CB-0AEEF0BD96D1}"/>
            </a:ext>
          </a:extLst>
        </xdr:cNvPr>
        <xdr:cNvSpPr/>
      </xdr:nvSpPr>
      <xdr:spPr>
        <a:xfrm>
          <a:off x="5361215" y="12069535"/>
          <a:ext cx="176892" cy="197303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94322</xdr:colOff>
      <xdr:row>77</xdr:row>
      <xdr:rowOff>25729</xdr:rowOff>
    </xdr:from>
    <xdr:to>
      <xdr:col>15</xdr:col>
      <xdr:colOff>857250</xdr:colOff>
      <xdr:row>99</xdr:row>
      <xdr:rowOff>148502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4831F59-820F-4F7F-2AA4-6291FF851D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285750</xdr:colOff>
      <xdr:row>65</xdr:row>
      <xdr:rowOff>40821</xdr:rowOff>
    </xdr:from>
    <xdr:to>
      <xdr:col>8</xdr:col>
      <xdr:colOff>462643</xdr:colOff>
      <xdr:row>71</xdr:row>
      <xdr:rowOff>13607</xdr:rowOff>
    </xdr:to>
    <xdr:sp macro="" textlink="">
      <xdr:nvSpPr>
        <xdr:cNvPr id="3" name="화살표: 아래쪽 2">
          <a:extLst>
            <a:ext uri="{FF2B5EF4-FFF2-40B4-BE49-F238E27FC236}">
              <a16:creationId xmlns:a16="http://schemas.microsoft.com/office/drawing/2014/main" id="{DF41C9E2-5DA5-DAE6-1757-26761A96E918}"/>
            </a:ext>
          </a:extLst>
        </xdr:cNvPr>
        <xdr:cNvSpPr/>
      </xdr:nvSpPr>
      <xdr:spPr>
        <a:xfrm>
          <a:off x="7252607" y="11933464"/>
          <a:ext cx="176893" cy="10341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394607</xdr:colOff>
      <xdr:row>65</xdr:row>
      <xdr:rowOff>40821</xdr:rowOff>
    </xdr:from>
    <xdr:to>
      <xdr:col>9</xdr:col>
      <xdr:colOff>639536</xdr:colOff>
      <xdr:row>68</xdr:row>
      <xdr:rowOff>122465</xdr:rowOff>
    </xdr:to>
    <xdr:sp macro="" textlink="">
      <xdr:nvSpPr>
        <xdr:cNvPr id="4" name="화살표: 아래쪽 3">
          <a:extLst>
            <a:ext uri="{FF2B5EF4-FFF2-40B4-BE49-F238E27FC236}">
              <a16:creationId xmlns:a16="http://schemas.microsoft.com/office/drawing/2014/main" id="{D6DF6E8D-33C0-B2C9-5FBB-3B5CA10B027A}"/>
            </a:ext>
          </a:extLst>
        </xdr:cNvPr>
        <xdr:cNvSpPr/>
      </xdr:nvSpPr>
      <xdr:spPr>
        <a:xfrm>
          <a:off x="8041821" y="11933464"/>
          <a:ext cx="244929" cy="61232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231322</xdr:colOff>
      <xdr:row>65</xdr:row>
      <xdr:rowOff>13607</xdr:rowOff>
    </xdr:from>
    <xdr:to>
      <xdr:col>11</xdr:col>
      <xdr:colOff>462644</xdr:colOff>
      <xdr:row>65</xdr:row>
      <xdr:rowOff>666750</xdr:rowOff>
    </xdr:to>
    <xdr:sp macro="" textlink="">
      <xdr:nvSpPr>
        <xdr:cNvPr id="5" name="화살표: 아래쪽 4">
          <a:extLst>
            <a:ext uri="{FF2B5EF4-FFF2-40B4-BE49-F238E27FC236}">
              <a16:creationId xmlns:a16="http://schemas.microsoft.com/office/drawing/2014/main" id="{978087A3-36E9-4CDE-8E85-2FFE2DF972D3}"/>
            </a:ext>
          </a:extLst>
        </xdr:cNvPr>
        <xdr:cNvSpPr/>
      </xdr:nvSpPr>
      <xdr:spPr>
        <a:xfrm>
          <a:off x="9674679" y="11906250"/>
          <a:ext cx="231322" cy="6531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462642</xdr:colOff>
      <xdr:row>65</xdr:row>
      <xdr:rowOff>13607</xdr:rowOff>
    </xdr:from>
    <xdr:to>
      <xdr:col>4</xdr:col>
      <xdr:colOff>693964</xdr:colOff>
      <xdr:row>65</xdr:row>
      <xdr:rowOff>666750</xdr:rowOff>
    </xdr:to>
    <xdr:sp macro="" textlink="">
      <xdr:nvSpPr>
        <xdr:cNvPr id="6" name="화살표: 아래쪽 5">
          <a:extLst>
            <a:ext uri="{FF2B5EF4-FFF2-40B4-BE49-F238E27FC236}">
              <a16:creationId xmlns:a16="http://schemas.microsoft.com/office/drawing/2014/main" id="{4229C00E-5800-873D-EE32-F3A95649282B}"/>
            </a:ext>
          </a:extLst>
        </xdr:cNvPr>
        <xdr:cNvSpPr/>
      </xdr:nvSpPr>
      <xdr:spPr>
        <a:xfrm>
          <a:off x="3184071" y="11906250"/>
          <a:ext cx="231322" cy="6531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435429</xdr:colOff>
      <xdr:row>65</xdr:row>
      <xdr:rowOff>13607</xdr:rowOff>
    </xdr:from>
    <xdr:to>
      <xdr:col>5</xdr:col>
      <xdr:colOff>666751</xdr:colOff>
      <xdr:row>65</xdr:row>
      <xdr:rowOff>666750</xdr:rowOff>
    </xdr:to>
    <xdr:sp macro="" textlink="">
      <xdr:nvSpPr>
        <xdr:cNvPr id="7" name="화살표: 아래쪽 6">
          <a:extLst>
            <a:ext uri="{FF2B5EF4-FFF2-40B4-BE49-F238E27FC236}">
              <a16:creationId xmlns:a16="http://schemas.microsoft.com/office/drawing/2014/main" id="{C8FA02F8-0DE2-2324-4BCB-1C192085E28E}"/>
            </a:ext>
          </a:extLst>
        </xdr:cNvPr>
        <xdr:cNvSpPr/>
      </xdr:nvSpPr>
      <xdr:spPr>
        <a:xfrm>
          <a:off x="4259036" y="11906250"/>
          <a:ext cx="231322" cy="6531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A3407A2-6FFC-474B-83E0-80FF7300F13C}">
  <we:reference id="wa200009404" version="1.0.0.8" store="ko-KR" storeType="OMEX"/>
  <we:alternateReferences>
    <we:reference id="wa200009404" version="1.0.0.8" store="" storeType="OMEX"/>
  </we:alternateReferences>
  <we:properties>
    <we:property name="claude.fileId" value="&quot;faeece19-ef94-49e9-bcca-768eeb4cf5b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02861-E390-4264-9956-75EBFE55E807}">
  <dimension ref="B2:K46"/>
  <sheetViews>
    <sheetView tabSelected="1" topLeftCell="A14" workbookViewId="0">
      <selection activeCell="J23" sqref="J23"/>
    </sheetView>
  </sheetViews>
  <sheetFormatPr defaultRowHeight="16.5"/>
  <cols>
    <col min="1" max="1" width="11.5" bestFit="1" customWidth="1"/>
    <col min="2" max="2" width="14.125" customWidth="1"/>
    <col min="3" max="3" width="9.125" customWidth="1"/>
    <col min="4" max="4" width="20.625" bestFit="1" customWidth="1"/>
    <col min="5" max="5" width="15.875" customWidth="1"/>
    <col min="6" max="6" width="14.25" bestFit="1" customWidth="1"/>
    <col min="7" max="7" width="16.375" bestFit="1" customWidth="1"/>
    <col min="8" max="8" width="16.625" bestFit="1" customWidth="1"/>
    <col min="9" max="9" width="18.625" bestFit="1" customWidth="1"/>
    <col min="10" max="11" width="13" bestFit="1" customWidth="1"/>
  </cols>
  <sheetData>
    <row r="2" spans="2:9">
      <c r="B2" s="9" t="s">
        <v>2</v>
      </c>
      <c r="C2" s="2" t="s">
        <v>5</v>
      </c>
      <c r="D2" s="9" t="s">
        <v>3</v>
      </c>
      <c r="E2" s="8">
        <v>29329</v>
      </c>
      <c r="F2" s="9" t="s">
        <v>4</v>
      </c>
      <c r="G2" s="43">
        <v>45</v>
      </c>
    </row>
    <row r="3" spans="2:9" ht="33.75" customHeight="1">
      <c r="E3" s="1"/>
    </row>
    <row r="4" spans="2:9" ht="24" customHeight="1" thickBot="1">
      <c r="B4" s="38" t="s">
        <v>34</v>
      </c>
      <c r="C4" s="39" t="s">
        <v>35</v>
      </c>
      <c r="D4" s="39" t="s">
        <v>36</v>
      </c>
      <c r="E4" s="40" t="s">
        <v>37</v>
      </c>
      <c r="F4" s="39" t="s">
        <v>38</v>
      </c>
    </row>
    <row r="5" spans="2:9">
      <c r="E5" s="1"/>
    </row>
    <row r="7" spans="2:9" ht="17.25">
      <c r="B7" s="6" t="s">
        <v>6</v>
      </c>
    </row>
    <row r="8" spans="2:9" ht="17.25" customHeight="1">
      <c r="B8" s="7"/>
    </row>
    <row r="9" spans="2:9">
      <c r="B9" s="151" t="s">
        <v>30</v>
      </c>
      <c r="C9" s="152"/>
      <c r="D9" s="31" t="s">
        <v>32</v>
      </c>
      <c r="E9" s="29" t="s">
        <v>33</v>
      </c>
      <c r="F9" s="4" t="s">
        <v>1</v>
      </c>
      <c r="G9" s="4" t="s">
        <v>28</v>
      </c>
      <c r="H9" s="4" t="s">
        <v>7</v>
      </c>
      <c r="I9" s="4" t="s">
        <v>0</v>
      </c>
    </row>
    <row r="10" spans="2:9">
      <c r="B10" s="151"/>
      <c r="C10" s="152"/>
      <c r="D10" s="32">
        <v>20000000</v>
      </c>
      <c r="E10" s="30">
        <f>ROUNDUP(FV(F10,H10-G2,0,-D10,0),-5)</f>
        <v>30400000</v>
      </c>
      <c r="F10" s="3">
        <v>2.1000000000000001E-2</v>
      </c>
      <c r="G10" s="33">
        <v>0.05</v>
      </c>
      <c r="H10" s="45">
        <v>65</v>
      </c>
      <c r="I10" s="46">
        <v>40</v>
      </c>
    </row>
    <row r="12" spans="2:9">
      <c r="B12" s="151" t="s">
        <v>31</v>
      </c>
      <c r="C12" s="153"/>
      <c r="D12" s="4" t="s">
        <v>8</v>
      </c>
      <c r="E12" s="4" t="s">
        <v>9</v>
      </c>
      <c r="F12" s="5" t="s">
        <v>10</v>
      </c>
      <c r="G12" s="4" t="s">
        <v>16</v>
      </c>
    </row>
    <row r="13" spans="2:9">
      <c r="B13" s="151"/>
      <c r="C13" s="153"/>
      <c r="D13" s="47">
        <v>5</v>
      </c>
      <c r="E13" s="48">
        <f>H10-G2-D13</f>
        <v>15</v>
      </c>
      <c r="F13" s="34">
        <v>7.0000000000000007E-2</v>
      </c>
      <c r="G13" s="35">
        <v>120000000</v>
      </c>
    </row>
    <row r="15" spans="2:9" ht="17.25">
      <c r="B15" s="6" t="s">
        <v>11</v>
      </c>
    </row>
    <row r="17" spans="2:11" ht="17.25">
      <c r="D17" s="17" t="s">
        <v>12</v>
      </c>
      <c r="E17" s="22" t="s">
        <v>17</v>
      </c>
      <c r="G17" s="23" t="s">
        <v>25</v>
      </c>
      <c r="H17" s="36" t="s">
        <v>27</v>
      </c>
      <c r="J17" t="s">
        <v>40</v>
      </c>
    </row>
    <row r="18" spans="2:11" ht="17.25">
      <c r="B18" s="151" t="s">
        <v>14</v>
      </c>
      <c r="C18" s="152"/>
      <c r="D18" s="18">
        <f>ROUNDUP(-PV(((1+G10)/(1+F10)-1)/12,I10*12,E10,0,1),-6)</f>
        <v>8736000000</v>
      </c>
      <c r="E18" s="19">
        <f>ROUNDUP(-PV(F13/12,D13*12,-G13/12,-PV(F13/12,E13*12,0,D18)),-4)</f>
        <v>1658040000</v>
      </c>
      <c r="G18" s="25" t="s">
        <v>26</v>
      </c>
      <c r="H18" s="24">
        <f>IF(H17="O",D18,D19)</f>
        <v>6331000000</v>
      </c>
      <c r="I18" s="24">
        <f>IF(H17="O",E18,E19)</f>
        <v>1062550000</v>
      </c>
    </row>
    <row r="19" spans="2:11">
      <c r="B19" s="151" t="s">
        <v>15</v>
      </c>
      <c r="C19" s="152"/>
      <c r="D19" s="20">
        <f>ROUNDUP(-PV(G10/12,I10*12,E10,0,1),-6)</f>
        <v>6331000000</v>
      </c>
      <c r="E19" s="21">
        <f>ROUNDUP(-PV(F13/12,D13*12,-G13/12,-PV(F13/12,E13*12,0,D19)),-4)</f>
        <v>1062550000</v>
      </c>
    </row>
    <row r="23" spans="2:11" ht="17.25">
      <c r="B23" s="6" t="s">
        <v>18</v>
      </c>
      <c r="E23" t="s">
        <v>39</v>
      </c>
    </row>
    <row r="25" spans="2:11" ht="17.25" thickBot="1">
      <c r="B25" s="16" t="s">
        <v>19</v>
      </c>
      <c r="C25" s="42" t="s">
        <v>4</v>
      </c>
      <c r="D25" s="16" t="s">
        <v>20</v>
      </c>
      <c r="E25" s="16" t="s">
        <v>21</v>
      </c>
      <c r="F25" s="16" t="s">
        <v>29</v>
      </c>
      <c r="G25" s="16" t="s">
        <v>22</v>
      </c>
      <c r="H25" s="16" t="s">
        <v>23</v>
      </c>
      <c r="I25" s="16" t="s">
        <v>24</v>
      </c>
      <c r="K25" s="49" t="s">
        <v>41</v>
      </c>
    </row>
    <row r="26" spans="2:11">
      <c r="B26" s="11">
        <v>1</v>
      </c>
      <c r="C26" s="43">
        <f>G2</f>
        <v>45</v>
      </c>
      <c r="D26" s="10" t="str">
        <f t="shared" ref="D26:D45" si="0">IF(B26&lt;=D$13,"적립","거치")</f>
        <v>적립</v>
      </c>
      <c r="E26" s="12">
        <v>12500000</v>
      </c>
      <c r="F26" s="27">
        <v>2570670000</v>
      </c>
      <c r="G26" s="12">
        <f>E26*12+F26</f>
        <v>2720670000</v>
      </c>
      <c r="H26" s="12">
        <f>I26-G26</f>
        <v>190741258.27520514</v>
      </c>
      <c r="I26" s="12">
        <f>FV(F$13/12,12,-E26,-F26)</f>
        <v>2911411258.2752051</v>
      </c>
      <c r="K26" s="2" t="str">
        <f>CONCATENATE(B26,"년차 (",C26,"세)")</f>
        <v>1년차 (45세)</v>
      </c>
    </row>
    <row r="27" spans="2:11">
      <c r="B27" s="11">
        <f>B26+1</f>
        <v>2</v>
      </c>
      <c r="C27" s="43">
        <f>C26+1</f>
        <v>46</v>
      </c>
      <c r="D27" s="10" t="str">
        <f t="shared" si="0"/>
        <v>적립</v>
      </c>
      <c r="E27" s="12">
        <v>12500000</v>
      </c>
      <c r="F27" s="27"/>
      <c r="G27" s="12">
        <f>G26+E27*12+F27</f>
        <v>2870670000</v>
      </c>
      <c r="H27" s="12">
        <f>I27-G27</f>
        <v>406114729.66218042</v>
      </c>
      <c r="I27" s="12">
        <f t="shared" ref="I27:I45" si="1">FV(F$13/12,12,-E27,-(I26+F27))</f>
        <v>3276784729.6621804</v>
      </c>
      <c r="K27" s="2" t="str">
        <f t="shared" ref="K27:K45" si="2">CONCATENATE(B27,"년차 (",C27,"세)")</f>
        <v>2년차 (46세)</v>
      </c>
    </row>
    <row r="28" spans="2:11">
      <c r="B28" s="11">
        <f t="shared" ref="B28:B45" si="3">B27+1</f>
        <v>3</v>
      </c>
      <c r="C28" s="43">
        <f t="shared" ref="C28:C45" si="4">C27+1</f>
        <v>47</v>
      </c>
      <c r="D28" s="10" t="str">
        <f t="shared" si="0"/>
        <v>적립</v>
      </c>
      <c r="E28" s="12">
        <v>12500000</v>
      </c>
      <c r="F28" s="27"/>
      <c r="G28" s="12">
        <f t="shared" ref="G28:G45" si="5">G27+E28*12+F28</f>
        <v>3020670000</v>
      </c>
      <c r="H28" s="12">
        <f t="shared" ref="H28:H45" si="6">I28-G28</f>
        <v>647901078.83844376</v>
      </c>
      <c r="I28" s="12">
        <f t="shared" si="1"/>
        <v>3668571078.8384438</v>
      </c>
      <c r="K28" s="2" t="str">
        <f t="shared" si="2"/>
        <v>3년차 (47세)</v>
      </c>
    </row>
    <row r="29" spans="2:11">
      <c r="B29" s="11">
        <f t="shared" si="3"/>
        <v>4</v>
      </c>
      <c r="C29" s="43">
        <f t="shared" si="4"/>
        <v>48</v>
      </c>
      <c r="D29" s="10" t="str">
        <f t="shared" si="0"/>
        <v>적립</v>
      </c>
      <c r="E29" s="12">
        <v>12500000</v>
      </c>
      <c r="F29" s="27"/>
      <c r="G29" s="12">
        <f t="shared" si="5"/>
        <v>3170670000</v>
      </c>
      <c r="H29" s="12">
        <f t="shared" si="6"/>
        <v>918009694.87502861</v>
      </c>
      <c r="I29" s="12">
        <f t="shared" si="1"/>
        <v>4088679694.8750286</v>
      </c>
      <c r="K29" s="2" t="str">
        <f t="shared" si="2"/>
        <v>4년차 (48세)</v>
      </c>
    </row>
    <row r="30" spans="2:11">
      <c r="B30" s="11">
        <f t="shared" si="3"/>
        <v>5</v>
      </c>
      <c r="C30" s="43">
        <f t="shared" si="4"/>
        <v>49</v>
      </c>
      <c r="D30" s="10" t="str">
        <f t="shared" si="0"/>
        <v>적립</v>
      </c>
      <c r="E30" s="12">
        <v>12500000</v>
      </c>
      <c r="F30" s="27"/>
      <c r="G30" s="12">
        <f t="shared" si="5"/>
        <v>3320670000</v>
      </c>
      <c r="H30" s="12">
        <f t="shared" si="6"/>
        <v>1218487996.7332993</v>
      </c>
      <c r="I30" s="12">
        <f>FV(F$13/12,12,-E30,-(I29+F30))</f>
        <v>4539157996.7332993</v>
      </c>
      <c r="K30" s="2" t="str">
        <f t="shared" si="2"/>
        <v>5년차 (49세)</v>
      </c>
    </row>
    <row r="31" spans="2:11">
      <c r="B31" s="11">
        <f t="shared" si="3"/>
        <v>6</v>
      </c>
      <c r="C31" s="43">
        <f t="shared" si="4"/>
        <v>50</v>
      </c>
      <c r="D31" s="10" t="str">
        <f t="shared" si="0"/>
        <v>거치</v>
      </c>
      <c r="E31" s="12">
        <f t="shared" ref="E26:E45" si="7">IF(B31&lt;=D$13,G$13/12,0)</f>
        <v>0</v>
      </c>
      <c r="F31" s="27"/>
      <c r="G31" s="12">
        <f t="shared" si="5"/>
        <v>3320670000</v>
      </c>
      <c r="H31" s="12">
        <f t="shared" si="6"/>
        <v>1546624095.3363791</v>
      </c>
      <c r="I31" s="12">
        <f t="shared" si="1"/>
        <v>4867294095.3363791</v>
      </c>
      <c r="K31" s="2" t="str">
        <f t="shared" si="2"/>
        <v>6년차 (50세)</v>
      </c>
    </row>
    <row r="32" spans="2:11">
      <c r="B32" s="11">
        <f t="shared" si="3"/>
        <v>7</v>
      </c>
      <c r="C32" s="43">
        <f t="shared" si="4"/>
        <v>51</v>
      </c>
      <c r="D32" s="10" t="str">
        <f t="shared" si="0"/>
        <v>거치</v>
      </c>
      <c r="E32" s="12">
        <f t="shared" si="7"/>
        <v>0</v>
      </c>
      <c r="F32" s="27"/>
      <c r="G32" s="12">
        <f t="shared" si="5"/>
        <v>3320670000</v>
      </c>
      <c r="H32" s="12">
        <f t="shared" si="6"/>
        <v>1898481179.0393257</v>
      </c>
      <c r="I32" s="12">
        <f t="shared" si="1"/>
        <v>5219151179.0393257</v>
      </c>
      <c r="K32" s="2" t="str">
        <f t="shared" si="2"/>
        <v>7년차 (51세)</v>
      </c>
    </row>
    <row r="33" spans="2:11">
      <c r="B33" s="11">
        <f t="shared" si="3"/>
        <v>8</v>
      </c>
      <c r="C33" s="43">
        <f t="shared" si="4"/>
        <v>52</v>
      </c>
      <c r="D33" s="10" t="str">
        <f t="shared" si="0"/>
        <v>거치</v>
      </c>
      <c r="E33" s="12">
        <f t="shared" si="7"/>
        <v>0</v>
      </c>
      <c r="F33" s="27">
        <v>0</v>
      </c>
      <c r="G33" s="12">
        <f t="shared" si="5"/>
        <v>3320670000</v>
      </c>
      <c r="H33" s="12">
        <f t="shared" si="6"/>
        <v>2275774039.7729979</v>
      </c>
      <c r="I33" s="12">
        <f t="shared" si="1"/>
        <v>5596444039.7729979</v>
      </c>
      <c r="K33" s="2" t="str">
        <f t="shared" si="2"/>
        <v>8년차 (52세)</v>
      </c>
    </row>
    <row r="34" spans="2:11">
      <c r="B34" s="11">
        <f t="shared" si="3"/>
        <v>9</v>
      </c>
      <c r="C34" s="43">
        <f t="shared" si="4"/>
        <v>53</v>
      </c>
      <c r="D34" s="10" t="str">
        <f t="shared" si="0"/>
        <v>거치</v>
      </c>
      <c r="E34" s="12">
        <f t="shared" si="7"/>
        <v>0</v>
      </c>
      <c r="F34" s="27">
        <v>0</v>
      </c>
      <c r="G34" s="12">
        <f t="shared" si="5"/>
        <v>3320670000</v>
      </c>
      <c r="H34" s="12">
        <f t="shared" si="6"/>
        <v>2680341431.9155874</v>
      </c>
      <c r="I34" s="12">
        <f t="shared" si="1"/>
        <v>6001011431.9155874</v>
      </c>
      <c r="K34" s="2" t="str">
        <f t="shared" si="2"/>
        <v>9년차 (53세)</v>
      </c>
    </row>
    <row r="35" spans="2:11">
      <c r="B35" s="11">
        <f t="shared" si="3"/>
        <v>10</v>
      </c>
      <c r="C35" s="43">
        <f t="shared" si="4"/>
        <v>54</v>
      </c>
      <c r="D35" s="10" t="str">
        <f t="shared" si="0"/>
        <v>거치</v>
      </c>
      <c r="E35" s="12">
        <f t="shared" si="7"/>
        <v>0</v>
      </c>
      <c r="F35" s="27">
        <v>0</v>
      </c>
      <c r="G35" s="12">
        <f t="shared" si="5"/>
        <v>3320670000</v>
      </c>
      <c r="H35" s="12">
        <f t="shared" si="6"/>
        <v>3114155033.5479612</v>
      </c>
      <c r="I35" s="12">
        <f t="shared" si="1"/>
        <v>6434825033.5479612</v>
      </c>
      <c r="K35" s="2" t="str">
        <f t="shared" si="2"/>
        <v>10년차 (54세)</v>
      </c>
    </row>
    <row r="36" spans="2:11">
      <c r="B36" s="11">
        <f t="shared" si="3"/>
        <v>11</v>
      </c>
      <c r="C36" s="43">
        <f t="shared" si="4"/>
        <v>55</v>
      </c>
      <c r="D36" s="10" t="str">
        <f t="shared" si="0"/>
        <v>거치</v>
      </c>
      <c r="E36" s="12">
        <f t="shared" si="7"/>
        <v>0</v>
      </c>
      <c r="F36" s="27">
        <v>0</v>
      </c>
      <c r="G36" s="12">
        <f t="shared" si="5"/>
        <v>3320670000</v>
      </c>
      <c r="H36" s="12">
        <f t="shared" si="6"/>
        <v>3579329055.5188742</v>
      </c>
      <c r="I36" s="12">
        <f t="shared" si="1"/>
        <v>6899999055.5188742</v>
      </c>
      <c r="K36" s="2" t="str">
        <f t="shared" si="2"/>
        <v>11년차 (55세)</v>
      </c>
    </row>
    <row r="37" spans="2:11">
      <c r="B37" s="11">
        <f t="shared" si="3"/>
        <v>12</v>
      </c>
      <c r="C37" s="43">
        <f t="shared" si="4"/>
        <v>56</v>
      </c>
      <c r="D37" s="10" t="str">
        <f t="shared" si="0"/>
        <v>거치</v>
      </c>
      <c r="E37" s="12">
        <f t="shared" si="7"/>
        <v>0</v>
      </c>
      <c r="F37" s="27">
        <v>0</v>
      </c>
      <c r="G37" s="12">
        <f t="shared" si="5"/>
        <v>3320670000</v>
      </c>
      <c r="H37" s="12">
        <f t="shared" si="6"/>
        <v>4078130545.1502848</v>
      </c>
      <c r="I37" s="12">
        <f t="shared" si="1"/>
        <v>7398800545.1502848</v>
      </c>
      <c r="K37" s="2" t="str">
        <f t="shared" si="2"/>
        <v>12년차 (56세)</v>
      </c>
    </row>
    <row r="38" spans="2:11">
      <c r="B38" s="11">
        <f t="shared" si="3"/>
        <v>13</v>
      </c>
      <c r="C38" s="43">
        <f t="shared" si="4"/>
        <v>57</v>
      </c>
      <c r="D38" s="10" t="str">
        <f t="shared" si="0"/>
        <v>거치</v>
      </c>
      <c r="E38" s="12">
        <f t="shared" si="7"/>
        <v>0</v>
      </c>
      <c r="F38" s="27">
        <v>0</v>
      </c>
      <c r="G38" s="12">
        <f t="shared" si="5"/>
        <v>3320670000</v>
      </c>
      <c r="H38" s="12">
        <f t="shared" si="6"/>
        <v>4612990434.7983608</v>
      </c>
      <c r="I38" s="12">
        <f t="shared" si="1"/>
        <v>7933660434.7983608</v>
      </c>
      <c r="K38" s="2" t="str">
        <f t="shared" si="2"/>
        <v>13년차 (57세)</v>
      </c>
    </row>
    <row r="39" spans="2:11">
      <c r="B39" s="11">
        <f t="shared" si="3"/>
        <v>14</v>
      </c>
      <c r="C39" s="43">
        <f t="shared" si="4"/>
        <v>58</v>
      </c>
      <c r="D39" s="10" t="str">
        <f t="shared" si="0"/>
        <v>거치</v>
      </c>
      <c r="E39" s="12">
        <f t="shared" si="7"/>
        <v>0</v>
      </c>
      <c r="F39" s="27">
        <v>0</v>
      </c>
      <c r="G39" s="12">
        <f t="shared" si="5"/>
        <v>3320670000</v>
      </c>
      <c r="H39" s="12">
        <f t="shared" si="6"/>
        <v>5186515389.1158543</v>
      </c>
      <c r="I39" s="12">
        <f t="shared" si="1"/>
        <v>8507185389.1158543</v>
      </c>
      <c r="K39" s="2" t="str">
        <f t="shared" si="2"/>
        <v>14년차 (58세)</v>
      </c>
    </row>
    <row r="40" spans="2:11">
      <c r="B40" s="11">
        <f t="shared" si="3"/>
        <v>15</v>
      </c>
      <c r="C40" s="43">
        <f t="shared" si="4"/>
        <v>59</v>
      </c>
      <c r="D40" s="10" t="str">
        <f t="shared" si="0"/>
        <v>거치</v>
      </c>
      <c r="E40" s="12">
        <f t="shared" si="7"/>
        <v>0</v>
      </c>
      <c r="F40" s="27">
        <v>0</v>
      </c>
      <c r="G40" s="12">
        <f t="shared" si="5"/>
        <v>3320670000</v>
      </c>
      <c r="H40" s="12">
        <f t="shared" si="6"/>
        <v>5801500508.7540283</v>
      </c>
      <c r="I40" s="12">
        <f t="shared" si="1"/>
        <v>9122170508.7540283</v>
      </c>
      <c r="K40" s="2" t="str">
        <f t="shared" si="2"/>
        <v>15년차 (59세)</v>
      </c>
    </row>
    <row r="41" spans="2:11">
      <c r="B41" s="11">
        <f t="shared" si="3"/>
        <v>16</v>
      </c>
      <c r="C41" s="43">
        <f t="shared" si="4"/>
        <v>60</v>
      </c>
      <c r="D41" s="10" t="str">
        <f t="shared" si="0"/>
        <v>거치</v>
      </c>
      <c r="E41" s="12">
        <f t="shared" si="7"/>
        <v>0</v>
      </c>
      <c r="F41" s="27">
        <v>0</v>
      </c>
      <c r="G41" s="12">
        <f t="shared" si="5"/>
        <v>3320670000</v>
      </c>
      <c r="H41" s="12">
        <f t="shared" si="6"/>
        <v>6460942952.4162273</v>
      </c>
      <c r="I41" s="12">
        <f t="shared" si="1"/>
        <v>9781612952.4162273</v>
      </c>
      <c r="K41" s="2" t="str">
        <f t="shared" si="2"/>
        <v>16년차 (60세)</v>
      </c>
    </row>
    <row r="42" spans="2:11">
      <c r="B42" s="11">
        <f t="shared" si="3"/>
        <v>17</v>
      </c>
      <c r="C42" s="43">
        <f t="shared" si="4"/>
        <v>61</v>
      </c>
      <c r="D42" s="10" t="str">
        <f t="shared" si="0"/>
        <v>거치</v>
      </c>
      <c r="E42" s="12">
        <f t="shared" si="7"/>
        <v>0</v>
      </c>
      <c r="F42" s="27">
        <v>0</v>
      </c>
      <c r="G42" s="12">
        <f t="shared" si="5"/>
        <v>3320670000</v>
      </c>
      <c r="H42" s="12">
        <f t="shared" si="6"/>
        <v>7168056543.6508007</v>
      </c>
      <c r="I42" s="12">
        <f t="shared" si="1"/>
        <v>10488726543.650801</v>
      </c>
      <c r="K42" s="2" t="str">
        <f t="shared" si="2"/>
        <v>17년차 (61세)</v>
      </c>
    </row>
    <row r="43" spans="2:11">
      <c r="B43" s="11">
        <f t="shared" si="3"/>
        <v>18</v>
      </c>
      <c r="C43" s="43">
        <f t="shared" si="4"/>
        <v>62</v>
      </c>
      <c r="D43" s="10" t="str">
        <f t="shared" si="0"/>
        <v>거치</v>
      </c>
      <c r="E43" s="12">
        <f t="shared" si="7"/>
        <v>0</v>
      </c>
      <c r="F43" s="27">
        <v>0</v>
      </c>
      <c r="G43" s="12">
        <f t="shared" si="5"/>
        <v>3320670000</v>
      </c>
      <c r="H43" s="12">
        <f t="shared" si="6"/>
        <v>7926287433.5702648</v>
      </c>
      <c r="I43" s="12">
        <f t="shared" si="1"/>
        <v>11246957433.570265</v>
      </c>
      <c r="K43" s="2" t="str">
        <f t="shared" si="2"/>
        <v>18년차 (62세)</v>
      </c>
    </row>
    <row r="44" spans="2:11">
      <c r="B44" s="11">
        <f t="shared" si="3"/>
        <v>19</v>
      </c>
      <c r="C44" s="43">
        <f t="shared" si="4"/>
        <v>63</v>
      </c>
      <c r="D44" s="10" t="str">
        <f t="shared" si="0"/>
        <v>거치</v>
      </c>
      <c r="E44" s="12">
        <f t="shared" si="7"/>
        <v>0</v>
      </c>
      <c r="F44" s="27">
        <v>0</v>
      </c>
      <c r="G44" s="12">
        <f t="shared" si="5"/>
        <v>3320670000</v>
      </c>
      <c r="H44" s="12">
        <f t="shared" si="6"/>
        <v>8739330895.8297024</v>
      </c>
      <c r="I44" s="12">
        <f t="shared" si="1"/>
        <v>12060000895.829702</v>
      </c>
      <c r="K44" s="2" t="str">
        <f t="shared" si="2"/>
        <v>19년차 (63세)</v>
      </c>
    </row>
    <row r="45" spans="2:11">
      <c r="B45" s="14">
        <f t="shared" si="3"/>
        <v>20</v>
      </c>
      <c r="C45" s="44">
        <f t="shared" si="4"/>
        <v>64</v>
      </c>
      <c r="D45" s="26" t="str">
        <f t="shared" si="0"/>
        <v>거치</v>
      </c>
      <c r="E45" s="15">
        <f t="shared" si="7"/>
        <v>0</v>
      </c>
      <c r="F45" s="28">
        <v>0</v>
      </c>
      <c r="G45" s="37">
        <f t="shared" si="5"/>
        <v>3320670000</v>
      </c>
      <c r="H45" s="37">
        <f t="shared" si="6"/>
        <v>9611149335.7155094</v>
      </c>
      <c r="I45" s="37">
        <f t="shared" si="1"/>
        <v>12931819335.715509</v>
      </c>
      <c r="K45" s="2" t="str">
        <f t="shared" si="2"/>
        <v>20년차 (64세)</v>
      </c>
    </row>
    <row r="46" spans="2:11">
      <c r="B46" s="41" t="s">
        <v>13</v>
      </c>
      <c r="D46" s="41"/>
      <c r="E46" s="13">
        <f>SUM(E26:E45)</f>
        <v>62500000</v>
      </c>
      <c r="F46" s="13">
        <f>SUM(F26:F45)</f>
        <v>2570670000</v>
      </c>
    </row>
  </sheetData>
  <mergeCells count="4">
    <mergeCell ref="B18:C18"/>
    <mergeCell ref="B19:C19"/>
    <mergeCell ref="B12:C13"/>
    <mergeCell ref="B9:C10"/>
  </mergeCells>
  <phoneticPr fontId="4" type="noConversion"/>
  <dataValidations count="1">
    <dataValidation type="list" allowBlank="1" showInputMessage="1" showErrorMessage="1" sqref="H17" xr:uid="{6F56091F-250D-4AE6-929E-FDD5D154E72E}">
      <formula1>"O,X"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6EF64-6879-45C0-983A-9559E13BB199}">
  <dimension ref="B2:AD76"/>
  <sheetViews>
    <sheetView topLeftCell="B1" zoomScale="70" zoomScaleNormal="70" workbookViewId="0">
      <pane xSplit="3" ySplit="9" topLeftCell="E10" activePane="bottomRight" state="frozen"/>
      <selection activeCell="B1" sqref="B1"/>
      <selection pane="topRight" activeCell="E1" sqref="E1"/>
      <selection pane="bottomLeft" activeCell="B10" sqref="B10"/>
      <selection pane="bottomRight" activeCell="AA25" sqref="AA25"/>
    </sheetView>
  </sheetViews>
  <sheetFormatPr defaultRowHeight="13.5"/>
  <cols>
    <col min="1" max="4" width="9" style="51"/>
    <col min="5" max="6" width="14.375" style="52" bestFit="1" customWidth="1"/>
    <col min="7" max="7" width="12.375" style="52" bestFit="1" customWidth="1"/>
    <col min="8" max="8" width="14.375" style="52" bestFit="1" customWidth="1"/>
    <col min="9" max="9" width="9" style="51" bestFit="1" customWidth="1"/>
    <col min="10" max="11" width="11.75" style="52" customWidth="1"/>
    <col min="12" max="12" width="9.375" style="52" bestFit="1" customWidth="1"/>
    <col min="13" max="13" width="13" style="52" bestFit="1" customWidth="1"/>
    <col min="14" max="14" width="11.125" style="52" customWidth="1"/>
    <col min="15" max="15" width="14.5" style="52" bestFit="1" customWidth="1"/>
    <col min="16" max="16" width="11.75" style="51" bestFit="1" customWidth="1"/>
    <col min="17" max="25" width="9" style="51"/>
    <col min="26" max="26" width="13.875" style="51" bestFit="1" customWidth="1"/>
    <col min="27" max="28" width="12.5" style="51" bestFit="1" customWidth="1"/>
    <col min="29" max="29" width="13.875" style="51" bestFit="1" customWidth="1"/>
    <col min="30" max="16384" width="9" style="51"/>
  </cols>
  <sheetData>
    <row r="2" spans="2:17" s="55" customFormat="1" ht="19.5" customHeight="1">
      <c r="B2" s="55" t="s">
        <v>111</v>
      </c>
      <c r="E2" s="56"/>
      <c r="F2" s="56"/>
      <c r="G2" s="56" t="s">
        <v>112</v>
      </c>
      <c r="H2" s="56"/>
      <c r="J2" s="56"/>
      <c r="K2" s="56"/>
      <c r="L2" s="76" t="s">
        <v>116</v>
      </c>
      <c r="M2" s="56"/>
      <c r="N2" s="56"/>
      <c r="O2" s="52"/>
    </row>
    <row r="3" spans="2:17" s="50" customFormat="1" ht="20.25">
      <c r="B3" s="141" t="s">
        <v>107</v>
      </c>
      <c r="C3" s="142"/>
      <c r="D3" s="120">
        <v>45</v>
      </c>
      <c r="E3" s="121"/>
      <c r="F3" s="90"/>
      <c r="G3" s="136" t="s">
        <v>46</v>
      </c>
      <c r="H3" s="137"/>
      <c r="I3" s="128">
        <v>12000</v>
      </c>
      <c r="J3" s="129"/>
      <c r="K3" s="90"/>
      <c r="L3" s="147" t="s">
        <v>117</v>
      </c>
      <c r="M3" s="148"/>
      <c r="N3" s="112">
        <v>0.06</v>
      </c>
      <c r="O3" s="113"/>
      <c r="Q3" s="88" t="s">
        <v>137</v>
      </c>
    </row>
    <row r="4" spans="2:17" s="50" customFormat="1" ht="16.5">
      <c r="B4" s="143" t="s">
        <v>7</v>
      </c>
      <c r="C4" s="144"/>
      <c r="D4" s="122">
        <v>69</v>
      </c>
      <c r="E4" s="123"/>
      <c r="F4" s="90"/>
      <c r="G4" s="106" t="s">
        <v>113</v>
      </c>
      <c r="H4" s="107"/>
      <c r="I4" s="130">
        <v>50000</v>
      </c>
      <c r="J4" s="131"/>
      <c r="K4" s="90"/>
      <c r="L4" s="149" t="s">
        <v>118</v>
      </c>
      <c r="M4" s="150"/>
      <c r="N4" s="114">
        <v>131.5</v>
      </c>
      <c r="O4" s="115"/>
    </row>
    <row r="5" spans="2:17" s="50" customFormat="1" ht="16.5">
      <c r="B5" s="143" t="s">
        <v>108</v>
      </c>
      <c r="C5" s="144"/>
      <c r="D5" s="124">
        <v>24</v>
      </c>
      <c r="E5" s="125"/>
      <c r="F5" s="90"/>
      <c r="G5" s="106" t="s">
        <v>114</v>
      </c>
      <c r="H5" s="107"/>
      <c r="I5" s="132">
        <v>25</v>
      </c>
      <c r="J5" s="133"/>
      <c r="K5" s="90"/>
      <c r="L5" s="143" t="s">
        <v>121</v>
      </c>
      <c r="M5" s="144"/>
      <c r="N5" s="89">
        <v>3617</v>
      </c>
      <c r="O5" s="91" t="s">
        <v>122</v>
      </c>
    </row>
    <row r="6" spans="2:17" s="50" customFormat="1" ht="16.5">
      <c r="B6" s="145" t="s">
        <v>109</v>
      </c>
      <c r="C6" s="146"/>
      <c r="D6" s="126" t="s">
        <v>110</v>
      </c>
      <c r="E6" s="127"/>
      <c r="F6" s="90"/>
      <c r="G6" s="108" t="s">
        <v>115</v>
      </c>
      <c r="H6" s="109"/>
      <c r="I6" s="134">
        <v>37</v>
      </c>
      <c r="J6" s="135"/>
      <c r="K6" s="90"/>
      <c r="L6" s="110" t="s">
        <v>1</v>
      </c>
      <c r="M6" s="111"/>
      <c r="N6" s="116">
        <v>2.5000000000000001E-2</v>
      </c>
      <c r="O6" s="117"/>
    </row>
    <row r="8" spans="2:17" s="61" customFormat="1" ht="16.5" customHeight="1">
      <c r="B8" s="138" t="s">
        <v>104</v>
      </c>
      <c r="C8" s="139"/>
      <c r="D8" s="139"/>
      <c r="E8" s="140" t="s">
        <v>105</v>
      </c>
      <c r="F8" s="140"/>
      <c r="G8" s="118" t="s">
        <v>106</v>
      </c>
      <c r="H8" s="118"/>
      <c r="I8" s="118"/>
      <c r="J8" s="118"/>
      <c r="K8" s="118"/>
      <c r="L8" s="118"/>
      <c r="M8" s="118"/>
      <c r="N8" s="118"/>
      <c r="O8" s="118"/>
      <c r="P8" s="119"/>
    </row>
    <row r="9" spans="2:17" s="61" customFormat="1" ht="18" customHeight="1">
      <c r="B9" s="62" t="s">
        <v>42</v>
      </c>
      <c r="C9" s="63" t="s">
        <v>43</v>
      </c>
      <c r="D9" s="64" t="s">
        <v>4</v>
      </c>
      <c r="E9" s="65" t="s">
        <v>44</v>
      </c>
      <c r="F9" s="65" t="s">
        <v>45</v>
      </c>
      <c r="G9" s="66" t="s">
        <v>46</v>
      </c>
      <c r="H9" s="66" t="s">
        <v>130</v>
      </c>
      <c r="I9" s="67" t="s">
        <v>47</v>
      </c>
      <c r="J9" s="66" t="s">
        <v>131</v>
      </c>
      <c r="K9" s="66" t="s">
        <v>129</v>
      </c>
      <c r="L9" s="66" t="s">
        <v>132</v>
      </c>
      <c r="M9" s="66" t="s">
        <v>133</v>
      </c>
      <c r="N9" s="66" t="s">
        <v>134</v>
      </c>
      <c r="O9" s="66" t="s">
        <v>48</v>
      </c>
      <c r="P9" s="68" t="s">
        <v>135</v>
      </c>
    </row>
    <row r="10" spans="2:17" s="61" customFormat="1" ht="17.25">
      <c r="B10" s="69">
        <v>2024</v>
      </c>
      <c r="C10" s="57">
        <v>1</v>
      </c>
      <c r="D10" s="58" t="s">
        <v>49</v>
      </c>
      <c r="E10" s="70">
        <v>62000</v>
      </c>
      <c r="F10" s="71">
        <v>65419</v>
      </c>
      <c r="G10" s="72">
        <v>12000</v>
      </c>
      <c r="H10" s="72">
        <v>50000</v>
      </c>
      <c r="I10" s="77">
        <v>3.5000000000000003E-2</v>
      </c>
      <c r="J10" s="70">
        <f>E10</f>
        <v>62000</v>
      </c>
      <c r="K10" s="70"/>
      <c r="L10" s="72"/>
      <c r="M10" s="72">
        <f>L10</f>
        <v>0</v>
      </c>
      <c r="N10" s="72">
        <f>O10-J10</f>
        <v>1749.9999999999636</v>
      </c>
      <c r="O10" s="71">
        <f>FV(I10,1,-G10,-H10-L10,0)</f>
        <v>63749.999999999964</v>
      </c>
      <c r="P10" s="84">
        <f>(O10-J10)/J10</f>
        <v>2.8225806451612316E-2</v>
      </c>
      <c r="Q10" s="87" t="s">
        <v>136</v>
      </c>
    </row>
    <row r="11" spans="2:17" s="61" customFormat="1">
      <c r="B11" s="69">
        <v>2025</v>
      </c>
      <c r="C11" s="57">
        <v>2</v>
      </c>
      <c r="D11" s="58" t="s">
        <v>50</v>
      </c>
      <c r="E11" s="70">
        <f t="shared" ref="E11:E33" si="0">J10+G11+H11-L11</f>
        <v>124000</v>
      </c>
      <c r="F11" s="71">
        <f>FV($N$3,1,-G11,-(F10+H11)-L11,0)</f>
        <v>134344.14000000001</v>
      </c>
      <c r="G11" s="72">
        <v>12000</v>
      </c>
      <c r="H11" s="72">
        <v>50000</v>
      </c>
      <c r="I11" s="77">
        <v>0.06</v>
      </c>
      <c r="J11" s="70">
        <f t="shared" ref="J11:J33" si="1">J10+G11+H11-L11</f>
        <v>124000</v>
      </c>
      <c r="K11" s="70"/>
      <c r="L11" s="72"/>
      <c r="M11" s="72">
        <f>L11+M10</f>
        <v>0</v>
      </c>
      <c r="N11" s="72">
        <f t="shared" ref="N11:N64" si="2">O11-J11</f>
        <v>8574.9999999999709</v>
      </c>
      <c r="O11" s="71">
        <f>FV(I11,1,-G11,-(O10+H11)-L11,0)</f>
        <v>132574.99999999997</v>
      </c>
      <c r="P11" s="84">
        <f t="shared" ref="P11:P64" si="3">(O11-J11)/J11</f>
        <v>6.9153225806451377E-2</v>
      </c>
    </row>
    <row r="12" spans="2:17" s="61" customFormat="1">
      <c r="B12" s="69">
        <v>2026</v>
      </c>
      <c r="C12" s="57">
        <v>3</v>
      </c>
      <c r="D12" s="58" t="s">
        <v>51</v>
      </c>
      <c r="E12" s="70">
        <f t="shared" si="0"/>
        <v>186000</v>
      </c>
      <c r="F12" s="71">
        <f t="shared" ref="F12:F64" si="4">FV($N$3,1,-G12,-(F11+H12)-L12,0)</f>
        <v>207404.78840000002</v>
      </c>
      <c r="G12" s="72">
        <v>12000</v>
      </c>
      <c r="H12" s="72">
        <v>50000</v>
      </c>
      <c r="I12" s="77">
        <v>0.06</v>
      </c>
      <c r="J12" s="70">
        <f t="shared" si="1"/>
        <v>186000</v>
      </c>
      <c r="K12" s="70"/>
      <c r="L12" s="72"/>
      <c r="M12" s="72">
        <f t="shared" ref="M12:M64" si="5">L12+M11</f>
        <v>0</v>
      </c>
      <c r="N12" s="72">
        <f t="shared" si="2"/>
        <v>19529.499999999971</v>
      </c>
      <c r="O12" s="71">
        <f t="shared" ref="O12:O64" si="6">FV(I12,1,-G12,-(O11+H12)-L12,0)</f>
        <v>205529.49999999997</v>
      </c>
      <c r="P12" s="84">
        <f t="shared" si="3"/>
        <v>0.10499731182795684</v>
      </c>
    </row>
    <row r="13" spans="2:17" s="61" customFormat="1">
      <c r="B13" s="69">
        <v>2027</v>
      </c>
      <c r="C13" s="57">
        <v>4</v>
      </c>
      <c r="D13" s="58" t="s">
        <v>52</v>
      </c>
      <c r="E13" s="70">
        <f t="shared" si="0"/>
        <v>248000</v>
      </c>
      <c r="F13" s="71">
        <f t="shared" si="4"/>
        <v>284849.07570400002</v>
      </c>
      <c r="G13" s="72">
        <v>12000</v>
      </c>
      <c r="H13" s="72">
        <v>50000</v>
      </c>
      <c r="I13" s="77">
        <v>0.06</v>
      </c>
      <c r="J13" s="70">
        <f t="shared" si="1"/>
        <v>248000</v>
      </c>
      <c r="K13" s="70"/>
      <c r="L13" s="72"/>
      <c r="M13" s="72">
        <f t="shared" si="5"/>
        <v>0</v>
      </c>
      <c r="N13" s="72">
        <f t="shared" si="2"/>
        <v>34861.26999999996</v>
      </c>
      <c r="O13" s="71">
        <f t="shared" si="6"/>
        <v>282861.26999999996</v>
      </c>
      <c r="P13" s="84">
        <f t="shared" si="3"/>
        <v>0.14056963709677403</v>
      </c>
    </row>
    <row r="14" spans="2:17" s="61" customFormat="1">
      <c r="B14" s="69">
        <v>2028</v>
      </c>
      <c r="C14" s="57">
        <v>5</v>
      </c>
      <c r="D14" s="58" t="s">
        <v>53</v>
      </c>
      <c r="E14" s="70">
        <f t="shared" si="0"/>
        <v>310000</v>
      </c>
      <c r="F14" s="71">
        <f t="shared" si="4"/>
        <v>366940.02024624002</v>
      </c>
      <c r="G14" s="72">
        <v>12000</v>
      </c>
      <c r="H14" s="72">
        <v>50000</v>
      </c>
      <c r="I14" s="77">
        <v>0.06</v>
      </c>
      <c r="J14" s="70">
        <f t="shared" si="1"/>
        <v>310000</v>
      </c>
      <c r="K14" s="70"/>
      <c r="L14" s="72"/>
      <c r="M14" s="72">
        <f t="shared" si="5"/>
        <v>0</v>
      </c>
      <c r="N14" s="72">
        <f t="shared" si="2"/>
        <v>54832.946199999948</v>
      </c>
      <c r="O14" s="71">
        <f t="shared" si="6"/>
        <v>364832.94619999995</v>
      </c>
      <c r="P14" s="84">
        <f t="shared" si="3"/>
        <v>0.17688047161290305</v>
      </c>
    </row>
    <row r="15" spans="2:17" s="61" customFormat="1">
      <c r="B15" s="69">
        <v>2029</v>
      </c>
      <c r="C15" s="57">
        <v>6</v>
      </c>
      <c r="D15" s="58" t="s">
        <v>54</v>
      </c>
      <c r="E15" s="70">
        <f t="shared" si="0"/>
        <v>322000</v>
      </c>
      <c r="F15" s="71">
        <f t="shared" si="4"/>
        <v>400956.42146101443</v>
      </c>
      <c r="G15" s="72">
        <v>12000</v>
      </c>
      <c r="H15" s="72"/>
      <c r="I15" s="77">
        <v>0.06</v>
      </c>
      <c r="J15" s="70">
        <f t="shared" si="1"/>
        <v>322000</v>
      </c>
      <c r="K15" s="70"/>
      <c r="L15" s="72"/>
      <c r="M15" s="72">
        <f t="shared" si="5"/>
        <v>0</v>
      </c>
      <c r="N15" s="72">
        <f t="shared" si="2"/>
        <v>76722.922971999971</v>
      </c>
      <c r="O15" s="71">
        <f t="shared" si="6"/>
        <v>398722.92297199997</v>
      </c>
      <c r="P15" s="84">
        <f t="shared" si="3"/>
        <v>0.23826994711801233</v>
      </c>
    </row>
    <row r="16" spans="2:17" s="61" customFormat="1">
      <c r="B16" s="69">
        <v>2030</v>
      </c>
      <c r="C16" s="57">
        <v>7</v>
      </c>
      <c r="D16" s="58" t="s">
        <v>55</v>
      </c>
      <c r="E16" s="70">
        <f t="shared" si="0"/>
        <v>334000</v>
      </c>
      <c r="F16" s="71">
        <f t="shared" si="4"/>
        <v>437013.8067486753</v>
      </c>
      <c r="G16" s="72">
        <v>12000</v>
      </c>
      <c r="H16" s="72"/>
      <c r="I16" s="77">
        <v>0.06</v>
      </c>
      <c r="J16" s="70">
        <f t="shared" si="1"/>
        <v>334000</v>
      </c>
      <c r="K16" s="70"/>
      <c r="L16" s="72"/>
      <c r="M16" s="72">
        <f t="shared" si="5"/>
        <v>0</v>
      </c>
      <c r="N16" s="72">
        <f t="shared" si="2"/>
        <v>100646.29835031996</v>
      </c>
      <c r="O16" s="71">
        <f t="shared" si="6"/>
        <v>434646.29835031996</v>
      </c>
      <c r="P16" s="84">
        <f t="shared" si="3"/>
        <v>0.30133622260574838</v>
      </c>
    </row>
    <row r="17" spans="2:30" s="61" customFormat="1">
      <c r="B17" s="69">
        <v>2031</v>
      </c>
      <c r="C17" s="57">
        <v>8</v>
      </c>
      <c r="D17" s="58" t="s">
        <v>56</v>
      </c>
      <c r="E17" s="70">
        <f t="shared" si="0"/>
        <v>346000</v>
      </c>
      <c r="F17" s="71">
        <f t="shared" si="4"/>
        <v>475234.63515359582</v>
      </c>
      <c r="G17" s="72">
        <v>12000</v>
      </c>
      <c r="H17" s="72"/>
      <c r="I17" s="77">
        <v>0.06</v>
      </c>
      <c r="J17" s="70">
        <f t="shared" si="1"/>
        <v>346000</v>
      </c>
      <c r="K17" s="70"/>
      <c r="L17" s="72"/>
      <c r="M17" s="72">
        <f t="shared" si="5"/>
        <v>0</v>
      </c>
      <c r="N17" s="72">
        <f t="shared" si="2"/>
        <v>126725.07625133917</v>
      </c>
      <c r="O17" s="71">
        <f t="shared" si="6"/>
        <v>472725.07625133917</v>
      </c>
      <c r="P17" s="84">
        <f t="shared" si="3"/>
        <v>0.36625744581311898</v>
      </c>
    </row>
    <row r="18" spans="2:30" s="61" customFormat="1">
      <c r="B18" s="69">
        <v>2032</v>
      </c>
      <c r="C18" s="57">
        <v>9</v>
      </c>
      <c r="D18" s="58" t="s">
        <v>57</v>
      </c>
      <c r="E18" s="70">
        <f t="shared" si="0"/>
        <v>358000</v>
      </c>
      <c r="F18" s="71">
        <f t="shared" si="4"/>
        <v>515748.71326281159</v>
      </c>
      <c r="G18" s="72">
        <v>12000</v>
      </c>
      <c r="H18" s="72"/>
      <c r="I18" s="77">
        <v>0.06</v>
      </c>
      <c r="J18" s="70">
        <f t="shared" si="1"/>
        <v>358000</v>
      </c>
      <c r="K18" s="70"/>
      <c r="L18" s="72"/>
      <c r="M18" s="72">
        <f t="shared" si="5"/>
        <v>0</v>
      </c>
      <c r="N18" s="72">
        <f t="shared" si="2"/>
        <v>155088.58082641952</v>
      </c>
      <c r="O18" s="71">
        <f t="shared" si="6"/>
        <v>513088.58082641952</v>
      </c>
      <c r="P18" s="84">
        <f t="shared" si="3"/>
        <v>0.43320832633078077</v>
      </c>
    </row>
    <row r="19" spans="2:30" s="61" customFormat="1">
      <c r="B19" s="69">
        <v>2033</v>
      </c>
      <c r="C19" s="57">
        <v>10</v>
      </c>
      <c r="D19" s="58" t="s">
        <v>58</v>
      </c>
      <c r="E19" s="70">
        <f t="shared" si="0"/>
        <v>370000</v>
      </c>
      <c r="F19" s="71">
        <f t="shared" si="4"/>
        <v>558693.63605858036</v>
      </c>
      <c r="G19" s="72">
        <v>12000</v>
      </c>
      <c r="H19" s="72"/>
      <c r="I19" s="77">
        <v>0.06</v>
      </c>
      <c r="J19" s="70">
        <f t="shared" si="1"/>
        <v>370000</v>
      </c>
      <c r="K19" s="70"/>
      <c r="L19" s="72"/>
      <c r="M19" s="72">
        <f t="shared" si="5"/>
        <v>0</v>
      </c>
      <c r="N19" s="72">
        <f t="shared" si="2"/>
        <v>185873.8956760047</v>
      </c>
      <c r="O19" s="71">
        <f t="shared" si="6"/>
        <v>555873.8956760047</v>
      </c>
      <c r="P19" s="84">
        <f t="shared" si="3"/>
        <v>0.50236188020541805</v>
      </c>
    </row>
    <row r="20" spans="2:30" s="61" customFormat="1">
      <c r="B20" s="69">
        <v>2034</v>
      </c>
      <c r="C20" s="57">
        <v>11</v>
      </c>
      <c r="D20" s="58" t="s">
        <v>59</v>
      </c>
      <c r="E20" s="70">
        <f t="shared" si="0"/>
        <v>370000</v>
      </c>
      <c r="F20" s="71">
        <f t="shared" si="4"/>
        <v>592215.25422209525</v>
      </c>
      <c r="G20" s="72"/>
      <c r="H20" s="72"/>
      <c r="I20" s="77">
        <v>0.06</v>
      </c>
      <c r="J20" s="70">
        <f t="shared" si="1"/>
        <v>370000</v>
      </c>
      <c r="K20" s="70"/>
      <c r="L20" s="72"/>
      <c r="M20" s="72">
        <f t="shared" si="5"/>
        <v>0</v>
      </c>
      <c r="N20" s="72">
        <f t="shared" si="2"/>
        <v>219226.32941656501</v>
      </c>
      <c r="O20" s="71">
        <f t="shared" si="6"/>
        <v>589226.32941656501</v>
      </c>
      <c r="P20" s="84">
        <f t="shared" si="3"/>
        <v>0.59250359301774325</v>
      </c>
    </row>
    <row r="21" spans="2:30" s="61" customFormat="1">
      <c r="B21" s="69">
        <v>2035</v>
      </c>
      <c r="C21" s="57">
        <v>12</v>
      </c>
      <c r="D21" s="58" t="s">
        <v>60</v>
      </c>
      <c r="E21" s="70">
        <f t="shared" si="0"/>
        <v>370000</v>
      </c>
      <c r="F21" s="71">
        <f t="shared" si="4"/>
        <v>627748.16947542096</v>
      </c>
      <c r="G21" s="72"/>
      <c r="H21" s="72"/>
      <c r="I21" s="77">
        <v>0.06</v>
      </c>
      <c r="J21" s="70">
        <f t="shared" si="1"/>
        <v>370000</v>
      </c>
      <c r="K21" s="70"/>
      <c r="L21" s="72"/>
      <c r="M21" s="72">
        <f t="shared" si="5"/>
        <v>0</v>
      </c>
      <c r="N21" s="72">
        <f t="shared" si="2"/>
        <v>254579.90918155899</v>
      </c>
      <c r="O21" s="71">
        <f t="shared" si="6"/>
        <v>624579.90918155899</v>
      </c>
      <c r="P21" s="84">
        <f t="shared" si="3"/>
        <v>0.68805380859880805</v>
      </c>
    </row>
    <row r="22" spans="2:30" s="61" customFormat="1">
      <c r="B22" s="69">
        <v>2036</v>
      </c>
      <c r="C22" s="57">
        <v>13</v>
      </c>
      <c r="D22" s="58" t="s">
        <v>61</v>
      </c>
      <c r="E22" s="70">
        <f t="shared" si="0"/>
        <v>370000</v>
      </c>
      <c r="F22" s="71">
        <f t="shared" si="4"/>
        <v>665413.05964394624</v>
      </c>
      <c r="G22" s="72"/>
      <c r="H22" s="72"/>
      <c r="I22" s="77">
        <v>0.06</v>
      </c>
      <c r="J22" s="70">
        <f t="shared" si="1"/>
        <v>370000</v>
      </c>
      <c r="K22" s="70"/>
      <c r="L22" s="72"/>
      <c r="M22" s="72">
        <f t="shared" si="5"/>
        <v>0</v>
      </c>
      <c r="N22" s="72">
        <f t="shared" si="2"/>
        <v>292054.70373245259</v>
      </c>
      <c r="O22" s="71">
        <f t="shared" si="6"/>
        <v>662054.70373245259</v>
      </c>
      <c r="P22" s="84">
        <f t="shared" si="3"/>
        <v>0.78933703711473668</v>
      </c>
    </row>
    <row r="23" spans="2:30" s="61" customFormat="1">
      <c r="B23" s="69">
        <v>2037</v>
      </c>
      <c r="C23" s="57">
        <v>14</v>
      </c>
      <c r="D23" s="58" t="s">
        <v>62</v>
      </c>
      <c r="E23" s="70">
        <f t="shared" si="0"/>
        <v>370000</v>
      </c>
      <c r="F23" s="71">
        <f t="shared" si="4"/>
        <v>705337.84322258306</v>
      </c>
      <c r="G23" s="72"/>
      <c r="H23" s="72"/>
      <c r="I23" s="77">
        <v>0.06</v>
      </c>
      <c r="J23" s="70">
        <f t="shared" si="1"/>
        <v>370000</v>
      </c>
      <c r="K23" s="70"/>
      <c r="L23" s="72"/>
      <c r="M23" s="72">
        <f t="shared" si="5"/>
        <v>0</v>
      </c>
      <c r="N23" s="72">
        <f t="shared" si="2"/>
        <v>331777.98595639982</v>
      </c>
      <c r="O23" s="71">
        <f t="shared" si="6"/>
        <v>701777.98595639982</v>
      </c>
      <c r="P23" s="84">
        <f t="shared" si="3"/>
        <v>0.89669725934162114</v>
      </c>
    </row>
    <row r="24" spans="2:30" s="61" customFormat="1">
      <c r="B24" s="69">
        <v>2038</v>
      </c>
      <c r="C24" s="57">
        <v>15</v>
      </c>
      <c r="D24" s="58" t="s">
        <v>63</v>
      </c>
      <c r="E24" s="70">
        <f t="shared" si="0"/>
        <v>370000</v>
      </c>
      <c r="F24" s="71">
        <f t="shared" si="4"/>
        <v>747658.11381593812</v>
      </c>
      <c r="G24" s="72"/>
      <c r="H24" s="72"/>
      <c r="I24" s="77">
        <v>0.06</v>
      </c>
      <c r="J24" s="70">
        <f t="shared" si="1"/>
        <v>370000</v>
      </c>
      <c r="K24" s="70"/>
      <c r="L24" s="72"/>
      <c r="M24" s="72">
        <f t="shared" si="5"/>
        <v>0</v>
      </c>
      <c r="N24" s="72">
        <f t="shared" si="2"/>
        <v>373884.66511378379</v>
      </c>
      <c r="O24" s="71">
        <f t="shared" si="6"/>
        <v>743884.66511378379</v>
      </c>
      <c r="P24" s="84">
        <f t="shared" si="3"/>
        <v>1.0104990949021184</v>
      </c>
    </row>
    <row r="25" spans="2:30" s="61" customFormat="1">
      <c r="B25" s="69">
        <v>2039</v>
      </c>
      <c r="C25" s="57">
        <v>16</v>
      </c>
      <c r="D25" s="58" t="s">
        <v>64</v>
      </c>
      <c r="E25" s="70">
        <f t="shared" si="0"/>
        <v>370000</v>
      </c>
      <c r="F25" s="71">
        <f t="shared" si="4"/>
        <v>792517.60064489441</v>
      </c>
      <c r="G25" s="72"/>
      <c r="H25" s="72"/>
      <c r="I25" s="77">
        <v>0.06</v>
      </c>
      <c r="J25" s="70">
        <f t="shared" si="1"/>
        <v>370000</v>
      </c>
      <c r="K25" s="70"/>
      <c r="L25" s="72"/>
      <c r="M25" s="72">
        <f t="shared" si="5"/>
        <v>0</v>
      </c>
      <c r="N25" s="72">
        <f t="shared" si="2"/>
        <v>418517.74502061086</v>
      </c>
      <c r="O25" s="71">
        <f t="shared" si="6"/>
        <v>788517.74502061086</v>
      </c>
      <c r="P25" s="84">
        <f t="shared" si="3"/>
        <v>1.1311290405962455</v>
      </c>
      <c r="Z25" s="154">
        <v>8382380000</v>
      </c>
      <c r="AA25" s="154">
        <f>Z25*0.06</f>
        <v>502942800</v>
      </c>
      <c r="AB25" s="154">
        <v>251040000</v>
      </c>
      <c r="AC25" s="154">
        <f>Z25+AA25-AB25</f>
        <v>8634282800</v>
      </c>
      <c r="AD25" s="154"/>
    </row>
    <row r="26" spans="2:30" s="61" customFormat="1">
      <c r="B26" s="69">
        <v>2040</v>
      </c>
      <c r="C26" s="57">
        <v>17</v>
      </c>
      <c r="D26" s="58" t="s">
        <v>65</v>
      </c>
      <c r="E26" s="70">
        <f t="shared" si="0"/>
        <v>370000</v>
      </c>
      <c r="F26" s="71">
        <f t="shared" si="4"/>
        <v>840068.65668358817</v>
      </c>
      <c r="G26" s="72"/>
      <c r="H26" s="72"/>
      <c r="I26" s="77">
        <v>0.06</v>
      </c>
      <c r="J26" s="70">
        <f t="shared" si="1"/>
        <v>370000</v>
      </c>
      <c r="K26" s="70"/>
      <c r="L26" s="72"/>
      <c r="M26" s="72">
        <f t="shared" si="5"/>
        <v>0</v>
      </c>
      <c r="N26" s="72">
        <f t="shared" si="2"/>
        <v>465828.80972184753</v>
      </c>
      <c r="O26" s="71">
        <f t="shared" si="6"/>
        <v>835828.80972184753</v>
      </c>
      <c r="P26" s="84">
        <f t="shared" si="3"/>
        <v>1.2589967830320203</v>
      </c>
      <c r="Z26" s="154"/>
      <c r="AA26" s="154"/>
      <c r="AB26" s="154"/>
      <c r="AC26" s="154"/>
      <c r="AD26" s="154"/>
    </row>
    <row r="27" spans="2:30" s="61" customFormat="1">
      <c r="B27" s="69">
        <v>2041</v>
      </c>
      <c r="C27" s="57">
        <v>18</v>
      </c>
      <c r="D27" s="58" t="s">
        <v>66</v>
      </c>
      <c r="E27" s="70">
        <f t="shared" si="0"/>
        <v>370000</v>
      </c>
      <c r="F27" s="71">
        <f t="shared" si="4"/>
        <v>890472.77608460351</v>
      </c>
      <c r="G27" s="72"/>
      <c r="H27" s="72"/>
      <c r="I27" s="77">
        <v>0.06</v>
      </c>
      <c r="J27" s="70">
        <f t="shared" si="1"/>
        <v>370000</v>
      </c>
      <c r="K27" s="70"/>
      <c r="L27" s="72"/>
      <c r="M27" s="72">
        <f t="shared" si="5"/>
        <v>0</v>
      </c>
      <c r="N27" s="72">
        <f t="shared" si="2"/>
        <v>515978.53830515838</v>
      </c>
      <c r="O27" s="71">
        <f t="shared" si="6"/>
        <v>885978.53830515838</v>
      </c>
      <c r="P27" s="84">
        <f t="shared" si="3"/>
        <v>1.3945365900139415</v>
      </c>
    </row>
    <row r="28" spans="2:30" s="61" customFormat="1">
      <c r="B28" s="69">
        <v>2042</v>
      </c>
      <c r="C28" s="57">
        <v>19</v>
      </c>
      <c r="D28" s="58" t="s">
        <v>67</v>
      </c>
      <c r="E28" s="70">
        <f t="shared" si="0"/>
        <v>370000</v>
      </c>
      <c r="F28" s="71">
        <f t="shared" si="4"/>
        <v>943901.14264967979</v>
      </c>
      <c r="G28" s="72"/>
      <c r="H28" s="72"/>
      <c r="I28" s="77">
        <v>0.06</v>
      </c>
      <c r="J28" s="70">
        <f t="shared" si="1"/>
        <v>370000</v>
      </c>
      <c r="K28" s="70"/>
      <c r="L28" s="72"/>
      <c r="M28" s="72">
        <f t="shared" si="5"/>
        <v>0</v>
      </c>
      <c r="N28" s="72">
        <f t="shared" si="2"/>
        <v>569137.25060346792</v>
      </c>
      <c r="O28" s="71">
        <f t="shared" si="6"/>
        <v>939137.25060346792</v>
      </c>
      <c r="P28" s="84">
        <f t="shared" si="3"/>
        <v>1.5382087854147781</v>
      </c>
    </row>
    <row r="29" spans="2:30" s="61" customFormat="1">
      <c r="B29" s="69">
        <v>2043</v>
      </c>
      <c r="C29" s="79">
        <v>20</v>
      </c>
      <c r="D29" s="80" t="s">
        <v>68</v>
      </c>
      <c r="E29" s="81">
        <f t="shared" si="0"/>
        <v>370000</v>
      </c>
      <c r="F29" s="82">
        <f t="shared" si="4"/>
        <v>1000535.2112086606</v>
      </c>
      <c r="G29" s="83"/>
      <c r="H29" s="83"/>
      <c r="I29" s="77">
        <v>0.06</v>
      </c>
      <c r="J29" s="81">
        <f t="shared" si="1"/>
        <v>370000</v>
      </c>
      <c r="K29" s="81"/>
      <c r="L29" s="83"/>
      <c r="M29" s="83">
        <f t="shared" si="5"/>
        <v>0</v>
      </c>
      <c r="N29" s="83">
        <f t="shared" si="2"/>
        <v>625485.4856396761</v>
      </c>
      <c r="O29" s="82">
        <f t="shared" si="6"/>
        <v>995485.4856396761</v>
      </c>
      <c r="P29" s="84">
        <f t="shared" si="3"/>
        <v>1.6905013125396651</v>
      </c>
    </row>
    <row r="30" spans="2:30" s="61" customFormat="1">
      <c r="B30" s="69">
        <v>2044</v>
      </c>
      <c r="C30" s="57">
        <v>21</v>
      </c>
      <c r="D30" s="58" t="s">
        <v>69</v>
      </c>
      <c r="E30" s="70">
        <f t="shared" si="0"/>
        <v>370000</v>
      </c>
      <c r="F30" s="71">
        <f t="shared" si="4"/>
        <v>1060567.3238811803</v>
      </c>
      <c r="G30" s="72"/>
      <c r="H30" s="72"/>
      <c r="I30" s="77">
        <v>0.06</v>
      </c>
      <c r="J30" s="70">
        <f t="shared" si="1"/>
        <v>370000</v>
      </c>
      <c r="K30" s="70"/>
      <c r="L30" s="72"/>
      <c r="M30" s="72">
        <f t="shared" si="5"/>
        <v>0</v>
      </c>
      <c r="N30" s="72">
        <f t="shared" si="2"/>
        <v>685214.61477805674</v>
      </c>
      <c r="O30" s="71">
        <f t="shared" si="6"/>
        <v>1055214.6147780567</v>
      </c>
      <c r="P30" s="84">
        <f t="shared" si="3"/>
        <v>1.8519313912920452</v>
      </c>
    </row>
    <row r="31" spans="2:30" s="61" customFormat="1">
      <c r="B31" s="69">
        <v>2045</v>
      </c>
      <c r="C31" s="57">
        <v>22</v>
      </c>
      <c r="D31" s="58" t="s">
        <v>70</v>
      </c>
      <c r="E31" s="70">
        <f t="shared" si="0"/>
        <v>370000</v>
      </c>
      <c r="F31" s="71">
        <f t="shared" si="4"/>
        <v>1124201.3633140512</v>
      </c>
      <c r="G31" s="72"/>
      <c r="H31" s="72"/>
      <c r="I31" s="77">
        <v>0.06</v>
      </c>
      <c r="J31" s="70">
        <f t="shared" si="1"/>
        <v>370000</v>
      </c>
      <c r="K31" s="70"/>
      <c r="L31" s="72"/>
      <c r="M31" s="72">
        <f t="shared" si="5"/>
        <v>0</v>
      </c>
      <c r="N31" s="72">
        <f t="shared" si="2"/>
        <v>748527.49166474026</v>
      </c>
      <c r="O31" s="71">
        <f t="shared" si="6"/>
        <v>1118527.4916647403</v>
      </c>
      <c r="P31" s="84">
        <f t="shared" si="3"/>
        <v>2.0230472747695685</v>
      </c>
    </row>
    <row r="32" spans="2:30" s="61" customFormat="1">
      <c r="B32" s="69">
        <v>2046</v>
      </c>
      <c r="C32" s="57">
        <v>23</v>
      </c>
      <c r="D32" s="58" t="s">
        <v>71</v>
      </c>
      <c r="E32" s="70">
        <f t="shared" si="0"/>
        <v>370000</v>
      </c>
      <c r="F32" s="71">
        <f t="shared" si="4"/>
        <v>1191653.4451128943</v>
      </c>
      <c r="G32" s="72"/>
      <c r="H32" s="72"/>
      <c r="I32" s="77">
        <v>0.06</v>
      </c>
      <c r="J32" s="70">
        <f t="shared" si="1"/>
        <v>370000</v>
      </c>
      <c r="K32" s="70"/>
      <c r="L32" s="72"/>
      <c r="M32" s="72">
        <f t="shared" si="5"/>
        <v>0</v>
      </c>
      <c r="N32" s="72">
        <f t="shared" si="2"/>
        <v>815639.14116462483</v>
      </c>
      <c r="O32" s="71">
        <f t="shared" si="6"/>
        <v>1185639.1411646248</v>
      </c>
      <c r="P32" s="84">
        <f t="shared" si="3"/>
        <v>2.2044301112557427</v>
      </c>
    </row>
    <row r="33" spans="2:17" s="61" customFormat="1" ht="17.25">
      <c r="B33" s="62">
        <v>2047</v>
      </c>
      <c r="C33" s="59">
        <v>24</v>
      </c>
      <c r="D33" s="60" t="s">
        <v>72</v>
      </c>
      <c r="E33" s="73">
        <f t="shared" si="0"/>
        <v>326596</v>
      </c>
      <c r="F33" s="74">
        <f t="shared" si="4"/>
        <v>1309160.891819668</v>
      </c>
      <c r="G33" s="75"/>
      <c r="H33" s="75"/>
      <c r="I33" s="78">
        <v>0.06</v>
      </c>
      <c r="J33" s="73">
        <f t="shared" si="1"/>
        <v>326596</v>
      </c>
      <c r="K33" s="73"/>
      <c r="L33" s="75">
        <f>N5*12</f>
        <v>43404</v>
      </c>
      <c r="M33" s="75">
        <f t="shared" si="5"/>
        <v>43404</v>
      </c>
      <c r="N33" s="75">
        <f t="shared" si="2"/>
        <v>976189.72963450244</v>
      </c>
      <c r="O33" s="74">
        <f t="shared" si="6"/>
        <v>1302785.7296345024</v>
      </c>
      <c r="P33" s="85">
        <f t="shared" si="3"/>
        <v>2.9889825032593862</v>
      </c>
      <c r="Q33" s="86" t="s">
        <v>127</v>
      </c>
    </row>
    <row r="34" spans="2:17" s="61" customFormat="1">
      <c r="B34" s="69">
        <v>2048</v>
      </c>
      <c r="C34" s="57">
        <v>25</v>
      </c>
      <c r="D34" s="58" t="s">
        <v>73</v>
      </c>
      <c r="E34" s="70">
        <f t="shared" ref="E34:E64" si="7">E33</f>
        <v>326596</v>
      </c>
      <c r="F34" s="71">
        <f t="shared" si="4"/>
        <v>1434868.9913288483</v>
      </c>
      <c r="G34" s="72"/>
      <c r="H34" s="72"/>
      <c r="I34" s="77">
        <v>0.06</v>
      </c>
      <c r="J34" s="70">
        <f t="shared" ref="J34:J64" si="8">J33</f>
        <v>326596</v>
      </c>
      <c r="K34" s="70"/>
      <c r="L34" s="72">
        <f>FV($N$6,1,0,-L33,1)</f>
        <v>44489.1</v>
      </c>
      <c r="M34" s="72">
        <f t="shared" si="5"/>
        <v>87893.1</v>
      </c>
      <c r="N34" s="72">
        <f t="shared" si="2"/>
        <v>1101515.3194125728</v>
      </c>
      <c r="O34" s="71">
        <f t="shared" si="6"/>
        <v>1428111.3194125728</v>
      </c>
      <c r="P34" s="84">
        <f t="shared" si="3"/>
        <v>3.3727152794662909</v>
      </c>
    </row>
    <row r="35" spans="2:17" s="61" customFormat="1">
      <c r="B35" s="69">
        <v>2049</v>
      </c>
      <c r="C35" s="57">
        <v>26</v>
      </c>
      <c r="D35" s="58" t="s">
        <v>74</v>
      </c>
      <c r="E35" s="70">
        <f t="shared" si="7"/>
        <v>326596</v>
      </c>
      <c r="F35" s="71">
        <f t="shared" si="4"/>
        <v>1569298.5379585791</v>
      </c>
      <c r="G35" s="72"/>
      <c r="H35" s="72"/>
      <c r="I35" s="77">
        <v>0.06</v>
      </c>
      <c r="J35" s="70">
        <f t="shared" si="8"/>
        <v>326596</v>
      </c>
      <c r="K35" s="70"/>
      <c r="L35" s="72">
        <f t="shared" ref="L35:L64" si="9">FV($N$6,1,0,-L34,1)</f>
        <v>45601.327499999992</v>
      </c>
      <c r="M35" s="72">
        <f t="shared" si="5"/>
        <v>133494.42749999999</v>
      </c>
      <c r="N35" s="72">
        <f t="shared" si="2"/>
        <v>1235539.4057273271</v>
      </c>
      <c r="O35" s="71">
        <f t="shared" si="6"/>
        <v>1562135.4057273271</v>
      </c>
      <c r="P35" s="84">
        <f t="shared" si="3"/>
        <v>3.7830818678958931</v>
      </c>
    </row>
    <row r="36" spans="2:17" s="61" customFormat="1">
      <c r="B36" s="69">
        <v>2050</v>
      </c>
      <c r="C36" s="57">
        <v>27</v>
      </c>
      <c r="D36" s="58" t="s">
        <v>75</v>
      </c>
      <c r="E36" s="70">
        <f t="shared" si="7"/>
        <v>326596</v>
      </c>
      <c r="F36" s="71">
        <f t="shared" si="4"/>
        <v>1713002.292564844</v>
      </c>
      <c r="G36" s="72"/>
      <c r="H36" s="72"/>
      <c r="I36" s="77">
        <v>0.06</v>
      </c>
      <c r="J36" s="70">
        <f t="shared" si="8"/>
        <v>326596</v>
      </c>
      <c r="K36" s="70"/>
      <c r="L36" s="72">
        <f t="shared" si="9"/>
        <v>46741.36068749999</v>
      </c>
      <c r="M36" s="72">
        <f t="shared" si="5"/>
        <v>180235.78818749997</v>
      </c>
      <c r="N36" s="72">
        <f t="shared" si="2"/>
        <v>1378813.3723997169</v>
      </c>
      <c r="O36" s="71">
        <f t="shared" si="6"/>
        <v>1705409.3723997169</v>
      </c>
      <c r="P36" s="84">
        <f t="shared" si="3"/>
        <v>4.2217705434228128</v>
      </c>
    </row>
    <row r="37" spans="2:17" s="61" customFormat="1">
      <c r="B37" s="69">
        <v>2051</v>
      </c>
      <c r="C37" s="57">
        <v>28</v>
      </c>
      <c r="D37" s="58" t="s">
        <v>76</v>
      </c>
      <c r="E37" s="70">
        <f t="shared" si="7"/>
        <v>326596</v>
      </c>
      <c r="F37" s="71">
        <f t="shared" si="4"/>
        <v>1866566.9185057033</v>
      </c>
      <c r="G37" s="72"/>
      <c r="H37" s="72"/>
      <c r="I37" s="77">
        <v>0.06</v>
      </c>
      <c r="J37" s="70">
        <f t="shared" si="8"/>
        <v>326596</v>
      </c>
      <c r="K37" s="70"/>
      <c r="L37" s="72">
        <f t="shared" si="9"/>
        <v>47909.894704687482</v>
      </c>
      <c r="M37" s="72">
        <f t="shared" si="5"/>
        <v>228145.68289218744</v>
      </c>
      <c r="N37" s="72">
        <f t="shared" si="2"/>
        <v>1531922.4231306687</v>
      </c>
      <c r="O37" s="71">
        <f t="shared" si="6"/>
        <v>1858518.4231306687</v>
      </c>
      <c r="P37" s="84">
        <f t="shared" si="3"/>
        <v>4.6905731335676757</v>
      </c>
    </row>
    <row r="38" spans="2:17" s="61" customFormat="1">
      <c r="B38" s="69">
        <v>2052</v>
      </c>
      <c r="C38" s="57">
        <v>29</v>
      </c>
      <c r="D38" s="58" t="s">
        <v>77</v>
      </c>
      <c r="E38" s="70">
        <f t="shared" si="7"/>
        <v>326596</v>
      </c>
      <c r="F38" s="71">
        <f t="shared" si="4"/>
        <v>2030615.0342126884</v>
      </c>
      <c r="G38" s="72"/>
      <c r="H38" s="72"/>
      <c r="I38" s="77">
        <v>0.06</v>
      </c>
      <c r="J38" s="70">
        <f t="shared" si="8"/>
        <v>326596</v>
      </c>
      <c r="K38" s="70"/>
      <c r="L38" s="72">
        <f t="shared" si="9"/>
        <v>49107.642072304661</v>
      </c>
      <c r="M38" s="72">
        <f t="shared" si="5"/>
        <v>277253.32496449212</v>
      </c>
      <c r="N38" s="72">
        <f t="shared" si="2"/>
        <v>1695487.6291151517</v>
      </c>
      <c r="O38" s="71">
        <f t="shared" si="6"/>
        <v>2022083.6291151517</v>
      </c>
      <c r="P38" s="84">
        <f t="shared" si="3"/>
        <v>5.1913912880597177</v>
      </c>
    </row>
    <row r="39" spans="2:17" s="61" customFormat="1">
      <c r="B39" s="69">
        <v>2053</v>
      </c>
      <c r="C39" s="57">
        <v>30</v>
      </c>
      <c r="D39" s="58" t="s">
        <v>78</v>
      </c>
      <c r="E39" s="70">
        <f t="shared" si="7"/>
        <v>326596</v>
      </c>
      <c r="F39" s="71">
        <f t="shared" si="4"/>
        <v>2205807.3893770091</v>
      </c>
      <c r="G39" s="72"/>
      <c r="H39" s="72"/>
      <c r="I39" s="77">
        <v>0.06</v>
      </c>
      <c r="J39" s="70">
        <f t="shared" si="8"/>
        <v>326596</v>
      </c>
      <c r="K39" s="70"/>
      <c r="L39" s="72">
        <f t="shared" si="9"/>
        <v>50335.333124112272</v>
      </c>
      <c r="M39" s="72">
        <f t="shared" si="5"/>
        <v>327588.6580886044</v>
      </c>
      <c r="N39" s="72">
        <f t="shared" si="2"/>
        <v>1870168.0999736199</v>
      </c>
      <c r="O39" s="71">
        <f t="shared" si="6"/>
        <v>2196764.0999736199</v>
      </c>
      <c r="P39" s="84">
        <f t="shared" si="3"/>
        <v>5.7262431259832329</v>
      </c>
    </row>
    <row r="40" spans="2:17" s="61" customFormat="1">
      <c r="B40" s="69">
        <v>2054</v>
      </c>
      <c r="C40" s="57">
        <v>31</v>
      </c>
      <c r="D40" s="58" t="s">
        <v>79</v>
      </c>
      <c r="E40" s="70">
        <f t="shared" si="7"/>
        <v>326596</v>
      </c>
      <c r="F40" s="71">
        <f t="shared" si="4"/>
        <v>2392845.1721789776</v>
      </c>
      <c r="G40" s="72"/>
      <c r="H40" s="72"/>
      <c r="I40" s="77">
        <v>0.06</v>
      </c>
      <c r="J40" s="70">
        <f t="shared" si="8"/>
        <v>326596</v>
      </c>
      <c r="K40" s="70"/>
      <c r="L40" s="72">
        <f t="shared" si="9"/>
        <v>51593.716452215078</v>
      </c>
      <c r="M40" s="72">
        <f t="shared" si="5"/>
        <v>379182.3745408195</v>
      </c>
      <c r="N40" s="72">
        <f t="shared" si="2"/>
        <v>2056663.2854113849</v>
      </c>
      <c r="O40" s="71">
        <f t="shared" si="6"/>
        <v>2383259.2854113849</v>
      </c>
      <c r="P40" s="84">
        <f t="shared" si="3"/>
        <v>6.2972702831981557</v>
      </c>
    </row>
    <row r="41" spans="2:17" s="61" customFormat="1">
      <c r="B41" s="69">
        <v>2055</v>
      </c>
      <c r="C41" s="57">
        <v>32</v>
      </c>
      <c r="D41" s="58" t="s">
        <v>80</v>
      </c>
      <c r="E41" s="70">
        <f t="shared" si="7"/>
        <v>326596</v>
      </c>
      <c r="F41" s="71">
        <f t="shared" si="4"/>
        <v>2592472.4554350479</v>
      </c>
      <c r="G41" s="72"/>
      <c r="H41" s="72"/>
      <c r="I41" s="77">
        <v>0.06</v>
      </c>
      <c r="J41" s="70">
        <f t="shared" si="8"/>
        <v>326596</v>
      </c>
      <c r="K41" s="70"/>
      <c r="L41" s="72">
        <f t="shared" si="9"/>
        <v>52883.55936352045</v>
      </c>
      <c r="M41" s="72">
        <f t="shared" si="5"/>
        <v>432065.93390433997</v>
      </c>
      <c r="N41" s="72">
        <f t="shared" si="2"/>
        <v>2255715.4154613996</v>
      </c>
      <c r="O41" s="71">
        <f t="shared" si="6"/>
        <v>2582311.4154613996</v>
      </c>
      <c r="P41" s="84">
        <f t="shared" si="3"/>
        <v>6.9067453840873725</v>
      </c>
    </row>
    <row r="42" spans="2:17" s="61" customFormat="1">
      <c r="B42" s="69">
        <v>2056</v>
      </c>
      <c r="C42" s="57">
        <v>33</v>
      </c>
      <c r="D42" s="58" t="s">
        <v>81</v>
      </c>
      <c r="E42" s="70">
        <f t="shared" si="7"/>
        <v>326596</v>
      </c>
      <c r="F42" s="71">
        <f t="shared" si="4"/>
        <v>2805478.7900096155</v>
      </c>
      <c r="G42" s="72"/>
      <c r="H42" s="72"/>
      <c r="I42" s="77">
        <v>0.06</v>
      </c>
      <c r="J42" s="70">
        <f t="shared" si="8"/>
        <v>326596</v>
      </c>
      <c r="K42" s="70"/>
      <c r="L42" s="72">
        <f t="shared" si="9"/>
        <v>54205.648347608454</v>
      </c>
      <c r="M42" s="72">
        <f t="shared" si="5"/>
        <v>486271.58225194842</v>
      </c>
      <c r="N42" s="72">
        <f t="shared" si="2"/>
        <v>2468112.0876375483</v>
      </c>
      <c r="O42" s="71">
        <f t="shared" si="6"/>
        <v>2794708.0876375483</v>
      </c>
      <c r="P42" s="84">
        <f t="shared" si="3"/>
        <v>7.557079963127376</v>
      </c>
    </row>
    <row r="43" spans="2:17" s="61" customFormat="1">
      <c r="B43" s="69">
        <v>2057</v>
      </c>
      <c r="C43" s="57">
        <v>34</v>
      </c>
      <c r="D43" s="58" t="s">
        <v>82</v>
      </c>
      <c r="E43" s="70">
        <f t="shared" si="7"/>
        <v>326596</v>
      </c>
      <c r="F43" s="71">
        <f t="shared" si="4"/>
        <v>3032701.9543398693</v>
      </c>
      <c r="G43" s="72"/>
      <c r="H43" s="72"/>
      <c r="I43" s="77">
        <v>0.06</v>
      </c>
      <c r="J43" s="70">
        <f t="shared" si="8"/>
        <v>326596</v>
      </c>
      <c r="K43" s="70"/>
      <c r="L43" s="72">
        <f t="shared" si="9"/>
        <v>55560.78955629866</v>
      </c>
      <c r="M43" s="72">
        <f t="shared" si="5"/>
        <v>541832.37180824706</v>
      </c>
      <c r="N43" s="72">
        <f t="shared" si="2"/>
        <v>2694689.0098254783</v>
      </c>
      <c r="O43" s="71">
        <f t="shared" si="6"/>
        <v>3021285.0098254783</v>
      </c>
      <c r="P43" s="84">
        <f t="shared" si="3"/>
        <v>8.2508328633096504</v>
      </c>
    </row>
    <row r="44" spans="2:17" s="61" customFormat="1">
      <c r="B44" s="69">
        <v>2058</v>
      </c>
      <c r="C44" s="57">
        <v>35</v>
      </c>
      <c r="D44" s="58" t="s">
        <v>83</v>
      </c>
      <c r="E44" s="70">
        <f t="shared" si="7"/>
        <v>326596</v>
      </c>
      <c r="F44" s="71">
        <f t="shared" si="4"/>
        <v>3275030.8694531806</v>
      </c>
      <c r="G44" s="72"/>
      <c r="H44" s="72"/>
      <c r="I44" s="77">
        <v>0.06</v>
      </c>
      <c r="J44" s="70">
        <f t="shared" si="8"/>
        <v>326596</v>
      </c>
      <c r="K44" s="70"/>
      <c r="L44" s="72">
        <f t="shared" si="9"/>
        <v>56949.80929520612</v>
      </c>
      <c r="M44" s="72">
        <f t="shared" si="5"/>
        <v>598782.18110345316</v>
      </c>
      <c r="N44" s="72">
        <f t="shared" si="2"/>
        <v>2936332.908267926</v>
      </c>
      <c r="O44" s="71">
        <f t="shared" si="6"/>
        <v>3262928.908267926</v>
      </c>
      <c r="P44" s="84">
        <f t="shared" si="3"/>
        <v>8.9907191400627262</v>
      </c>
    </row>
    <row r="45" spans="2:17" s="61" customFormat="1">
      <c r="B45" s="69">
        <v>2059</v>
      </c>
      <c r="C45" s="57">
        <v>36</v>
      </c>
      <c r="D45" s="58" t="s">
        <v>84</v>
      </c>
      <c r="E45" s="70">
        <f t="shared" si="7"/>
        <v>326596</v>
      </c>
      <c r="F45" s="71">
        <f t="shared" si="4"/>
        <v>3533408.6894196132</v>
      </c>
      <c r="G45" s="72"/>
      <c r="H45" s="72"/>
      <c r="I45" s="77">
        <v>0.06</v>
      </c>
      <c r="J45" s="70">
        <f t="shared" si="8"/>
        <v>326596</v>
      </c>
      <c r="K45" s="70"/>
      <c r="L45" s="72">
        <f t="shared" si="9"/>
        <v>58373.554527586268</v>
      </c>
      <c r="M45" s="72">
        <f t="shared" si="5"/>
        <v>657155.73563103937</v>
      </c>
      <c r="N45" s="72">
        <f t="shared" si="2"/>
        <v>3193984.6105632433</v>
      </c>
      <c r="O45" s="71">
        <f t="shared" si="6"/>
        <v>3520580.6105632433</v>
      </c>
      <c r="P45" s="84">
        <f t="shared" si="3"/>
        <v>9.7796195010448486</v>
      </c>
    </row>
    <row r="46" spans="2:17" s="61" customFormat="1">
      <c r="B46" s="69">
        <v>2060</v>
      </c>
      <c r="C46" s="57">
        <v>37</v>
      </c>
      <c r="D46" s="58" t="s">
        <v>85</v>
      </c>
      <c r="E46" s="70">
        <f t="shared" si="7"/>
        <v>326596</v>
      </c>
      <c r="F46" s="71">
        <f t="shared" si="4"/>
        <v>3808836.0777790127</v>
      </c>
      <c r="G46" s="72"/>
      <c r="H46" s="72"/>
      <c r="I46" s="77">
        <v>0.06</v>
      </c>
      <c r="J46" s="70">
        <f t="shared" si="8"/>
        <v>326596</v>
      </c>
      <c r="K46" s="70"/>
      <c r="L46" s="72">
        <f t="shared" si="9"/>
        <v>59832.89339077592</v>
      </c>
      <c r="M46" s="72">
        <f t="shared" si="5"/>
        <v>716988.62902181526</v>
      </c>
      <c r="N46" s="72">
        <f t="shared" si="2"/>
        <v>3468642.3141912608</v>
      </c>
      <c r="O46" s="71">
        <f t="shared" si="6"/>
        <v>3795238.3141912608</v>
      </c>
      <c r="P46" s="84">
        <f t="shared" si="3"/>
        <v>10.620590314000358</v>
      </c>
    </row>
    <row r="47" spans="2:17" s="61" customFormat="1">
      <c r="B47" s="69">
        <v>2061</v>
      </c>
      <c r="C47" s="57">
        <v>38</v>
      </c>
      <c r="D47" s="58" t="s">
        <v>86</v>
      </c>
      <c r="E47" s="70">
        <f t="shared" si="7"/>
        <v>326596</v>
      </c>
      <c r="F47" s="71">
        <f t="shared" si="4"/>
        <v>4102374.6811148319</v>
      </c>
      <c r="G47" s="72"/>
      <c r="H47" s="72"/>
      <c r="I47" s="77">
        <v>0.06</v>
      </c>
      <c r="J47" s="70">
        <f t="shared" si="8"/>
        <v>326596</v>
      </c>
      <c r="K47" s="70"/>
      <c r="L47" s="72">
        <f t="shared" si="9"/>
        <v>61328.715725545313</v>
      </c>
      <c r="M47" s="72">
        <f t="shared" si="5"/>
        <v>778317.34474736056</v>
      </c>
      <c r="N47" s="72">
        <f t="shared" si="2"/>
        <v>3761365.0517118149</v>
      </c>
      <c r="O47" s="71">
        <f t="shared" si="6"/>
        <v>4087961.0517118149</v>
      </c>
      <c r="P47" s="84">
        <f t="shared" si="3"/>
        <v>11.516874216805517</v>
      </c>
    </row>
    <row r="48" spans="2:17" s="61" customFormat="1">
      <c r="B48" s="69">
        <v>2062</v>
      </c>
      <c r="C48" s="57">
        <v>39</v>
      </c>
      <c r="D48" s="58" t="s">
        <v>87</v>
      </c>
      <c r="E48" s="70">
        <f t="shared" si="7"/>
        <v>326596</v>
      </c>
      <c r="F48" s="71">
        <f t="shared" si="4"/>
        <v>4415150.8116175272</v>
      </c>
      <c r="G48" s="72"/>
      <c r="H48" s="72"/>
      <c r="I48" s="77">
        <v>0.06</v>
      </c>
      <c r="J48" s="70">
        <f t="shared" si="8"/>
        <v>326596</v>
      </c>
      <c r="K48" s="70"/>
      <c r="L48" s="72">
        <f t="shared" si="9"/>
        <v>62861.933618683943</v>
      </c>
      <c r="M48" s="72">
        <f t="shared" si="5"/>
        <v>841179.27836604451</v>
      </c>
      <c r="N48" s="72">
        <f t="shared" si="2"/>
        <v>4073276.364450329</v>
      </c>
      <c r="O48" s="71">
        <f t="shared" si="6"/>
        <v>4399872.364450329</v>
      </c>
      <c r="P48" s="84">
        <f t="shared" si="3"/>
        <v>12.471911365878116</v>
      </c>
    </row>
    <row r="49" spans="2:16" s="61" customFormat="1">
      <c r="B49" s="69">
        <v>2063</v>
      </c>
      <c r="C49" s="57">
        <v>40</v>
      </c>
      <c r="D49" s="58" t="s">
        <v>88</v>
      </c>
      <c r="E49" s="70">
        <f t="shared" si="7"/>
        <v>326596</v>
      </c>
      <c r="F49" s="71">
        <f t="shared" si="4"/>
        <v>4748359.3511912795</v>
      </c>
      <c r="G49" s="72"/>
      <c r="H49" s="72"/>
      <c r="I49" s="77">
        <v>0.06</v>
      </c>
      <c r="J49" s="70">
        <f t="shared" si="8"/>
        <v>326596</v>
      </c>
      <c r="K49" s="70"/>
      <c r="L49" s="72">
        <f t="shared" si="9"/>
        <v>64433.481959151039</v>
      </c>
      <c r="M49" s="72">
        <f t="shared" si="5"/>
        <v>905612.7603251955</v>
      </c>
      <c r="N49" s="72">
        <f t="shared" si="2"/>
        <v>4405568.1971940491</v>
      </c>
      <c r="O49" s="71">
        <f t="shared" si="6"/>
        <v>4732164.1971940491</v>
      </c>
      <c r="P49" s="84">
        <f t="shared" si="3"/>
        <v>13.489351361296675</v>
      </c>
    </row>
    <row r="50" spans="2:16" s="61" customFormat="1">
      <c r="B50" s="69">
        <v>2064</v>
      </c>
      <c r="C50" s="57">
        <v>41</v>
      </c>
      <c r="D50" s="58" t="s">
        <v>89</v>
      </c>
      <c r="E50" s="70">
        <f t="shared" si="7"/>
        <v>326596</v>
      </c>
      <c r="F50" s="71">
        <f t="shared" si="4"/>
        <v>5103267.8904113742</v>
      </c>
      <c r="G50" s="72"/>
      <c r="H50" s="72"/>
      <c r="I50" s="77">
        <v>0.06</v>
      </c>
      <c r="J50" s="70">
        <f t="shared" si="8"/>
        <v>326596</v>
      </c>
      <c r="K50" s="70"/>
      <c r="L50" s="72">
        <f t="shared" si="9"/>
        <v>66044.319008129809</v>
      </c>
      <c r="M50" s="72">
        <f t="shared" si="5"/>
        <v>971657.07933332527</v>
      </c>
      <c r="N50" s="72">
        <f t="shared" si="2"/>
        <v>4759505.0271743098</v>
      </c>
      <c r="O50" s="71">
        <f t="shared" si="6"/>
        <v>5086101.0271743098</v>
      </c>
      <c r="P50" s="84">
        <f t="shared" si="3"/>
        <v>14.573065889276997</v>
      </c>
    </row>
    <row r="51" spans="2:16" s="61" customFormat="1">
      <c r="B51" s="69">
        <v>2065</v>
      </c>
      <c r="C51" s="57">
        <v>42</v>
      </c>
      <c r="D51" s="58" t="s">
        <v>90</v>
      </c>
      <c r="E51" s="70">
        <f t="shared" si="7"/>
        <v>326596</v>
      </c>
      <c r="F51" s="71">
        <f t="shared" si="4"/>
        <v>5481221.1164383898</v>
      </c>
      <c r="G51" s="72"/>
      <c r="H51" s="72"/>
      <c r="I51" s="77">
        <v>0.06</v>
      </c>
      <c r="J51" s="70">
        <f t="shared" si="8"/>
        <v>326596</v>
      </c>
      <c r="K51" s="70"/>
      <c r="L51" s="72">
        <f t="shared" si="9"/>
        <v>67695.426983333047</v>
      </c>
      <c r="M51" s="72">
        <f t="shared" si="5"/>
        <v>1039352.5063166583</v>
      </c>
      <c r="N51" s="72">
        <f t="shared" si="2"/>
        <v>5136428.241407102</v>
      </c>
      <c r="O51" s="71">
        <f t="shared" si="6"/>
        <v>5463024.241407102</v>
      </c>
      <c r="P51" s="84">
        <f t="shared" si="3"/>
        <v>15.727162125093701</v>
      </c>
    </row>
    <row r="52" spans="2:16" s="61" customFormat="1">
      <c r="B52" s="69">
        <v>2066</v>
      </c>
      <c r="C52" s="57">
        <v>43</v>
      </c>
      <c r="D52" s="58" t="s">
        <v>91</v>
      </c>
      <c r="E52" s="70">
        <f t="shared" si="7"/>
        <v>326596</v>
      </c>
      <c r="F52" s="71">
        <f t="shared" si="4"/>
        <v>5883645.4648420848</v>
      </c>
      <c r="G52" s="72"/>
      <c r="H52" s="72"/>
      <c r="I52" s="77">
        <v>0.06</v>
      </c>
      <c r="J52" s="70">
        <f t="shared" si="8"/>
        <v>326596</v>
      </c>
      <c r="K52" s="70"/>
      <c r="L52" s="72">
        <f t="shared" si="9"/>
        <v>69387.812657916365</v>
      </c>
      <c r="M52" s="72">
        <f t="shared" si="5"/>
        <v>1108740.3189745748</v>
      </c>
      <c r="N52" s="72">
        <f t="shared" si="2"/>
        <v>5537760.7773089195</v>
      </c>
      <c r="O52" s="71">
        <f t="shared" si="6"/>
        <v>5864356.7773089195</v>
      </c>
      <c r="P52" s="84">
        <f t="shared" si="3"/>
        <v>16.955996942120905</v>
      </c>
    </row>
    <row r="53" spans="2:16" s="61" customFormat="1">
      <c r="B53" s="69">
        <v>2067</v>
      </c>
      <c r="C53" s="57">
        <v>44</v>
      </c>
      <c r="D53" s="58" t="s">
        <v>92</v>
      </c>
      <c r="E53" s="70">
        <f t="shared" si="7"/>
        <v>326596</v>
      </c>
      <c r="F53" s="71">
        <f t="shared" si="4"/>
        <v>6312054.0511854356</v>
      </c>
      <c r="G53" s="72"/>
      <c r="H53" s="72"/>
      <c r="I53" s="77">
        <v>0.06</v>
      </c>
      <c r="J53" s="70">
        <f t="shared" si="8"/>
        <v>326596</v>
      </c>
      <c r="K53" s="70"/>
      <c r="L53" s="72">
        <f t="shared" si="9"/>
        <v>71122.507974364271</v>
      </c>
      <c r="M53" s="72">
        <f t="shared" si="5"/>
        <v>1179862.8269489391</v>
      </c>
      <c r="N53" s="72">
        <f t="shared" si="2"/>
        <v>5965012.0424002809</v>
      </c>
      <c r="O53" s="71">
        <f t="shared" si="6"/>
        <v>6291608.0424002809</v>
      </c>
      <c r="P53" s="84">
        <f t="shared" si="3"/>
        <v>18.264191975407783</v>
      </c>
    </row>
    <row r="54" spans="2:16" s="61" customFormat="1">
      <c r="B54" s="69">
        <v>2068</v>
      </c>
      <c r="C54" s="57">
        <v>45</v>
      </c>
      <c r="D54" s="58" t="s">
        <v>93</v>
      </c>
      <c r="E54" s="70">
        <f t="shared" si="7"/>
        <v>326596</v>
      </c>
      <c r="F54" s="71">
        <f t="shared" si="4"/>
        <v>6768051.8991707088</v>
      </c>
      <c r="G54" s="72"/>
      <c r="H54" s="72"/>
      <c r="I54" s="77">
        <v>0.06</v>
      </c>
      <c r="J54" s="70">
        <f t="shared" si="8"/>
        <v>326596</v>
      </c>
      <c r="K54" s="70"/>
      <c r="L54" s="72">
        <f t="shared" si="9"/>
        <v>72900.57067372337</v>
      </c>
      <c r="M54" s="72">
        <f t="shared" si="5"/>
        <v>1252763.3976226626</v>
      </c>
      <c r="N54" s="72">
        <f t="shared" si="2"/>
        <v>6419783.1298584454</v>
      </c>
      <c r="O54" s="71">
        <f t="shared" si="6"/>
        <v>6746379.1298584454</v>
      </c>
      <c r="P54" s="84">
        <f t="shared" si="3"/>
        <v>19.65664959111087</v>
      </c>
    </row>
    <row r="55" spans="2:16" s="61" customFormat="1">
      <c r="B55" s="69">
        <v>2069</v>
      </c>
      <c r="C55" s="57">
        <v>46</v>
      </c>
      <c r="D55" s="58" t="s">
        <v>94</v>
      </c>
      <c r="E55" s="70">
        <f t="shared" si="7"/>
        <v>326596</v>
      </c>
      <c r="F55" s="71">
        <f t="shared" si="4"/>
        <v>7253341.4831579523</v>
      </c>
      <c r="G55" s="72"/>
      <c r="H55" s="72"/>
      <c r="I55" s="77">
        <v>0.06</v>
      </c>
      <c r="J55" s="70">
        <f t="shared" si="8"/>
        <v>326596</v>
      </c>
      <c r="K55" s="70"/>
      <c r="L55" s="72">
        <f t="shared" si="9"/>
        <v>74723.084940566448</v>
      </c>
      <c r="M55" s="72">
        <f t="shared" si="5"/>
        <v>1327486.482563229</v>
      </c>
      <c r="N55" s="72">
        <f t="shared" si="2"/>
        <v>6903772.3476869529</v>
      </c>
      <c r="O55" s="71">
        <f t="shared" si="6"/>
        <v>7230368.3476869529</v>
      </c>
      <c r="P55" s="84">
        <f t="shared" si="3"/>
        <v>21.138569816185601</v>
      </c>
    </row>
    <row r="56" spans="2:16" s="61" customFormat="1">
      <c r="B56" s="69">
        <v>2070</v>
      </c>
      <c r="C56" s="57">
        <v>47</v>
      </c>
      <c r="D56" s="58" t="s">
        <v>95</v>
      </c>
      <c r="E56" s="70">
        <f t="shared" si="7"/>
        <v>326596</v>
      </c>
      <c r="F56" s="71">
        <f t="shared" si="4"/>
        <v>7769728.6039353553</v>
      </c>
      <c r="G56" s="72"/>
      <c r="H56" s="72"/>
      <c r="I56" s="77">
        <v>0.06</v>
      </c>
      <c r="J56" s="70">
        <f t="shared" si="8"/>
        <v>326596</v>
      </c>
      <c r="K56" s="70"/>
      <c r="L56" s="72">
        <f t="shared" si="9"/>
        <v>76591.162064080607</v>
      </c>
      <c r="M56" s="72">
        <f t="shared" si="5"/>
        <v>1404077.6446273096</v>
      </c>
      <c r="N56" s="72">
        <f t="shared" si="2"/>
        <v>7418781.0803360967</v>
      </c>
      <c r="O56" s="71">
        <f t="shared" si="6"/>
        <v>7745377.0803360967</v>
      </c>
      <c r="P56" s="84">
        <f t="shared" si="3"/>
        <v>22.715468286005024</v>
      </c>
    </row>
    <row r="57" spans="2:16" s="61" customFormat="1">
      <c r="B57" s="69">
        <v>2071</v>
      </c>
      <c r="C57" s="57">
        <v>48</v>
      </c>
      <c r="D57" s="58" t="s">
        <v>96</v>
      </c>
      <c r="E57" s="70">
        <f t="shared" si="7"/>
        <v>326596</v>
      </c>
      <c r="F57" s="71">
        <f t="shared" si="4"/>
        <v>8319128.6177541008</v>
      </c>
      <c r="G57" s="72"/>
      <c r="H57" s="72"/>
      <c r="I57" s="77">
        <v>0.06</v>
      </c>
      <c r="J57" s="70">
        <f t="shared" si="8"/>
        <v>326596</v>
      </c>
      <c r="K57" s="70"/>
      <c r="L57" s="72">
        <f t="shared" si="9"/>
        <v>78505.94111568261</v>
      </c>
      <c r="M57" s="72">
        <f t="shared" si="5"/>
        <v>1482583.5857429923</v>
      </c>
      <c r="N57" s="72">
        <f t="shared" si="2"/>
        <v>7966720.0027388865</v>
      </c>
      <c r="O57" s="71">
        <f t="shared" si="6"/>
        <v>8293316.0027388865</v>
      </c>
      <c r="P57" s="84">
        <f t="shared" si="3"/>
        <v>24.393195271034816</v>
      </c>
    </row>
    <row r="58" spans="2:16" s="61" customFormat="1">
      <c r="B58" s="69">
        <v>2072</v>
      </c>
      <c r="C58" s="57">
        <v>49</v>
      </c>
      <c r="D58" s="58" t="s">
        <v>97</v>
      </c>
      <c r="E58" s="70">
        <f t="shared" si="7"/>
        <v>326596</v>
      </c>
      <c r="F58" s="71">
        <f t="shared" si="4"/>
        <v>8903573.0398415364</v>
      </c>
      <c r="G58" s="72"/>
      <c r="H58" s="72"/>
      <c r="I58" s="77">
        <v>0.06</v>
      </c>
      <c r="J58" s="70">
        <f t="shared" si="8"/>
        <v>326596</v>
      </c>
      <c r="K58" s="70"/>
      <c r="L58" s="72">
        <f t="shared" si="9"/>
        <v>80468.589643574669</v>
      </c>
      <c r="M58" s="72">
        <f t="shared" si="5"/>
        <v>1563052.1753865671</v>
      </c>
      <c r="N58" s="72">
        <f t="shared" si="2"/>
        <v>8549615.6679254081</v>
      </c>
      <c r="O58" s="71">
        <f t="shared" si="6"/>
        <v>8876211.6679254081</v>
      </c>
      <c r="P58" s="84">
        <f t="shared" si="3"/>
        <v>26.177955847363126</v>
      </c>
    </row>
    <row r="59" spans="2:16" s="61" customFormat="1">
      <c r="B59" s="69">
        <v>2073</v>
      </c>
      <c r="C59" s="57">
        <v>50</v>
      </c>
      <c r="D59" s="58" t="s">
        <v>98</v>
      </c>
      <c r="E59" s="70">
        <f t="shared" si="7"/>
        <v>326596</v>
      </c>
      <c r="F59" s="71">
        <f t="shared" si="4"/>
        <v>9525216.5448797718</v>
      </c>
      <c r="G59" s="72"/>
      <c r="H59" s="72"/>
      <c r="I59" s="77">
        <v>0.06</v>
      </c>
      <c r="J59" s="70">
        <f t="shared" si="8"/>
        <v>326596</v>
      </c>
      <c r="K59" s="70"/>
      <c r="L59" s="72">
        <f t="shared" si="9"/>
        <v>82480.304384664036</v>
      </c>
      <c r="M59" s="72">
        <f t="shared" si="5"/>
        <v>1645532.4797712311</v>
      </c>
      <c r="N59" s="72">
        <f t="shared" si="2"/>
        <v>9169617.4906486757</v>
      </c>
      <c r="O59" s="71">
        <f t="shared" si="6"/>
        <v>9496213.4906486757</v>
      </c>
      <c r="P59" s="84">
        <f t="shared" si="3"/>
        <v>28.076331279772795</v>
      </c>
    </row>
    <row r="60" spans="2:16" s="61" customFormat="1">
      <c r="B60" s="69">
        <v>2074</v>
      </c>
      <c r="C60" s="57">
        <v>51</v>
      </c>
      <c r="D60" s="58" t="s">
        <v>99</v>
      </c>
      <c r="E60" s="70">
        <f t="shared" si="7"/>
        <v>326596</v>
      </c>
      <c r="F60" s="71">
        <f t="shared" si="4"/>
        <v>10186344.388286496</v>
      </c>
      <c r="G60" s="72"/>
      <c r="H60" s="72"/>
      <c r="I60" s="77">
        <v>0.06</v>
      </c>
      <c r="J60" s="70">
        <f t="shared" si="8"/>
        <v>326596</v>
      </c>
      <c r="K60" s="70"/>
      <c r="L60" s="72">
        <f t="shared" si="9"/>
        <v>84542.311994280622</v>
      </c>
      <c r="M60" s="72">
        <f t="shared" si="5"/>
        <v>1730074.7917655117</v>
      </c>
      <c r="N60" s="72">
        <f t="shared" si="2"/>
        <v>9829005.1508015338</v>
      </c>
      <c r="O60" s="71">
        <f t="shared" si="6"/>
        <v>10155601.150801534</v>
      </c>
      <c r="P60" s="84">
        <f t="shared" si="3"/>
        <v>30.095301690166242</v>
      </c>
    </row>
    <row r="61" spans="2:16" s="61" customFormat="1">
      <c r="B61" s="69">
        <v>2075</v>
      </c>
      <c r="C61" s="57">
        <v>52</v>
      </c>
      <c r="D61" s="58" t="s">
        <v>100</v>
      </c>
      <c r="E61" s="70">
        <f t="shared" si="7"/>
        <v>326596</v>
      </c>
      <c r="F61" s="71">
        <f t="shared" si="4"/>
        <v>10889380.273565471</v>
      </c>
      <c r="G61" s="72"/>
      <c r="H61" s="72"/>
      <c r="I61" s="77">
        <v>0.06</v>
      </c>
      <c r="J61" s="70">
        <f t="shared" si="8"/>
        <v>326596</v>
      </c>
      <c r="K61" s="70"/>
      <c r="L61" s="72">
        <f t="shared" si="9"/>
        <v>86655.86979413763</v>
      </c>
      <c r="M61" s="72">
        <f t="shared" si="5"/>
        <v>1816730.6615596493</v>
      </c>
      <c r="N61" s="72">
        <f t="shared" si="2"/>
        <v>10530196.441831412</v>
      </c>
      <c r="O61" s="71">
        <f t="shared" si="6"/>
        <v>10856792.441831412</v>
      </c>
      <c r="P61" s="84">
        <f t="shared" si="3"/>
        <v>32.242270088523469</v>
      </c>
    </row>
    <row r="62" spans="2:16" s="61" customFormat="1">
      <c r="B62" s="69">
        <v>2076</v>
      </c>
      <c r="C62" s="57">
        <v>53</v>
      </c>
      <c r="D62" s="58" t="s">
        <v>101</v>
      </c>
      <c r="E62" s="70">
        <f t="shared" si="7"/>
        <v>326596</v>
      </c>
      <c r="F62" s="71">
        <f t="shared" si="4"/>
        <v>11636894.69251073</v>
      </c>
      <c r="G62" s="72"/>
      <c r="H62" s="72"/>
      <c r="I62" s="77">
        <v>0.06</v>
      </c>
      <c r="J62" s="70">
        <f t="shared" si="8"/>
        <v>326596</v>
      </c>
      <c r="K62" s="70"/>
      <c r="L62" s="72">
        <f t="shared" si="9"/>
        <v>88822.266538991069</v>
      </c>
      <c r="M62" s="72">
        <f t="shared" si="5"/>
        <v>1905552.9280986404</v>
      </c>
      <c r="N62" s="72">
        <f t="shared" si="2"/>
        <v>11275755.590872627</v>
      </c>
      <c r="O62" s="71">
        <f t="shared" si="6"/>
        <v>11602351.590872627</v>
      </c>
      <c r="P62" s="84">
        <f t="shared" si="3"/>
        <v>34.525087848205814</v>
      </c>
    </row>
    <row r="63" spans="2:16" s="61" customFormat="1">
      <c r="B63" s="69">
        <v>2077</v>
      </c>
      <c r="C63" s="57">
        <v>54</v>
      </c>
      <c r="D63" s="58" t="s">
        <v>102</v>
      </c>
      <c r="E63" s="70">
        <f t="shared" si="7"/>
        <v>326596</v>
      </c>
      <c r="F63" s="71">
        <f t="shared" si="4"/>
        <v>12431613.766655989</v>
      </c>
      <c r="G63" s="72"/>
      <c r="H63" s="72"/>
      <c r="I63" s="77">
        <v>0.06</v>
      </c>
      <c r="J63" s="70">
        <f t="shared" si="8"/>
        <v>326596</v>
      </c>
      <c r="K63" s="70"/>
      <c r="L63" s="72">
        <f t="shared" si="9"/>
        <v>91042.823202465835</v>
      </c>
      <c r="M63" s="72">
        <f t="shared" si="5"/>
        <v>1996595.7513011063</v>
      </c>
      <c r="N63" s="72">
        <f t="shared" si="2"/>
        <v>12068402.078919599</v>
      </c>
      <c r="O63" s="71">
        <f t="shared" si="6"/>
        <v>12394998.078919599</v>
      </c>
      <c r="P63" s="84">
        <f t="shared" si="3"/>
        <v>36.952081712328379</v>
      </c>
    </row>
    <row r="64" spans="2:16" s="61" customFormat="1" ht="14.25" thickBot="1">
      <c r="B64" s="92">
        <v>2078</v>
      </c>
      <c r="C64" s="93">
        <v>55</v>
      </c>
      <c r="D64" s="94" t="s">
        <v>103</v>
      </c>
      <c r="E64" s="95">
        <f t="shared" si="7"/>
        <v>326596</v>
      </c>
      <c r="F64" s="96">
        <f t="shared" si="4"/>
        <v>13276428.620064829</v>
      </c>
      <c r="G64" s="97"/>
      <c r="H64" s="97"/>
      <c r="I64" s="98">
        <v>0.06</v>
      </c>
      <c r="J64" s="95">
        <f t="shared" si="8"/>
        <v>326596</v>
      </c>
      <c r="K64" s="95"/>
      <c r="L64" s="97">
        <f t="shared" si="9"/>
        <v>93318.893782527477</v>
      </c>
      <c r="M64" s="97">
        <f t="shared" si="5"/>
        <v>2089914.6450836337</v>
      </c>
      <c r="N64" s="97">
        <f t="shared" si="2"/>
        <v>12911019.991064256</v>
      </c>
      <c r="O64" s="96">
        <f t="shared" si="6"/>
        <v>13237615.991064256</v>
      </c>
      <c r="P64" s="99">
        <f t="shared" si="3"/>
        <v>39.532082423129054</v>
      </c>
    </row>
    <row r="65" spans="2:16" ht="21.75" customHeight="1">
      <c r="B65" s="103" t="s">
        <v>128</v>
      </c>
      <c r="C65" s="104"/>
      <c r="D65" s="104"/>
      <c r="E65" s="100">
        <f>E64</f>
        <v>326596</v>
      </c>
      <c r="F65" s="100">
        <f>F64</f>
        <v>13276428.620064829</v>
      </c>
      <c r="G65" s="100">
        <f>SUM(G10:G64)</f>
        <v>120000</v>
      </c>
      <c r="H65" s="100">
        <f>SUM(H10:H64)</f>
        <v>250000</v>
      </c>
      <c r="I65" s="101"/>
      <c r="J65" s="100">
        <f>J64</f>
        <v>326596</v>
      </c>
      <c r="K65" s="100"/>
      <c r="L65" s="100"/>
      <c r="M65" s="100"/>
      <c r="N65" s="100">
        <f>SUM(N10:N64)</f>
        <v>172625818.44565749</v>
      </c>
      <c r="O65" s="100">
        <f t="shared" ref="O65" si="10">O64</f>
        <v>13237615.991064256</v>
      </c>
      <c r="P65" s="102"/>
    </row>
    <row r="66" spans="2:16" ht="53.25" customHeight="1">
      <c r="D66" s="53"/>
      <c r="E66" s="54"/>
      <c r="F66" s="54"/>
      <c r="G66" s="54"/>
      <c r="H66" s="54"/>
      <c r="I66" s="53"/>
      <c r="J66" s="54"/>
      <c r="K66" s="54"/>
      <c r="L66" s="54"/>
      <c r="M66" s="54"/>
      <c r="N66" s="54"/>
      <c r="O66" s="54"/>
    </row>
    <row r="67" spans="2:16" ht="49.5" customHeight="1">
      <c r="D67" s="53"/>
      <c r="E67" s="105" t="s">
        <v>142</v>
      </c>
      <c r="F67" s="105"/>
      <c r="G67" s="54"/>
      <c r="H67" s="54"/>
      <c r="I67" s="53"/>
      <c r="K67" s="54"/>
      <c r="L67" s="52" t="s">
        <v>139</v>
      </c>
      <c r="M67" s="54"/>
      <c r="N67" s="54"/>
      <c r="O67" s="54"/>
    </row>
    <row r="68" spans="2:16">
      <c r="L68" s="52" t="s">
        <v>123</v>
      </c>
    </row>
    <row r="69" spans="2:16">
      <c r="L69" s="52" t="s">
        <v>138</v>
      </c>
    </row>
    <row r="70" spans="2:16">
      <c r="J70" s="54" t="s">
        <v>119</v>
      </c>
    </row>
    <row r="71" spans="2:16">
      <c r="J71" s="52" t="s">
        <v>120</v>
      </c>
    </row>
    <row r="72" spans="2:16">
      <c r="I72" s="51" t="s">
        <v>124</v>
      </c>
    </row>
    <row r="73" spans="2:16">
      <c r="I73" s="51" t="s">
        <v>125</v>
      </c>
    </row>
    <row r="74" spans="2:16">
      <c r="I74" s="51" t="s">
        <v>126</v>
      </c>
    </row>
    <row r="75" spans="2:16">
      <c r="G75" s="52" t="s">
        <v>140</v>
      </c>
    </row>
    <row r="76" spans="2:16">
      <c r="G76" s="52" t="s">
        <v>141</v>
      </c>
    </row>
  </sheetData>
  <mergeCells count="28">
    <mergeCell ref="B3:C3"/>
    <mergeCell ref="B4:C4"/>
    <mergeCell ref="B5:C5"/>
    <mergeCell ref="B6:C6"/>
    <mergeCell ref="L3:M3"/>
    <mergeCell ref="L4:M4"/>
    <mergeCell ref="L5:M5"/>
    <mergeCell ref="D3:E3"/>
    <mergeCell ref="D4:E4"/>
    <mergeCell ref="D5:E5"/>
    <mergeCell ref="D6:E6"/>
    <mergeCell ref="I3:J3"/>
    <mergeCell ref="I4:J4"/>
    <mergeCell ref="I5:J5"/>
    <mergeCell ref="I6:J6"/>
    <mergeCell ref="G3:H3"/>
    <mergeCell ref="L6:M6"/>
    <mergeCell ref="N3:O3"/>
    <mergeCell ref="N4:O4"/>
    <mergeCell ref="N6:O6"/>
    <mergeCell ref="G8:P8"/>
    <mergeCell ref="B65:D65"/>
    <mergeCell ref="E67:F67"/>
    <mergeCell ref="G4:H4"/>
    <mergeCell ref="G5:H5"/>
    <mergeCell ref="G6:H6"/>
    <mergeCell ref="B8:D8"/>
    <mergeCell ref="E8:F8"/>
  </mergeCells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minho kim</dc:creator>
  <cp:lastModifiedBy>minho kim</cp:lastModifiedBy>
  <dcterms:created xsi:type="dcterms:W3CDTF">2026-04-08T00:44:01Z</dcterms:created>
  <dcterms:modified xsi:type="dcterms:W3CDTF">2026-04-17T08:03:52Z</dcterms:modified>
</cp:coreProperties>
</file>