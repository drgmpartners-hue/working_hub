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62E2971D-9E8F-488A-8FD5-91CE81659F6B}" xr6:coauthVersionLast="47" xr6:coauthVersionMax="47" xr10:uidLastSave="{00000000-0000-0000-0000-000000000000}"/>
  <bookViews>
    <workbookView xWindow="-120" yWindow="-120" windowWidth="29040" windowHeight="15720" xr2:uid="{91DC5EA7-A75C-4450-8E40-66788ACE5F08}"/>
  </bookViews>
  <sheets>
    <sheet name="Sheet1" sheetId="1" r:id="rId1"/>
  </sheets>
  <externalReferences>
    <externalReference r:id="rId2"/>
  </externalReferences>
  <definedNames>
    <definedName name="OX">#REF!</definedName>
    <definedName name="rng_누적투자자산_상품명">OFFSET(#REF!,,,COUNTA(#REF!))</definedName>
    <definedName name="rng_누적투자자산_위험대비수익률_연수익률">OFFSET(#REF!,,,COUNT(#REF!))</definedName>
    <definedName name="rng_누적투자자산_위험대비수익률_위험도지수">OFFSET(#REF!,,,COUNT(#REF!))</definedName>
    <definedName name="rng_누적투자자산_자산구분2_구분명">OFFSET(#REF!,,,COUNTIF(#REF!,"?*"))</definedName>
    <definedName name="rng_누적투자자산_자산구분2_비율">OFFSET(#REF!,,,COUNT(#REF!))</definedName>
    <definedName name="rng_누적투자자산_자산구분2_평가금액">OFFSET(#REF!,,,COUNTIF(#REF!,"?*"))</definedName>
    <definedName name="rng_누적투자자산_재무목표_구분명">OFFSET(#REF!,,,COUNTIF(#REF!,"?*"))</definedName>
    <definedName name="rng_누적투자자산_재무목표_비율">OFFSET(#REF!,,,COUNT(#REF!))</definedName>
    <definedName name="rng_누적투자자산_재무목표_정기투자">OFFSET(#REF!,,,COUNT(#REF!))</definedName>
    <definedName name="rng_누적투자자산_재무목표_평가금액">OFFSET(#REF!,,,COUNT(#REF!))</definedName>
    <definedName name="rng_누적투자자산리스트_고객명">OFFSET(#REF!,,,COUNTA(#REF!))</definedName>
    <definedName name="rng_누적투자자산리스트_상품명">OFFSET(#REF!,MATCH(1,--((#REF!=#REF!)*(#REF!=#REF!)),0)-1,2,COUNTIFS(#REF!,#REF!,#REF!,#REF!),1)</definedName>
    <definedName name="rng_누적투자자산리스트_자산구분1">OFFSET(#REF!,MATCH(#REF!,#REF!,0)-1,1,COUNTIF(#REF!,#REF!),1)</definedName>
    <definedName name="rng_만기관리_간트차트_가입일">OFFSET(#REF!,,,COUNT(#REF!))</definedName>
    <definedName name="rng_만기관리_간트차트_남은운용일">OFFSET(#REF!,,,COUNT(#REF!))</definedName>
    <definedName name="rng_만기관리_간트차트_만기일">OFFSET(#REF!,,,COUNT(#REF!))</definedName>
    <definedName name="rng_만기관리_간트차트_플랜명">OFFSET(#REF!,,,COUNTIF(#REF!,"?*"))</definedName>
    <definedName name="rng_만기관리_간트차트_현재일">OFFSET(#REF!,,,COUNT(#REF!))</definedName>
    <definedName name="rng_목표달성계획_상품명">OFFSET(#REF!,MATCH(1,--((#REF!=#REF!)*(#REF!=#REF!)),0)-1,2,COUNTIFS(#REF!,#REF!,#REF!,#REF!),1)</definedName>
    <definedName name="rng_목표달성계획_자산구분1">OFFSET(#REF!,MATCH(#REF!,#REF!,0)-1,1,COUNTIF(#REF!,#REF!),1)</definedName>
    <definedName name="rng_목표달성계획_재무목표">OFFSET(#REF!,,,COUNTIF(#REF!,"?*"))</definedName>
    <definedName name="rng_보험자산_간트차트_가입일">OFFSET(#REF!,,,COUNT(#REF!))</definedName>
    <definedName name="rng_보험자산_간트차트_남은일수">OFFSET(#REF!,,,COUNT(#REF!))</definedName>
    <definedName name="rng_보험자산_간트차트_상품명2">OFFSET(#REF!,,,COUNTA(#REF!))</definedName>
    <definedName name="rng_보험자산_간트차트_운영일수">OFFSET(#REF!,,,COUNT(#REF!))</definedName>
    <definedName name="rng_사업장분석_부채분석_대출금리">OFFSET(#REF!,,,COUNT(#REF!))</definedName>
    <definedName name="rng_사업장분석_부채분석_대출명">OFFSET(#REF!,,,COUNTIF(#REF!,"?*"))</definedName>
    <definedName name="rng_사업장분석_부채분석_대출액">OFFSET(#REF!,,,COUNT(#REF!))</definedName>
    <definedName name="rng_사업장분석_부채분석_대출잔액">OFFSET(#REF!,,,COUNT(#REF!))</definedName>
    <definedName name="rng_사업장분석_부채분석_상환율">OFFSET(#REF!,,,COUNT(#REF!))</definedName>
    <definedName name="rng_사업장분석_부채분석_월상환액">OFFSET(#REF!,,,COUNT(#REF!))</definedName>
    <definedName name="rng_사업장분석_부채분석_잔액비율">OFFSET(#REF!,,,COUNT(#REF!))</definedName>
    <definedName name="rng_사전증여플랜_상품명">OFFSET(#REF!,,,COUNTA(#REF!))</definedName>
    <definedName name="RNG_상속VS증여_나이">OFFSET(#REF!,,,,COUNTA(#REF!)-COUNTBLANK(#REF!))</definedName>
    <definedName name="RNG_상속VS증여_상속세">OFFSET(#REF!,,,,COUNTA(#REF!)-COUNTBLANK(#REF!))</definedName>
    <definedName name="RNG_상속VS증여_상속세재원">OFFSET(#REF!,,,,COUNTA(#REF!)-COUNTBLANK(#REF!))</definedName>
    <definedName name="RNG_상속VS증여_순자산">OFFSET(#REF!,,,,COUNTA(#REF!)-COUNTBLANK(#REF!))</definedName>
    <definedName name="rng_은퇴플랜_평가금액계산_나이">OFFSET(#REF!,,,1,COUNTA(#REF!)-COUNTBLANK(#REF!))</definedName>
    <definedName name="rng_은퇴플랜_평가금액계산_평가금액">OFFSET(#REF!,,,1,COUNTA(#REF!)-COUNTBLANK(#REF!))</definedName>
    <definedName name="rng_재무목표달성플랜_목표미지정상품_상품명">OFFSET(#REF!,MATCH(1,--((#REF!=#REF!)*(#REF!=#REF!)),0)-1,2,COUNTIFS(#REF!,#REF!,#REF!,#REF!),1)</definedName>
    <definedName name="rng_재무목표달성플랜_목표미지정상품_자산구분1">OFFSET(#REF!,MATCH(#REF!,#REF!,0)-1,1,COUNTIF(#REF!,#REF!),1)</definedName>
    <definedName name="rng_재무분석_개인대출분석_대출명">OFFSET(#REF!,,,COUNTIF(#REF!,"?*"))</definedName>
    <definedName name="rng_재무분석_개인부채분석_대출금리">OFFSET(#REF!,,,COUNT(#REF!))</definedName>
    <definedName name="rng_재무분석_개인부채분석_대출액">OFFSET(#REF!,,,COUNT(#REF!))</definedName>
    <definedName name="rng_재무분석_개인부채분석_대출잔액">OFFSET(#REF!,,,COUNT(#REF!))</definedName>
    <definedName name="rng_재무분석_개인부채분석_상환율">OFFSET(#REF!,,,COUNT(#REF!))</definedName>
    <definedName name="rng_재무분석_개인부채분석_월상환액">OFFSET(#REF!,,,COUNT(#REF!))</definedName>
    <definedName name="rng_재무분석_개인부채분석_잔액비율">OFFSET(#REF!,,,COUNT(#REF!))</definedName>
    <definedName name="rng_재무분석_기간대비총수익_기간">OFFSET(#REF!,,,COUNT(#REF!))</definedName>
    <definedName name="rng_재무분석_기간대비총수익_총수익">OFFSET(#REF!,,,COUNT(#REF!))</definedName>
    <definedName name="rng_재무분석_위험대비연수익_상품명">OFFSET(#REF!,,,COUNT(#REF!))</definedName>
    <definedName name="rng_재무분석_위험대비연수익_연수익">OFFSET(#REF!,,,COUNT(#REF!))</definedName>
    <definedName name="rng_재무분석_위험대비연수익_위험도">OFFSET(#REF!,,,COUNT(#REF!))</definedName>
    <definedName name="rng_재무분석_재무목표분석_달성률">OFFSET(#REF!,,,COUNT(#REF!))</definedName>
    <definedName name="rng_재무분석_재무목표분석_비중">OFFSET(#REF!,,,COUNT(#REF!))</definedName>
    <definedName name="rng_재무분석_재무목표분석_우선순위">OFFSET(#REF!,,,COUNT(#REF!))</definedName>
    <definedName name="rng_재무분석_재무목표분석_평가금액">OFFSET(#REF!,,,COUNT(#REF!))</definedName>
    <definedName name="rng_재무분석_재무목표분석_항목">OFFSET(#REF!,,,COUNTIF(#REF!,"?*"))</definedName>
    <definedName name="rng_포트폴리오만기관리_간트차트_남은개월수">OFFSET(#REF!,,,COUNT(#REF!))</definedName>
    <definedName name="가계소득5분위_나이">#REF!</definedName>
    <definedName name="기타가상자산">OFFSET(#REF!,,,COUNTIF(#REF!,"?*"))</definedName>
    <definedName name="보장성보험자산">OFFSET(#REF!,,,COUNTIF(#REF!,"?*"))</definedName>
    <definedName name="보험데이터_납입방법">#REF!</definedName>
    <definedName name="부동산자산">OFFSET(#REF!,,,COUNTIF(#REF!,"?*"))</definedName>
    <definedName name="유류분권자">#REF!</definedName>
    <definedName name="저축성보험자산">OFFSET(#REF!,,,COUNTIF(#REF!,"?*"))</definedName>
    <definedName name="전체데이터_고객명">#REF!</definedName>
    <definedName name="전체데이터_기간">#REF!</definedName>
    <definedName name="전체데이터_부동산자산_상품명">#REF!</definedName>
    <definedName name="전체데이터_부채상환방법">#REF!</definedName>
    <definedName name="전체데이터_위험도">#REF!</definedName>
    <definedName name="전체데이터_자산구분_1">#REF!</definedName>
    <definedName name="전체데이터_자산구분_보장과저축">#REF!</definedName>
    <definedName name="전체데이터_자산구분2_기타자산">#REF!</definedName>
    <definedName name="전체데이터_자산구분2_부동산자산">#REF!</definedName>
    <definedName name="전체데이터_자산구분2_부채자산">#REF!</definedName>
    <definedName name="전체데이터_자산구분2_절세전략자산">#REF!</definedName>
    <definedName name="전체데이터_자산구분2_투자자산">#REF!</definedName>
    <definedName name="전체데이터_자산구분2_현금성자산">#REF!</definedName>
    <definedName name="전체데이터_재무목표">#REF!</definedName>
    <definedName name="전체데이터_화폐">#REF!</definedName>
    <definedName name="절세자산">OFFSET(#REF!,,,COUNTIF(#REF!,"?*"))</definedName>
    <definedName name="지우개_3_1_재무전략점검">#REF!,#REF!,#REF!,#REF!,#REF!,#REF!,#REF!,#REF!,#REF!,#REF!,#REF!,#REF!,#REF!,#REF!,#REF!,#REF!,#REF!,#REF!,#REF!,#REF!</definedName>
    <definedName name="지우개_보조_대출">#REF!,#REF!,#REF!</definedName>
    <definedName name="지우개_보조_보험">#REF!,#REF!,#REF!,#REF!</definedName>
    <definedName name="지우개_전체데이터">#REF!,#REF!,#REF!,#REF!,#REF!,#REF!,#REF!,#REF!,#REF!,#REF!,#REF!,#REF!,#REF!,#REF!,#REF!,#REF!,#REF!,#REF!,#REF!,#REF!,#REF!,#REF!,#REF!,#REF!,#REF!,#REF!,#REF!,#REF!,#REF!,#REF!,#REF!,#REF!,#REF!,#REF!,#REF!,#REF!,#REF!,#REF!,#REF!,#REF!</definedName>
    <definedName name="투자자산">OFFSET(#REF!,,,COUNTIF(#REF!,"?*"))</definedName>
    <definedName name="표_투자자산관리">#REF!</definedName>
    <definedName name="현금성자산">OFFSET(#REF!,,,COUNTIF(#REF!,"?*"))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7" i="1" l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26" i="1"/>
  <c r="C26" i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E10" i="1"/>
  <c r="D18" i="1" s="1"/>
  <c r="B27" i="1"/>
  <c r="E27" i="1" s="1"/>
  <c r="E26" i="1"/>
  <c r="D26" i="1"/>
  <c r="D19" i="1" l="1"/>
  <c r="H18" i="1" s="1"/>
  <c r="D27" i="1"/>
  <c r="B28" i="1"/>
  <c r="B29" i="1" l="1"/>
  <c r="E28" i="1"/>
  <c r="D28" i="1"/>
  <c r="E29" i="1" l="1"/>
  <c r="B30" i="1"/>
  <c r="D29" i="1"/>
  <c r="B31" i="1" l="1"/>
  <c r="D30" i="1"/>
  <c r="E30" i="1"/>
  <c r="D31" i="1" l="1"/>
  <c r="E31" i="1"/>
  <c r="B32" i="1"/>
  <c r="B33" i="1" l="1"/>
  <c r="E32" i="1"/>
  <c r="D32" i="1"/>
  <c r="E33" i="1" l="1"/>
  <c r="D33" i="1"/>
  <c r="B34" i="1"/>
  <c r="B35" i="1" l="1"/>
  <c r="E34" i="1"/>
  <c r="D34" i="1"/>
  <c r="D35" i="1" l="1"/>
  <c r="E35" i="1"/>
  <c r="B36" i="1"/>
  <c r="E36" i="1" l="1"/>
  <c r="B37" i="1"/>
  <c r="D36" i="1"/>
  <c r="B38" i="1" l="1"/>
  <c r="E37" i="1"/>
  <c r="D37" i="1"/>
  <c r="D38" i="1" l="1"/>
  <c r="E38" i="1"/>
  <c r="B39" i="1"/>
  <c r="E39" i="1" l="1"/>
  <c r="D39" i="1"/>
  <c r="B40" i="1"/>
  <c r="B41" i="1" l="1"/>
  <c r="E40" i="1"/>
  <c r="D40" i="1"/>
  <c r="E41" i="1" l="1"/>
  <c r="D41" i="1"/>
  <c r="B42" i="1"/>
  <c r="B43" i="1" l="1"/>
  <c r="E42" i="1"/>
  <c r="D42" i="1"/>
  <c r="D43" i="1" l="1"/>
  <c r="E43" i="1"/>
  <c r="B44" i="1"/>
  <c r="B45" i="1" l="1"/>
  <c r="D44" i="1"/>
  <c r="E44" i="1"/>
  <c r="E45" i="1" l="1"/>
  <c r="D45" i="1"/>
  <c r="E46" i="1" l="1"/>
  <c r="E13" i="1" l="1"/>
  <c r="E19" i="1" l="1"/>
  <c r="I18" i="1" s="1"/>
  <c r="F26" i="1" s="1"/>
  <c r="E18" i="1"/>
  <c r="F46" i="1" l="1"/>
  <c r="I26" i="1"/>
  <c r="G26" i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I27" i="1" l="1"/>
  <c r="H26" i="1"/>
  <c r="G37" i="1"/>
  <c r="G38" i="1" s="1"/>
  <c r="G39" i="1" s="1"/>
  <c r="G40" i="1" s="1"/>
  <c r="G41" i="1" s="1"/>
  <c r="G42" i="1" s="1"/>
  <c r="G43" i="1" s="1"/>
  <c r="G44" i="1" s="1"/>
  <c r="G45" i="1" s="1"/>
  <c r="H27" i="1" l="1"/>
  <c r="I28" i="1"/>
  <c r="I29" i="1" l="1"/>
  <c r="H28" i="1"/>
  <c r="H29" i="1" l="1"/>
  <c r="I30" i="1"/>
  <c r="H30" i="1" l="1"/>
  <c r="I31" i="1"/>
  <c r="H31" i="1" l="1"/>
  <c r="I32" i="1"/>
  <c r="H32" i="1" l="1"/>
  <c r="I33" i="1"/>
  <c r="I34" i="1" l="1"/>
  <c r="H33" i="1"/>
  <c r="H34" i="1" l="1"/>
  <c r="I35" i="1"/>
  <c r="I36" i="1" l="1"/>
  <c r="H35" i="1"/>
  <c r="I37" i="1" l="1"/>
  <c r="H36" i="1"/>
  <c r="H37" i="1" l="1"/>
  <c r="I38" i="1"/>
  <c r="H38" i="1" l="1"/>
  <c r="I39" i="1"/>
  <c r="H39" i="1" l="1"/>
  <c r="I40" i="1"/>
  <c r="H40" i="1" l="1"/>
  <c r="I41" i="1"/>
  <c r="I42" i="1" l="1"/>
  <c r="H41" i="1"/>
  <c r="I43" i="1" l="1"/>
  <c r="H42" i="1"/>
  <c r="H43" i="1" l="1"/>
  <c r="I44" i="1"/>
  <c r="H44" i="1" l="1"/>
  <c r="I45" i="1"/>
  <c r="H4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18" authorId="0" shapeId="0" xr:uid="{21ACE6CB-819A-452F-B648-DA855D6F3F48}">
      <text>
        <r>
          <rPr>
            <b/>
            <sz val="9"/>
            <color indexed="81"/>
            <rFont val="Tahoma"/>
            <family val="2"/>
          </rPr>
          <t>물가고려O: 실질수익률 = (1+은퇴연금수익률)/(1+물가상승률)-1 을 적용한 연금현가(PV)</t>
        </r>
      </text>
    </comment>
    <comment ref="E18" authorId="0" shapeId="0" xr:uid="{ECA0A6B4-7678-46AC-B0FF-1C564674FA3C}">
      <text>
        <r>
          <rPr>
            <b/>
            <sz val="9"/>
            <color indexed="81"/>
            <rFont val="Tahoma"/>
            <family val="2"/>
          </rPr>
          <t>물가고려O 거치금액:
1) PV(J11/12, I11*12, 0, D17) = 거치기간 역산 → 적립완료 시점 필요금액
2) PV(J11/12, H11*12, -월적립액, -적립완료필요금액) = 플랜 시작 시 필요 투자금(거치금액)</t>
        </r>
      </text>
    </comment>
    <comment ref="H18" authorId="0" shapeId="0" xr:uid="{996D76CD-E45B-4051-A49E-B646490A833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토글 연동: 물가고려 O 선택 시 D17, X 선택 시 D18 값 반영</t>
        </r>
      </text>
    </comment>
    <comment ref="I18" authorId="0" shapeId="0" xr:uid="{D8929A7E-F022-41C2-96EC-29B7258EB49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토글 연동: 물가고려 O 선택 시 E17, X 선택 시 E18 값 반영</t>
        </r>
      </text>
    </comment>
    <comment ref="D19" authorId="0" shapeId="0" xr:uid="{DAB95065-DA25-490E-BD88-BE0037DA36F2}">
      <text>
        <r>
          <rPr>
            <b/>
            <sz val="9"/>
            <color indexed="81"/>
            <rFont val="Tahoma"/>
            <family val="2"/>
          </rPr>
          <t>물가고려X: 은퇴연금 명목수익률을 적용한 연금현가(PV)</t>
        </r>
      </text>
    </comment>
    <comment ref="E19" authorId="0" shapeId="0" xr:uid="{8A43BFD3-E768-4450-9D69-F1E69B547196}">
      <text>
        <r>
          <rPr>
            <b/>
            <sz val="9"/>
            <color indexed="81"/>
            <rFont val="Tahoma"/>
            <family val="2"/>
          </rPr>
          <t>물가고려X 거치금액:
1) PV(J11/12, I11*12, 0, D18) = 거치기간 역산 → 적립완료 시점 필요금액
2) PV(J11/12, H11*12, -월적립액, -적립완료필요금액) = 플랜 시작 시 필요 투자금(거치금액)</t>
        </r>
      </text>
    </comment>
  </commentList>
</comments>
</file>

<file path=xl/sharedStrings.xml><?xml version="1.0" encoding="utf-8"?>
<sst xmlns="http://schemas.openxmlformats.org/spreadsheetml/2006/main" count="43" uniqueCount="42">
  <si>
    <t>은퇴기간(수령기간)</t>
    <phoneticPr fontId="4" type="noConversion"/>
  </si>
  <si>
    <t>물가상승률</t>
    <phoneticPr fontId="4" type="noConversion"/>
  </si>
  <si>
    <t>고객명</t>
    <phoneticPr fontId="4" type="noConversion"/>
  </si>
  <si>
    <t>생년월일</t>
    <phoneticPr fontId="4" type="noConversion"/>
  </si>
  <si>
    <t>나이</t>
    <phoneticPr fontId="4" type="noConversion"/>
  </si>
  <si>
    <t>테스트</t>
    <phoneticPr fontId="4" type="noConversion"/>
  </si>
  <si>
    <t>희망 은퇴 조건 입력</t>
    <phoneticPr fontId="4" type="noConversion"/>
  </si>
  <si>
    <t>희망 은퇴나이</t>
    <phoneticPr fontId="4" type="noConversion"/>
  </si>
  <si>
    <t>적립기간</t>
    <phoneticPr fontId="4" type="noConversion"/>
  </si>
  <si>
    <t>거치기간</t>
    <phoneticPr fontId="4" type="noConversion"/>
  </si>
  <si>
    <t>예상수익률</t>
    <phoneticPr fontId="4" type="noConversion"/>
  </si>
  <si>
    <t>계산결과</t>
    <phoneticPr fontId="4" type="noConversion"/>
  </si>
  <si>
    <t>목표은퇴자금</t>
    <phoneticPr fontId="4" type="noConversion"/>
  </si>
  <si>
    <t>Total</t>
    <phoneticPr fontId="4" type="noConversion"/>
  </si>
  <si>
    <t>물가고려 O</t>
    <phoneticPr fontId="4" type="noConversion"/>
  </si>
  <si>
    <t>물가 고려 X</t>
    <phoneticPr fontId="4" type="noConversion"/>
  </si>
  <si>
    <t>연적립 금액</t>
    <phoneticPr fontId="4" type="noConversion"/>
  </si>
  <si>
    <t>필요 거치금액</t>
    <phoneticPr fontId="4" type="noConversion"/>
  </si>
  <si>
    <t>복리성장 시뮬레이션</t>
    <phoneticPr fontId="4" type="noConversion"/>
  </si>
  <si>
    <t>연차</t>
  </si>
  <si>
    <t>구분</t>
  </si>
  <si>
    <t>월 적립액</t>
  </si>
  <si>
    <t>누적 원금</t>
  </si>
  <si>
    <t>운용수익(누적)</t>
  </si>
  <si>
    <t>총 평가금액</t>
  </si>
  <si>
    <t>물가고려</t>
  </si>
  <si>
    <t>→ 적용값</t>
  </si>
  <si>
    <t>X</t>
  </si>
  <si>
    <t>은퇴연금 수익률</t>
    <phoneticPr fontId="4" type="noConversion"/>
  </si>
  <si>
    <t>추가 거치금액</t>
  </si>
  <si>
    <t>연금수령기간</t>
    <phoneticPr fontId="4" type="noConversion"/>
  </si>
  <si>
    <t>연금준비기간</t>
    <phoneticPr fontId="4" type="noConversion"/>
  </si>
  <si>
    <t>현재가치 희망 수령액</t>
    <phoneticPr fontId="4" type="noConversion"/>
  </si>
  <si>
    <t>은퇴당시 수령액</t>
    <phoneticPr fontId="4" type="noConversion"/>
  </si>
  <si>
    <t>희망은퇴플랜</t>
    <phoneticPr fontId="4" type="noConversion"/>
  </si>
  <si>
    <t>투자흐름</t>
    <phoneticPr fontId="4" type="noConversion"/>
  </si>
  <si>
    <t>은퇴플랜</t>
    <phoneticPr fontId="4" type="noConversion"/>
  </si>
  <si>
    <t>인터렉티브 계산기</t>
    <phoneticPr fontId="4" type="noConversion"/>
  </si>
  <si>
    <t>연금수령 계획</t>
    <phoneticPr fontId="4" type="noConversion"/>
  </si>
  <si>
    <t>&lt;= 표는 아코디언 버튼으로 접었다 폈다 할 수 있도록하고, 그래프는 상시 보이도록</t>
    <phoneticPr fontId="4" type="noConversion"/>
  </si>
  <si>
    <t>&lt;= 이 부분은 토글버튼으로 구현하고, 적용값은 보여지는 부분 아님.</t>
    <phoneticPr fontId="4" type="noConversion"/>
  </si>
  <si>
    <t>연차(나이)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</si>
</sst>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85" formatCode="0&quot;년차&quot;"/>
    <numFmt numFmtId="186" formatCode="_(* #,##0_);_(* \(#,##0\);_(* &quot;-&quot;_);_(@_)"/>
    <numFmt numFmtId="189" formatCode="0&quot;세&quot;"/>
    <numFmt numFmtId="190" formatCode="0&quot;년&quot;"/>
  </numFmts>
  <fonts count="1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rgb="FFFFFFFF"/>
      <name val="맑은 고딕"/>
      <family val="3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0"/>
      <color rgb="FF0000FF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B1D2F"/>
        <bgColor indexed="64"/>
      </patternFill>
    </fill>
    <fill>
      <patternFill patternType="solid">
        <fgColor rgb="FFFBE2D5"/>
        <bgColor indexed="64"/>
      </patternFill>
    </fill>
    <fill>
      <patternFill patternType="solid">
        <fgColor rgb="FFC1F0C8"/>
        <bgColor indexed="64"/>
      </patternFill>
    </fill>
    <fill>
      <patternFill patternType="solid">
        <fgColor rgb="FFDAF2D0"/>
        <bgColor indexed="64"/>
      </patternFill>
    </fill>
    <fill>
      <patternFill patternType="solid">
        <fgColor theme="1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10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0" fontId="0" fillId="0" borderId="5" xfId="0" applyNumberForma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14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85" fontId="8" fillId="0" borderId="0" xfId="0" applyNumberFormat="1" applyFont="1" applyAlignment="1">
      <alignment horizontal="center" vertical="center"/>
    </xf>
    <xf numFmtId="186" fontId="8" fillId="0" borderId="0" xfId="0" applyNumberFormat="1" applyFont="1" applyAlignment="1">
      <alignment horizontal="center" vertical="center"/>
    </xf>
    <xf numFmtId="186" fontId="0" fillId="0" borderId="0" xfId="0" applyNumberFormat="1">
      <alignment vertical="center"/>
    </xf>
    <xf numFmtId="185" fontId="8" fillId="0" borderId="11" xfId="0" applyNumberFormat="1" applyFont="1" applyBorder="1" applyAlignment="1">
      <alignment horizontal="center" vertical="center"/>
    </xf>
    <xf numFmtId="186" fontId="8" fillId="0" borderId="11" xfId="0" applyNumberFormat="1" applyFont="1" applyBorder="1" applyAlignment="1">
      <alignment horizontal="center" vertical="center"/>
    </xf>
    <xf numFmtId="0" fontId="11" fillId="5" borderId="12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1" fontId="0" fillId="0" borderId="4" xfId="1" applyFont="1" applyBorder="1" applyAlignment="1">
      <alignment vertical="center"/>
    </xf>
    <xf numFmtId="41" fontId="0" fillId="0" borderId="5" xfId="1" applyFont="1" applyBorder="1" applyAlignment="1">
      <alignment vertical="center"/>
    </xf>
    <xf numFmtId="41" fontId="0" fillId="2" borderId="1" xfId="1" applyFont="1" applyFill="1" applyBorder="1" applyAlignment="1">
      <alignment vertical="center"/>
    </xf>
    <xf numFmtId="41" fontId="0" fillId="2" borderId="2" xfId="1" applyFont="1" applyFill="1" applyBorder="1" applyAlignment="1">
      <alignment vertical="center"/>
    </xf>
    <xf numFmtId="0" fontId="0" fillId="2" borderId="8" xfId="0" applyFill="1" applyBorder="1" applyAlignment="1">
      <alignment horizontal="center" vertical="center"/>
    </xf>
    <xf numFmtId="0" fontId="2" fillId="7" borderId="13" xfId="0" applyFont="1" applyFill="1" applyBorder="1" applyAlignment="1">
      <alignment horizontal="center" vertical="center"/>
    </xf>
    <xf numFmtId="186" fontId="12" fillId="8" borderId="0" xfId="0" applyNumberFormat="1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86" fontId="13" fillId="6" borderId="0" xfId="0" applyNumberFormat="1" applyFont="1" applyFill="1" applyAlignment="1">
      <alignment horizontal="center" vertical="center"/>
    </xf>
    <xf numFmtId="186" fontId="13" fillId="6" borderId="11" xfId="0" applyNumberFormat="1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41" fontId="0" fillId="0" borderId="16" xfId="1" applyFont="1" applyBorder="1" applyAlignment="1">
      <alignment vertical="center"/>
    </xf>
    <xf numFmtId="0" fontId="0" fillId="2" borderId="17" xfId="0" applyFill="1" applyBorder="1" applyAlignment="1">
      <alignment horizontal="center" vertical="center"/>
    </xf>
    <xf numFmtId="41" fontId="0" fillId="3" borderId="18" xfId="1" applyFont="1" applyFill="1" applyBorder="1">
      <alignment vertical="center"/>
    </xf>
    <xf numFmtId="10" fontId="0" fillId="3" borderId="5" xfId="0" applyNumberFormat="1" applyFill="1" applyBorder="1" applyAlignment="1">
      <alignment horizontal="center" vertical="center"/>
    </xf>
    <xf numFmtId="9" fontId="0" fillId="3" borderId="6" xfId="0" applyNumberFormat="1" applyFill="1" applyBorder="1" applyAlignment="1">
      <alignment horizontal="center" vertical="center"/>
    </xf>
    <xf numFmtId="41" fontId="0" fillId="3" borderId="5" xfId="1" applyFont="1" applyFill="1" applyBorder="1" applyAlignment="1">
      <alignment vertical="center"/>
    </xf>
    <xf numFmtId="0" fontId="12" fillId="3" borderId="9" xfId="0" applyFont="1" applyFill="1" applyBorder="1" applyAlignment="1">
      <alignment horizontal="center" vertical="center"/>
    </xf>
    <xf numFmtId="186" fontId="5" fillId="0" borderId="11" xfId="0" applyNumberFormat="1" applyFont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10" fontId="0" fillId="4" borderId="0" xfId="0" applyNumberFormat="1" applyFill="1" applyAlignment="1">
      <alignment horizontal="center" vertical="center"/>
    </xf>
    <xf numFmtId="0" fontId="0" fillId="0" borderId="19" xfId="0" applyBorder="1" applyAlignment="1">
      <alignment vertical="center"/>
    </xf>
    <xf numFmtId="0" fontId="3" fillId="9" borderId="0" xfId="0" applyFont="1" applyFill="1" applyAlignment="1">
      <alignment horizontal="center" vertical="center"/>
    </xf>
    <xf numFmtId="189" fontId="0" fillId="0" borderId="0" xfId="0" applyNumberFormat="1" applyAlignment="1">
      <alignment horizontal="center" vertical="center"/>
    </xf>
    <xf numFmtId="189" fontId="0" fillId="0" borderId="11" xfId="0" applyNumberFormat="1" applyBorder="1" applyAlignment="1">
      <alignment horizontal="center" vertical="center"/>
    </xf>
    <xf numFmtId="189" fontId="0" fillId="3" borderId="7" xfId="0" applyNumberFormat="1" applyFill="1" applyBorder="1" applyAlignment="1">
      <alignment horizontal="center" vertical="center"/>
    </xf>
    <xf numFmtId="190" fontId="0" fillId="3" borderId="7" xfId="0" applyNumberFormat="1" applyFill="1" applyBorder="1" applyAlignment="1">
      <alignment horizontal="center" vertical="center"/>
    </xf>
    <xf numFmtId="190" fontId="0" fillId="3" borderId="5" xfId="0" applyNumberFormat="1" applyFill="1" applyBorder="1" applyAlignment="1">
      <alignment horizontal="center" vertical="center"/>
    </xf>
    <xf numFmtId="190" fontId="0" fillId="0" borderId="5" xfId="0" applyNumberFormat="1" applyBorder="1" applyAlignment="1">
      <alignment horizontal="center" vertical="center"/>
    </xf>
    <xf numFmtId="0" fontId="11" fillId="5" borderId="0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Sheet1!$G$25</c:f>
              <c:strCache>
                <c:ptCount val="1"/>
                <c:pt idx="0">
                  <c:v>누적 원금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invertIfNegative val="0"/>
          <c:cat>
            <c:strRef>
              <c:f>Sheet1!$K$26:$K$45</c:f>
              <c:strCache>
                <c:ptCount val="20"/>
                <c:pt idx="0">
                  <c:v>1년차 (45세)</c:v>
                </c:pt>
                <c:pt idx="1">
                  <c:v>2년차 (46세)</c:v>
                </c:pt>
                <c:pt idx="2">
                  <c:v>3년차 (47세)</c:v>
                </c:pt>
                <c:pt idx="3">
                  <c:v>4년차 (48세)</c:v>
                </c:pt>
                <c:pt idx="4">
                  <c:v>5년차 (49세)</c:v>
                </c:pt>
                <c:pt idx="5">
                  <c:v>6년차 (50세)</c:v>
                </c:pt>
                <c:pt idx="6">
                  <c:v>7년차 (51세)</c:v>
                </c:pt>
                <c:pt idx="7">
                  <c:v>8년차 (52세)</c:v>
                </c:pt>
                <c:pt idx="8">
                  <c:v>9년차 (53세)</c:v>
                </c:pt>
                <c:pt idx="9">
                  <c:v>10년차 (54세)</c:v>
                </c:pt>
                <c:pt idx="10">
                  <c:v>11년차 (55세)</c:v>
                </c:pt>
                <c:pt idx="11">
                  <c:v>12년차 (56세)</c:v>
                </c:pt>
                <c:pt idx="12">
                  <c:v>13년차 (57세)</c:v>
                </c:pt>
                <c:pt idx="13">
                  <c:v>14년차 (58세)</c:v>
                </c:pt>
                <c:pt idx="14">
                  <c:v>15년차 (59세)</c:v>
                </c:pt>
                <c:pt idx="15">
                  <c:v>16년차 (60세)</c:v>
                </c:pt>
                <c:pt idx="16">
                  <c:v>17년차 (61세)</c:v>
                </c:pt>
                <c:pt idx="17">
                  <c:v>18년차 (62세)</c:v>
                </c:pt>
                <c:pt idx="18">
                  <c:v>19년차 (63세)</c:v>
                </c:pt>
                <c:pt idx="19">
                  <c:v>20년차 (64세)</c:v>
                </c:pt>
              </c:strCache>
            </c:strRef>
          </c:cat>
          <c:val>
            <c:numRef>
              <c:f>Sheet1!$G$26:$G$45</c:f>
              <c:numCache>
                <c:formatCode>_(* #,##0_);_(* \(#,##0\);_(* "-"_);_(@_)</c:formatCode>
                <c:ptCount val="20"/>
                <c:pt idx="0">
                  <c:v>1182550000</c:v>
                </c:pt>
                <c:pt idx="1">
                  <c:v>1302550000</c:v>
                </c:pt>
                <c:pt idx="2">
                  <c:v>1422550000</c:v>
                </c:pt>
                <c:pt idx="3">
                  <c:v>1542550000</c:v>
                </c:pt>
                <c:pt idx="4">
                  <c:v>1662550000</c:v>
                </c:pt>
                <c:pt idx="5">
                  <c:v>1662550000</c:v>
                </c:pt>
                <c:pt idx="6">
                  <c:v>1662550000</c:v>
                </c:pt>
                <c:pt idx="7">
                  <c:v>1662550000</c:v>
                </c:pt>
                <c:pt idx="8">
                  <c:v>1662550000</c:v>
                </c:pt>
                <c:pt idx="9">
                  <c:v>1662550000</c:v>
                </c:pt>
                <c:pt idx="10">
                  <c:v>1662550000</c:v>
                </c:pt>
                <c:pt idx="11">
                  <c:v>1662550000</c:v>
                </c:pt>
                <c:pt idx="12">
                  <c:v>1662550000</c:v>
                </c:pt>
                <c:pt idx="13">
                  <c:v>1662550000</c:v>
                </c:pt>
                <c:pt idx="14">
                  <c:v>1662550000</c:v>
                </c:pt>
                <c:pt idx="15">
                  <c:v>1662550000</c:v>
                </c:pt>
                <c:pt idx="16">
                  <c:v>1662550000</c:v>
                </c:pt>
                <c:pt idx="17">
                  <c:v>1662550000</c:v>
                </c:pt>
                <c:pt idx="18">
                  <c:v>1662550000</c:v>
                </c:pt>
                <c:pt idx="19">
                  <c:v>1662550000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6-4281-9275-BB99A4A0F4A5}"/>
            </c:ext>
          </c:extLst>
        </c:ser>
        <c:ser>
          <c:idx val="1"/>
          <c:order val="1"/>
          <c:tx>
            <c:strRef>
              <c:f>Sheet1!$H$25</c:f>
              <c:strCache>
                <c:ptCount val="1"/>
                <c:pt idx="0">
                  <c:v>운용수익(누적)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cat>
            <c:strRef>
              <c:f>Sheet1!$K$26:$K$45</c:f>
              <c:strCache>
                <c:ptCount val="20"/>
                <c:pt idx="0">
                  <c:v>1년차 (45세)</c:v>
                </c:pt>
                <c:pt idx="1">
                  <c:v>2년차 (46세)</c:v>
                </c:pt>
                <c:pt idx="2">
                  <c:v>3년차 (47세)</c:v>
                </c:pt>
                <c:pt idx="3">
                  <c:v>4년차 (48세)</c:v>
                </c:pt>
                <c:pt idx="4">
                  <c:v>5년차 (49세)</c:v>
                </c:pt>
                <c:pt idx="5">
                  <c:v>6년차 (50세)</c:v>
                </c:pt>
                <c:pt idx="6">
                  <c:v>7년차 (51세)</c:v>
                </c:pt>
                <c:pt idx="7">
                  <c:v>8년차 (52세)</c:v>
                </c:pt>
                <c:pt idx="8">
                  <c:v>9년차 (53세)</c:v>
                </c:pt>
                <c:pt idx="9">
                  <c:v>10년차 (54세)</c:v>
                </c:pt>
                <c:pt idx="10">
                  <c:v>11년차 (55세)</c:v>
                </c:pt>
                <c:pt idx="11">
                  <c:v>12년차 (56세)</c:v>
                </c:pt>
                <c:pt idx="12">
                  <c:v>13년차 (57세)</c:v>
                </c:pt>
                <c:pt idx="13">
                  <c:v>14년차 (58세)</c:v>
                </c:pt>
                <c:pt idx="14">
                  <c:v>15년차 (59세)</c:v>
                </c:pt>
                <c:pt idx="15">
                  <c:v>16년차 (60세)</c:v>
                </c:pt>
                <c:pt idx="16">
                  <c:v>17년차 (61세)</c:v>
                </c:pt>
                <c:pt idx="17">
                  <c:v>18년차 (62세)</c:v>
                </c:pt>
                <c:pt idx="18">
                  <c:v>19년차 (63세)</c:v>
                </c:pt>
                <c:pt idx="19">
                  <c:v>20년차 (64세)</c:v>
                </c:pt>
              </c:strCache>
            </c:strRef>
          </c:cat>
          <c:val>
            <c:numRef>
              <c:f>Sheet1!$H$26:$H$45</c:f>
              <c:numCache>
                <c:formatCode>_(* #,##0_);_(* \(#,##0\);_(* "-"_);_(@_)</c:formatCode>
                <c:ptCount val="20"/>
                <c:pt idx="0">
                  <c:v>80737678.31019783</c:v>
                </c:pt>
                <c:pt idx="1">
                  <c:v>175986699.61633301</c:v>
                </c:pt>
                <c:pt idx="2">
                  <c:v>286796090.07691431</c:v>
                </c:pt>
                <c:pt idx="3">
                  <c:v>414290710.03626966</c:v>
                </c:pt>
                <c:pt idx="4">
                  <c:v>559676736.08397007</c:v>
                </c:pt>
                <c:pt idx="5">
                  <c:v>720321686.51636934</c:v>
                </c:pt>
                <c:pt idx="6">
                  <c:v>892579673.4046731</c:v>
                </c:pt>
                <c:pt idx="7">
                  <c:v>1077290204.0932646</c:v>
                </c:pt>
                <c:pt idx="8">
                  <c:v>1275353473.9803324</c:v>
                </c:pt>
                <c:pt idx="9">
                  <c:v>1487734753.6621871</c:v>
                </c:pt>
                <c:pt idx="10">
                  <c:v>1715469093.2245936</c:v>
                </c:pt>
                <c:pt idx="11">
                  <c:v>1959666366.607708</c:v>
                </c:pt>
                <c:pt idx="12">
                  <c:v>2221516680.6285601</c:v>
                </c:pt>
                <c:pt idx="13">
                  <c:v>2502296175.0222106</c:v>
                </c:pt>
                <c:pt idx="14">
                  <c:v>2803373241.7683506</c:v>
                </c:pt>
                <c:pt idx="15">
                  <c:v>3126215194.0135279</c:v>
                </c:pt>
                <c:pt idx="16">
                  <c:v>3472395417.0902939</c:v>
                </c:pt>
                <c:pt idx="17">
                  <c:v>3843601036.4841089</c:v>
                </c:pt>
                <c:pt idx="18">
                  <c:v>4241641140.1181927</c:v>
                </c:pt>
                <c:pt idx="19">
                  <c:v>4668455595.0280085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86-4281-9275-BB99A4A0F4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34053208"/>
        <c:axId val="1134056448"/>
      </c:barChart>
      <c:catAx>
        <c:axId val="1134053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34056448"/>
        <c:crosses val="autoZero"/>
        <c:auto val="1"/>
        <c:lblAlgn val="ctr"/>
        <c:lblOffset val="100"/>
        <c:noMultiLvlLbl val="0"/>
      </c:catAx>
      <c:valAx>
        <c:axId val="113405644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crossAx val="1134053208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9524</xdr:colOff>
      <xdr:row>47</xdr:row>
      <xdr:rowOff>0</xdr:rowOff>
    </xdr:from>
    <xdr:to>
      <xdr:col>9</xdr:col>
      <xdr:colOff>9524</xdr:colOff>
      <xdr:row>68</xdr:row>
      <xdr:rowOff>44450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BDC764DD-5FE3-3DF0-93DE-777C873BB2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ropbox/Director%20Kim/4.%20Archive/&#54532;&#47196;&#44536;&#47016;%20&#51228;&#51089;/03.%20&#51116;&#47924;&#49444;&#44228;%20&#54532;&#47196;&#44536;&#47016;/&#48372;&#51312;&#51088;&#47308;/02.&#48372;&#51312;&#51109;&#54364;_9988.xlsx" TargetMode="External"/><Relationship Id="rId2" Type="http://schemas.openxmlformats.org/officeDocument/2006/relationships/externalLinkPath" Target="file:///C:\Users\user\Dropbox\Director%20Kim\4.%20Archive\&#54532;&#47196;&#44536;&#47016;%20&#51228;&#51089;\03.%20&#51116;&#47924;&#49444;&#44228;%20&#54532;&#47196;&#44536;&#47016;\&#48372;&#51312;&#51088;&#47308;\02.&#48372;&#51312;&#51109;&#54364;_9988.xlsx" TargetMode="External"/><Relationship Id="rId1" Type="http://schemas.openxmlformats.org/officeDocument/2006/relationships/externalLinkPath" Target="/Users/user/Dropbox/Director%20Kim/4.%20Archive/&#54532;&#47196;&#44536;&#47016;%20&#51228;&#51089;/03.%20&#51116;&#47924;&#49444;&#44228;%20&#54532;&#47196;&#44536;&#47016;/&#48372;&#51312;&#51088;&#47308;/02.&#48372;&#51312;&#51109;&#54364;_998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-1_은퇴플랜"/>
      <sheetName val="2-2_부동산마련"/>
      <sheetName val="2-3_부채상환"/>
      <sheetName val="2-4_교육자금마련"/>
      <sheetName val="2-5_유학자금마련"/>
      <sheetName val="2-6_독립자금마련"/>
      <sheetName val="적립식투자"/>
      <sheetName val="상승장과하락장투자"/>
      <sheetName val="적립_거치식투자"/>
      <sheetName val="시간의가치"/>
      <sheetName val="Sheet1"/>
      <sheetName val="절세투자비교"/>
      <sheetName val="Sheet2"/>
      <sheetName val="목표자산만들기_1"/>
      <sheetName val="목표자산만들기_2"/>
      <sheetName val="목표자산만들기_3"/>
      <sheetName val="6가지원칙"/>
      <sheetName val="코스트에버리징"/>
      <sheetName val="1990년~2012년 3개월 리밸런싱(채권실제기준가 적용"/>
      <sheetName val="장기투자"/>
      <sheetName val="분산투자"/>
      <sheetName val="리밸런싱"/>
      <sheetName val="업그레이딩"/>
      <sheetName val="인슈런스"/>
      <sheetName val="인슈런스_2"/>
      <sheetName val="적립식위험재조정"/>
      <sheetName val="거치식위험재조정"/>
      <sheetName val="추천투자전략"/>
      <sheetName val="자산배분샘플표"/>
      <sheetName val="연금저축절세비교"/>
      <sheetName val="연금저축계좌 VS 보험"/>
      <sheetName val="연금저축계좌 VS IRP"/>
      <sheetName val="연금저축계좌이전"/>
      <sheetName val="물고기(연금저축)"/>
      <sheetName val="연금저축수익률관리"/>
      <sheetName val="각종 지수"/>
      <sheetName val="은퇴플랜계산기"/>
      <sheetName val="은퇴플랜계산기_2"/>
      <sheetName val="대출상환 플랜"/>
      <sheetName val="은퇴플랜계산기_2 (2)"/>
      <sheetName val="은퇴연금시뮬레이션_1"/>
      <sheetName val="은퇴연금시뮬레이션_2"/>
      <sheetName val="물고기"/>
      <sheetName val="롬니증여"/>
      <sheetName val="보장자산계산"/>
    </sheetNames>
    <sheetDataSet>
      <sheetData sheetId="0">
        <row r="13">
          <cell r="Q13">
            <v>50</v>
          </cell>
          <cell r="R13">
            <v>51</v>
          </cell>
          <cell r="S13">
            <v>52</v>
          </cell>
          <cell r="T13">
            <v>53</v>
          </cell>
          <cell r="U13">
            <v>54</v>
          </cell>
          <cell r="V13">
            <v>55</v>
          </cell>
          <cell r="W13">
            <v>56</v>
          </cell>
          <cell r="X13">
            <v>57</v>
          </cell>
          <cell r="Y13">
            <v>58</v>
          </cell>
          <cell r="Z13">
            <v>59</v>
          </cell>
          <cell r="AA13">
            <v>60</v>
          </cell>
          <cell r="AB13">
            <v>61</v>
          </cell>
          <cell r="AC13">
            <v>62</v>
          </cell>
          <cell r="AD13">
            <v>63</v>
          </cell>
          <cell r="AE13">
            <v>64</v>
          </cell>
          <cell r="AF13">
            <v>65</v>
          </cell>
          <cell r="AG13">
            <v>66</v>
          </cell>
          <cell r="AH13">
            <v>67</v>
          </cell>
          <cell r="AI13">
            <v>68</v>
          </cell>
          <cell r="AJ13">
            <v>69</v>
          </cell>
          <cell r="AK13">
            <v>70</v>
          </cell>
          <cell r="AL13">
            <v>71</v>
          </cell>
          <cell r="AM13">
            <v>72</v>
          </cell>
          <cell r="AN13">
            <v>73</v>
          </cell>
          <cell r="AO13">
            <v>74</v>
          </cell>
          <cell r="AP13">
            <v>75</v>
          </cell>
          <cell r="AQ13">
            <v>76</v>
          </cell>
          <cell r="AR13">
            <v>77</v>
          </cell>
          <cell r="AS13">
            <v>78</v>
          </cell>
          <cell r="AT13">
            <v>79</v>
          </cell>
          <cell r="AU13">
            <v>80</v>
          </cell>
          <cell r="AV13">
            <v>81</v>
          </cell>
          <cell r="AW13">
            <v>82</v>
          </cell>
          <cell r="AX13">
            <v>83</v>
          </cell>
          <cell r="AY13">
            <v>84</v>
          </cell>
          <cell r="AZ13">
            <v>85</v>
          </cell>
          <cell r="BA13">
            <v>86</v>
          </cell>
          <cell r="BB13">
            <v>87</v>
          </cell>
          <cell r="BC13">
            <v>88</v>
          </cell>
          <cell r="BD13">
            <v>89</v>
          </cell>
          <cell r="BE13">
            <v>90</v>
          </cell>
          <cell r="BF13">
            <v>91</v>
          </cell>
          <cell r="BG13">
            <v>92</v>
          </cell>
          <cell r="BH13">
            <v>93</v>
          </cell>
          <cell r="BI13">
            <v>94</v>
          </cell>
          <cell r="BJ13">
            <v>95</v>
          </cell>
          <cell r="BK13">
            <v>96</v>
          </cell>
          <cell r="BL13">
            <v>97</v>
          </cell>
          <cell r="BM13">
            <v>98</v>
          </cell>
          <cell r="BN13">
            <v>99</v>
          </cell>
          <cell r="BO13">
            <v>100</v>
          </cell>
          <cell r="BP13" t="str">
            <v/>
          </cell>
          <cell r="BQ13" t="e">
            <v>#VALUE!</v>
          </cell>
          <cell r="BR13" t="e">
            <v>#VALUE!</v>
          </cell>
          <cell r="BS13" t="e">
            <v>#VALUE!</v>
          </cell>
          <cell r="BT13" t="e">
            <v>#VALUE!</v>
          </cell>
          <cell r="BU13" t="e">
            <v>#VALUE!</v>
          </cell>
          <cell r="BV13" t="e">
            <v>#VALUE!</v>
          </cell>
          <cell r="BW13" t="e">
            <v>#VALUE!</v>
          </cell>
          <cell r="BX13" t="e">
            <v>#VALUE!</v>
          </cell>
          <cell r="BY13" t="e">
            <v>#VALUE!</v>
          </cell>
          <cell r="BZ13" t="e">
            <v>#VALUE!</v>
          </cell>
          <cell r="CA13" t="e">
            <v>#VALUE!</v>
          </cell>
          <cell r="CB13" t="e">
            <v>#VALUE!</v>
          </cell>
          <cell r="CC13" t="e">
            <v>#VALUE!</v>
          </cell>
          <cell r="CD13" t="e">
            <v>#VALUE!</v>
          </cell>
          <cell r="CE13" t="e">
            <v>#VALUE!</v>
          </cell>
          <cell r="CF13" t="e">
            <v>#VALUE!</v>
          </cell>
          <cell r="CG13" t="e">
            <v>#VALUE!</v>
          </cell>
          <cell r="CH13" t="e">
            <v>#VALUE!</v>
          </cell>
          <cell r="CI13" t="e">
            <v>#VALUE!</v>
          </cell>
          <cell r="CJ13" t="e">
            <v>#VALUE!</v>
          </cell>
          <cell r="CK13" t="e">
            <v>#VALUE!</v>
          </cell>
          <cell r="CL13" t="e">
            <v>#VALUE!</v>
          </cell>
          <cell r="CM13" t="e">
            <v>#VALUE!</v>
          </cell>
          <cell r="CN13" t="e">
            <v>#VALUE!</v>
          </cell>
          <cell r="CO13" t="e">
            <v>#VALUE!</v>
          </cell>
          <cell r="CP13" t="e">
            <v>#VALUE!</v>
          </cell>
          <cell r="CQ13" t="e">
            <v>#VALUE!</v>
          </cell>
          <cell r="CR13" t="e">
            <v>#VALUE!</v>
          </cell>
          <cell r="CS13" t="e">
            <v>#VALUE!</v>
          </cell>
          <cell r="CT13" t="e">
            <v>#VALUE!</v>
          </cell>
          <cell r="CU13" t="e">
            <v>#VALUE!</v>
          </cell>
          <cell r="CV13" t="e">
            <v>#VALUE!</v>
          </cell>
          <cell r="CW13" t="e">
            <v>#VALUE!</v>
          </cell>
          <cell r="CX13" t="e">
            <v>#VALUE!</v>
          </cell>
          <cell r="CY13" t="e">
            <v>#VALUE!</v>
          </cell>
          <cell r="CZ13" t="e">
            <v>#VALUE!</v>
          </cell>
          <cell r="DA13" t="e">
            <v>#VALUE!</v>
          </cell>
          <cell r="DB13" t="e">
            <v>#VALUE!</v>
          </cell>
          <cell r="DC13" t="e">
            <v>#VALUE!</v>
          </cell>
          <cell r="DD13" t="e">
            <v>#VALUE!</v>
          </cell>
          <cell r="DE13" t="e">
            <v>#VALUE!</v>
          </cell>
          <cell r="DF13" t="e">
            <v>#VALUE!</v>
          </cell>
          <cell r="DG13" t="e">
            <v>#VALUE!</v>
          </cell>
          <cell r="DH13" t="e">
            <v>#VALUE!</v>
          </cell>
          <cell r="DI13" t="e">
            <v>#VALUE!</v>
          </cell>
          <cell r="DJ13" t="e">
            <v>#VALUE!</v>
          </cell>
          <cell r="DK13" t="e">
            <v>#VALUE!</v>
          </cell>
          <cell r="DL13" t="e">
            <v>#VALUE!</v>
          </cell>
          <cell r="DM13" t="e">
            <v>#VALUE!</v>
          </cell>
          <cell r="DN13" t="e">
            <v>#VALUE!</v>
          </cell>
          <cell r="DO13" t="e">
            <v>#VALUE!</v>
          </cell>
          <cell r="DP13" t="e">
            <v>#VALUE!</v>
          </cell>
          <cell r="DQ13" t="e">
            <v>#VALUE!</v>
          </cell>
          <cell r="DR13" t="e">
            <v>#VALUE!</v>
          </cell>
          <cell r="DS13" t="e">
            <v>#VALUE!</v>
          </cell>
          <cell r="DT13" t="e">
            <v>#VALUE!</v>
          </cell>
          <cell r="DU13" t="e">
            <v>#VALUE!</v>
          </cell>
          <cell r="DV13" t="e">
            <v>#VALUE!</v>
          </cell>
          <cell r="DW13" t="e">
            <v>#VALUE!</v>
          </cell>
          <cell r="DX13" t="e">
            <v>#VALUE!</v>
          </cell>
          <cell r="DY13" t="e">
            <v>#VALUE!</v>
          </cell>
          <cell r="DZ13" t="e">
            <v>#VALUE!</v>
          </cell>
          <cell r="EA13" t="e">
            <v>#VALUE!</v>
          </cell>
          <cell r="EB13" t="e">
            <v>#VALUE!</v>
          </cell>
          <cell r="EC13" t="e">
            <v>#VALUE!</v>
          </cell>
          <cell r="ED13" t="e">
            <v>#VALUE!</v>
          </cell>
          <cell r="EE13" t="e">
            <v>#VALUE!</v>
          </cell>
          <cell r="EF13" t="e">
            <v>#VALUE!</v>
          </cell>
          <cell r="EG13" t="e">
            <v>#VALUE!</v>
          </cell>
          <cell r="EH13" t="e">
            <v>#VALUE!</v>
          </cell>
          <cell r="EI13" t="e">
            <v>#VALUE!</v>
          </cell>
          <cell r="EJ13" t="e">
            <v>#VALUE!</v>
          </cell>
          <cell r="EK13" t="e">
            <v>#VALUE!</v>
          </cell>
          <cell r="EL13" t="e">
            <v>#VALUE!</v>
          </cell>
          <cell r="EM13" t="e">
            <v>#VALUE!</v>
          </cell>
          <cell r="EN13" t="e">
            <v>#VALUE!</v>
          </cell>
          <cell r="EO13" t="e">
            <v>#VALUE!</v>
          </cell>
          <cell r="EP13" t="e">
            <v>#VALUE!</v>
          </cell>
          <cell r="EQ13" t="e">
            <v>#VALUE!</v>
          </cell>
          <cell r="ER13" t="e">
            <v>#VALUE!</v>
          </cell>
          <cell r="ES13" t="e">
            <v>#VALUE!</v>
          </cell>
          <cell r="ET13" t="e">
            <v>#VALUE!</v>
          </cell>
          <cell r="EU13" t="e">
            <v>#VALUE!</v>
          </cell>
          <cell r="EV13" t="e">
            <v>#VALUE!</v>
          </cell>
          <cell r="EW13" t="e">
            <v>#VALUE!</v>
          </cell>
          <cell r="EX13" t="e">
            <v>#VALUE!</v>
          </cell>
          <cell r="EY13" t="e">
            <v>#VALUE!</v>
          </cell>
          <cell r="EZ13" t="e">
            <v>#VALUE!</v>
          </cell>
        </row>
        <row r="23">
          <cell r="P23" t="str">
            <v>연금수령 후 평가금액</v>
          </cell>
        </row>
        <row r="25">
          <cell r="Q25">
            <v>68651.067878742484</v>
          </cell>
          <cell r="R25">
            <v>79008.046938020925</v>
          </cell>
          <cell r="S25">
            <v>90003.821803202081</v>
          </cell>
          <cell r="T25">
            <v>101677.79200182225</v>
          </cell>
          <cell r="U25">
            <v>114071.78713806467</v>
          </cell>
          <cell r="V25">
            <v>127230.21677456975</v>
          </cell>
          <cell r="W25">
            <v>141200.22955862741</v>
          </cell>
          <cell r="X25">
            <v>156031.88216292483</v>
          </cell>
          <cell r="Y25">
            <v>171778.31864618964</v>
          </cell>
          <cell r="Z25">
            <v>188495.96087640556</v>
          </cell>
          <cell r="AA25">
            <v>200121.97928855818</v>
          </cell>
          <cell r="AB25">
            <v>212465.06507706878</v>
          </cell>
          <cell r="AC25">
            <v>225569.44538867049</v>
          </cell>
          <cell r="AD25">
            <v>239482.07520373198</v>
          </cell>
          <cell r="AE25">
            <v>254252.80558306724</v>
          </cell>
          <cell r="AF25">
            <v>246386.14796282002</v>
          </cell>
          <cell r="AG25">
            <v>238280.21842334204</v>
          </cell>
          <cell r="AH25">
            <v>229927.73928024739</v>
          </cell>
          <cell r="AI25">
            <v>221321.21149141539</v>
          </cell>
          <cell r="AJ25">
            <v>212452.90792418341</v>
          </cell>
          <cell r="AK25">
            <v>203314.86641775462</v>
          </cell>
          <cell r="AL25">
            <v>193898.88263459242</v>
          </cell>
          <cell r="AM25">
            <v>184196.50269438329</v>
          </cell>
          <cell r="AN25">
            <v>174199.01558395429</v>
          </cell>
          <cell r="AO25">
            <v>163897.44533633112</v>
          </cell>
          <cell r="AP25">
            <v>153282.54297191478</v>
          </cell>
          <cell r="AQ25">
            <v>142344.77819454129</v>
          </cell>
          <cell r="AR25">
            <v>131074.33083496915</v>
          </cell>
          <cell r="AS25">
            <v>119461.08203411229</v>
          </cell>
          <cell r="AT25">
            <v>107494.60515810276</v>
          </cell>
          <cell r="AU25">
            <v>95164.156437026017</v>
          </cell>
          <cell r="AV25">
            <v>82458.665318924817</v>
          </cell>
          <cell r="AW25">
            <v>69366.724530410502</v>
          </cell>
          <cell r="AX25">
            <v>55876.579834958568</v>
          </cell>
          <cell r="AY25">
            <v>41976.119479692781</v>
          </cell>
          <cell r="AZ25">
            <v>27652.863321183329</v>
          </cell>
          <cell r="BA25">
            <v>12893.951620495534</v>
          </cell>
          <cell r="BB25" t="str">
            <v/>
          </cell>
          <cell r="BC25" t="str">
            <v/>
          </cell>
          <cell r="BD25" t="str">
            <v/>
          </cell>
          <cell r="BE25" t="str">
            <v/>
          </cell>
          <cell r="BF25" t="str">
            <v/>
          </cell>
          <cell r="BG25" t="str">
            <v/>
          </cell>
          <cell r="BH25" t="str">
            <v/>
          </cell>
          <cell r="BI25" t="str">
            <v/>
          </cell>
          <cell r="BJ25" t="str">
            <v/>
          </cell>
          <cell r="BK25" t="str">
            <v/>
          </cell>
          <cell r="BL25" t="str">
            <v/>
          </cell>
          <cell r="BM25" t="str">
            <v/>
          </cell>
          <cell r="BN25" t="str">
            <v/>
          </cell>
          <cell r="BO25" t="str">
            <v/>
          </cell>
          <cell r="BP25" t="str">
            <v/>
          </cell>
          <cell r="BQ25" t="str">
            <v/>
          </cell>
          <cell r="BR25" t="str">
            <v/>
          </cell>
          <cell r="BS25" t="str">
            <v/>
          </cell>
          <cell r="BT25" t="str">
            <v/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A3407A2-6FFC-474B-83E0-80FF7300F13C}">
  <we:reference id="wa200009404" version="1.0.0.8" store="ko-KR" storeType="OMEX"/>
  <we:alternateReferences>
    <we:reference id="wa200009404" version="1.0.0.8" store="" storeType="OMEX"/>
  </we:alternateReferences>
  <we:properties>
    <we:property name="claude.fileId" value="&quot;faeece19-ef94-49e9-bcca-768eeb4cf5b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02861-E390-4264-9956-75EBFE55E807}">
  <dimension ref="B2:K46"/>
  <sheetViews>
    <sheetView tabSelected="1" workbookViewId="0">
      <selection activeCell="K58" sqref="K58"/>
    </sheetView>
  </sheetViews>
  <sheetFormatPr defaultRowHeight="16.5" x14ac:dyDescent="0.3"/>
  <cols>
    <col min="1" max="1" width="11.5" bestFit="1" customWidth="1"/>
    <col min="2" max="2" width="14.125" customWidth="1"/>
    <col min="3" max="3" width="9.125" customWidth="1"/>
    <col min="4" max="4" width="20.625" bestFit="1" customWidth="1"/>
    <col min="5" max="5" width="15.875" customWidth="1"/>
    <col min="6" max="6" width="14.25" bestFit="1" customWidth="1"/>
    <col min="7" max="7" width="16.375" bestFit="1" customWidth="1"/>
    <col min="8" max="8" width="16.625" bestFit="1" customWidth="1"/>
    <col min="9" max="9" width="18.625" bestFit="1" customWidth="1"/>
    <col min="10" max="11" width="13" bestFit="1" customWidth="1"/>
  </cols>
  <sheetData>
    <row r="2" spans="2:9" x14ac:dyDescent="0.3">
      <c r="B2" s="9" t="s">
        <v>2</v>
      </c>
      <c r="C2" s="2" t="s">
        <v>5</v>
      </c>
      <c r="D2" s="9" t="s">
        <v>3</v>
      </c>
      <c r="E2" s="8">
        <v>29329</v>
      </c>
      <c r="F2" s="9" t="s">
        <v>4</v>
      </c>
      <c r="G2" s="46">
        <v>45</v>
      </c>
    </row>
    <row r="3" spans="2:9" ht="33.75" customHeight="1" x14ac:dyDescent="0.3">
      <c r="E3" s="1"/>
    </row>
    <row r="4" spans="2:9" ht="24" customHeight="1" thickBot="1" x14ac:dyDescent="0.35">
      <c r="B4" s="41" t="s">
        <v>34</v>
      </c>
      <c r="C4" s="42" t="s">
        <v>35</v>
      </c>
      <c r="D4" s="42" t="s">
        <v>36</v>
      </c>
      <c r="E4" s="43" t="s">
        <v>37</v>
      </c>
      <c r="F4" s="42" t="s">
        <v>38</v>
      </c>
    </row>
    <row r="5" spans="2:9" x14ac:dyDescent="0.3">
      <c r="E5" s="1"/>
    </row>
    <row r="7" spans="2:9" ht="17.25" x14ac:dyDescent="0.3">
      <c r="B7" s="6" t="s">
        <v>6</v>
      </c>
    </row>
    <row r="8" spans="2:9" ht="17.25" customHeight="1" x14ac:dyDescent="0.3">
      <c r="B8" s="7"/>
    </row>
    <row r="9" spans="2:9" x14ac:dyDescent="0.3">
      <c r="B9" s="10" t="s">
        <v>30</v>
      </c>
      <c r="C9" s="11"/>
      <c r="D9" s="34" t="s">
        <v>32</v>
      </c>
      <c r="E9" s="32" t="s">
        <v>33</v>
      </c>
      <c r="F9" s="4" t="s">
        <v>1</v>
      </c>
      <c r="G9" s="4" t="s">
        <v>28</v>
      </c>
      <c r="H9" s="4" t="s">
        <v>7</v>
      </c>
      <c r="I9" s="4" t="s">
        <v>0</v>
      </c>
    </row>
    <row r="10" spans="2:9" x14ac:dyDescent="0.3">
      <c r="B10" s="10"/>
      <c r="C10" s="11"/>
      <c r="D10" s="35">
        <v>20000000</v>
      </c>
      <c r="E10" s="33">
        <f>ROUNDUP(FV(F10,H10-G2,0,-D10,0),-5)</f>
        <v>30400000</v>
      </c>
      <c r="F10" s="3">
        <v>2.1000000000000001E-2</v>
      </c>
      <c r="G10" s="36">
        <v>0.05</v>
      </c>
      <c r="H10" s="48">
        <v>65</v>
      </c>
      <c r="I10" s="49">
        <v>40</v>
      </c>
    </row>
    <row r="12" spans="2:9" x14ac:dyDescent="0.3">
      <c r="B12" s="10" t="s">
        <v>31</v>
      </c>
      <c r="C12" s="31"/>
      <c r="D12" s="4" t="s">
        <v>8</v>
      </c>
      <c r="E12" s="4" t="s">
        <v>9</v>
      </c>
      <c r="F12" s="5" t="s">
        <v>10</v>
      </c>
      <c r="G12" s="4" t="s">
        <v>16</v>
      </c>
    </row>
    <row r="13" spans="2:9" x14ac:dyDescent="0.3">
      <c r="B13" s="10"/>
      <c r="C13" s="31"/>
      <c r="D13" s="50">
        <v>5</v>
      </c>
      <c r="E13" s="51">
        <f>H10-G2-D13</f>
        <v>15</v>
      </c>
      <c r="F13" s="37">
        <v>7.0000000000000007E-2</v>
      </c>
      <c r="G13" s="38">
        <v>120000000</v>
      </c>
    </row>
    <row r="15" spans="2:9" ht="17.25" x14ac:dyDescent="0.3">
      <c r="B15" s="6" t="s">
        <v>11</v>
      </c>
    </row>
    <row r="17" spans="2:11" ht="17.25" x14ac:dyDescent="0.3">
      <c r="D17" s="19" t="s">
        <v>12</v>
      </c>
      <c r="E17" s="24" t="s">
        <v>17</v>
      </c>
      <c r="G17" s="25" t="s">
        <v>25</v>
      </c>
      <c r="H17" s="39" t="s">
        <v>27</v>
      </c>
      <c r="J17" t="s">
        <v>40</v>
      </c>
    </row>
    <row r="18" spans="2:11" ht="17.25" x14ac:dyDescent="0.3">
      <c r="B18" s="10" t="s">
        <v>14</v>
      </c>
      <c r="C18" s="11"/>
      <c r="D18" s="20">
        <f>ROUNDUP(-PV(((1+G10)/(1+F10)-1)/12,I10*12,E10,0,1),-6)</f>
        <v>8736000000</v>
      </c>
      <c r="E18" s="21">
        <f>ROUNDUP(-PV(F13/12,D13*12,-G13/12,-PV(F13/12,E13*12,0,D18)),-4)</f>
        <v>1658040000</v>
      </c>
      <c r="G18" s="27" t="s">
        <v>26</v>
      </c>
      <c r="H18" s="26">
        <f>IF(H17="O",D18,D19)</f>
        <v>6331000000</v>
      </c>
      <c r="I18" s="26">
        <f>IF(H17="O",E18,E19)</f>
        <v>1062550000</v>
      </c>
    </row>
    <row r="19" spans="2:11" x14ac:dyDescent="0.3">
      <c r="B19" s="10" t="s">
        <v>15</v>
      </c>
      <c r="C19" s="11"/>
      <c r="D19" s="22">
        <f>ROUNDUP(-PV(G10/12,I10*12,E10,0,1),-6)</f>
        <v>6331000000</v>
      </c>
      <c r="E19" s="23">
        <f>ROUNDUP(-PV(F13/12,D13*12,-G13/12,-PV(F13/12,E13*12,0,D19)),-4)</f>
        <v>1062550000</v>
      </c>
    </row>
    <row r="23" spans="2:11" ht="17.25" x14ac:dyDescent="0.3">
      <c r="B23" s="6" t="s">
        <v>18</v>
      </c>
      <c r="E23" t="s">
        <v>39</v>
      </c>
    </row>
    <row r="25" spans="2:11" ht="17.25" thickBot="1" x14ac:dyDescent="0.35">
      <c r="B25" s="18" t="s">
        <v>19</v>
      </c>
      <c r="C25" s="45" t="s">
        <v>4</v>
      </c>
      <c r="D25" s="18" t="s">
        <v>20</v>
      </c>
      <c r="E25" s="18" t="s">
        <v>21</v>
      </c>
      <c r="F25" s="18" t="s">
        <v>29</v>
      </c>
      <c r="G25" s="18" t="s">
        <v>22</v>
      </c>
      <c r="H25" s="18" t="s">
        <v>23</v>
      </c>
      <c r="I25" s="18" t="s">
        <v>24</v>
      </c>
      <c r="K25" s="52" t="s">
        <v>41</v>
      </c>
    </row>
    <row r="26" spans="2:11" x14ac:dyDescent="0.3">
      <c r="B26" s="13">
        <v>1</v>
      </c>
      <c r="C26" s="46">
        <f>G2</f>
        <v>45</v>
      </c>
      <c r="D26" s="12" t="str">
        <f>IF(B26&lt;=D$13,"적립","거치")</f>
        <v>적립</v>
      </c>
      <c r="E26" s="14">
        <f>IF(B26&lt;=D$13,G$13/12,0)</f>
        <v>10000000</v>
      </c>
      <c r="F26" s="29">
        <f>I18</f>
        <v>1062550000</v>
      </c>
      <c r="G26" s="14">
        <f>E26*12+F26</f>
        <v>1182550000</v>
      </c>
      <c r="H26" s="14">
        <f>I26-G26</f>
        <v>80737678.31019783</v>
      </c>
      <c r="I26" s="14">
        <f>FV(F$13/12,12,-E26,-F26)</f>
        <v>1263287678.3101978</v>
      </c>
      <c r="K26" s="2" t="str">
        <f>CONCATENATE(B26,"년차 (",C26,"세)")</f>
        <v>1년차 (45세)</v>
      </c>
    </row>
    <row r="27" spans="2:11" x14ac:dyDescent="0.3">
      <c r="B27" s="13">
        <f>B26+1</f>
        <v>2</v>
      </c>
      <c r="C27" s="46">
        <f>C26+1</f>
        <v>46</v>
      </c>
      <c r="D27" s="12" t="str">
        <f>IF(B27&lt;=D$13,"적립","거치")</f>
        <v>적립</v>
      </c>
      <c r="E27" s="14">
        <f>IF(B27&lt;=D$13,G$13/12,0)</f>
        <v>10000000</v>
      </c>
      <c r="F27" s="29"/>
      <c r="G27" s="14">
        <f>G26+E27*12+F27</f>
        <v>1302550000</v>
      </c>
      <c r="H27" s="14">
        <f>I27-G27</f>
        <v>175986699.61633301</v>
      </c>
      <c r="I27" s="14">
        <f>FV(F$13/12,12,-E27,-(I26+F27))</f>
        <v>1478536699.616333</v>
      </c>
      <c r="K27" s="2" t="str">
        <f t="shared" ref="K27:K45" si="0">CONCATENATE(B27,"년차 (",C27,"세)")</f>
        <v>2년차 (46세)</v>
      </c>
    </row>
    <row r="28" spans="2:11" x14ac:dyDescent="0.3">
      <c r="B28" s="13">
        <f t="shared" ref="B28:B45" si="1">B27+1</f>
        <v>3</v>
      </c>
      <c r="C28" s="46">
        <f t="shared" ref="C28:C45" si="2">C27+1</f>
        <v>47</v>
      </c>
      <c r="D28" s="12" t="str">
        <f>IF(B28&lt;=D$13,"적립","거치")</f>
        <v>적립</v>
      </c>
      <c r="E28" s="14">
        <f>IF(B28&lt;=D$13,G$13/12,0)</f>
        <v>10000000</v>
      </c>
      <c r="F28" s="29"/>
      <c r="G28" s="14">
        <f t="shared" ref="G28:G45" si="3">G27+E28*12+F28</f>
        <v>1422550000</v>
      </c>
      <c r="H28" s="14">
        <f t="shared" ref="H28:H45" si="4">I28-G28</f>
        <v>286796090.07691431</v>
      </c>
      <c r="I28" s="14">
        <f>FV(F$13/12,12,-E28,-(I27+F28))</f>
        <v>1709346090.0769143</v>
      </c>
      <c r="K28" s="2" t="str">
        <f t="shared" si="0"/>
        <v>3년차 (47세)</v>
      </c>
    </row>
    <row r="29" spans="2:11" x14ac:dyDescent="0.3">
      <c r="B29" s="13">
        <f t="shared" si="1"/>
        <v>4</v>
      </c>
      <c r="C29" s="46">
        <f t="shared" si="2"/>
        <v>48</v>
      </c>
      <c r="D29" s="12" t="str">
        <f>IF(B29&lt;=D$13,"적립","거치")</f>
        <v>적립</v>
      </c>
      <c r="E29" s="14">
        <f>IF(B29&lt;=D$13,G$13/12,0)</f>
        <v>10000000</v>
      </c>
      <c r="F29" s="29"/>
      <c r="G29" s="14">
        <f t="shared" si="3"/>
        <v>1542550000</v>
      </c>
      <c r="H29" s="14">
        <f t="shared" si="4"/>
        <v>414290710.03626966</v>
      </c>
      <c r="I29" s="14">
        <f>FV(F$13/12,12,-E29,-(I28+F29))</f>
        <v>1956840710.0362697</v>
      </c>
      <c r="K29" s="2" t="str">
        <f t="shared" si="0"/>
        <v>4년차 (48세)</v>
      </c>
    </row>
    <row r="30" spans="2:11" x14ac:dyDescent="0.3">
      <c r="B30" s="13">
        <f t="shared" si="1"/>
        <v>5</v>
      </c>
      <c r="C30" s="46">
        <f t="shared" si="2"/>
        <v>49</v>
      </c>
      <c r="D30" s="12" t="str">
        <f>IF(B30&lt;=D$13,"적립","거치")</f>
        <v>적립</v>
      </c>
      <c r="E30" s="14">
        <f>IF(B30&lt;=D$13,G$13/12,0)</f>
        <v>10000000</v>
      </c>
      <c r="F30" s="29"/>
      <c r="G30" s="14">
        <f t="shared" si="3"/>
        <v>1662550000</v>
      </c>
      <c r="H30" s="14">
        <f t="shared" si="4"/>
        <v>559676736.08397007</v>
      </c>
      <c r="I30" s="14">
        <f>FV(F$13/12,12,-E30,-(I29+F30))</f>
        <v>2222226736.0839701</v>
      </c>
      <c r="K30" s="2" t="str">
        <f t="shared" si="0"/>
        <v>5년차 (49세)</v>
      </c>
    </row>
    <row r="31" spans="2:11" x14ac:dyDescent="0.3">
      <c r="B31" s="13">
        <f t="shared" si="1"/>
        <v>6</v>
      </c>
      <c r="C31" s="46">
        <f t="shared" si="2"/>
        <v>50</v>
      </c>
      <c r="D31" s="12" t="str">
        <f>IF(B31&lt;=D$13,"적립","거치")</f>
        <v>거치</v>
      </c>
      <c r="E31" s="14">
        <f>IF(B31&lt;=D$13,G$13/12,0)</f>
        <v>0</v>
      </c>
      <c r="F31" s="29"/>
      <c r="G31" s="14">
        <f t="shared" si="3"/>
        <v>1662550000</v>
      </c>
      <c r="H31" s="14">
        <f t="shared" si="4"/>
        <v>720321686.51636934</v>
      </c>
      <c r="I31" s="14">
        <f>FV(F$13/12,12,-E31,-(I30+F31))</f>
        <v>2382871686.5163693</v>
      </c>
      <c r="K31" s="2" t="str">
        <f t="shared" si="0"/>
        <v>6년차 (50세)</v>
      </c>
    </row>
    <row r="32" spans="2:11" x14ac:dyDescent="0.3">
      <c r="B32" s="13">
        <f t="shared" si="1"/>
        <v>7</v>
      </c>
      <c r="C32" s="46">
        <f t="shared" si="2"/>
        <v>51</v>
      </c>
      <c r="D32" s="12" t="str">
        <f>IF(B32&lt;=D$13,"적립","거치")</f>
        <v>거치</v>
      </c>
      <c r="E32" s="14">
        <f>IF(B32&lt;=D$13,G$13/12,0)</f>
        <v>0</v>
      </c>
      <c r="F32" s="29"/>
      <c r="G32" s="14">
        <f t="shared" si="3"/>
        <v>1662550000</v>
      </c>
      <c r="H32" s="14">
        <f t="shared" si="4"/>
        <v>892579673.4046731</v>
      </c>
      <c r="I32" s="14">
        <f>FV(F$13/12,12,-E32,-(I31+F32))</f>
        <v>2555129673.4046731</v>
      </c>
      <c r="K32" s="2" t="str">
        <f t="shared" si="0"/>
        <v>7년차 (51세)</v>
      </c>
    </row>
    <row r="33" spans="2:11" x14ac:dyDescent="0.3">
      <c r="B33" s="13">
        <f t="shared" si="1"/>
        <v>8</v>
      </c>
      <c r="C33" s="46">
        <f t="shared" si="2"/>
        <v>52</v>
      </c>
      <c r="D33" s="12" t="str">
        <f>IF(B33&lt;=D$13,"적립","거치")</f>
        <v>거치</v>
      </c>
      <c r="E33" s="14">
        <f>IF(B33&lt;=D$13,G$13/12,0)</f>
        <v>0</v>
      </c>
      <c r="F33" s="29">
        <v>0</v>
      </c>
      <c r="G33" s="14">
        <f t="shared" si="3"/>
        <v>1662550000</v>
      </c>
      <c r="H33" s="14">
        <f t="shared" si="4"/>
        <v>1077290204.0932646</v>
      </c>
      <c r="I33" s="14">
        <f>FV(F$13/12,12,-E33,-(I32+F33))</f>
        <v>2739840204.0932646</v>
      </c>
      <c r="K33" s="2" t="str">
        <f t="shared" si="0"/>
        <v>8년차 (52세)</v>
      </c>
    </row>
    <row r="34" spans="2:11" x14ac:dyDescent="0.3">
      <c r="B34" s="13">
        <f t="shared" si="1"/>
        <v>9</v>
      </c>
      <c r="C34" s="46">
        <f t="shared" si="2"/>
        <v>53</v>
      </c>
      <c r="D34" s="12" t="str">
        <f>IF(B34&lt;=D$13,"적립","거치")</f>
        <v>거치</v>
      </c>
      <c r="E34" s="14">
        <f>IF(B34&lt;=D$13,G$13/12,0)</f>
        <v>0</v>
      </c>
      <c r="F34" s="29">
        <v>0</v>
      </c>
      <c r="G34" s="14">
        <f t="shared" si="3"/>
        <v>1662550000</v>
      </c>
      <c r="H34" s="14">
        <f t="shared" si="4"/>
        <v>1275353473.9803324</v>
      </c>
      <c r="I34" s="14">
        <f>FV(F$13/12,12,-E34,-(I33+F34))</f>
        <v>2937903473.9803324</v>
      </c>
      <c r="K34" s="2" t="str">
        <f t="shared" si="0"/>
        <v>9년차 (53세)</v>
      </c>
    </row>
    <row r="35" spans="2:11" x14ac:dyDescent="0.3">
      <c r="B35" s="13">
        <f t="shared" si="1"/>
        <v>10</v>
      </c>
      <c r="C35" s="46">
        <f t="shared" si="2"/>
        <v>54</v>
      </c>
      <c r="D35" s="12" t="str">
        <f>IF(B35&lt;=D$13,"적립","거치")</f>
        <v>거치</v>
      </c>
      <c r="E35" s="14">
        <f>IF(B35&lt;=D$13,G$13/12,0)</f>
        <v>0</v>
      </c>
      <c r="F35" s="29">
        <v>0</v>
      </c>
      <c r="G35" s="14">
        <f t="shared" si="3"/>
        <v>1662550000</v>
      </c>
      <c r="H35" s="14">
        <f t="shared" si="4"/>
        <v>1487734753.6621871</v>
      </c>
      <c r="I35" s="14">
        <f>FV(F$13/12,12,-E35,-(I34+F35))</f>
        <v>3150284753.6621871</v>
      </c>
      <c r="K35" s="2" t="str">
        <f t="shared" si="0"/>
        <v>10년차 (54세)</v>
      </c>
    </row>
    <row r="36" spans="2:11" x14ac:dyDescent="0.3">
      <c r="B36" s="13">
        <f t="shared" si="1"/>
        <v>11</v>
      </c>
      <c r="C36" s="46">
        <f t="shared" si="2"/>
        <v>55</v>
      </c>
      <c r="D36" s="12" t="str">
        <f>IF(B36&lt;=D$13,"적립","거치")</f>
        <v>거치</v>
      </c>
      <c r="E36" s="14">
        <f>IF(B36&lt;=D$13,G$13/12,0)</f>
        <v>0</v>
      </c>
      <c r="F36" s="29">
        <v>0</v>
      </c>
      <c r="G36" s="14">
        <f t="shared" si="3"/>
        <v>1662550000</v>
      </c>
      <c r="H36" s="14">
        <f t="shared" si="4"/>
        <v>1715469093.2245936</v>
      </c>
      <c r="I36" s="14">
        <f>FV(F$13/12,12,-E36,-(I35+F36))</f>
        <v>3378019093.2245936</v>
      </c>
      <c r="K36" s="2" t="str">
        <f t="shared" si="0"/>
        <v>11년차 (55세)</v>
      </c>
    </row>
    <row r="37" spans="2:11" x14ac:dyDescent="0.3">
      <c r="B37" s="13">
        <f t="shared" si="1"/>
        <v>12</v>
      </c>
      <c r="C37" s="46">
        <f t="shared" si="2"/>
        <v>56</v>
      </c>
      <c r="D37" s="12" t="str">
        <f>IF(B37&lt;=D$13,"적립","거치")</f>
        <v>거치</v>
      </c>
      <c r="E37" s="14">
        <f>IF(B37&lt;=D$13,G$13/12,0)</f>
        <v>0</v>
      </c>
      <c r="F37" s="29">
        <v>0</v>
      </c>
      <c r="G37" s="14">
        <f t="shared" si="3"/>
        <v>1662550000</v>
      </c>
      <c r="H37" s="14">
        <f t="shared" si="4"/>
        <v>1959666366.607708</v>
      </c>
      <c r="I37" s="14">
        <f>FV(F$13/12,12,-E37,-(I36+F37))</f>
        <v>3622216366.607708</v>
      </c>
      <c r="K37" s="2" t="str">
        <f t="shared" si="0"/>
        <v>12년차 (56세)</v>
      </c>
    </row>
    <row r="38" spans="2:11" x14ac:dyDescent="0.3">
      <c r="B38" s="13">
        <f t="shared" si="1"/>
        <v>13</v>
      </c>
      <c r="C38" s="46">
        <f t="shared" si="2"/>
        <v>57</v>
      </c>
      <c r="D38" s="12" t="str">
        <f>IF(B38&lt;=D$13,"적립","거치")</f>
        <v>거치</v>
      </c>
      <c r="E38" s="14">
        <f>IF(B38&lt;=D$13,G$13/12,0)</f>
        <v>0</v>
      </c>
      <c r="F38" s="29">
        <v>0</v>
      </c>
      <c r="G38" s="14">
        <f t="shared" si="3"/>
        <v>1662550000</v>
      </c>
      <c r="H38" s="14">
        <f t="shared" si="4"/>
        <v>2221516680.6285601</v>
      </c>
      <c r="I38" s="14">
        <f>FV(F$13/12,12,-E38,-(I37+F38))</f>
        <v>3884066680.6285601</v>
      </c>
      <c r="K38" s="2" t="str">
        <f t="shared" si="0"/>
        <v>13년차 (57세)</v>
      </c>
    </row>
    <row r="39" spans="2:11" x14ac:dyDescent="0.3">
      <c r="B39" s="13">
        <f t="shared" si="1"/>
        <v>14</v>
      </c>
      <c r="C39" s="46">
        <f t="shared" si="2"/>
        <v>58</v>
      </c>
      <c r="D39" s="12" t="str">
        <f>IF(B39&lt;=D$13,"적립","거치")</f>
        <v>거치</v>
      </c>
      <c r="E39" s="14">
        <f>IF(B39&lt;=D$13,G$13/12,0)</f>
        <v>0</v>
      </c>
      <c r="F39" s="29">
        <v>0</v>
      </c>
      <c r="G39" s="14">
        <f t="shared" si="3"/>
        <v>1662550000</v>
      </c>
      <c r="H39" s="14">
        <f t="shared" si="4"/>
        <v>2502296175.0222106</v>
      </c>
      <c r="I39" s="14">
        <f>FV(F$13/12,12,-E39,-(I38+F39))</f>
        <v>4164846175.0222106</v>
      </c>
      <c r="K39" s="2" t="str">
        <f t="shared" si="0"/>
        <v>14년차 (58세)</v>
      </c>
    </row>
    <row r="40" spans="2:11" x14ac:dyDescent="0.3">
      <c r="B40" s="13">
        <f t="shared" si="1"/>
        <v>15</v>
      </c>
      <c r="C40" s="46">
        <f t="shared" si="2"/>
        <v>59</v>
      </c>
      <c r="D40" s="12" t="str">
        <f>IF(B40&lt;=D$13,"적립","거치")</f>
        <v>거치</v>
      </c>
      <c r="E40" s="14">
        <f>IF(B40&lt;=D$13,G$13/12,0)</f>
        <v>0</v>
      </c>
      <c r="F40" s="29">
        <v>0</v>
      </c>
      <c r="G40" s="14">
        <f t="shared" si="3"/>
        <v>1662550000</v>
      </c>
      <c r="H40" s="14">
        <f t="shared" si="4"/>
        <v>2803373241.7683506</v>
      </c>
      <c r="I40" s="14">
        <f>FV(F$13/12,12,-E40,-(I39+F40))</f>
        <v>4465923241.7683506</v>
      </c>
      <c r="K40" s="2" t="str">
        <f t="shared" si="0"/>
        <v>15년차 (59세)</v>
      </c>
    </row>
    <row r="41" spans="2:11" x14ac:dyDescent="0.3">
      <c r="B41" s="13">
        <f t="shared" si="1"/>
        <v>16</v>
      </c>
      <c r="C41" s="46">
        <f t="shared" si="2"/>
        <v>60</v>
      </c>
      <c r="D41" s="12" t="str">
        <f>IF(B41&lt;=D$13,"적립","거치")</f>
        <v>거치</v>
      </c>
      <c r="E41" s="14">
        <f>IF(B41&lt;=D$13,G$13/12,0)</f>
        <v>0</v>
      </c>
      <c r="F41" s="29">
        <v>0</v>
      </c>
      <c r="G41" s="14">
        <f t="shared" si="3"/>
        <v>1662550000</v>
      </c>
      <c r="H41" s="14">
        <f t="shared" si="4"/>
        <v>3126215194.0135279</v>
      </c>
      <c r="I41" s="14">
        <f>FV(F$13/12,12,-E41,-(I40+F41))</f>
        <v>4788765194.0135279</v>
      </c>
      <c r="K41" s="2" t="str">
        <f t="shared" si="0"/>
        <v>16년차 (60세)</v>
      </c>
    </row>
    <row r="42" spans="2:11" x14ac:dyDescent="0.3">
      <c r="B42" s="13">
        <f t="shared" si="1"/>
        <v>17</v>
      </c>
      <c r="C42" s="46">
        <f t="shared" si="2"/>
        <v>61</v>
      </c>
      <c r="D42" s="12" t="str">
        <f>IF(B42&lt;=D$13,"적립","거치")</f>
        <v>거치</v>
      </c>
      <c r="E42" s="14">
        <f>IF(B42&lt;=D$13,G$13/12,0)</f>
        <v>0</v>
      </c>
      <c r="F42" s="29">
        <v>0</v>
      </c>
      <c r="G42" s="14">
        <f t="shared" si="3"/>
        <v>1662550000</v>
      </c>
      <c r="H42" s="14">
        <f t="shared" si="4"/>
        <v>3472395417.0902939</v>
      </c>
      <c r="I42" s="14">
        <f>FV(F$13/12,12,-E42,-(I41+F42))</f>
        <v>5134945417.0902939</v>
      </c>
      <c r="K42" s="2" t="str">
        <f t="shared" si="0"/>
        <v>17년차 (61세)</v>
      </c>
    </row>
    <row r="43" spans="2:11" x14ac:dyDescent="0.3">
      <c r="B43" s="13">
        <f t="shared" si="1"/>
        <v>18</v>
      </c>
      <c r="C43" s="46">
        <f t="shared" si="2"/>
        <v>62</v>
      </c>
      <c r="D43" s="12" t="str">
        <f>IF(B43&lt;=D$13,"적립","거치")</f>
        <v>거치</v>
      </c>
      <c r="E43" s="14">
        <f>IF(B43&lt;=D$13,G$13/12,0)</f>
        <v>0</v>
      </c>
      <c r="F43" s="29">
        <v>0</v>
      </c>
      <c r="G43" s="14">
        <f t="shared" si="3"/>
        <v>1662550000</v>
      </c>
      <c r="H43" s="14">
        <f t="shared" si="4"/>
        <v>3843601036.4841089</v>
      </c>
      <c r="I43" s="14">
        <f>FV(F$13/12,12,-E43,-(I42+F43))</f>
        <v>5506151036.4841089</v>
      </c>
      <c r="K43" s="2" t="str">
        <f t="shared" si="0"/>
        <v>18년차 (62세)</v>
      </c>
    </row>
    <row r="44" spans="2:11" x14ac:dyDescent="0.3">
      <c r="B44" s="13">
        <f t="shared" si="1"/>
        <v>19</v>
      </c>
      <c r="C44" s="46">
        <f t="shared" si="2"/>
        <v>63</v>
      </c>
      <c r="D44" s="12" t="str">
        <f>IF(B44&lt;=D$13,"적립","거치")</f>
        <v>거치</v>
      </c>
      <c r="E44" s="14">
        <f>IF(B44&lt;=D$13,G$13/12,0)</f>
        <v>0</v>
      </c>
      <c r="F44" s="29">
        <v>0</v>
      </c>
      <c r="G44" s="14">
        <f t="shared" si="3"/>
        <v>1662550000</v>
      </c>
      <c r="H44" s="14">
        <f t="shared" si="4"/>
        <v>4241641140.1181927</v>
      </c>
      <c r="I44" s="14">
        <f>FV(F$13/12,12,-E44,-(I43+F44))</f>
        <v>5904191140.1181927</v>
      </c>
      <c r="K44" s="2" t="str">
        <f t="shared" si="0"/>
        <v>19년차 (63세)</v>
      </c>
    </row>
    <row r="45" spans="2:11" x14ac:dyDescent="0.3">
      <c r="B45" s="16">
        <f t="shared" si="1"/>
        <v>20</v>
      </c>
      <c r="C45" s="47">
        <f t="shared" si="2"/>
        <v>64</v>
      </c>
      <c r="D45" s="28" t="str">
        <f>IF(B45&lt;=D$13,"적립","거치")</f>
        <v>거치</v>
      </c>
      <c r="E45" s="17">
        <f>IF(B45&lt;=D$13,G$13/12,0)</f>
        <v>0</v>
      </c>
      <c r="F45" s="30">
        <v>0</v>
      </c>
      <c r="G45" s="40">
        <f t="shared" si="3"/>
        <v>1662550000</v>
      </c>
      <c r="H45" s="40">
        <f t="shared" si="4"/>
        <v>4668455595.0280085</v>
      </c>
      <c r="I45" s="40">
        <f>FV(F$13/12,12,-E45,-(I44+F45))</f>
        <v>6331005595.0280085</v>
      </c>
      <c r="K45" s="2" t="str">
        <f t="shared" si="0"/>
        <v>20년차 (64세)</v>
      </c>
    </row>
    <row r="46" spans="2:11" x14ac:dyDescent="0.3">
      <c r="B46" s="44" t="s">
        <v>13</v>
      </c>
      <c r="D46" s="44"/>
      <c r="E46" s="15">
        <f>SUM(E26:E45)</f>
        <v>50000000</v>
      </c>
      <c r="F46" s="15">
        <f>SUM(F26:F45)</f>
        <v>1062550000</v>
      </c>
    </row>
  </sheetData>
  <mergeCells count="4">
    <mergeCell ref="B18:C18"/>
    <mergeCell ref="B19:C19"/>
    <mergeCell ref="B12:C13"/>
    <mergeCell ref="B9:C10"/>
  </mergeCells>
  <phoneticPr fontId="4" type="noConversion"/>
  <dataValidations count="1">
    <dataValidation type="list" allowBlank="1" showInputMessage="1" showErrorMessage="1" sqref="H17" xr:uid="{6F56091F-250D-4AE6-929E-FDD5D154E72E}">
      <formula1>"O,X"</formula1>
    </dataValidation>
  </dataValidation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minho kim</dc:creator>
  <cp:lastModifiedBy>minho kim</cp:lastModifiedBy>
  <dcterms:created xsi:type="dcterms:W3CDTF">2026-04-08T00:44:01Z</dcterms:created>
  <dcterms:modified xsi:type="dcterms:W3CDTF">2026-04-08T02:15:33Z</dcterms:modified>
</cp:coreProperties>
</file>