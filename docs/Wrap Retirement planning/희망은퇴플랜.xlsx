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068F509D-84E9-43D3-976B-73A8D114C329}" xr6:coauthVersionLast="47" xr6:coauthVersionMax="47" xr10:uidLastSave="{00000000-0000-0000-0000-000000000000}"/>
  <bookViews>
    <workbookView xWindow="-120" yWindow="-120" windowWidth="29040" windowHeight="15720" activeTab="2" xr2:uid="{91DC5EA7-A75C-4450-8E40-66788ACE5F08}"/>
  </bookViews>
  <sheets>
    <sheet name="Sheet1" sheetId="1" r:id="rId1"/>
    <sheet name="Sheet2" sheetId="2" r:id="rId2"/>
    <sheet name="은퇴연금시뮬레이션_2" sheetId="3" r:id="rId3"/>
  </sheets>
  <externalReferences>
    <externalReference r:id="rId4"/>
  </externalReferences>
  <definedNames>
    <definedName name="OX">#REF!</definedName>
    <definedName name="_xlnm.Print_Area" localSheetId="2">은퇴연금시뮬레이션_2!$W$2:$BC$26</definedName>
    <definedName name="rng_누적투자자산_상품명">OFFSET(#REF!,,,COUNTA(#REF!))</definedName>
    <definedName name="rng_누적투자자산_위험대비수익률_연수익률">OFFSET(#REF!,,,COUNT(#REF!))</definedName>
    <definedName name="rng_누적투자자산_위험대비수익률_위험도지수">OFFSET(#REF!,,,COUNT(#REF!))</definedName>
    <definedName name="rng_누적투자자산_자산구분2_구분명">OFFSET(#REF!,,,COUNTIF(#REF!,"?*"))</definedName>
    <definedName name="rng_누적투자자산_자산구분2_비율">OFFSET(#REF!,,,COUNT(#REF!))</definedName>
    <definedName name="rng_누적투자자산_자산구분2_평가금액">OFFSET(#REF!,,,COUNTIF(#REF!,"?*"))</definedName>
    <definedName name="rng_누적투자자산_재무목표_구분명">OFFSET(#REF!,,,COUNTIF(#REF!,"?*"))</definedName>
    <definedName name="rng_누적투자자산_재무목표_비율">OFFSET(#REF!,,,COUNT(#REF!))</definedName>
    <definedName name="rng_누적투자자산_재무목표_정기투자">OFFSET(#REF!,,,COUNT(#REF!))</definedName>
    <definedName name="rng_누적투자자산_재무목표_평가금액">OFFSET(#REF!,,,COUNT(#REF!))</definedName>
    <definedName name="rng_누적투자자산리스트_고객명">OFFSET(#REF!,,,COUNTA(#REF!))</definedName>
    <definedName name="rng_누적투자자산리스트_상품명">OFFSET(#REF!,MATCH(1,--((#REF!=#REF!)*(#REF!=#REF!)),0)-1,2,COUNTIFS(#REF!,#REF!,#REF!,#REF!),1)</definedName>
    <definedName name="rng_누적투자자산리스트_자산구분1">OFFSET(#REF!,MATCH(#REF!,#REF!,0)-1,1,COUNTIF(#REF!,#REF!),1)</definedName>
    <definedName name="rng_만기관리_간트차트_가입일">OFFSET(#REF!,,,COUNT(#REF!))</definedName>
    <definedName name="rng_만기관리_간트차트_남은운용일">OFFSET(#REF!,,,COUNT(#REF!))</definedName>
    <definedName name="rng_만기관리_간트차트_만기일">OFFSET(#REF!,,,COUNT(#REF!))</definedName>
    <definedName name="rng_만기관리_간트차트_플랜명">OFFSET(#REF!,,,COUNTIF(#REF!,"?*"))</definedName>
    <definedName name="rng_만기관리_간트차트_현재일">OFFSET(#REF!,,,COUNT(#REF!))</definedName>
    <definedName name="rng_목표달성계획_상품명">OFFSET(#REF!,MATCH(1,--((#REF!=#REF!)*(#REF!=#REF!)),0)-1,2,COUNTIFS(#REF!,#REF!,#REF!,#REF!),1)</definedName>
    <definedName name="rng_목표달성계획_자산구분1">OFFSET(#REF!,MATCH(#REF!,#REF!,0)-1,1,COUNTIF(#REF!,#REF!),1)</definedName>
    <definedName name="rng_목표달성계획_재무목표">OFFSET(#REF!,,,COUNTIF(#REF!,"?*"))</definedName>
    <definedName name="rng_보험자산_간트차트_가입일">OFFSET(#REF!,,,COUNT(#REF!))</definedName>
    <definedName name="rng_보험자산_간트차트_남은일수">OFFSET(#REF!,,,COUNT(#REF!))</definedName>
    <definedName name="rng_보험자산_간트차트_상품명2">OFFSET(#REF!,,,COUNTA(#REF!))</definedName>
    <definedName name="rng_보험자산_간트차트_운영일수">OFFSET(#REF!,,,COUNT(#REF!))</definedName>
    <definedName name="rng_사업장분석_부채분석_대출금리">OFFSET(#REF!,,,COUNT(#REF!))</definedName>
    <definedName name="rng_사업장분석_부채분석_대출명">OFFSET(#REF!,,,COUNTIF(#REF!,"?*"))</definedName>
    <definedName name="rng_사업장분석_부채분석_대출액">OFFSET(#REF!,,,COUNT(#REF!))</definedName>
    <definedName name="rng_사업장분석_부채분석_대출잔액">OFFSET(#REF!,,,COUNT(#REF!))</definedName>
    <definedName name="rng_사업장분석_부채분석_상환율">OFFSET(#REF!,,,COUNT(#REF!))</definedName>
    <definedName name="rng_사업장분석_부채분석_월상환액">OFFSET(#REF!,,,COUNT(#REF!))</definedName>
    <definedName name="rng_사업장분석_부채분석_잔액비율">OFFSET(#REF!,,,COUNT(#REF!))</definedName>
    <definedName name="rng_사전증여플랜_상품명">OFFSET(#REF!,,,COUNTA(#REF!))</definedName>
    <definedName name="RNG_상속VS증여_나이">OFFSET(#REF!,,,,COUNTA(#REF!)-COUNTBLANK(#REF!))</definedName>
    <definedName name="RNG_상속VS증여_상속세">OFFSET(#REF!,,,,COUNTA(#REF!)-COUNTBLANK(#REF!))</definedName>
    <definedName name="RNG_상속VS증여_상속세재원">OFFSET(#REF!,,,,COUNTA(#REF!)-COUNTBLANK(#REF!))</definedName>
    <definedName name="RNG_상속VS증여_순자산">OFFSET(#REF!,,,,COUNTA(#REF!)-COUNTBLANK(#REF!))</definedName>
    <definedName name="rng_은퇴플랜_평가금액계산_나이" localSheetId="2">OFFSET('[1]2-1_은퇴플랜'!$Q$13,,,1,COUNTA('[1]2-1_은퇴플랜'!$Q$13:$FA$13)-COUNTBLANK('[1]2-1_은퇴플랜'!$Q$13:$FA$13))</definedName>
    <definedName name="rng_은퇴플랜_평가금액계산_나이">OFFSET(#REF!,,,1,COUNTA(#REF!)-COUNTBLANK(#REF!))</definedName>
    <definedName name="rng_은퇴플랜_평가금액계산_평가금액" localSheetId="2">OFFSET('[1]2-1_은퇴플랜'!$Q$25,,,1,COUNTA('[1]2-1_은퇴플랜'!$Q$25:$FA$25)-COUNTBLANK('[1]2-1_은퇴플랜'!$Q$25:$FA$25))</definedName>
    <definedName name="rng_은퇴플랜_평가금액계산_평가금액">OFFSET(#REF!,,,1,COUNTA(#REF!)-COUNTBLANK(#REF!))</definedName>
    <definedName name="rng_재무목표달성플랜_목표미지정상품_상품명">OFFSET(#REF!,MATCH(1,--((#REF!=#REF!)*(#REF!=#REF!)),0)-1,2,COUNTIFS(#REF!,#REF!,#REF!,#REF!),1)</definedName>
    <definedName name="rng_재무목표달성플랜_목표미지정상품_자산구분1">OFFSET(#REF!,MATCH(#REF!,#REF!,0)-1,1,COUNTIF(#REF!,#REF!),1)</definedName>
    <definedName name="rng_재무분석_개인대출분석_대출명">OFFSET(#REF!,,,COUNTIF(#REF!,"?*"))</definedName>
    <definedName name="rng_재무분석_개인부채분석_대출금리">OFFSET(#REF!,,,COUNT(#REF!))</definedName>
    <definedName name="rng_재무분석_개인부채분석_대출액">OFFSET(#REF!,,,COUNT(#REF!))</definedName>
    <definedName name="rng_재무분석_개인부채분석_대출잔액">OFFSET(#REF!,,,COUNT(#REF!))</definedName>
    <definedName name="rng_재무분석_개인부채분석_상환율">OFFSET(#REF!,,,COUNT(#REF!))</definedName>
    <definedName name="rng_재무분석_개인부채분석_월상환액">OFFSET(#REF!,,,COUNT(#REF!))</definedName>
    <definedName name="rng_재무분석_개인부채분석_잔액비율">OFFSET(#REF!,,,COUNT(#REF!))</definedName>
    <definedName name="rng_재무분석_기간대비총수익_기간">OFFSET(#REF!,,,COUNT(#REF!))</definedName>
    <definedName name="rng_재무분석_기간대비총수익_총수익">OFFSET(#REF!,,,COUNT(#REF!))</definedName>
    <definedName name="rng_재무분석_위험대비연수익_상품명">OFFSET(#REF!,,,COUNT(#REF!))</definedName>
    <definedName name="rng_재무분석_위험대비연수익_연수익">OFFSET(#REF!,,,COUNT(#REF!))</definedName>
    <definedName name="rng_재무분석_위험대비연수익_위험도">OFFSET(#REF!,,,COUNT(#REF!))</definedName>
    <definedName name="rng_재무분석_재무목표분석_달성률">OFFSET(#REF!,,,COUNT(#REF!))</definedName>
    <definedName name="rng_재무분석_재무목표분석_비중">OFFSET(#REF!,,,COUNT(#REF!))</definedName>
    <definedName name="rng_재무분석_재무목표분석_우선순위">OFFSET(#REF!,,,COUNT(#REF!))</definedName>
    <definedName name="rng_재무분석_재무목표분석_평가금액">OFFSET(#REF!,,,COUNT(#REF!))</definedName>
    <definedName name="rng_재무분석_재무목표분석_항목">OFFSET(#REF!,,,COUNTIF(#REF!,"?*"))</definedName>
    <definedName name="rng_포트폴리오만기관리_간트차트_남은개월수">OFFSET(#REF!,,,COUNT(#REF!))</definedName>
    <definedName name="가계소득5분위_나이">#REF!</definedName>
    <definedName name="기타가상자산">OFFSET(#REF!,,,COUNTIF(#REF!,"?*"))</definedName>
    <definedName name="보장성보험자산">OFFSET(#REF!,,,COUNTIF(#REF!,"?*"))</definedName>
    <definedName name="보험데이터_납입방법">#REF!</definedName>
    <definedName name="부동산자산">OFFSET(#REF!,,,COUNTIF(#REF!,"?*"))</definedName>
    <definedName name="유류분권자">#REF!</definedName>
    <definedName name="저축성보험자산">OFFSET(#REF!,,,COUNTIF(#REF!,"?*"))</definedName>
    <definedName name="전체데이터_고객명">#REF!</definedName>
    <definedName name="전체데이터_기간">#REF!</definedName>
    <definedName name="전체데이터_부동산자산_상품명">#REF!</definedName>
    <definedName name="전체데이터_부채상환방법">#REF!</definedName>
    <definedName name="전체데이터_위험도">#REF!</definedName>
    <definedName name="전체데이터_자산구분_1">#REF!</definedName>
    <definedName name="전체데이터_자산구분_보장과저축">#REF!</definedName>
    <definedName name="전체데이터_자산구분2_기타자산">#REF!</definedName>
    <definedName name="전체데이터_자산구분2_부동산자산">#REF!</definedName>
    <definedName name="전체데이터_자산구분2_부채자산">#REF!</definedName>
    <definedName name="전체데이터_자산구분2_절세전략자산">#REF!</definedName>
    <definedName name="전체데이터_자산구분2_투자자산">#REF!</definedName>
    <definedName name="전체데이터_자산구분2_현금성자산">#REF!</definedName>
    <definedName name="전체데이터_재무목표">#REF!</definedName>
    <definedName name="전체데이터_화폐">#REF!</definedName>
    <definedName name="절세자산">OFFSET(#REF!,,,COUNTIF(#REF!,"?*"))</definedName>
    <definedName name="지우개_3_1_재무전략점검">#REF!,#REF!,#REF!,#REF!,#REF!,#REF!,#REF!,#REF!,#REF!,#REF!,#REF!,#REF!,#REF!,#REF!,#REF!,#REF!,#REF!,#REF!,#REF!,#REF!</definedName>
    <definedName name="지우개_보조_대출">#REF!,#REF!,#REF!</definedName>
    <definedName name="지우개_보조_보험">#REF!,#REF!,#REF!,#REF!</definedName>
    <definedName name="지우개_전체데이터">#REF!,#REF!,#REF!,#REF!,#REF!,#REF!,#REF!,#REF!,#REF!,#REF!,#REF!,#REF!,#REF!,#REF!,#REF!,#REF!,#REF!,#REF!,#REF!,#REF!,#REF!,#REF!,#REF!,#REF!,#REF!,#REF!,#REF!,#REF!,#REF!,#REF!,#REF!,#REF!,#REF!,#REF!,#REF!,#REF!,#REF!,#REF!,#REF!,#REF!</definedName>
    <definedName name="투자자산">OFFSET(#REF!,,,COUNTIF(#REF!,"?*"))</definedName>
    <definedName name="표_투자자산관리">#REF!</definedName>
    <definedName name="현금성자산">OFFSET(#REF!,,,COUNTIF(#REF!,"?*"))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D12" i="3" l="1"/>
  <c r="CB12" i="3"/>
  <c r="CA23" i="3"/>
  <c r="BR9" i="3"/>
  <c r="BI9" i="3"/>
  <c r="CR9" i="3" s="1"/>
  <c r="AE34" i="3"/>
  <c r="AG34" i="3"/>
  <c r="AP9" i="3"/>
  <c r="AB32" i="3" s="1"/>
  <c r="Z729" i="3" s="1"/>
  <c r="Y34" i="3"/>
  <c r="AB31" i="3"/>
  <c r="AH23" i="3"/>
  <c r="CI9" i="3" l="1"/>
  <c r="K12" i="3" s="1"/>
  <c r="DQ12" i="3"/>
  <c r="DY11" i="3"/>
  <c r="BR16" i="3"/>
  <c r="CE9" i="3"/>
  <c r="BR20" i="3"/>
  <c r="Z749" i="3"/>
  <c r="CS12" i="3"/>
  <c r="DD20" i="3"/>
  <c r="DN9" i="3"/>
  <c r="DR9" i="3" s="1"/>
  <c r="AA756" i="3"/>
  <c r="AA744" i="3"/>
  <c r="AA732" i="3"/>
  <c r="AB756" i="3"/>
  <c r="AB744" i="3"/>
  <c r="AB732" i="3"/>
  <c r="AA755" i="3"/>
  <c r="AA743" i="3"/>
  <c r="AA731" i="3"/>
  <c r="AB755" i="3"/>
  <c r="AB743" i="3"/>
  <c r="AB731" i="3"/>
  <c r="AA754" i="3"/>
  <c r="AA742" i="3"/>
  <c r="AA730" i="3"/>
  <c r="AB754" i="3"/>
  <c r="AB742" i="3"/>
  <c r="AB730" i="3"/>
  <c r="AA753" i="3"/>
  <c r="AA741" i="3"/>
  <c r="AA729" i="3"/>
  <c r="AA752" i="3"/>
  <c r="AA740" i="3"/>
  <c r="AA728" i="3"/>
  <c r="AB752" i="3"/>
  <c r="AB740" i="3"/>
  <c r="AB728" i="3"/>
  <c r="AA751" i="3"/>
  <c r="AA739" i="3"/>
  <c r="AA727" i="3"/>
  <c r="AB751" i="3"/>
  <c r="AB739" i="3"/>
  <c r="AB727" i="3"/>
  <c r="AA750" i="3"/>
  <c r="AA738" i="3"/>
  <c r="AA726" i="3"/>
  <c r="AB750" i="3"/>
  <c r="AB738" i="3"/>
  <c r="AB726" i="3"/>
  <c r="AA749" i="3"/>
  <c r="AA737" i="3"/>
  <c r="AA725" i="3"/>
  <c r="AB749" i="3"/>
  <c r="AB737" i="3"/>
  <c r="AB725" i="3"/>
  <c r="AA757" i="3"/>
  <c r="AA745" i="3"/>
  <c r="AA733" i="3"/>
  <c r="AB757" i="3"/>
  <c r="AB745" i="3"/>
  <c r="AB733" i="3"/>
  <c r="AA735" i="3"/>
  <c r="AB735" i="3"/>
  <c r="AA734" i="3"/>
  <c r="AA724" i="3"/>
  <c r="AB729" i="3"/>
  <c r="AB723" i="3"/>
  <c r="AB753" i="3"/>
  <c r="AA758" i="3"/>
  <c r="AB748" i="3"/>
  <c r="AA747" i="3"/>
  <c r="AB746" i="3"/>
  <c r="AA746" i="3"/>
  <c r="AB741" i="3"/>
  <c r="Z733" i="3"/>
  <c r="Z745" i="3"/>
  <c r="Z757" i="3"/>
  <c r="Z746" i="3"/>
  <c r="Z724" i="3"/>
  <c r="Z734" i="3"/>
  <c r="Z758" i="3"/>
  <c r="Z723" i="3"/>
  <c r="Z735" i="3"/>
  <c r="Z747" i="3"/>
  <c r="Z748" i="3"/>
  <c r="Z736" i="3"/>
  <c r="AA748" i="3"/>
  <c r="AA736" i="3"/>
  <c r="AB758" i="3"/>
  <c r="AA723" i="3"/>
  <c r="AB747" i="3"/>
  <c r="AB736" i="3"/>
  <c r="AB734" i="3"/>
  <c r="AB724" i="3"/>
  <c r="Z743" i="3"/>
  <c r="Z742" i="3"/>
  <c r="Z725" i="3"/>
  <c r="Z740" i="3"/>
  <c r="Z728" i="3"/>
  <c r="Z739" i="3"/>
  <c r="Z741" i="3"/>
  <c r="Z755" i="3"/>
  <c r="Z738" i="3"/>
  <c r="Z737" i="3"/>
  <c r="Z752" i="3"/>
  <c r="Z744" i="3"/>
  <c r="Z726" i="3"/>
  <c r="Z756" i="3"/>
  <c r="Z754" i="3"/>
  <c r="Z753" i="3"/>
  <c r="Z732" i="3"/>
  <c r="Z751" i="3"/>
  <c r="Z731" i="3"/>
  <c r="Z727" i="3"/>
  <c r="Z750" i="3"/>
  <c r="Z730" i="3"/>
  <c r="BJ25" i="3"/>
  <c r="CB25" i="3" s="1"/>
  <c r="AZ9" i="3"/>
  <c r="K10" i="3" s="1"/>
  <c r="AB30" i="3"/>
  <c r="AA207" i="3" s="1"/>
  <c r="EB19" i="3" l="1"/>
  <c r="EB17" i="3"/>
  <c r="EB18" i="3"/>
  <c r="EB21" i="3"/>
  <c r="EB20" i="3"/>
  <c r="K14" i="3"/>
  <c r="ED17" i="3"/>
  <c r="Z583" i="3"/>
  <c r="Z695" i="3"/>
  <c r="Z348" i="3"/>
  <c r="Z595" i="3"/>
  <c r="Z137" i="3"/>
  <c r="AB205" i="3"/>
  <c r="AB640" i="3"/>
  <c r="AB462" i="3"/>
  <c r="Z632" i="3"/>
  <c r="Z368" i="3"/>
  <c r="Z600" i="3"/>
  <c r="Z396" i="3"/>
  <c r="Z197" i="3"/>
  <c r="AB722" i="3"/>
  <c r="Z283" i="3"/>
  <c r="Z394" i="3"/>
  <c r="Z491" i="3"/>
  <c r="Z476" i="3"/>
  <c r="Z267" i="3"/>
  <c r="AA171" i="3"/>
  <c r="Z443" i="3"/>
  <c r="Z284" i="3"/>
  <c r="Z307" i="3"/>
  <c r="AB112" i="3"/>
  <c r="Z419" i="3"/>
  <c r="Z624" i="3"/>
  <c r="Z404" i="3"/>
  <c r="Z499" i="3"/>
  <c r="Z716" i="3"/>
  <c r="Z345" i="3"/>
  <c r="Z609" i="3"/>
  <c r="Z442" i="3"/>
  <c r="Z456" i="3"/>
  <c r="Z240" i="3"/>
  <c r="Z715" i="3"/>
  <c r="Z622" i="3"/>
  <c r="Z198" i="3"/>
  <c r="Z658" i="3"/>
  <c r="Z241" i="3"/>
  <c r="Z654" i="3"/>
  <c r="Z718" i="3"/>
  <c r="Z253" i="3"/>
  <c r="Z427" i="3"/>
  <c r="Z224" i="3"/>
  <c r="Z617" i="3"/>
  <c r="Z635" i="3"/>
  <c r="Z642" i="3"/>
  <c r="Z298" i="3"/>
  <c r="Z319" i="3"/>
  <c r="Z702" i="3"/>
  <c r="Z466" i="3"/>
  <c r="Z537" i="3"/>
  <c r="Z212" i="3"/>
  <c r="Z623" i="3"/>
  <c r="Z294" i="3"/>
  <c r="Z196" i="3"/>
  <c r="AB518" i="3"/>
  <c r="Z184" i="3"/>
  <c r="Z300" i="3"/>
  <c r="AB352" i="3"/>
  <c r="Z242" i="3"/>
  <c r="Z467" i="3"/>
  <c r="Z418" i="3"/>
  <c r="Z369" i="3"/>
  <c r="Z67" i="3"/>
  <c r="Z561" i="3"/>
  <c r="Z380" i="3"/>
  <c r="Z679" i="3"/>
  <c r="Z653" i="3"/>
  <c r="Z323" i="3"/>
  <c r="Z550" i="3"/>
  <c r="Z692" i="3"/>
  <c r="AB256" i="3"/>
  <c r="Z372" i="3"/>
  <c r="Z690" i="3"/>
  <c r="Z111" i="3"/>
  <c r="AA86" i="3"/>
  <c r="AB457" i="3"/>
  <c r="CS25" i="3"/>
  <c r="Z717" i="3"/>
  <c r="Z420" i="3"/>
  <c r="Z125" i="3"/>
  <c r="Z332" i="3"/>
  <c r="Z691" i="3"/>
  <c r="Z140" i="3"/>
  <c r="AA340" i="3"/>
  <c r="AB657" i="3"/>
  <c r="Z534" i="3"/>
  <c r="Z393" i="3"/>
  <c r="Z714" i="3"/>
  <c r="Z705" i="3"/>
  <c r="Z490" i="3"/>
  <c r="Z696" i="3"/>
  <c r="Z255" i="3"/>
  <c r="Z444" i="3"/>
  <c r="Z392" i="3"/>
  <c r="Z357" i="3"/>
  <c r="Z195" i="3"/>
  <c r="Z126" i="3"/>
  <c r="AB98" i="3"/>
  <c r="Z390" i="3"/>
  <c r="Z441" i="3"/>
  <c r="Z670" i="3"/>
  <c r="Z514" i="3"/>
  <c r="Z321" i="3"/>
  <c r="Z500" i="3"/>
  <c r="Z645" i="3"/>
  <c r="Z53" i="3"/>
  <c r="Z381" i="3"/>
  <c r="Z109" i="3"/>
  <c r="AB52" i="3"/>
  <c r="Z79" i="3"/>
  <c r="Z234" i="3"/>
  <c r="Z465" i="3"/>
  <c r="Z504" i="3"/>
  <c r="Z538" i="3"/>
  <c r="Z347" i="3"/>
  <c r="Z631" i="3"/>
  <c r="Z701" i="3"/>
  <c r="Z166" i="3"/>
  <c r="Z648" i="3"/>
  <c r="Z183" i="3"/>
  <c r="AB66" i="3"/>
  <c r="AA182" i="3"/>
  <c r="Z62" i="3"/>
  <c r="Z489" i="3"/>
  <c r="Z665" i="3"/>
  <c r="Z562" i="3"/>
  <c r="Z355" i="3"/>
  <c r="Z371" i="3"/>
  <c r="Z719" i="3"/>
  <c r="Z211" i="3"/>
  <c r="Z226" i="3"/>
  <c r="AB82" i="3"/>
  <c r="AA266" i="3"/>
  <c r="Z236" i="3"/>
  <c r="AB208" i="3"/>
  <c r="Z513" i="3"/>
  <c r="Z324" i="3"/>
  <c r="Z139" i="3"/>
  <c r="Z584" i="3"/>
  <c r="Z646" i="3"/>
  <c r="Z395" i="3"/>
  <c r="Z668" i="3"/>
  <c r="Z295" i="3"/>
  <c r="Z379" i="3"/>
  <c r="Z669" i="3"/>
  <c r="Z527" i="3"/>
  <c r="AB97" i="3"/>
  <c r="AA483" i="3"/>
  <c r="Z64" i="3"/>
  <c r="AB470" i="3"/>
  <c r="Z65" i="3"/>
  <c r="Z149" i="3"/>
  <c r="Z405" i="3"/>
  <c r="Z333" i="3"/>
  <c r="Z407" i="3"/>
  <c r="Z228" i="3"/>
  <c r="AB130" i="3"/>
  <c r="AB114" i="3"/>
  <c r="Z66" i="3"/>
  <c r="AB41" i="3"/>
  <c r="AB104" i="3"/>
  <c r="Z497" i="3"/>
  <c r="Z575" i="3"/>
  <c r="Z607" i="3"/>
  <c r="Z612" i="3"/>
  <c r="Z564" i="3"/>
  <c r="Z588" i="3"/>
  <c r="Z548" i="3"/>
  <c r="Z429" i="3"/>
  <c r="Z358" i="3"/>
  <c r="Z431" i="3"/>
  <c r="Z480" i="3"/>
  <c r="AB253" i="3"/>
  <c r="AB147" i="3"/>
  <c r="Z52" i="3"/>
  <c r="AB204" i="3"/>
  <c r="AB320" i="3"/>
  <c r="Z707" i="3"/>
  <c r="Z644" i="3"/>
  <c r="Z689" i="3"/>
  <c r="Z586" i="3"/>
  <c r="Z667" i="3"/>
  <c r="Z647" i="3"/>
  <c r="Z453" i="3"/>
  <c r="Z382" i="3"/>
  <c r="Z455" i="3"/>
  <c r="Z597" i="3"/>
  <c r="AB272" i="3"/>
  <c r="AB313" i="3"/>
  <c r="AB54" i="3"/>
  <c r="AB240" i="3"/>
  <c r="Z524" i="3"/>
  <c r="Z346" i="3"/>
  <c r="Z643" i="3"/>
  <c r="Z475" i="3"/>
  <c r="Z660" i="3"/>
  <c r="Z706" i="3"/>
  <c r="Z608" i="3"/>
  <c r="Z593" i="3"/>
  <c r="Z406" i="3"/>
  <c r="Z479" i="3"/>
  <c r="Z170" i="3"/>
  <c r="AB291" i="3"/>
  <c r="AB334" i="3"/>
  <c r="AB203" i="3"/>
  <c r="AB591" i="3"/>
  <c r="AC38" i="3"/>
  <c r="Z512" i="3"/>
  <c r="Z416" i="3"/>
  <c r="Z621" i="3"/>
  <c r="Z464" i="3"/>
  <c r="Z713" i="3"/>
  <c r="Z581" i="3"/>
  <c r="Z560" i="3"/>
  <c r="Z693" i="3"/>
  <c r="Z536" i="3"/>
  <c r="Z440" i="3"/>
  <c r="Z641" i="3"/>
  <c r="Z599" i="3"/>
  <c r="Z657" i="3"/>
  <c r="Z488" i="3"/>
  <c r="Z677" i="3"/>
  <c r="Z123" i="3"/>
  <c r="Z463" i="3"/>
  <c r="AA588" i="3"/>
  <c r="AA444" i="3"/>
  <c r="AA300" i="3"/>
  <c r="AA156" i="3"/>
  <c r="AB588" i="3"/>
  <c r="AA599" i="3"/>
  <c r="AA455" i="3"/>
  <c r="AA311" i="3"/>
  <c r="AA167" i="3"/>
  <c r="AA670" i="3"/>
  <c r="AA526" i="3"/>
  <c r="AA382" i="3"/>
  <c r="AA238" i="3"/>
  <c r="AA94" i="3"/>
  <c r="AB670" i="3"/>
  <c r="AB526" i="3"/>
  <c r="AA681" i="3"/>
  <c r="AA537" i="3"/>
  <c r="AA704" i="3"/>
  <c r="AA560" i="3"/>
  <c r="AA416" i="3"/>
  <c r="AA272" i="3"/>
  <c r="AA128" i="3"/>
  <c r="AB704" i="3"/>
  <c r="AB560" i="3"/>
  <c r="AA715" i="3"/>
  <c r="AA571" i="3"/>
  <c r="AA427" i="3"/>
  <c r="AA283" i="3"/>
  <c r="AA139" i="3"/>
  <c r="AB715" i="3"/>
  <c r="AB571" i="3"/>
  <c r="AA714" i="3"/>
  <c r="AA570" i="3"/>
  <c r="AA426" i="3"/>
  <c r="AA282" i="3"/>
  <c r="AA138" i="3"/>
  <c r="AB714" i="3"/>
  <c r="AB570" i="3"/>
  <c r="AA713" i="3"/>
  <c r="AA569" i="3"/>
  <c r="AA425" i="3"/>
  <c r="AA281" i="3"/>
  <c r="AA137" i="3"/>
  <c r="AB713" i="3"/>
  <c r="AB569" i="3"/>
  <c r="AA721" i="3"/>
  <c r="AA577" i="3"/>
  <c r="AA433" i="3"/>
  <c r="AA289" i="3"/>
  <c r="AA145" i="3"/>
  <c r="AB721" i="3"/>
  <c r="AB577" i="3"/>
  <c r="AA639" i="3"/>
  <c r="AA159" i="3"/>
  <c r="AB495" i="3"/>
  <c r="AB333" i="3"/>
  <c r="AB189" i="3"/>
  <c r="AB45" i="3"/>
  <c r="Z177" i="3"/>
  <c r="AA686" i="3"/>
  <c r="AA484" i="3"/>
  <c r="AA45" i="3"/>
  <c r="AB439" i="3"/>
  <c r="AB295" i="3"/>
  <c r="AB151" i="3"/>
  <c r="Z71" i="3"/>
  <c r="Z215" i="3"/>
  <c r="AA530" i="3"/>
  <c r="AA75" i="3"/>
  <c r="AB449" i="3"/>
  <c r="AB305" i="3"/>
  <c r="AB161" i="3"/>
  <c r="AA472" i="3"/>
  <c r="AA321" i="3"/>
  <c r="AB626" i="3"/>
  <c r="AB387" i="3"/>
  <c r="AA316" i="3"/>
  <c r="AB623" i="3"/>
  <c r="AB386" i="3"/>
  <c r="Z312" i="3"/>
  <c r="Z439" i="3"/>
  <c r="AA720" i="3"/>
  <c r="AA576" i="3"/>
  <c r="AA432" i="3"/>
  <c r="AA288" i="3"/>
  <c r="AA144" i="3"/>
  <c r="AB720" i="3"/>
  <c r="AB576" i="3"/>
  <c r="AA587" i="3"/>
  <c r="AA443" i="3"/>
  <c r="AA299" i="3"/>
  <c r="AA155" i="3"/>
  <c r="AA658" i="3"/>
  <c r="AA514" i="3"/>
  <c r="AA370" i="3"/>
  <c r="AA226" i="3"/>
  <c r="AA82" i="3"/>
  <c r="AB658" i="3"/>
  <c r="AB514" i="3"/>
  <c r="AA669" i="3"/>
  <c r="AA525" i="3"/>
  <c r="AA692" i="3"/>
  <c r="AA548" i="3"/>
  <c r="AA404" i="3"/>
  <c r="AA260" i="3"/>
  <c r="AA116" i="3"/>
  <c r="AB692" i="3"/>
  <c r="AB548" i="3"/>
  <c r="AA703" i="3"/>
  <c r="AA559" i="3"/>
  <c r="AA415" i="3"/>
  <c r="AA271" i="3"/>
  <c r="AA127" i="3"/>
  <c r="AB703" i="3"/>
  <c r="AB559" i="3"/>
  <c r="AA702" i="3"/>
  <c r="AA558" i="3"/>
  <c r="AA414" i="3"/>
  <c r="AA270" i="3"/>
  <c r="AA126" i="3"/>
  <c r="AB702" i="3"/>
  <c r="AB558" i="3"/>
  <c r="AA701" i="3"/>
  <c r="AA557" i="3"/>
  <c r="AA413" i="3"/>
  <c r="AA269" i="3"/>
  <c r="AA125" i="3"/>
  <c r="AB701" i="3"/>
  <c r="AB557" i="3"/>
  <c r="AA709" i="3"/>
  <c r="AA565" i="3"/>
  <c r="AA421" i="3"/>
  <c r="AA277" i="3"/>
  <c r="AA133" i="3"/>
  <c r="AB709" i="3"/>
  <c r="AB565" i="3"/>
  <c r="AA591" i="3"/>
  <c r="AA123" i="3"/>
  <c r="AB467" i="3"/>
  <c r="AB321" i="3"/>
  <c r="AB177" i="3"/>
  <c r="Z45" i="3"/>
  <c r="Z189" i="3"/>
  <c r="AA638" i="3"/>
  <c r="AA441" i="3"/>
  <c r="AB427" i="3"/>
  <c r="AB283" i="3"/>
  <c r="AB139" i="3"/>
  <c r="Z83" i="3"/>
  <c r="Z227" i="3"/>
  <c r="AA482" i="3"/>
  <c r="AA39" i="3"/>
  <c r="AB437" i="3"/>
  <c r="AB293" i="3"/>
  <c r="AB149" i="3"/>
  <c r="AA434" i="3"/>
  <c r="AA285" i="3"/>
  <c r="AB597" i="3"/>
  <c r="AB375" i="3"/>
  <c r="AA280" i="3"/>
  <c r="AB592" i="3"/>
  <c r="Z672" i="3"/>
  <c r="Z415" i="3"/>
  <c r="AA708" i="3"/>
  <c r="AA564" i="3"/>
  <c r="AA420" i="3"/>
  <c r="AA276" i="3"/>
  <c r="AA132" i="3"/>
  <c r="AB708" i="3"/>
  <c r="AB564" i="3"/>
  <c r="AA719" i="3"/>
  <c r="AA575" i="3"/>
  <c r="AA431" i="3"/>
  <c r="AA287" i="3"/>
  <c r="AA143" i="3"/>
  <c r="AB719" i="3"/>
  <c r="AA646" i="3"/>
  <c r="AA502" i="3"/>
  <c r="AA358" i="3"/>
  <c r="AA214" i="3"/>
  <c r="AA70" i="3"/>
  <c r="AB646" i="3"/>
  <c r="AB502" i="3"/>
  <c r="AA657" i="3"/>
  <c r="AA513" i="3"/>
  <c r="AA680" i="3"/>
  <c r="AA536" i="3"/>
  <c r="AA392" i="3"/>
  <c r="AA248" i="3"/>
  <c r="AA104" i="3"/>
  <c r="AB680" i="3"/>
  <c r="AB536" i="3"/>
  <c r="AA691" i="3"/>
  <c r="AA547" i="3"/>
  <c r="AA403" i="3"/>
  <c r="AA259" i="3"/>
  <c r="AA115" i="3"/>
  <c r="AB691" i="3"/>
  <c r="AB547" i="3"/>
  <c r="AA690" i="3"/>
  <c r="AA546" i="3"/>
  <c r="AA402" i="3"/>
  <c r="AA258" i="3"/>
  <c r="AA114" i="3"/>
  <c r="AB690" i="3"/>
  <c r="AB546" i="3"/>
  <c r="AA689" i="3"/>
  <c r="AA545" i="3"/>
  <c r="AA401" i="3"/>
  <c r="AA257" i="3"/>
  <c r="AA113" i="3"/>
  <c r="AB689" i="3"/>
  <c r="AB545" i="3"/>
  <c r="AA697" i="3"/>
  <c r="AA553" i="3"/>
  <c r="AA409" i="3"/>
  <c r="AA265" i="3"/>
  <c r="AA121" i="3"/>
  <c r="AB697" i="3"/>
  <c r="AB553" i="3"/>
  <c r="AA543" i="3"/>
  <c r="AA87" i="3"/>
  <c r="AB453" i="3"/>
  <c r="AB309" i="3"/>
  <c r="AB165" i="3"/>
  <c r="Z57" i="3"/>
  <c r="Z201" i="3"/>
  <c r="AA590" i="3"/>
  <c r="AA405" i="3"/>
  <c r="AB693" i="3"/>
  <c r="AB415" i="3"/>
  <c r="AB271" i="3"/>
  <c r="AB127" i="3"/>
  <c r="Z95" i="3"/>
  <c r="Z239" i="3"/>
  <c r="AA435" i="3"/>
  <c r="AB425" i="3"/>
  <c r="AB281" i="3"/>
  <c r="AB137" i="3"/>
  <c r="AA398" i="3"/>
  <c r="AA249" i="3"/>
  <c r="AB567" i="3"/>
  <c r="AA244" i="3"/>
  <c r="AB566" i="3"/>
  <c r="AB362" i="3"/>
  <c r="Z656" i="3"/>
  <c r="Z391" i="3"/>
  <c r="AA696" i="3"/>
  <c r="AA552" i="3"/>
  <c r="AA408" i="3"/>
  <c r="AA264" i="3"/>
  <c r="AA120" i="3"/>
  <c r="AB696" i="3"/>
  <c r="AB552" i="3"/>
  <c r="AA707" i="3"/>
  <c r="AA563" i="3"/>
  <c r="AA419" i="3"/>
  <c r="AA275" i="3"/>
  <c r="AA131" i="3"/>
  <c r="AB707" i="3"/>
  <c r="AA634" i="3"/>
  <c r="AA490" i="3"/>
  <c r="AA346" i="3"/>
  <c r="AA202" i="3"/>
  <c r="AA58" i="3"/>
  <c r="AB634" i="3"/>
  <c r="AB490" i="3"/>
  <c r="AA645" i="3"/>
  <c r="AA501" i="3"/>
  <c r="AA668" i="3"/>
  <c r="AA524" i="3"/>
  <c r="AA380" i="3"/>
  <c r="AA236" i="3"/>
  <c r="AA92" i="3"/>
  <c r="AB668" i="3"/>
  <c r="AB524" i="3"/>
  <c r="AA679" i="3"/>
  <c r="AA535" i="3"/>
  <c r="AA391" i="3"/>
  <c r="AA247" i="3"/>
  <c r="AA103" i="3"/>
  <c r="AB679" i="3"/>
  <c r="AB535" i="3"/>
  <c r="AA678" i="3"/>
  <c r="AA534" i="3"/>
  <c r="AA390" i="3"/>
  <c r="AA246" i="3"/>
  <c r="AA102" i="3"/>
  <c r="AB678" i="3"/>
  <c r="AB534" i="3"/>
  <c r="AA677" i="3"/>
  <c r="AA533" i="3"/>
  <c r="AA389" i="3"/>
  <c r="AA245" i="3"/>
  <c r="AA101" i="3"/>
  <c r="AB677" i="3"/>
  <c r="AB533" i="3"/>
  <c r="AA685" i="3"/>
  <c r="AA541" i="3"/>
  <c r="AA397" i="3"/>
  <c r="AA253" i="3"/>
  <c r="AA109" i="3"/>
  <c r="AB685" i="3"/>
  <c r="AB541" i="3"/>
  <c r="AA495" i="3"/>
  <c r="AA51" i="3"/>
  <c r="AB441" i="3"/>
  <c r="AB297" i="3"/>
  <c r="AB153" i="3"/>
  <c r="Z69" i="3"/>
  <c r="Z213" i="3"/>
  <c r="AA542" i="3"/>
  <c r="AA369" i="3"/>
  <c r="AB663" i="3"/>
  <c r="AB403" i="3"/>
  <c r="AB259" i="3"/>
  <c r="AB115" i="3"/>
  <c r="Z107" i="3"/>
  <c r="Z251" i="3"/>
  <c r="AA399" i="3"/>
  <c r="AB687" i="3"/>
  <c r="AB413" i="3"/>
  <c r="AB269" i="3"/>
  <c r="AB125" i="3"/>
  <c r="AA711" i="3"/>
  <c r="AA213" i="3"/>
  <c r="AB539" i="3"/>
  <c r="AA710" i="3"/>
  <c r="AA208" i="3"/>
  <c r="AB537" i="3"/>
  <c r="Z636" i="3"/>
  <c r="Z367" i="3"/>
  <c r="AA684" i="3"/>
  <c r="AA540" i="3"/>
  <c r="AA396" i="3"/>
  <c r="AA252" i="3"/>
  <c r="AA108" i="3"/>
  <c r="AB684" i="3"/>
  <c r="AB540" i="3"/>
  <c r="AA695" i="3"/>
  <c r="AA551" i="3"/>
  <c r="AA407" i="3"/>
  <c r="AA263" i="3"/>
  <c r="AA119" i="3"/>
  <c r="AB695" i="3"/>
  <c r="AA622" i="3"/>
  <c r="AA478" i="3"/>
  <c r="AA334" i="3"/>
  <c r="AA190" i="3"/>
  <c r="AA46" i="3"/>
  <c r="AB622" i="3"/>
  <c r="AB478" i="3"/>
  <c r="AA633" i="3"/>
  <c r="AA489" i="3"/>
  <c r="AA656" i="3"/>
  <c r="AA512" i="3"/>
  <c r="AA368" i="3"/>
  <c r="AA224" i="3"/>
  <c r="AA80" i="3"/>
  <c r="AB656" i="3"/>
  <c r="AB512" i="3"/>
  <c r="AA667" i="3"/>
  <c r="AA523" i="3"/>
  <c r="AA379" i="3"/>
  <c r="AA235" i="3"/>
  <c r="AA91" i="3"/>
  <c r="AB667" i="3"/>
  <c r="AB523" i="3"/>
  <c r="AA666" i="3"/>
  <c r="AA522" i="3"/>
  <c r="AA378" i="3"/>
  <c r="AA234" i="3"/>
  <c r="AA90" i="3"/>
  <c r="AB666" i="3"/>
  <c r="AB522" i="3"/>
  <c r="AA665" i="3"/>
  <c r="AA521" i="3"/>
  <c r="AA377" i="3"/>
  <c r="AA233" i="3"/>
  <c r="AA89" i="3"/>
  <c r="AB665" i="3"/>
  <c r="AB521" i="3"/>
  <c r="AA673" i="3"/>
  <c r="AA529" i="3"/>
  <c r="AA385" i="3"/>
  <c r="AA241" i="3"/>
  <c r="AA97" i="3"/>
  <c r="AB673" i="3"/>
  <c r="AB529" i="3"/>
  <c r="AA447" i="3"/>
  <c r="AB429" i="3"/>
  <c r="AB285" i="3"/>
  <c r="AB141" i="3"/>
  <c r="Z81" i="3"/>
  <c r="Z225" i="3"/>
  <c r="AA494" i="3"/>
  <c r="AA333" i="3"/>
  <c r="AB635" i="3"/>
  <c r="AB391" i="3"/>
  <c r="AB247" i="3"/>
  <c r="AB103" i="3"/>
  <c r="Z119" i="3"/>
  <c r="Z263" i="3"/>
  <c r="AA363" i="3"/>
  <c r="AB659" i="3"/>
  <c r="AB401" i="3"/>
  <c r="AB257" i="3"/>
  <c r="AB113" i="3"/>
  <c r="AA663" i="3"/>
  <c r="AA177" i="3"/>
  <c r="Z620" i="3"/>
  <c r="Z343" i="3"/>
  <c r="AA672" i="3"/>
  <c r="AA528" i="3"/>
  <c r="AA384" i="3"/>
  <c r="AA240" i="3"/>
  <c r="AA96" i="3"/>
  <c r="AB672" i="3"/>
  <c r="AB528" i="3"/>
  <c r="AA683" i="3"/>
  <c r="AA539" i="3"/>
  <c r="AA395" i="3"/>
  <c r="AA251" i="3"/>
  <c r="AA107" i="3"/>
  <c r="AA610" i="3"/>
  <c r="AA466" i="3"/>
  <c r="AA322" i="3"/>
  <c r="AA178" i="3"/>
  <c r="AB610" i="3"/>
  <c r="AB466" i="3"/>
  <c r="AA621" i="3"/>
  <c r="AA477" i="3"/>
  <c r="AA644" i="3"/>
  <c r="AA500" i="3"/>
  <c r="AA356" i="3"/>
  <c r="AA212" i="3"/>
  <c r="AA68" i="3"/>
  <c r="AB644" i="3"/>
  <c r="AB500" i="3"/>
  <c r="AA655" i="3"/>
  <c r="AA511" i="3"/>
  <c r="AA367" i="3"/>
  <c r="AA223" i="3"/>
  <c r="AA79" i="3"/>
  <c r="AB655" i="3"/>
  <c r="AB511" i="3"/>
  <c r="AA654" i="3"/>
  <c r="AA510" i="3"/>
  <c r="AA366" i="3"/>
  <c r="AA222" i="3"/>
  <c r="AA78" i="3"/>
  <c r="AB654" i="3"/>
  <c r="AB510" i="3"/>
  <c r="AA653" i="3"/>
  <c r="AA509" i="3"/>
  <c r="AA365" i="3"/>
  <c r="AA221" i="3"/>
  <c r="AA77" i="3"/>
  <c r="AB653" i="3"/>
  <c r="AB509" i="3"/>
  <c r="AA661" i="3"/>
  <c r="AA517" i="3"/>
  <c r="AA373" i="3"/>
  <c r="AA229" i="3"/>
  <c r="AA85" i="3"/>
  <c r="AB661" i="3"/>
  <c r="AB517" i="3"/>
  <c r="AA411" i="3"/>
  <c r="AB699" i="3"/>
  <c r="AB417" i="3"/>
  <c r="AB273" i="3"/>
  <c r="AB129" i="3"/>
  <c r="Z93" i="3"/>
  <c r="Z237" i="3"/>
  <c r="AA446" i="3"/>
  <c r="AA297" i="3"/>
  <c r="AB604" i="3"/>
  <c r="AB379" i="3"/>
  <c r="AB235" i="3"/>
  <c r="AB91" i="3"/>
  <c r="Z131" i="3"/>
  <c r="Z275" i="3"/>
  <c r="AA327" i="3"/>
  <c r="AB628" i="3"/>
  <c r="Z598" i="3"/>
  <c r="Z311" i="3"/>
  <c r="AA660" i="3"/>
  <c r="AA516" i="3"/>
  <c r="AA372" i="3"/>
  <c r="AA228" i="3"/>
  <c r="AA84" i="3"/>
  <c r="AB660" i="3"/>
  <c r="AB516" i="3"/>
  <c r="AA671" i="3"/>
  <c r="AA527" i="3"/>
  <c r="AA383" i="3"/>
  <c r="AA239" i="3"/>
  <c r="AA95" i="3"/>
  <c r="AA598" i="3"/>
  <c r="AA454" i="3"/>
  <c r="AA310" i="3"/>
  <c r="AA166" i="3"/>
  <c r="AB598" i="3"/>
  <c r="AA609" i="3"/>
  <c r="AA465" i="3"/>
  <c r="AA632" i="3"/>
  <c r="AA488" i="3"/>
  <c r="AA344" i="3"/>
  <c r="AA200" i="3"/>
  <c r="AA56" i="3"/>
  <c r="AB632" i="3"/>
  <c r="AB488" i="3"/>
  <c r="AA643" i="3"/>
  <c r="AA499" i="3"/>
  <c r="AA355" i="3"/>
  <c r="AA211" i="3"/>
  <c r="AA67" i="3"/>
  <c r="AB643" i="3"/>
  <c r="AB499" i="3"/>
  <c r="AA642" i="3"/>
  <c r="AA498" i="3"/>
  <c r="AA354" i="3"/>
  <c r="AA210" i="3"/>
  <c r="AA66" i="3"/>
  <c r="AB642" i="3"/>
  <c r="AB498" i="3"/>
  <c r="AA641" i="3"/>
  <c r="AA497" i="3"/>
  <c r="AA353" i="3"/>
  <c r="AA209" i="3"/>
  <c r="AA65" i="3"/>
  <c r="AB641" i="3"/>
  <c r="AB497" i="3"/>
  <c r="AA649" i="3"/>
  <c r="AA505" i="3"/>
  <c r="AA361" i="3"/>
  <c r="AA217" i="3"/>
  <c r="AA73" i="3"/>
  <c r="AB649" i="3"/>
  <c r="AB505" i="3"/>
  <c r="AA375" i="3"/>
  <c r="AB669" i="3"/>
  <c r="AB405" i="3"/>
  <c r="AB261" i="3"/>
  <c r="AB117" i="3"/>
  <c r="Z105" i="3"/>
  <c r="Z249" i="3"/>
  <c r="AA410" i="3"/>
  <c r="AA261" i="3"/>
  <c r="Z576" i="3"/>
  <c r="Z279" i="3"/>
  <c r="AA648" i="3"/>
  <c r="AA504" i="3"/>
  <c r="AA360" i="3"/>
  <c r="AA216" i="3"/>
  <c r="AA72" i="3"/>
  <c r="AB648" i="3"/>
  <c r="AB504" i="3"/>
  <c r="AA659" i="3"/>
  <c r="AA515" i="3"/>
  <c r="AA371" i="3"/>
  <c r="AA227" i="3"/>
  <c r="AA83" i="3"/>
  <c r="AA586" i="3"/>
  <c r="AA442" i="3"/>
  <c r="AA298" i="3"/>
  <c r="AA154" i="3"/>
  <c r="AB586" i="3"/>
  <c r="AA597" i="3"/>
  <c r="AA453" i="3"/>
  <c r="AA620" i="3"/>
  <c r="AA476" i="3"/>
  <c r="AA332" i="3"/>
  <c r="AA188" i="3"/>
  <c r="AA44" i="3"/>
  <c r="AB620" i="3"/>
  <c r="AB476" i="3"/>
  <c r="AA631" i="3"/>
  <c r="AA487" i="3"/>
  <c r="AA343" i="3"/>
  <c r="AA199" i="3"/>
  <c r="AA55" i="3"/>
  <c r="AB631" i="3"/>
  <c r="AB487" i="3"/>
  <c r="AA630" i="3"/>
  <c r="AA486" i="3"/>
  <c r="AA342" i="3"/>
  <c r="AA198" i="3"/>
  <c r="AA54" i="3"/>
  <c r="AB630" i="3"/>
  <c r="AB486" i="3"/>
  <c r="AA629" i="3"/>
  <c r="AA485" i="3"/>
  <c r="AA341" i="3"/>
  <c r="AA197" i="3"/>
  <c r="AA53" i="3"/>
  <c r="AB629" i="3"/>
  <c r="AB485" i="3"/>
  <c r="AA637" i="3"/>
  <c r="AA493" i="3"/>
  <c r="AA349" i="3"/>
  <c r="AA205" i="3"/>
  <c r="AA61" i="3"/>
  <c r="AB637" i="3"/>
  <c r="AB493" i="3"/>
  <c r="AA339" i="3"/>
  <c r="AB639" i="3"/>
  <c r="AB393" i="3"/>
  <c r="AB249" i="3"/>
  <c r="AB105" i="3"/>
  <c r="Z117" i="3"/>
  <c r="Z559" i="3"/>
  <c r="Z235" i="3"/>
  <c r="AA636" i="3"/>
  <c r="AA492" i="3"/>
  <c r="AA348" i="3"/>
  <c r="AA204" i="3"/>
  <c r="AA60" i="3"/>
  <c r="AB636" i="3"/>
  <c r="AB492" i="3"/>
  <c r="AA647" i="3"/>
  <c r="AA503" i="3"/>
  <c r="AA359" i="3"/>
  <c r="AA215" i="3"/>
  <c r="AA71" i="3"/>
  <c r="AA718" i="3"/>
  <c r="AA574" i="3"/>
  <c r="AA430" i="3"/>
  <c r="AA286" i="3"/>
  <c r="AA142" i="3"/>
  <c r="AB718" i="3"/>
  <c r="AB574" i="3"/>
  <c r="AA585" i="3"/>
  <c r="AA608" i="3"/>
  <c r="AA464" i="3"/>
  <c r="AA320" i="3"/>
  <c r="AA176" i="3"/>
  <c r="AB608" i="3"/>
  <c r="AB464" i="3"/>
  <c r="AA619" i="3"/>
  <c r="AA475" i="3"/>
  <c r="AA331" i="3"/>
  <c r="AA187" i="3"/>
  <c r="AA43" i="3"/>
  <c r="AB619" i="3"/>
  <c r="AB475" i="3"/>
  <c r="AA618" i="3"/>
  <c r="AA474" i="3"/>
  <c r="AA330" i="3"/>
  <c r="AA186" i="3"/>
  <c r="AA42" i="3"/>
  <c r="AB618" i="3"/>
  <c r="AB474" i="3"/>
  <c r="AA617" i="3"/>
  <c r="AA473" i="3"/>
  <c r="AA329" i="3"/>
  <c r="AA185" i="3"/>
  <c r="AA41" i="3"/>
  <c r="AB617" i="3"/>
  <c r="AB473" i="3"/>
  <c r="AA625" i="3"/>
  <c r="AA481" i="3"/>
  <c r="AA337" i="3"/>
  <c r="AA193" i="3"/>
  <c r="AA49" i="3"/>
  <c r="AB625" i="3"/>
  <c r="AB481" i="3"/>
  <c r="AA303" i="3"/>
  <c r="AB611" i="3"/>
  <c r="AB381" i="3"/>
  <c r="AB237" i="3"/>
  <c r="AB93" i="3"/>
  <c r="Z129" i="3"/>
  <c r="Z535" i="3"/>
  <c r="Z193" i="3"/>
  <c r="AA624" i="3"/>
  <c r="AA480" i="3"/>
  <c r="AA336" i="3"/>
  <c r="AA192" i="3"/>
  <c r="AA48" i="3"/>
  <c r="AB624" i="3"/>
  <c r="AB480" i="3"/>
  <c r="AA635" i="3"/>
  <c r="AA491" i="3"/>
  <c r="AA347" i="3"/>
  <c r="AA203" i="3"/>
  <c r="AA59" i="3"/>
  <c r="AA706" i="3"/>
  <c r="AA562" i="3"/>
  <c r="AA418" i="3"/>
  <c r="AA274" i="3"/>
  <c r="AA130" i="3"/>
  <c r="AB706" i="3"/>
  <c r="AB562" i="3"/>
  <c r="AA717" i="3"/>
  <c r="AA573" i="3"/>
  <c r="AA596" i="3"/>
  <c r="AA452" i="3"/>
  <c r="AA308" i="3"/>
  <c r="AA164" i="3"/>
  <c r="AB596" i="3"/>
  <c r="AA607" i="3"/>
  <c r="AA463" i="3"/>
  <c r="AA319" i="3"/>
  <c r="AA175" i="3"/>
  <c r="AB607" i="3"/>
  <c r="AA606" i="3"/>
  <c r="AA462" i="3"/>
  <c r="AA318" i="3"/>
  <c r="AA174" i="3"/>
  <c r="AB606" i="3"/>
  <c r="AA605" i="3"/>
  <c r="AA461" i="3"/>
  <c r="AA317" i="3"/>
  <c r="AA173" i="3"/>
  <c r="AB605" i="3"/>
  <c r="AA613" i="3"/>
  <c r="AA469" i="3"/>
  <c r="AA325" i="3"/>
  <c r="AA181" i="3"/>
  <c r="AB613" i="3"/>
  <c r="AB469" i="3"/>
  <c r="AA267" i="3"/>
  <c r="AB580" i="3"/>
  <c r="AB369" i="3"/>
  <c r="AB225" i="3"/>
  <c r="AB81" i="3"/>
  <c r="Z141" i="3"/>
  <c r="Z511" i="3"/>
  <c r="AA612" i="3"/>
  <c r="AA468" i="3"/>
  <c r="AA324" i="3"/>
  <c r="AA180" i="3"/>
  <c r="AB612" i="3"/>
  <c r="AB468" i="3"/>
  <c r="AA623" i="3"/>
  <c r="AA479" i="3"/>
  <c r="AA335" i="3"/>
  <c r="AA191" i="3"/>
  <c r="AA47" i="3"/>
  <c r="AA694" i="3"/>
  <c r="AA550" i="3"/>
  <c r="AA406" i="3"/>
  <c r="AA262" i="3"/>
  <c r="AA118" i="3"/>
  <c r="AB694" i="3"/>
  <c r="AB550" i="3"/>
  <c r="AA705" i="3"/>
  <c r="AA561" i="3"/>
  <c r="AA584" i="3"/>
  <c r="AA440" i="3"/>
  <c r="AA296" i="3"/>
  <c r="AA152" i="3"/>
  <c r="AB584" i="3"/>
  <c r="AA595" i="3"/>
  <c r="AA451" i="3"/>
  <c r="AA307" i="3"/>
  <c r="AA163" i="3"/>
  <c r="AB595" i="3"/>
  <c r="AA594" i="3"/>
  <c r="AA450" i="3"/>
  <c r="AA306" i="3"/>
  <c r="AA162" i="3"/>
  <c r="AB594" i="3"/>
  <c r="AA593" i="3"/>
  <c r="AA449" i="3"/>
  <c r="AA305" i="3"/>
  <c r="AA161" i="3"/>
  <c r="AB593" i="3"/>
  <c r="AA601" i="3"/>
  <c r="AA457" i="3"/>
  <c r="AA313" i="3"/>
  <c r="AA169" i="3"/>
  <c r="AB601" i="3"/>
  <c r="Z487" i="3"/>
  <c r="AA600" i="3"/>
  <c r="AA456" i="3"/>
  <c r="AA312" i="3"/>
  <c r="AA168" i="3"/>
  <c r="AB600" i="3"/>
  <c r="AA611" i="3"/>
  <c r="AA467" i="3"/>
  <c r="AA323" i="3"/>
  <c r="AA179" i="3"/>
  <c r="AA682" i="3"/>
  <c r="AA538" i="3"/>
  <c r="AA394" i="3"/>
  <c r="AA250" i="3"/>
  <c r="AA106" i="3"/>
  <c r="AB682" i="3"/>
  <c r="AB538" i="3"/>
  <c r="AA693" i="3"/>
  <c r="AA549" i="3"/>
  <c r="AA716" i="3"/>
  <c r="AA572" i="3"/>
  <c r="AA428" i="3"/>
  <c r="AA284" i="3"/>
  <c r="AA140" i="3"/>
  <c r="AB716" i="3"/>
  <c r="AB572" i="3"/>
  <c r="AA583" i="3"/>
  <c r="AA439" i="3"/>
  <c r="AA295" i="3"/>
  <c r="AA151" i="3"/>
  <c r="AB583" i="3"/>
  <c r="AA582" i="3"/>
  <c r="AA438" i="3"/>
  <c r="AA294" i="3"/>
  <c r="AA150" i="3"/>
  <c r="AB582" i="3"/>
  <c r="AA581" i="3"/>
  <c r="AA437" i="3"/>
  <c r="AA293" i="3"/>
  <c r="AA149" i="3"/>
  <c r="AB581" i="3"/>
  <c r="AA589" i="3"/>
  <c r="AA445" i="3"/>
  <c r="AA301" i="3"/>
  <c r="AA157" i="3"/>
  <c r="AB589" i="3"/>
  <c r="AA687" i="3"/>
  <c r="AA195" i="3"/>
  <c r="AB69" i="3"/>
  <c r="AA580" i="3"/>
  <c r="AB463" i="3"/>
  <c r="AB175" i="3"/>
  <c r="Z191" i="3"/>
  <c r="AA147" i="3"/>
  <c r="AB353" i="3"/>
  <c r="AB89" i="3"/>
  <c r="AA357" i="3"/>
  <c r="AB435" i="3"/>
  <c r="AA352" i="3"/>
  <c r="AB446" i="3"/>
  <c r="AB278" i="3"/>
  <c r="AA242" i="3"/>
  <c r="AB561" i="3"/>
  <c r="AB360" i="3"/>
  <c r="AA506" i="3"/>
  <c r="AA57" i="3"/>
  <c r="AB443" i="3"/>
  <c r="AB496" i="3"/>
  <c r="AB216" i="3"/>
  <c r="Z55" i="3"/>
  <c r="Z229" i="3"/>
  <c r="Z385" i="3"/>
  <c r="Z529" i="3"/>
  <c r="Z673" i="3"/>
  <c r="Z662" i="3"/>
  <c r="AA328" i="3"/>
  <c r="AB349" i="3"/>
  <c r="AB126" i="3"/>
  <c r="Z128" i="3"/>
  <c r="Z302" i="3"/>
  <c r="Z446" i="3"/>
  <c r="Z614" i="3"/>
  <c r="AA423" i="3"/>
  <c r="AB368" i="3"/>
  <c r="AB142" i="3"/>
  <c r="Z115" i="3"/>
  <c r="Z289" i="3"/>
  <c r="Z435" i="3"/>
  <c r="Z579" i="3"/>
  <c r="AB483" i="3"/>
  <c r="AB212" i="3"/>
  <c r="Z60" i="3"/>
  <c r="Z232" i="3"/>
  <c r="Z388" i="3"/>
  <c r="Z580" i="3"/>
  <c r="AA50" i="3"/>
  <c r="AB282" i="3"/>
  <c r="AB75" i="3"/>
  <c r="Z175" i="3"/>
  <c r="Z341" i="3"/>
  <c r="AA387" i="3"/>
  <c r="AB363" i="3"/>
  <c r="AB136" i="3"/>
  <c r="Z120" i="3"/>
  <c r="Z292" i="3"/>
  <c r="Z438" i="3"/>
  <c r="Z582" i="3"/>
  <c r="AB603" i="3"/>
  <c r="AB243" i="3"/>
  <c r="AB44" i="3"/>
  <c r="AA374" i="3"/>
  <c r="AB359" i="3"/>
  <c r="AB134" i="3"/>
  <c r="Z122" i="3"/>
  <c r="AA700" i="3"/>
  <c r="AB404" i="3"/>
  <c r="AB168" i="3"/>
  <c r="Z94" i="3"/>
  <c r="AB428" i="3"/>
  <c r="AB184" i="3"/>
  <c r="Z80" i="3"/>
  <c r="Z254" i="3"/>
  <c r="AA88" i="3"/>
  <c r="AB292" i="3"/>
  <c r="AB83" i="3"/>
  <c r="AB575" i="3"/>
  <c r="AB236" i="3"/>
  <c r="Z40" i="3"/>
  <c r="Z408" i="3"/>
  <c r="Z552" i="3"/>
  <c r="Z383" i="3"/>
  <c r="Z633" i="3"/>
  <c r="Z223" i="3"/>
  <c r="Z572" i="3"/>
  <c r="Z265" i="3"/>
  <c r="Z452" i="3"/>
  <c r="Z619" i="3"/>
  <c r="Z630" i="3"/>
  <c r="Z540" i="3"/>
  <c r="Z209" i="3"/>
  <c r="Z356" i="3"/>
  <c r="Z585" i="3"/>
  <c r="Z293" i="3"/>
  <c r="Z684" i="3"/>
  <c r="Z681" i="3"/>
  <c r="Z605" i="3"/>
  <c r="Z320" i="3"/>
  <c r="Z610" i="3"/>
  <c r="Z694" i="3"/>
  <c r="AB57" i="3"/>
  <c r="AA532" i="3"/>
  <c r="AB451" i="3"/>
  <c r="AB163" i="3"/>
  <c r="Z203" i="3"/>
  <c r="AA111" i="3"/>
  <c r="AB341" i="3"/>
  <c r="AA712" i="3"/>
  <c r="AA141" i="3"/>
  <c r="AB423" i="3"/>
  <c r="AA172" i="3"/>
  <c r="AB434" i="3"/>
  <c r="AB266" i="3"/>
  <c r="AA699" i="3"/>
  <c r="AA206" i="3"/>
  <c r="AB531" i="3"/>
  <c r="AB348" i="3"/>
  <c r="AA458" i="3"/>
  <c r="AB431" i="3"/>
  <c r="AB450" i="3"/>
  <c r="AB198" i="3"/>
  <c r="Z70" i="3"/>
  <c r="Z243" i="3"/>
  <c r="Z397" i="3"/>
  <c r="Z541" i="3"/>
  <c r="Z685" i="3"/>
  <c r="Z686" i="3"/>
  <c r="AA243" i="3"/>
  <c r="AB328" i="3"/>
  <c r="AB110" i="3"/>
  <c r="Z144" i="3"/>
  <c r="Z314" i="3"/>
  <c r="Z458" i="3"/>
  <c r="Z650" i="3"/>
  <c r="AA326" i="3"/>
  <c r="AB347" i="3"/>
  <c r="AB124" i="3"/>
  <c r="Z130" i="3"/>
  <c r="Z303" i="3"/>
  <c r="Z447" i="3"/>
  <c r="Z591" i="3"/>
  <c r="Z425" i="3"/>
  <c r="AB442" i="3"/>
  <c r="AB193" i="3"/>
  <c r="Z74" i="3"/>
  <c r="Z246" i="3"/>
  <c r="Z400" i="3"/>
  <c r="Z604" i="3"/>
  <c r="AB686" i="3"/>
  <c r="AB264" i="3"/>
  <c r="AB61" i="3"/>
  <c r="Z190" i="3"/>
  <c r="Z353" i="3"/>
  <c r="AA302" i="3"/>
  <c r="AB342" i="3"/>
  <c r="AB121" i="3"/>
  <c r="Z134" i="3"/>
  <c r="Z306" i="3"/>
  <c r="Z450" i="3"/>
  <c r="Z594" i="3"/>
  <c r="AB532" i="3"/>
  <c r="AB226" i="3"/>
  <c r="Z49" i="3"/>
  <c r="AA290" i="3"/>
  <c r="AB339" i="3"/>
  <c r="AB119" i="3"/>
  <c r="Z136" i="3"/>
  <c r="AA508" i="3"/>
  <c r="AB380" i="3"/>
  <c r="AB150" i="3"/>
  <c r="AA688" i="3"/>
  <c r="AB402" i="3"/>
  <c r="AB167" i="3"/>
  <c r="Z96" i="3"/>
  <c r="Z268" i="3"/>
  <c r="AB274" i="3"/>
  <c r="AB68" i="3"/>
  <c r="AB506" i="3"/>
  <c r="AB217" i="3"/>
  <c r="Z54" i="3"/>
  <c r="Z384" i="3"/>
  <c r="Z359" i="3"/>
  <c r="Z526" i="3"/>
  <c r="Z181" i="3"/>
  <c r="Z549" i="3"/>
  <c r="Z221" i="3"/>
  <c r="Z331" i="3"/>
  <c r="Z432" i="3"/>
  <c r="Z547" i="3"/>
  <c r="Z516" i="3"/>
  <c r="Z154" i="3"/>
  <c r="Z169" i="3"/>
  <c r="Z563" i="3"/>
  <c r="Z250" i="3"/>
  <c r="Z703" i="3"/>
  <c r="Z153" i="3"/>
  <c r="AA225" i="3"/>
  <c r="AB367" i="3"/>
  <c r="AB79" i="3"/>
  <c r="Z287" i="3"/>
  <c r="AB329" i="3"/>
  <c r="AA664" i="3"/>
  <c r="AA105" i="3"/>
  <c r="AB411" i="3"/>
  <c r="AA136" i="3"/>
  <c r="AB422" i="3"/>
  <c r="AB254" i="3"/>
  <c r="AA651" i="3"/>
  <c r="AA170" i="3"/>
  <c r="AB503" i="3"/>
  <c r="AB336" i="3"/>
  <c r="AA417" i="3"/>
  <c r="AB705" i="3"/>
  <c r="AB419" i="3"/>
  <c r="AB421" i="3"/>
  <c r="AB180" i="3"/>
  <c r="Z85" i="3"/>
  <c r="Z257" i="3"/>
  <c r="Z409" i="3"/>
  <c r="Z553" i="3"/>
  <c r="Z697" i="3"/>
  <c r="Z698" i="3"/>
  <c r="AA158" i="3"/>
  <c r="AB308" i="3"/>
  <c r="AB95" i="3"/>
  <c r="Z158" i="3"/>
  <c r="Z326" i="3"/>
  <c r="Z470" i="3"/>
  <c r="Z674" i="3"/>
  <c r="AA232" i="3"/>
  <c r="AB327" i="3"/>
  <c r="AB109" i="3"/>
  <c r="Z145" i="3"/>
  <c r="Z315" i="3"/>
  <c r="Z459" i="3"/>
  <c r="Z603" i="3"/>
  <c r="Z509" i="3"/>
  <c r="AB414" i="3"/>
  <c r="AB176" i="3"/>
  <c r="Z88" i="3"/>
  <c r="Z260" i="3"/>
  <c r="Z412" i="3"/>
  <c r="Z640" i="3"/>
  <c r="AB614" i="3"/>
  <c r="AB246" i="3"/>
  <c r="AB47" i="3"/>
  <c r="Z205" i="3"/>
  <c r="Z365" i="3"/>
  <c r="AA218" i="3"/>
  <c r="AB322" i="3"/>
  <c r="AB106" i="3"/>
  <c r="Z148" i="3"/>
  <c r="Z318" i="3"/>
  <c r="Z462" i="3"/>
  <c r="Z606" i="3"/>
  <c r="AB465" i="3"/>
  <c r="AB207" i="3"/>
  <c r="Z63" i="3"/>
  <c r="AA196" i="3"/>
  <c r="AB318" i="3"/>
  <c r="AB102" i="3"/>
  <c r="Z150" i="3"/>
  <c r="AA364" i="3"/>
  <c r="AB358" i="3"/>
  <c r="AB133" i="3"/>
  <c r="AA496" i="3"/>
  <c r="AB378" i="3"/>
  <c r="AB148" i="3"/>
  <c r="Z110" i="3"/>
  <c r="Z282" i="3"/>
  <c r="AB650" i="3"/>
  <c r="AB255" i="3"/>
  <c r="AB53" i="3"/>
  <c r="AB452" i="3"/>
  <c r="AB200" i="3"/>
  <c r="Z68" i="3"/>
  <c r="Z360" i="3"/>
  <c r="Z634" i="3"/>
  <c r="Z335" i="3"/>
  <c r="Z502" i="3"/>
  <c r="Z97" i="3"/>
  <c r="Z525" i="3"/>
  <c r="Z178" i="3"/>
  <c r="Z256" i="3"/>
  <c r="Z451" i="3"/>
  <c r="Z492" i="3"/>
  <c r="Z238" i="3"/>
  <c r="Z682" i="3"/>
  <c r="Z539" i="3"/>
  <c r="Z207" i="3"/>
  <c r="Z571" i="3"/>
  <c r="Z165" i="3"/>
  <c r="AA189" i="3"/>
  <c r="AB355" i="3"/>
  <c r="AB67" i="3"/>
  <c r="Z299" i="3"/>
  <c r="AB602" i="3"/>
  <c r="AB317" i="3"/>
  <c r="AA616" i="3"/>
  <c r="AA69" i="3"/>
  <c r="AB399" i="3"/>
  <c r="AA100" i="3"/>
  <c r="AB410" i="3"/>
  <c r="AB242" i="3"/>
  <c r="AA603" i="3"/>
  <c r="AA134" i="3"/>
  <c r="AB472" i="3"/>
  <c r="AB324" i="3"/>
  <c r="AA381" i="3"/>
  <c r="AB674" i="3"/>
  <c r="AA640" i="3"/>
  <c r="AB395" i="3"/>
  <c r="AB162" i="3"/>
  <c r="Z99" i="3"/>
  <c r="Z271" i="3"/>
  <c r="Z421" i="3"/>
  <c r="Z565" i="3"/>
  <c r="Z709" i="3"/>
  <c r="Z722" i="3"/>
  <c r="AA74" i="3"/>
  <c r="AB287" i="3"/>
  <c r="AB78" i="3"/>
  <c r="Z172" i="3"/>
  <c r="Z338" i="3"/>
  <c r="Z482" i="3"/>
  <c r="Z710" i="3"/>
  <c r="AA148" i="3"/>
  <c r="AB306" i="3"/>
  <c r="AB94" i="3"/>
  <c r="Z159" i="3"/>
  <c r="Z327" i="3"/>
  <c r="Z471" i="3"/>
  <c r="Z615" i="3"/>
  <c r="Z39" i="3"/>
  <c r="AA592" i="3"/>
  <c r="AB390" i="3"/>
  <c r="AB157" i="3"/>
  <c r="Z102" i="3"/>
  <c r="Z276" i="3"/>
  <c r="Z424" i="3"/>
  <c r="Z688" i="3"/>
  <c r="AB544" i="3"/>
  <c r="AB228" i="3"/>
  <c r="Z46" i="3"/>
  <c r="Z219" i="3"/>
  <c r="Z377" i="3"/>
  <c r="AA124" i="3"/>
  <c r="AB301" i="3"/>
  <c r="AB88" i="3"/>
  <c r="Z162" i="3"/>
  <c r="Z330" i="3"/>
  <c r="Z474" i="3"/>
  <c r="Z618" i="3"/>
  <c r="AB436" i="3"/>
  <c r="AB190" i="3"/>
  <c r="Z77" i="3"/>
  <c r="AA112" i="3"/>
  <c r="AB298" i="3"/>
  <c r="AB86" i="3"/>
  <c r="Z164" i="3"/>
  <c r="AA279" i="3"/>
  <c r="AB337" i="3"/>
  <c r="AB118" i="3"/>
  <c r="AA362" i="3"/>
  <c r="AB356" i="3"/>
  <c r="AB132" i="3"/>
  <c r="Z124" i="3"/>
  <c r="Z296" i="3"/>
  <c r="AB579" i="3"/>
  <c r="AB238" i="3"/>
  <c r="AB39" i="3"/>
  <c r="AB424" i="3"/>
  <c r="AB181" i="3"/>
  <c r="Z84" i="3"/>
  <c r="Z336" i="3"/>
  <c r="Z596" i="3"/>
  <c r="Z308" i="3"/>
  <c r="Z478" i="3"/>
  <c r="Z655" i="3"/>
  <c r="Z501" i="3"/>
  <c r="Z82" i="3"/>
  <c r="Z666" i="3"/>
  <c r="Z573" i="3"/>
  <c r="Z403" i="3"/>
  <c r="Z468" i="3"/>
  <c r="Z708" i="3"/>
  <c r="Z587" i="3"/>
  <c r="Z515" i="3"/>
  <c r="Z151" i="3"/>
  <c r="Z428" i="3"/>
  <c r="AA231" i="3"/>
  <c r="Z261" i="3"/>
  <c r="AA153" i="3"/>
  <c r="AB343" i="3"/>
  <c r="AB55" i="3"/>
  <c r="AA722" i="3"/>
  <c r="AB573" i="3"/>
  <c r="AB245" i="3"/>
  <c r="AA568" i="3"/>
  <c r="AA64" i="3"/>
  <c r="AB398" i="3"/>
  <c r="AB230" i="3"/>
  <c r="AA555" i="3"/>
  <c r="AA98" i="3"/>
  <c r="AB456" i="3"/>
  <c r="AB312" i="3"/>
  <c r="AA345" i="3"/>
  <c r="AB645" i="3"/>
  <c r="AA448" i="3"/>
  <c r="AB371" i="3"/>
  <c r="AB144" i="3"/>
  <c r="Z113" i="3"/>
  <c r="Z286" i="3"/>
  <c r="Z433" i="3"/>
  <c r="Z577" i="3"/>
  <c r="Z721" i="3"/>
  <c r="AB700" i="3"/>
  <c r="AB268" i="3"/>
  <c r="AB64" i="3"/>
  <c r="Z186" i="3"/>
  <c r="Z350" i="3"/>
  <c r="Z494" i="3"/>
  <c r="AA63" i="3"/>
  <c r="AB286" i="3"/>
  <c r="AB77" i="3"/>
  <c r="Z173" i="3"/>
  <c r="Z339" i="3"/>
  <c r="Z483" i="3"/>
  <c r="Z627" i="3"/>
  <c r="Z472" i="3"/>
  <c r="AA412" i="3"/>
  <c r="AB366" i="3"/>
  <c r="AB140" i="3"/>
  <c r="Z116" i="3"/>
  <c r="Z290" i="3"/>
  <c r="Z436" i="3"/>
  <c r="AB477" i="3"/>
  <c r="AB210" i="3"/>
  <c r="Z61" i="3"/>
  <c r="Z233" i="3"/>
  <c r="Z389" i="3"/>
  <c r="AA40" i="3"/>
  <c r="AB280" i="3"/>
  <c r="AB74" i="3"/>
  <c r="Z176" i="3"/>
  <c r="Z342" i="3"/>
  <c r="Z486" i="3"/>
  <c r="AB407" i="3"/>
  <c r="AB171" i="3"/>
  <c r="Z91" i="3"/>
  <c r="AB277" i="3"/>
  <c r="AB72" i="3"/>
  <c r="Z180" i="3"/>
  <c r="AA194" i="3"/>
  <c r="AB316" i="3"/>
  <c r="AB100" i="3"/>
  <c r="AA268" i="3"/>
  <c r="AB335" i="3"/>
  <c r="AB116" i="3"/>
  <c r="Z138" i="3"/>
  <c r="Z310" i="3"/>
  <c r="AB513" i="3"/>
  <c r="AB219" i="3"/>
  <c r="AA652" i="3"/>
  <c r="AB397" i="3"/>
  <c r="AB164" i="3"/>
  <c r="Z98" i="3"/>
  <c r="Z309" i="3"/>
  <c r="Z574" i="3"/>
  <c r="Z269" i="3"/>
  <c r="Z454" i="3"/>
  <c r="Z528" i="3"/>
  <c r="Z477" i="3"/>
  <c r="Z281" i="3"/>
  <c r="Z523" i="3"/>
  <c r="Z273" i="3"/>
  <c r="AA117" i="3"/>
  <c r="AB331" i="3"/>
  <c r="AB43" i="3"/>
  <c r="AA674" i="3"/>
  <c r="AB543" i="3"/>
  <c r="AB233" i="3"/>
  <c r="AA520" i="3"/>
  <c r="AB717" i="3"/>
  <c r="AA662" i="3"/>
  <c r="AB374" i="3"/>
  <c r="AB218" i="3"/>
  <c r="AA507" i="3"/>
  <c r="AA62" i="3"/>
  <c r="AB444" i="3"/>
  <c r="AB300" i="3"/>
  <c r="AA309" i="3"/>
  <c r="AB615" i="3"/>
  <c r="AA338" i="3"/>
  <c r="AB351" i="3"/>
  <c r="AB128" i="3"/>
  <c r="Z127" i="3"/>
  <c r="Z301" i="3"/>
  <c r="Z445" i="3"/>
  <c r="Z589" i="3"/>
  <c r="Z628" i="3"/>
  <c r="AB633" i="3"/>
  <c r="AB251" i="3"/>
  <c r="AB50" i="3"/>
  <c r="Z200" i="3"/>
  <c r="Z362" i="3"/>
  <c r="Z506" i="3"/>
  <c r="AB698" i="3"/>
  <c r="AB267" i="3"/>
  <c r="AB63" i="3"/>
  <c r="Z187" i="3"/>
  <c r="Z351" i="3"/>
  <c r="Z495" i="3"/>
  <c r="Z639" i="3"/>
  <c r="Z520" i="3"/>
  <c r="AA315" i="3"/>
  <c r="AB346" i="3"/>
  <c r="AB123" i="3"/>
  <c r="Z132" i="3"/>
  <c r="Z304" i="3"/>
  <c r="Z448" i="3"/>
  <c r="Z437" i="3"/>
  <c r="AB440" i="3"/>
  <c r="AB192" i="3"/>
  <c r="Z75" i="3"/>
  <c r="Z247" i="3"/>
  <c r="Z413" i="3"/>
  <c r="AB676" i="3"/>
  <c r="AB263" i="3"/>
  <c r="AB60" i="3"/>
  <c r="Z192" i="3"/>
  <c r="Z354" i="3"/>
  <c r="Z498" i="3"/>
  <c r="AA544" i="3"/>
  <c r="AB383" i="3"/>
  <c r="AB154" i="3"/>
  <c r="Z106" i="3"/>
  <c r="AB664" i="3"/>
  <c r="AB260" i="3"/>
  <c r="AB58" i="3"/>
  <c r="Z194" i="3"/>
  <c r="AA110" i="3"/>
  <c r="AB296" i="3"/>
  <c r="AB85" i="3"/>
  <c r="AA184" i="3"/>
  <c r="AB315" i="3"/>
  <c r="AB99" i="3"/>
  <c r="Z152" i="3"/>
  <c r="Z322" i="3"/>
  <c r="AB454" i="3"/>
  <c r="AB202" i="3"/>
  <c r="AA460" i="3"/>
  <c r="AB373" i="3"/>
  <c r="AB145" i="3"/>
  <c r="Z112" i="3"/>
  <c r="Z270" i="3"/>
  <c r="Z551" i="3"/>
  <c r="AB554" i="3"/>
  <c r="Z285" i="3"/>
  <c r="AA81" i="3"/>
  <c r="AB319" i="3"/>
  <c r="Z47" i="3"/>
  <c r="AA626" i="3"/>
  <c r="AB515" i="3"/>
  <c r="AB221" i="3"/>
  <c r="AA615" i="3"/>
  <c r="AB683" i="3"/>
  <c r="AA614" i="3"/>
  <c r="AB712" i="3"/>
  <c r="AB350" i="3"/>
  <c r="AB206" i="3"/>
  <c r="AA459" i="3"/>
  <c r="AB432" i="3"/>
  <c r="AB288" i="3"/>
  <c r="AA273" i="3"/>
  <c r="AB587" i="3"/>
  <c r="AA254" i="3"/>
  <c r="AB330" i="3"/>
  <c r="AB111" i="3"/>
  <c r="Z142" i="3"/>
  <c r="Z313" i="3"/>
  <c r="Z457" i="3"/>
  <c r="Z601" i="3"/>
  <c r="Z676" i="3"/>
  <c r="AB563" i="3"/>
  <c r="AB232" i="3"/>
  <c r="Z42" i="3"/>
  <c r="Z216" i="3"/>
  <c r="Z374" i="3"/>
  <c r="Z518" i="3"/>
  <c r="Z664" i="3"/>
  <c r="AB627" i="3"/>
  <c r="AB250" i="3"/>
  <c r="AB49" i="3"/>
  <c r="Z202" i="3"/>
  <c r="Z363" i="3"/>
  <c r="Z507" i="3"/>
  <c r="Z651" i="3"/>
  <c r="Z544" i="3"/>
  <c r="AA230" i="3"/>
  <c r="AB325" i="3"/>
  <c r="AB108" i="3"/>
  <c r="Z146" i="3"/>
  <c r="Z316" i="3"/>
  <c r="Z460" i="3"/>
  <c r="Z533" i="3"/>
  <c r="AB412" i="3"/>
  <c r="AB174" i="3"/>
  <c r="Z89" i="3"/>
  <c r="Z262" i="3"/>
  <c r="Z461" i="3"/>
  <c r="AB609" i="3"/>
  <c r="AB244" i="3"/>
  <c r="AB46" i="3"/>
  <c r="Z206" i="3"/>
  <c r="Z366" i="3"/>
  <c r="Z510" i="3"/>
  <c r="AA376" i="3"/>
  <c r="AB361" i="3"/>
  <c r="AB135" i="3"/>
  <c r="Z121" i="3"/>
  <c r="AB599" i="3"/>
  <c r="AB241" i="3"/>
  <c r="AB42" i="3"/>
  <c r="Z208" i="3"/>
  <c r="AB276" i="3"/>
  <c r="AB71" i="3"/>
  <c r="AA99" i="3"/>
  <c r="AB294" i="3"/>
  <c r="AB84" i="3"/>
  <c r="Z168" i="3"/>
  <c r="Z334" i="3"/>
  <c r="AB426" i="3"/>
  <c r="AB183" i="3"/>
  <c r="AB525" i="3"/>
  <c r="Z297" i="3"/>
  <c r="AB307" i="3"/>
  <c r="Z59" i="3"/>
  <c r="AA578" i="3"/>
  <c r="AB484" i="3"/>
  <c r="AB209" i="3"/>
  <c r="AA567" i="3"/>
  <c r="AB652" i="3"/>
  <c r="AA566" i="3"/>
  <c r="AB681" i="3"/>
  <c r="AB338" i="3"/>
  <c r="AB194" i="3"/>
  <c r="AA422" i="3"/>
  <c r="AB710" i="3"/>
  <c r="AB420" i="3"/>
  <c r="AA237" i="3"/>
  <c r="AB556" i="3"/>
  <c r="AA160" i="3"/>
  <c r="AB310" i="3"/>
  <c r="AB96" i="3"/>
  <c r="Z157" i="3"/>
  <c r="Z325" i="3"/>
  <c r="Z469" i="3"/>
  <c r="Z613" i="3"/>
  <c r="AB494" i="3"/>
  <c r="AB215" i="3"/>
  <c r="Z56" i="3"/>
  <c r="Z230" i="3"/>
  <c r="Z386" i="3"/>
  <c r="Z530" i="3"/>
  <c r="Z712" i="3"/>
  <c r="AB555" i="3"/>
  <c r="AB231" i="3"/>
  <c r="Z43" i="3"/>
  <c r="Z217" i="3"/>
  <c r="Z375" i="3"/>
  <c r="Z519" i="3"/>
  <c r="Z663" i="3"/>
  <c r="Z568" i="3"/>
  <c r="AA146" i="3"/>
  <c r="AB304" i="3"/>
  <c r="AB92" i="3"/>
  <c r="Z160" i="3"/>
  <c r="Z328" i="3"/>
  <c r="Z484" i="3"/>
  <c r="AA579" i="3"/>
  <c r="AB388" i="3"/>
  <c r="AB156" i="3"/>
  <c r="Z103" i="3"/>
  <c r="Z277" i="3"/>
  <c r="Z473" i="3"/>
  <c r="AB542" i="3"/>
  <c r="AB227" i="3"/>
  <c r="Z48" i="3"/>
  <c r="Z220" i="3"/>
  <c r="Z378" i="3"/>
  <c r="Z522" i="3"/>
  <c r="AA292" i="3"/>
  <c r="AB340" i="3"/>
  <c r="AB120" i="3"/>
  <c r="Z135" i="3"/>
  <c r="AB527" i="3"/>
  <c r="AB224" i="3"/>
  <c r="Z50" i="3"/>
  <c r="Z222" i="3"/>
  <c r="AB662" i="3"/>
  <c r="AB258" i="3"/>
  <c r="AB56" i="3"/>
  <c r="AB275" i="3"/>
  <c r="AB70" i="3"/>
  <c r="Z182" i="3"/>
  <c r="AA675" i="3"/>
  <c r="AB400" i="3"/>
  <c r="AB166" i="3"/>
  <c r="AA256" i="3"/>
  <c r="AB332" i="3"/>
  <c r="AB357" i="3"/>
  <c r="AB578" i="3"/>
  <c r="AB223" i="3"/>
  <c r="Z143" i="3"/>
  <c r="AA291" i="3"/>
  <c r="AB461" i="3"/>
  <c r="AB197" i="3"/>
  <c r="AA519" i="3"/>
  <c r="AB508" i="3"/>
  <c r="AA518" i="3"/>
  <c r="AB651" i="3"/>
  <c r="AB326" i="3"/>
  <c r="AB182" i="3"/>
  <c r="AA386" i="3"/>
  <c r="AB675" i="3"/>
  <c r="AB408" i="3"/>
  <c r="AA698" i="3"/>
  <c r="AA201" i="3"/>
  <c r="AB530" i="3"/>
  <c r="AA76" i="3"/>
  <c r="AB289" i="3"/>
  <c r="AB80" i="3"/>
  <c r="Z171" i="3"/>
  <c r="Z337" i="3"/>
  <c r="Z481" i="3"/>
  <c r="Z625" i="3"/>
  <c r="Z554" i="3"/>
  <c r="Z449" i="3"/>
  <c r="AB448" i="3"/>
  <c r="AB196" i="3"/>
  <c r="Z72" i="3"/>
  <c r="Z244" i="3"/>
  <c r="Z398" i="3"/>
  <c r="Z542" i="3"/>
  <c r="Z401" i="3"/>
  <c r="AB489" i="3"/>
  <c r="AB214" i="3"/>
  <c r="Z58" i="3"/>
  <c r="Z231" i="3"/>
  <c r="Z387" i="3"/>
  <c r="Z531" i="3"/>
  <c r="Z675" i="3"/>
  <c r="Z592" i="3"/>
  <c r="AA52" i="3"/>
  <c r="AB284" i="3"/>
  <c r="AB76" i="3"/>
  <c r="Z174" i="3"/>
  <c r="Z340" i="3"/>
  <c r="Z496" i="3"/>
  <c r="AA400" i="3"/>
  <c r="AB364" i="3"/>
  <c r="AB138" i="3"/>
  <c r="Z118" i="3"/>
  <c r="Z291" i="3"/>
  <c r="AB345" i="3"/>
  <c r="AB549" i="3"/>
  <c r="AB211" i="3"/>
  <c r="Z155" i="3"/>
  <c r="AA255" i="3"/>
  <c r="AB389" i="3"/>
  <c r="AB185" i="3"/>
  <c r="AA471" i="3"/>
  <c r="AB482" i="3"/>
  <c r="AA470" i="3"/>
  <c r="AB507" i="3"/>
  <c r="AB314" i="3"/>
  <c r="AB170" i="3"/>
  <c r="AA350" i="3"/>
  <c r="AB647" i="3"/>
  <c r="AB396" i="3"/>
  <c r="AA650" i="3"/>
  <c r="AA165" i="3"/>
  <c r="AB501" i="3"/>
  <c r="AB711" i="3"/>
  <c r="AB270" i="3"/>
  <c r="AB65" i="3"/>
  <c r="Z185" i="3"/>
  <c r="Z349" i="3"/>
  <c r="Z493" i="3"/>
  <c r="Z637" i="3"/>
  <c r="Z602" i="3"/>
  <c r="Z545" i="3"/>
  <c r="AB418" i="3"/>
  <c r="AB179" i="3"/>
  <c r="Z86" i="3"/>
  <c r="Z258" i="3"/>
  <c r="Z410" i="3"/>
  <c r="Z566" i="3"/>
  <c r="Z485" i="3"/>
  <c r="AB445" i="3"/>
  <c r="AB195" i="3"/>
  <c r="Z73" i="3"/>
  <c r="Z245" i="3"/>
  <c r="Z399" i="3"/>
  <c r="Z543" i="3"/>
  <c r="Z687" i="3"/>
  <c r="Z616" i="3"/>
  <c r="AB688" i="3"/>
  <c r="AB265" i="3"/>
  <c r="AB62" i="3"/>
  <c r="Z188" i="3"/>
  <c r="Z352" i="3"/>
  <c r="Z508" i="3"/>
  <c r="AA304" i="3"/>
  <c r="AB344" i="3"/>
  <c r="AB122" i="3"/>
  <c r="Z133" i="3"/>
  <c r="Z305" i="3"/>
  <c r="Z557" i="3"/>
  <c r="AB438" i="3"/>
  <c r="AB191" i="3"/>
  <c r="Z76" i="3"/>
  <c r="Z248" i="3"/>
  <c r="Z402" i="3"/>
  <c r="Z546" i="3"/>
  <c r="AA122" i="3"/>
  <c r="AB299" i="3"/>
  <c r="AB87" i="3"/>
  <c r="Z163" i="3"/>
  <c r="AB433" i="3"/>
  <c r="AB188" i="3"/>
  <c r="Z78" i="3"/>
  <c r="Z252" i="3"/>
  <c r="AB520" i="3"/>
  <c r="AB222" i="3"/>
  <c r="Z51" i="3"/>
  <c r="AB585" i="3"/>
  <c r="AB239" i="3"/>
  <c r="AB40" i="3"/>
  <c r="Z210" i="3"/>
  <c r="AA351" i="3"/>
  <c r="AB354" i="3"/>
  <c r="AB131" i="3"/>
  <c r="AB213" i="3"/>
  <c r="AA676" i="3"/>
  <c r="AB519" i="3"/>
  <c r="AB199" i="3"/>
  <c r="Z167" i="3"/>
  <c r="AA219" i="3"/>
  <c r="AB377" i="3"/>
  <c r="AB173" i="3"/>
  <c r="AA429" i="3"/>
  <c r="AB459" i="3"/>
  <c r="AA424" i="3"/>
  <c r="AB479" i="3"/>
  <c r="AB302" i="3"/>
  <c r="AB158" i="3"/>
  <c r="AA314" i="3"/>
  <c r="AB616" i="3"/>
  <c r="AB384" i="3"/>
  <c r="AA602" i="3"/>
  <c r="AA129" i="3"/>
  <c r="AB471" i="3"/>
  <c r="AB638" i="3"/>
  <c r="AB252" i="3"/>
  <c r="AB51" i="3"/>
  <c r="Z199" i="3"/>
  <c r="Z361" i="3"/>
  <c r="Z505" i="3"/>
  <c r="Z649" i="3"/>
  <c r="Z626" i="3"/>
  <c r="AA627" i="3"/>
  <c r="AB394" i="3"/>
  <c r="AB160" i="3"/>
  <c r="Z100" i="3"/>
  <c r="Z272" i="3"/>
  <c r="Z422" i="3"/>
  <c r="Z578" i="3"/>
  <c r="Z521" i="3"/>
  <c r="AB416" i="3"/>
  <c r="AB178" i="3"/>
  <c r="Z87" i="3"/>
  <c r="Z259" i="3"/>
  <c r="Z411" i="3"/>
  <c r="Z555" i="3"/>
  <c r="Z699" i="3"/>
  <c r="Z652" i="3"/>
  <c r="AB621" i="3"/>
  <c r="AB248" i="3"/>
  <c r="AB48" i="3"/>
  <c r="Z204" i="3"/>
  <c r="Z364" i="3"/>
  <c r="Z532" i="3"/>
  <c r="AA220" i="3"/>
  <c r="AB323" i="3"/>
  <c r="AB107" i="3"/>
  <c r="Z147" i="3"/>
  <c r="Z317" i="3"/>
  <c r="AB409" i="3"/>
  <c r="AB172" i="3"/>
  <c r="Z90" i="3"/>
  <c r="Z264" i="3"/>
  <c r="Z414" i="3"/>
  <c r="Z558" i="3"/>
  <c r="AB279" i="3"/>
  <c r="AB73" i="3"/>
  <c r="AB406" i="3"/>
  <c r="AB169" i="3"/>
  <c r="Z92" i="3"/>
  <c r="Z266" i="3"/>
  <c r="AB460" i="3"/>
  <c r="AB201" i="3"/>
  <c r="AA628" i="3"/>
  <c r="AB491" i="3"/>
  <c r="AB187" i="3"/>
  <c r="Z179" i="3"/>
  <c r="AA183" i="3"/>
  <c r="AB365" i="3"/>
  <c r="AB101" i="3"/>
  <c r="AA393" i="3"/>
  <c r="AB447" i="3"/>
  <c r="AA388" i="3"/>
  <c r="AB458" i="3"/>
  <c r="AB290" i="3"/>
  <c r="AB146" i="3"/>
  <c r="AA278" i="3"/>
  <c r="AB590" i="3"/>
  <c r="AB372" i="3"/>
  <c r="AA554" i="3"/>
  <c r="AA93" i="3"/>
  <c r="AB455" i="3"/>
  <c r="AB568" i="3"/>
  <c r="AB234" i="3"/>
  <c r="Z41" i="3"/>
  <c r="Z214" i="3"/>
  <c r="Z373" i="3"/>
  <c r="Z517" i="3"/>
  <c r="Z661" i="3"/>
  <c r="Z638" i="3"/>
  <c r="AA436" i="3"/>
  <c r="AB370" i="3"/>
  <c r="AB143" i="3"/>
  <c r="Z114" i="3"/>
  <c r="Z288" i="3"/>
  <c r="Z434" i="3"/>
  <c r="Z590" i="3"/>
  <c r="AA604" i="3"/>
  <c r="AB392" i="3"/>
  <c r="AB159" i="3"/>
  <c r="Z101" i="3"/>
  <c r="Z274" i="3"/>
  <c r="Z423" i="3"/>
  <c r="Z567" i="3"/>
  <c r="Z711" i="3"/>
  <c r="Z700" i="3"/>
  <c r="AB551" i="3"/>
  <c r="AB229" i="3"/>
  <c r="Z44" i="3"/>
  <c r="Z218" i="3"/>
  <c r="Z376" i="3"/>
  <c r="Z556" i="3"/>
  <c r="AA135" i="3"/>
  <c r="AB303" i="3"/>
  <c r="AB90" i="3"/>
  <c r="Z161" i="3"/>
  <c r="Z329" i="3"/>
  <c r="AA556" i="3"/>
  <c r="AB385" i="3"/>
  <c r="AB155" i="3"/>
  <c r="Z104" i="3"/>
  <c r="Z278" i="3"/>
  <c r="Z426" i="3"/>
  <c r="Z570" i="3"/>
  <c r="AB671" i="3"/>
  <c r="AB262" i="3"/>
  <c r="AB59" i="3"/>
  <c r="AA531" i="3"/>
  <c r="AB382" i="3"/>
  <c r="AB152" i="3"/>
  <c r="Z108" i="3"/>
  <c r="Z280" i="3"/>
  <c r="AB430" i="3"/>
  <c r="AB186" i="3"/>
  <c r="Z417" i="3"/>
  <c r="Z678" i="3"/>
  <c r="Z683" i="3"/>
  <c r="Z370" i="3"/>
  <c r="Z659" i="3"/>
  <c r="Z569" i="3"/>
  <c r="Z344" i="3"/>
  <c r="Z680" i="3"/>
  <c r="Z671" i="3"/>
  <c r="Z629" i="3"/>
  <c r="Z720" i="3"/>
  <c r="Z704" i="3"/>
  <c r="Z611" i="3"/>
  <c r="Z430" i="3"/>
  <c r="Z503" i="3"/>
  <c r="Z156" i="3"/>
  <c r="AB311" i="3"/>
  <c r="AB376" i="3"/>
  <c r="AB220" i="3"/>
  <c r="AV9" i="3"/>
  <c r="AA25" i="3"/>
  <c r="AS25" i="3" s="1"/>
  <c r="EH21" i="3" l="1"/>
  <c r="EH19" i="3"/>
  <c r="EH20" i="3"/>
  <c r="EH18" i="3"/>
  <c r="EH17" i="3"/>
  <c r="AC39" i="3"/>
  <c r="AC40" i="3" s="1"/>
  <c r="AC41" i="3" s="1"/>
  <c r="AA34" i="3"/>
  <c r="AC42" i="3" l="1"/>
  <c r="I44" i="1" l="1"/>
  <c r="I26" i="1"/>
  <c r="AC25" i="2"/>
  <c r="AA25" i="2"/>
  <c r="O10" i="2"/>
  <c r="P10" i="2" s="1"/>
  <c r="L35" i="2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L60" i="2" s="1"/>
  <c r="L61" i="2" s="1"/>
  <c r="L62" i="2" s="1"/>
  <c r="L63" i="2" s="1"/>
  <c r="L64" i="2" s="1"/>
  <c r="L34" i="2"/>
  <c r="L33" i="2"/>
  <c r="H65" i="2"/>
  <c r="G65" i="2"/>
  <c r="F11" i="2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J10" i="2"/>
  <c r="J11" i="2" s="1"/>
  <c r="M10" i="2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F31" i="2" l="1"/>
  <c r="F32" i="2" s="1"/>
  <c r="F33" i="2" s="1"/>
  <c r="O11" i="2"/>
  <c r="E12" i="2"/>
  <c r="J12" i="2"/>
  <c r="E11" i="2"/>
  <c r="M31" i="2"/>
  <c r="M32" i="2" s="1"/>
  <c r="M33" i="2" s="1"/>
  <c r="N10" i="2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26" i="1"/>
  <c r="C26" i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E10" i="1"/>
  <c r="D18" i="1" s="1"/>
  <c r="B27" i="1"/>
  <c r="D26" i="1"/>
  <c r="N11" i="2" l="1"/>
  <c r="P11" i="2"/>
  <c r="O12" i="2"/>
  <c r="E13" i="2"/>
  <c r="J13" i="2"/>
  <c r="D19" i="1"/>
  <c r="H18" i="1" s="1"/>
  <c r="D27" i="1"/>
  <c r="B28" i="1"/>
  <c r="N12" i="2" l="1"/>
  <c r="P12" i="2"/>
  <c r="J14" i="2"/>
  <c r="E14" i="2"/>
  <c r="O13" i="2"/>
  <c r="P13" i="2" s="1"/>
  <c r="B29" i="1"/>
  <c r="D28" i="1"/>
  <c r="O14" i="2" l="1"/>
  <c r="P14" i="2" s="1"/>
  <c r="N13" i="2"/>
  <c r="J15" i="2"/>
  <c r="E15" i="2"/>
  <c r="B30" i="1"/>
  <c r="D29" i="1"/>
  <c r="J16" i="2" l="1"/>
  <c r="J17" i="2" s="1"/>
  <c r="J18" i="2" s="1"/>
  <c r="E16" i="2"/>
  <c r="O15" i="2"/>
  <c r="P15" i="2" s="1"/>
  <c r="N14" i="2"/>
  <c r="B31" i="1"/>
  <c r="D30" i="1"/>
  <c r="J19" i="2" l="1"/>
  <c r="E19" i="2"/>
  <c r="O16" i="2"/>
  <c r="P16" i="2" s="1"/>
  <c r="N15" i="2"/>
  <c r="E17" i="2"/>
  <c r="D31" i="1"/>
  <c r="E31" i="1"/>
  <c r="B32" i="1"/>
  <c r="J20" i="2" l="1"/>
  <c r="E20" i="2"/>
  <c r="E18" i="2"/>
  <c r="O17" i="2"/>
  <c r="P17" i="2" s="1"/>
  <c r="N16" i="2"/>
  <c r="B33" i="1"/>
  <c r="E32" i="1"/>
  <c r="D32" i="1"/>
  <c r="J21" i="2" l="1"/>
  <c r="E21" i="2"/>
  <c r="O18" i="2"/>
  <c r="P18" i="2" s="1"/>
  <c r="N17" i="2"/>
  <c r="E33" i="1"/>
  <c r="D33" i="1"/>
  <c r="B34" i="1"/>
  <c r="J22" i="2" l="1"/>
  <c r="E22" i="2"/>
  <c r="O19" i="2"/>
  <c r="P19" i="2" s="1"/>
  <c r="N18" i="2"/>
  <c r="B35" i="1"/>
  <c r="E34" i="1"/>
  <c r="D34" i="1"/>
  <c r="J23" i="2" l="1"/>
  <c r="E23" i="2"/>
  <c r="O20" i="2"/>
  <c r="P20" i="2" s="1"/>
  <c r="N19" i="2"/>
  <c r="D35" i="1"/>
  <c r="E35" i="1"/>
  <c r="B36" i="1"/>
  <c r="J24" i="2" l="1"/>
  <c r="E24" i="2"/>
  <c r="O21" i="2"/>
  <c r="P21" i="2" s="1"/>
  <c r="N20" i="2"/>
  <c r="E36" i="1"/>
  <c r="B37" i="1"/>
  <c r="D36" i="1"/>
  <c r="J25" i="2" l="1"/>
  <c r="E25" i="2"/>
  <c r="O22" i="2"/>
  <c r="P22" i="2" s="1"/>
  <c r="N21" i="2"/>
  <c r="B38" i="1"/>
  <c r="E37" i="1"/>
  <c r="D37" i="1"/>
  <c r="J26" i="2" l="1"/>
  <c r="E26" i="2"/>
  <c r="O23" i="2"/>
  <c r="P23" i="2" s="1"/>
  <c r="N22" i="2"/>
  <c r="D38" i="1"/>
  <c r="E38" i="1"/>
  <c r="B39" i="1"/>
  <c r="J27" i="2" l="1"/>
  <c r="E27" i="2"/>
  <c r="O24" i="2"/>
  <c r="P24" i="2" s="1"/>
  <c r="N23" i="2"/>
  <c r="E39" i="1"/>
  <c r="D39" i="1"/>
  <c r="B40" i="1"/>
  <c r="J28" i="2" l="1"/>
  <c r="E28" i="2"/>
  <c r="O25" i="2"/>
  <c r="P25" i="2" s="1"/>
  <c r="N24" i="2"/>
  <c r="B41" i="1"/>
  <c r="E40" i="1"/>
  <c r="D40" i="1"/>
  <c r="J29" i="2" l="1"/>
  <c r="E29" i="2"/>
  <c r="O26" i="2"/>
  <c r="P26" i="2" s="1"/>
  <c r="N25" i="2"/>
  <c r="E41" i="1"/>
  <c r="D41" i="1"/>
  <c r="B42" i="1"/>
  <c r="J30" i="2" l="1"/>
  <c r="E30" i="2"/>
  <c r="O27" i="2"/>
  <c r="P27" i="2" s="1"/>
  <c r="N26" i="2"/>
  <c r="B43" i="1"/>
  <c r="E42" i="1"/>
  <c r="D42" i="1"/>
  <c r="J31" i="2" l="1"/>
  <c r="E31" i="2"/>
  <c r="O28" i="2"/>
  <c r="P28" i="2" s="1"/>
  <c r="N27" i="2"/>
  <c r="D43" i="1"/>
  <c r="E43" i="1"/>
  <c r="B44" i="1"/>
  <c r="J32" i="2" l="1"/>
  <c r="E32" i="2"/>
  <c r="O29" i="2"/>
  <c r="P29" i="2" s="1"/>
  <c r="N28" i="2"/>
  <c r="B45" i="1"/>
  <c r="D44" i="1"/>
  <c r="E44" i="1"/>
  <c r="J33" i="2" l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E33" i="2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E62" i="2" s="1"/>
  <c r="E63" i="2" s="1"/>
  <c r="E64" i="2" s="1"/>
  <c r="E65" i="2" s="1"/>
  <c r="O30" i="2"/>
  <c r="P30" i="2" s="1"/>
  <c r="N29" i="2"/>
  <c r="E45" i="1"/>
  <c r="D45" i="1"/>
  <c r="O31" i="2" l="1"/>
  <c r="P31" i="2" s="1"/>
  <c r="N30" i="2"/>
  <c r="E46" i="1"/>
  <c r="O32" i="2" l="1"/>
  <c r="P32" i="2" s="1"/>
  <c r="N31" i="2"/>
  <c r="E13" i="1"/>
  <c r="O33" i="2" l="1"/>
  <c r="N32" i="2"/>
  <c r="E19" i="1"/>
  <c r="I18" i="1" s="1"/>
  <c r="E18" i="1"/>
  <c r="P33" i="2" l="1"/>
  <c r="N33" i="2"/>
  <c r="F46" i="1"/>
  <c r="G26" i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I27" i="1" l="1"/>
  <c r="H26" i="1"/>
  <c r="G37" i="1"/>
  <c r="G38" i="1" s="1"/>
  <c r="G39" i="1" s="1"/>
  <c r="G40" i="1" s="1"/>
  <c r="G41" i="1" s="1"/>
  <c r="G42" i="1" s="1"/>
  <c r="G43" i="1" s="1"/>
  <c r="G44" i="1" s="1"/>
  <c r="G45" i="1" s="1"/>
  <c r="H27" i="1" l="1"/>
  <c r="I28" i="1"/>
  <c r="I29" i="1" l="1"/>
  <c r="I30" i="1" s="1"/>
  <c r="H28" i="1"/>
  <c r="H29" i="1" l="1"/>
  <c r="H30" i="1" l="1"/>
  <c r="I31" i="1"/>
  <c r="H31" i="1" l="1"/>
  <c r="I32" i="1"/>
  <c r="H32" i="1" l="1"/>
  <c r="I33" i="1"/>
  <c r="I34" i="1" l="1"/>
  <c r="H33" i="1"/>
  <c r="H34" i="1" l="1"/>
  <c r="I35" i="1"/>
  <c r="I36" i="1" l="1"/>
  <c r="H35" i="1"/>
  <c r="I37" i="1" l="1"/>
  <c r="H36" i="1"/>
  <c r="H37" i="1" l="1"/>
  <c r="I38" i="1"/>
  <c r="H38" i="1" l="1"/>
  <c r="I39" i="1"/>
  <c r="H39" i="1" l="1"/>
  <c r="I40" i="1"/>
  <c r="H40" i="1" l="1"/>
  <c r="I41" i="1"/>
  <c r="I42" i="1" l="1"/>
  <c r="H41" i="1"/>
  <c r="I43" i="1" l="1"/>
  <c r="H42" i="1"/>
  <c r="H43" i="1" l="1"/>
  <c r="H44" i="1" l="1"/>
  <c r="I45" i="1"/>
  <c r="H45" i="1" s="1"/>
  <c r="O34" i="2" l="1"/>
  <c r="N34" i="2" s="1"/>
  <c r="F34" i="2"/>
  <c r="F35" i="2" s="1"/>
  <c r="F36" i="2" s="1"/>
  <c r="M34" i="2"/>
  <c r="O35" i="2" l="1"/>
  <c r="M35" i="2"/>
  <c r="M36" i="2" s="1"/>
  <c r="P34" i="2"/>
  <c r="O36" i="2" l="1"/>
  <c r="N35" i="2"/>
  <c r="P35" i="2"/>
  <c r="M37" i="2"/>
  <c r="F37" i="2"/>
  <c r="F38" i="2" s="1"/>
  <c r="M38" i="2" l="1"/>
  <c r="O37" i="2"/>
  <c r="N36" i="2"/>
  <c r="P36" i="2"/>
  <c r="P37" i="2" l="1"/>
  <c r="N37" i="2"/>
  <c r="O38" i="2"/>
  <c r="M39" i="2"/>
  <c r="F39" i="2"/>
  <c r="F40" i="2" s="1"/>
  <c r="P38" i="2" l="1"/>
  <c r="N38" i="2"/>
  <c r="O39" i="2"/>
  <c r="F41" i="2"/>
  <c r="M40" i="2"/>
  <c r="M41" i="2" l="1"/>
  <c r="O40" i="2"/>
  <c r="N39" i="2"/>
  <c r="P39" i="2"/>
  <c r="O41" i="2" l="1"/>
  <c r="N40" i="2"/>
  <c r="P40" i="2"/>
  <c r="M42" i="2"/>
  <c r="F42" i="2"/>
  <c r="F43" i="2" s="1"/>
  <c r="M43" i="2" l="1"/>
  <c r="N41" i="2"/>
  <c r="P41" i="2"/>
  <c r="O42" i="2"/>
  <c r="P42" i="2" l="1"/>
  <c r="N42" i="2"/>
  <c r="O43" i="2"/>
  <c r="M44" i="2"/>
  <c r="F44" i="2"/>
  <c r="F45" i="2" s="1"/>
  <c r="M45" i="2" l="1"/>
  <c r="O44" i="2"/>
  <c r="N43" i="2"/>
  <c r="P43" i="2"/>
  <c r="O45" i="2" l="1"/>
  <c r="N44" i="2"/>
  <c r="P44" i="2"/>
  <c r="M46" i="2"/>
  <c r="F46" i="2"/>
  <c r="F47" i="2" s="1"/>
  <c r="M47" i="2" l="1"/>
  <c r="O46" i="2"/>
  <c r="N45" i="2"/>
  <c r="P45" i="2"/>
  <c r="P46" i="2" l="1"/>
  <c r="O47" i="2"/>
  <c r="N46" i="2"/>
  <c r="M48" i="2"/>
  <c r="F48" i="2"/>
  <c r="F49" i="2" s="1"/>
  <c r="M49" i="2" l="1"/>
  <c r="F50" i="2"/>
  <c r="O48" i="2"/>
  <c r="N47" i="2"/>
  <c r="P47" i="2"/>
  <c r="O49" i="2" l="1"/>
  <c r="N48" i="2"/>
  <c r="P48" i="2"/>
  <c r="F51" i="2"/>
  <c r="M50" i="2"/>
  <c r="M51" i="2" l="1"/>
  <c r="N49" i="2"/>
  <c r="O50" i="2"/>
  <c r="P49" i="2"/>
  <c r="P50" i="2" l="1"/>
  <c r="O51" i="2"/>
  <c r="N50" i="2"/>
  <c r="M52" i="2"/>
  <c r="F52" i="2"/>
  <c r="F53" i="2" s="1"/>
  <c r="M53" i="2" l="1"/>
  <c r="O52" i="2"/>
  <c r="N51" i="2"/>
  <c r="P51" i="2"/>
  <c r="O53" i="2" l="1"/>
  <c r="N52" i="2"/>
  <c r="P52" i="2"/>
  <c r="M54" i="2"/>
  <c r="F54" i="2"/>
  <c r="F55" i="2" s="1"/>
  <c r="M55" i="2" l="1"/>
  <c r="N53" i="2"/>
  <c r="P53" i="2"/>
  <c r="O54" i="2"/>
  <c r="P54" i="2" l="1"/>
  <c r="O55" i="2"/>
  <c r="N54" i="2"/>
  <c r="M56" i="2"/>
  <c r="F56" i="2"/>
  <c r="F57" i="2" s="1"/>
  <c r="M57" i="2" l="1"/>
  <c r="O56" i="2"/>
  <c r="N55" i="2"/>
  <c r="P55" i="2"/>
  <c r="O57" i="2" l="1"/>
  <c r="N56" i="2"/>
  <c r="P56" i="2"/>
  <c r="M58" i="2"/>
  <c r="F58" i="2"/>
  <c r="F59" i="2" s="1"/>
  <c r="M59" i="2" l="1"/>
  <c r="N57" i="2"/>
  <c r="P57" i="2"/>
  <c r="O58" i="2"/>
  <c r="P58" i="2" l="1"/>
  <c r="O59" i="2"/>
  <c r="N58" i="2"/>
  <c r="M60" i="2"/>
  <c r="F60" i="2"/>
  <c r="F61" i="2" s="1"/>
  <c r="M61" i="2" l="1"/>
  <c r="O60" i="2"/>
  <c r="N59" i="2"/>
  <c r="P59" i="2"/>
  <c r="O61" i="2" l="1"/>
  <c r="N60" i="2"/>
  <c r="P60" i="2"/>
  <c r="M62" i="2"/>
  <c r="F62" i="2"/>
  <c r="F63" i="2" s="1"/>
  <c r="M63" i="2" l="1"/>
  <c r="N61" i="2"/>
  <c r="O62" i="2"/>
  <c r="P61" i="2"/>
  <c r="P62" i="2" l="1"/>
  <c r="O63" i="2"/>
  <c r="N62" i="2"/>
  <c r="M64" i="2"/>
  <c r="F64" i="2"/>
  <c r="F65" i="2" s="1"/>
  <c r="O64" i="2" l="1"/>
  <c r="N63" i="2"/>
  <c r="P63" i="2"/>
  <c r="O65" i="2" l="1"/>
  <c r="N64" i="2"/>
  <c r="N65" i="2" s="1"/>
  <c r="P64" i="2"/>
  <c r="AC43" i="3"/>
  <c r="AC44" i="3" l="1"/>
  <c r="AC45" i="3" l="1"/>
  <c r="AC46" i="3" l="1"/>
  <c r="AC47" i="3" l="1"/>
  <c r="AC48" i="3" l="1"/>
  <c r="AC49" i="3" l="1"/>
  <c r="AC50" i="3" l="1"/>
  <c r="AC51" i="3" l="1"/>
  <c r="AC52" i="3" l="1"/>
  <c r="AC53" i="3" l="1"/>
  <c r="AC54" i="3" l="1"/>
  <c r="AC55" i="3" l="1"/>
  <c r="AC56" i="3" l="1"/>
  <c r="AC57" i="3" l="1"/>
  <c r="AC58" i="3" l="1"/>
  <c r="AC59" i="3" l="1"/>
  <c r="AC60" i="3" l="1"/>
  <c r="AC61" i="3" l="1"/>
  <c r="AC62" i="3" l="1"/>
  <c r="AC63" i="3" l="1"/>
  <c r="AC64" i="3" l="1"/>
  <c r="AC65" i="3" l="1"/>
  <c r="AC66" i="3" l="1"/>
  <c r="AC67" i="3" l="1"/>
  <c r="AC68" i="3" l="1"/>
  <c r="AC69" i="3" l="1"/>
  <c r="AC70" i="3" l="1"/>
  <c r="AC71" i="3" l="1"/>
  <c r="AC72" i="3" l="1"/>
  <c r="AC73" i="3" l="1"/>
  <c r="AC74" i="3" l="1"/>
  <c r="AC75" i="3" l="1"/>
  <c r="AC76" i="3" l="1"/>
  <c r="AC77" i="3" l="1"/>
  <c r="AC78" i="3" l="1"/>
  <c r="AC79" i="3" l="1"/>
  <c r="AC80" i="3" l="1"/>
  <c r="AC81" i="3" l="1"/>
  <c r="AC82" i="3" l="1"/>
  <c r="AC83" i="3" l="1"/>
  <c r="AC84" i="3" l="1"/>
  <c r="AC85" i="3" l="1"/>
  <c r="AC86" i="3" l="1"/>
  <c r="AC87" i="3" l="1"/>
  <c r="AC88" i="3" l="1"/>
  <c r="AC89" i="3" l="1"/>
  <c r="AC90" i="3" l="1"/>
  <c r="AC91" i="3" l="1"/>
  <c r="AC92" i="3" l="1"/>
  <c r="AC93" i="3" l="1"/>
  <c r="AC94" i="3" l="1"/>
  <c r="AC95" i="3" l="1"/>
  <c r="AC96" i="3" l="1"/>
  <c r="AC97" i="3" l="1"/>
  <c r="AC98" i="3" l="1"/>
  <c r="AC99" i="3" l="1"/>
  <c r="AC100" i="3" l="1"/>
  <c r="AC101" i="3" l="1"/>
  <c r="AC102" i="3" l="1"/>
  <c r="AC103" i="3" l="1"/>
  <c r="AC104" i="3" l="1"/>
  <c r="AC105" i="3" l="1"/>
  <c r="AC106" i="3" l="1"/>
  <c r="AC107" i="3" l="1"/>
  <c r="AC108" i="3" l="1"/>
  <c r="AC109" i="3" l="1"/>
  <c r="AC110" i="3" l="1"/>
  <c r="AC111" i="3" l="1"/>
  <c r="AC112" i="3" l="1"/>
  <c r="AC113" i="3" l="1"/>
  <c r="AC114" i="3" l="1"/>
  <c r="AC115" i="3" l="1"/>
  <c r="AC116" i="3" l="1"/>
  <c r="AC117" i="3" l="1"/>
  <c r="AC118" i="3" l="1"/>
  <c r="AC119" i="3" l="1"/>
  <c r="AC120" i="3" l="1"/>
  <c r="AC121" i="3" l="1"/>
  <c r="AC122" i="3" l="1"/>
  <c r="AC123" i="3" l="1"/>
  <c r="AC124" i="3" l="1"/>
  <c r="AC125" i="3" l="1"/>
  <c r="AC126" i="3" l="1"/>
  <c r="AC127" i="3" l="1"/>
  <c r="AC128" i="3" l="1"/>
  <c r="AC129" i="3" l="1"/>
  <c r="AC130" i="3" l="1"/>
  <c r="AC131" i="3" l="1"/>
  <c r="AC132" i="3" l="1"/>
  <c r="AC133" i="3" l="1"/>
  <c r="AC134" i="3" l="1"/>
  <c r="AC135" i="3" l="1"/>
  <c r="AC136" i="3" l="1"/>
  <c r="AC137" i="3" l="1"/>
  <c r="AC138" i="3" l="1"/>
  <c r="AC139" i="3" l="1"/>
  <c r="AC140" i="3" l="1"/>
  <c r="AC141" i="3" l="1"/>
  <c r="AC142" i="3" l="1"/>
  <c r="AC143" i="3" l="1"/>
  <c r="AC144" i="3" l="1"/>
  <c r="AC145" i="3" l="1"/>
  <c r="AC146" i="3" l="1"/>
  <c r="AC147" i="3" l="1"/>
  <c r="AC148" i="3" l="1"/>
  <c r="AC149" i="3" l="1"/>
  <c r="AC150" i="3" l="1"/>
  <c r="AC151" i="3" l="1"/>
  <c r="AC152" i="3" l="1"/>
  <c r="AC153" i="3" l="1"/>
  <c r="AC154" i="3" l="1"/>
  <c r="AC155" i="3" l="1"/>
  <c r="AC156" i="3" l="1"/>
  <c r="AC157" i="3" l="1"/>
  <c r="AC158" i="3" l="1"/>
  <c r="AC34" i="3" l="1"/>
  <c r="AM15" i="3" s="1"/>
  <c r="AD15" i="3" s="1"/>
  <c r="AD19" i="3" s="1"/>
  <c r="AI25" i="3" s="1"/>
  <c r="AC159" i="3"/>
  <c r="AC160" i="3" l="1"/>
  <c r="AC161" i="3" l="1"/>
  <c r="AC162" i="3" l="1"/>
  <c r="AC163" i="3" l="1"/>
  <c r="AC164" i="3" l="1"/>
  <c r="AC165" i="3" l="1"/>
  <c r="AC166" i="3" l="1"/>
  <c r="AC167" i="3" l="1"/>
  <c r="AC168" i="3" l="1"/>
  <c r="AC169" i="3" l="1"/>
  <c r="AC170" i="3" l="1"/>
  <c r="AC171" i="3" l="1"/>
  <c r="AC172" i="3" l="1"/>
  <c r="AC173" i="3" l="1"/>
  <c r="AC174" i="3" l="1"/>
  <c r="AC175" i="3" l="1"/>
  <c r="AC176" i="3" l="1"/>
  <c r="AC177" i="3" l="1"/>
  <c r="AC178" i="3" l="1"/>
  <c r="AC179" i="3" l="1"/>
  <c r="AC180" i="3" l="1"/>
  <c r="AC181" i="3" l="1"/>
  <c r="AC182" i="3" l="1"/>
  <c r="AC183" i="3" l="1"/>
  <c r="AC184" i="3" l="1"/>
  <c r="AC185" i="3" l="1"/>
  <c r="AC186" i="3" l="1"/>
  <c r="AC187" i="3" l="1"/>
  <c r="AC188" i="3" l="1"/>
  <c r="AC189" i="3" l="1"/>
  <c r="AC190" i="3" l="1"/>
  <c r="AC191" i="3" l="1"/>
  <c r="AC192" i="3" l="1"/>
  <c r="AC193" i="3" l="1"/>
  <c r="AC194" i="3" l="1"/>
  <c r="AC195" i="3" l="1"/>
  <c r="AC196" i="3" l="1"/>
  <c r="AC197" i="3" l="1"/>
  <c r="AC198" i="3" l="1"/>
  <c r="AC199" i="3" l="1"/>
  <c r="AC200" i="3" l="1"/>
  <c r="AC201" i="3" l="1"/>
  <c r="AC202" i="3" l="1"/>
  <c r="AC203" i="3" l="1"/>
  <c r="AC204" i="3" l="1"/>
  <c r="AC205" i="3" l="1"/>
  <c r="AC206" i="3" l="1"/>
  <c r="AC207" i="3" l="1"/>
  <c r="AC208" i="3" l="1"/>
  <c r="AC209" i="3" l="1"/>
  <c r="AC210" i="3" l="1"/>
  <c r="AC211" i="3" l="1"/>
  <c r="AC212" i="3" l="1"/>
  <c r="AC213" i="3" l="1"/>
  <c r="AC214" i="3" l="1"/>
  <c r="AC215" i="3" l="1"/>
  <c r="AC216" i="3" l="1"/>
  <c r="AC217" i="3" l="1"/>
  <c r="AC218" i="3" l="1"/>
  <c r="AC219" i="3" l="1"/>
  <c r="AC220" i="3" l="1"/>
  <c r="AC221" i="3" l="1"/>
  <c r="AC222" i="3" l="1"/>
  <c r="AC223" i="3" l="1"/>
  <c r="AC224" i="3" l="1"/>
  <c r="AC225" i="3" l="1"/>
  <c r="AC226" i="3" l="1"/>
  <c r="AC227" i="3" l="1"/>
  <c r="AC228" i="3" l="1"/>
  <c r="AC229" i="3" l="1"/>
  <c r="AC230" i="3" l="1"/>
  <c r="AC231" i="3" l="1"/>
  <c r="AC232" i="3" l="1"/>
  <c r="AC233" i="3" l="1"/>
  <c r="AC234" i="3" l="1"/>
  <c r="AC235" i="3" l="1"/>
  <c r="AC236" i="3" l="1"/>
  <c r="AC237" i="3" l="1"/>
  <c r="AC238" i="3" l="1"/>
  <c r="AC239" i="3" l="1"/>
  <c r="AC240" i="3" l="1"/>
  <c r="AC241" i="3" l="1"/>
  <c r="AC242" i="3" l="1"/>
  <c r="AC243" i="3" l="1"/>
  <c r="AC244" i="3" l="1"/>
  <c r="AC245" i="3" l="1"/>
  <c r="AC246" i="3" l="1"/>
  <c r="AC247" i="3" l="1"/>
  <c r="AC248" i="3" l="1"/>
  <c r="AC249" i="3" l="1"/>
  <c r="AC250" i="3" l="1"/>
  <c r="AC251" i="3" l="1"/>
  <c r="AC252" i="3" l="1"/>
  <c r="AC253" i="3" l="1"/>
  <c r="AC254" i="3" l="1"/>
  <c r="AC255" i="3" l="1"/>
  <c r="AC256" i="3" l="1"/>
  <c r="AC257" i="3" l="1"/>
  <c r="AC258" i="3" l="1"/>
  <c r="AC259" i="3" l="1"/>
  <c r="AC260" i="3" l="1"/>
  <c r="AC261" i="3" l="1"/>
  <c r="AC262" i="3" l="1"/>
  <c r="AC263" i="3" l="1"/>
  <c r="AC264" i="3" l="1"/>
  <c r="AC265" i="3" l="1"/>
  <c r="AC266" i="3" l="1"/>
  <c r="AC267" i="3" l="1"/>
  <c r="AC268" i="3" l="1"/>
  <c r="AC269" i="3" l="1"/>
  <c r="AC270" i="3" l="1"/>
  <c r="AC271" i="3" l="1"/>
  <c r="AC272" i="3" l="1"/>
  <c r="AC273" i="3" l="1"/>
  <c r="AC274" i="3" l="1"/>
  <c r="AC275" i="3" l="1"/>
  <c r="AC276" i="3" l="1"/>
  <c r="AC277" i="3" l="1"/>
  <c r="AC278" i="3" l="1"/>
  <c r="AC279" i="3" l="1"/>
  <c r="AC280" i="3" l="1"/>
  <c r="AC281" i="3" l="1"/>
  <c r="AC282" i="3" l="1"/>
  <c r="AC283" i="3" l="1"/>
  <c r="AC284" i="3" l="1"/>
  <c r="AC285" i="3" l="1"/>
  <c r="AC286" i="3" l="1"/>
  <c r="AC287" i="3" l="1"/>
  <c r="AC288" i="3" l="1"/>
  <c r="AC289" i="3" l="1"/>
  <c r="AC290" i="3" l="1"/>
  <c r="AC291" i="3" l="1"/>
  <c r="AC292" i="3" l="1"/>
  <c r="AC293" i="3" l="1"/>
  <c r="AC294" i="3" l="1"/>
  <c r="AC295" i="3" l="1"/>
  <c r="AC296" i="3" l="1"/>
  <c r="AC297" i="3" l="1"/>
  <c r="AC298" i="3" l="1"/>
  <c r="AC299" i="3" l="1"/>
  <c r="AC300" i="3" l="1"/>
  <c r="AC301" i="3" l="1"/>
  <c r="AC302" i="3" l="1"/>
  <c r="AC303" i="3" l="1"/>
  <c r="AC304" i="3" l="1"/>
  <c r="AC305" i="3" l="1"/>
  <c r="AC306" i="3" l="1"/>
  <c r="AC307" i="3" l="1"/>
  <c r="AC308" i="3" l="1"/>
  <c r="AC309" i="3" l="1"/>
  <c r="AC310" i="3" l="1"/>
  <c r="AC311" i="3" l="1"/>
  <c r="AC312" i="3" l="1"/>
  <c r="AC313" i="3" l="1"/>
  <c r="AC314" i="3" l="1"/>
  <c r="AC315" i="3" l="1"/>
  <c r="AC316" i="3" l="1"/>
  <c r="AC317" i="3" l="1"/>
  <c r="AC318" i="3" l="1"/>
  <c r="AC319" i="3" l="1"/>
  <c r="AC320" i="3" l="1"/>
  <c r="AC321" i="3" l="1"/>
  <c r="AC322" i="3" l="1"/>
  <c r="AC323" i="3" l="1"/>
  <c r="AC324" i="3" l="1"/>
  <c r="AC325" i="3" l="1"/>
  <c r="AC326" i="3" l="1"/>
  <c r="AC327" i="3" l="1"/>
  <c r="AC328" i="3" l="1"/>
  <c r="AC329" i="3" l="1"/>
  <c r="AC330" i="3" l="1"/>
  <c r="AC331" i="3" l="1"/>
  <c r="AC332" i="3" l="1"/>
  <c r="AC333" i="3" l="1"/>
  <c r="AC334" i="3" l="1"/>
  <c r="AC335" i="3" l="1"/>
  <c r="AC336" i="3" l="1"/>
  <c r="AC337" i="3" l="1"/>
  <c r="AC338" i="3" l="1"/>
  <c r="AC339" i="3" l="1"/>
  <c r="AC340" i="3" l="1"/>
  <c r="AC341" i="3" l="1"/>
  <c r="AC342" i="3" l="1"/>
  <c r="AC343" i="3" l="1"/>
  <c r="AC344" i="3" l="1"/>
  <c r="AC345" i="3" l="1"/>
  <c r="AC346" i="3" l="1"/>
  <c r="AC347" i="3" l="1"/>
  <c r="AC348" i="3" l="1"/>
  <c r="AC349" i="3" l="1"/>
  <c r="AC350" i="3" l="1"/>
  <c r="AC351" i="3" l="1"/>
  <c r="AC352" i="3" l="1"/>
  <c r="AC353" i="3" l="1"/>
  <c r="AC354" i="3" l="1"/>
  <c r="AC355" i="3" l="1"/>
  <c r="AC356" i="3" l="1"/>
  <c r="AC357" i="3" l="1"/>
  <c r="AC358" i="3" l="1"/>
  <c r="AC359" i="3" l="1"/>
  <c r="AC360" i="3" l="1"/>
  <c r="AC361" i="3" l="1"/>
  <c r="AC362" i="3" l="1"/>
  <c r="AC363" i="3" l="1"/>
  <c r="AC364" i="3" l="1"/>
  <c r="AC365" i="3" l="1"/>
  <c r="AC366" i="3" l="1"/>
  <c r="AC367" i="3" l="1"/>
  <c r="AC368" i="3" l="1"/>
  <c r="AC369" i="3" l="1"/>
  <c r="AC370" i="3" l="1"/>
  <c r="AC371" i="3" l="1"/>
  <c r="AC372" i="3" l="1"/>
  <c r="AC373" i="3" l="1"/>
  <c r="AC374" i="3" l="1"/>
  <c r="AC375" i="3" l="1"/>
  <c r="AC376" i="3" l="1"/>
  <c r="AC377" i="3" l="1"/>
  <c r="AC378" i="3" l="1"/>
  <c r="AC379" i="3" l="1"/>
  <c r="AC380" i="3" l="1"/>
  <c r="AC381" i="3" l="1"/>
  <c r="AC382" i="3" l="1"/>
  <c r="AC383" i="3" l="1"/>
  <c r="AC384" i="3" l="1"/>
  <c r="AC385" i="3" l="1"/>
  <c r="AC386" i="3" l="1"/>
  <c r="AC387" i="3" l="1"/>
  <c r="AC388" i="3" l="1"/>
  <c r="AC389" i="3" l="1"/>
  <c r="AC390" i="3" l="1"/>
  <c r="AC391" i="3" l="1"/>
  <c r="AC392" i="3" l="1"/>
  <c r="AC393" i="3" l="1"/>
  <c r="AC394" i="3" l="1"/>
  <c r="AC395" i="3" l="1"/>
  <c r="AC396" i="3" l="1"/>
  <c r="AC397" i="3" l="1"/>
  <c r="AC398" i="3" l="1"/>
  <c r="AC399" i="3" l="1"/>
  <c r="AC400" i="3" l="1"/>
  <c r="AC401" i="3" l="1"/>
  <c r="AC402" i="3" l="1"/>
  <c r="AC403" i="3" l="1"/>
  <c r="AC404" i="3" l="1"/>
  <c r="AC405" i="3" l="1"/>
  <c r="AC406" i="3" l="1"/>
  <c r="AC407" i="3" l="1"/>
  <c r="AC408" i="3" l="1"/>
  <c r="AC409" i="3" l="1"/>
  <c r="AC410" i="3" l="1"/>
  <c r="AC411" i="3" l="1"/>
  <c r="AC412" i="3" l="1"/>
  <c r="AC413" i="3" l="1"/>
  <c r="AC414" i="3" l="1"/>
  <c r="AC415" i="3" l="1"/>
  <c r="AC416" i="3" l="1"/>
  <c r="AC417" i="3" l="1"/>
  <c r="AC418" i="3" l="1"/>
  <c r="AC419" i="3" l="1"/>
  <c r="AC420" i="3" l="1"/>
  <c r="AC421" i="3" l="1"/>
  <c r="AC422" i="3" l="1"/>
  <c r="AC423" i="3" l="1"/>
  <c r="AC424" i="3" l="1"/>
  <c r="AC425" i="3" l="1"/>
  <c r="AC426" i="3" l="1"/>
  <c r="AC427" i="3" l="1"/>
  <c r="AC428" i="3" l="1"/>
  <c r="AC429" i="3" l="1"/>
  <c r="AC430" i="3" l="1"/>
  <c r="AC431" i="3" l="1"/>
  <c r="AC432" i="3" l="1"/>
  <c r="AC433" i="3" l="1"/>
  <c r="AC434" i="3" l="1"/>
  <c r="AC435" i="3" l="1"/>
  <c r="AC436" i="3" l="1"/>
  <c r="AC437" i="3" l="1"/>
  <c r="AC438" i="3" l="1"/>
  <c r="AC439" i="3" l="1"/>
  <c r="AC440" i="3" l="1"/>
  <c r="AC441" i="3" l="1"/>
  <c r="AC442" i="3" l="1"/>
  <c r="AC443" i="3" l="1"/>
  <c r="AC444" i="3" l="1"/>
  <c r="AC445" i="3" l="1"/>
  <c r="AC446" i="3" l="1"/>
  <c r="AC447" i="3" l="1"/>
  <c r="AC448" i="3" l="1"/>
  <c r="AC449" i="3" l="1"/>
  <c r="AC450" i="3" l="1"/>
  <c r="AC451" i="3" l="1"/>
  <c r="AC452" i="3" l="1"/>
  <c r="AC453" i="3" l="1"/>
  <c r="AC454" i="3" l="1"/>
  <c r="AC455" i="3" l="1"/>
  <c r="AC456" i="3" l="1"/>
  <c r="AC457" i="3" l="1"/>
  <c r="AC458" i="3" l="1"/>
  <c r="AC459" i="3" l="1"/>
  <c r="AC460" i="3" l="1"/>
  <c r="AC461" i="3" l="1"/>
  <c r="AC462" i="3" l="1"/>
  <c r="AC463" i="3" l="1"/>
  <c r="AC464" i="3" l="1"/>
  <c r="AC465" i="3" l="1"/>
  <c r="AC466" i="3" l="1"/>
  <c r="AC467" i="3" l="1"/>
  <c r="AC468" i="3" l="1"/>
  <c r="AC469" i="3" l="1"/>
  <c r="AC470" i="3" l="1"/>
  <c r="AC471" i="3" l="1"/>
  <c r="AC472" i="3" l="1"/>
  <c r="AC473" i="3" l="1"/>
  <c r="AC474" i="3" l="1"/>
  <c r="AC475" i="3" l="1"/>
  <c r="AC476" i="3" l="1"/>
  <c r="AC477" i="3" l="1"/>
  <c r="AC478" i="3" l="1"/>
  <c r="AC479" i="3" l="1"/>
  <c r="AC480" i="3" l="1"/>
  <c r="AC481" i="3" l="1"/>
  <c r="AC482" i="3" l="1"/>
  <c r="AC483" i="3" l="1"/>
  <c r="AC484" i="3" l="1"/>
  <c r="AC485" i="3" l="1"/>
  <c r="AC486" i="3" l="1"/>
  <c r="AC487" i="3" l="1"/>
  <c r="AC488" i="3" l="1"/>
  <c r="AC489" i="3" l="1"/>
  <c r="AC490" i="3" l="1"/>
  <c r="AC491" i="3" l="1"/>
  <c r="AC492" i="3" l="1"/>
  <c r="AC493" i="3" l="1"/>
  <c r="AC494" i="3" l="1"/>
  <c r="AC495" i="3" l="1"/>
  <c r="AC496" i="3" l="1"/>
  <c r="AC497" i="3" l="1"/>
  <c r="AC498" i="3" l="1"/>
  <c r="AC499" i="3" l="1"/>
  <c r="AC500" i="3" l="1"/>
  <c r="AC501" i="3" l="1"/>
  <c r="AC502" i="3" l="1"/>
  <c r="AC503" i="3" l="1"/>
  <c r="AC504" i="3" l="1"/>
  <c r="AC505" i="3" l="1"/>
  <c r="AC506" i="3" l="1"/>
  <c r="AC507" i="3" l="1"/>
  <c r="AC508" i="3" l="1"/>
  <c r="AC509" i="3" l="1"/>
  <c r="AC510" i="3" l="1"/>
  <c r="AC511" i="3" l="1"/>
  <c r="AC512" i="3" l="1"/>
  <c r="AC513" i="3" l="1"/>
  <c r="AC514" i="3" l="1"/>
  <c r="AC515" i="3" l="1"/>
  <c r="AC516" i="3" l="1"/>
  <c r="AC517" i="3" l="1"/>
  <c r="AC518" i="3" l="1"/>
  <c r="AI34" i="3" l="1"/>
  <c r="AW15" i="3" s="1"/>
  <c r="AC519" i="3"/>
  <c r="AC520" i="3" l="1"/>
  <c r="AC521" i="3" l="1"/>
  <c r="AC522" i="3" l="1"/>
  <c r="AC523" i="3" l="1"/>
  <c r="AC524" i="3" l="1"/>
  <c r="AC525" i="3" l="1"/>
  <c r="AC526" i="3" l="1"/>
  <c r="AC527" i="3" l="1"/>
  <c r="AC528" i="3" l="1"/>
  <c r="AC529" i="3" l="1"/>
  <c r="AC530" i="3" l="1"/>
  <c r="AC531" i="3" l="1"/>
  <c r="AC532" i="3" l="1"/>
  <c r="AC533" i="3" l="1"/>
  <c r="AC534" i="3" l="1"/>
  <c r="AC535" i="3" l="1"/>
  <c r="AC536" i="3" l="1"/>
  <c r="AC537" i="3" l="1"/>
  <c r="AC538" i="3" l="1"/>
  <c r="AC539" i="3" l="1"/>
  <c r="AC540" i="3" l="1"/>
  <c r="AC541" i="3" l="1"/>
  <c r="AC542" i="3" l="1"/>
  <c r="AC543" i="3" l="1"/>
  <c r="AC544" i="3" l="1"/>
  <c r="AC545" i="3" l="1"/>
  <c r="AC546" i="3" l="1"/>
  <c r="AC547" i="3" l="1"/>
  <c r="AC548" i="3" l="1"/>
  <c r="AC549" i="3" l="1"/>
  <c r="AC550" i="3" l="1"/>
  <c r="AC551" i="3" l="1"/>
  <c r="AC552" i="3" l="1"/>
  <c r="AC553" i="3" l="1"/>
  <c r="AC554" i="3" l="1"/>
  <c r="AC555" i="3" l="1"/>
  <c r="AC556" i="3" l="1"/>
  <c r="AC557" i="3" l="1"/>
  <c r="AC558" i="3" l="1"/>
  <c r="AC559" i="3" l="1"/>
  <c r="AC560" i="3" l="1"/>
  <c r="AC561" i="3" l="1"/>
  <c r="AC562" i="3" l="1"/>
  <c r="AC563" i="3" l="1"/>
  <c r="AC564" i="3" l="1"/>
  <c r="AC565" i="3" l="1"/>
  <c r="AC566" i="3" l="1"/>
  <c r="AC567" i="3" l="1"/>
  <c r="AC568" i="3" l="1"/>
  <c r="AC569" i="3" l="1"/>
  <c r="AC570" i="3" l="1"/>
  <c r="AC571" i="3" l="1"/>
  <c r="AC572" i="3" l="1"/>
  <c r="AC573" i="3" l="1"/>
  <c r="AC574" i="3" l="1"/>
  <c r="AC575" i="3" l="1"/>
  <c r="AC576" i="3" l="1"/>
  <c r="AC577" i="3" l="1"/>
  <c r="AC578" i="3" l="1"/>
  <c r="AC579" i="3" l="1"/>
  <c r="AC580" i="3" l="1"/>
  <c r="AC581" i="3" l="1"/>
  <c r="AC582" i="3" l="1"/>
  <c r="AC583" i="3" l="1"/>
  <c r="AC584" i="3" l="1"/>
  <c r="AC585" i="3" l="1"/>
  <c r="AC586" i="3" l="1"/>
  <c r="AC587" i="3" l="1"/>
  <c r="AC588" i="3" l="1"/>
  <c r="AC589" i="3" l="1"/>
  <c r="AC590" i="3" l="1"/>
  <c r="AC591" i="3" l="1"/>
  <c r="AC592" i="3" l="1"/>
  <c r="AC593" i="3" l="1"/>
  <c r="AC594" i="3" l="1"/>
  <c r="AC595" i="3" l="1"/>
  <c r="AC596" i="3" l="1"/>
  <c r="AC597" i="3" l="1"/>
  <c r="AC598" i="3" l="1"/>
  <c r="AC599" i="3" l="1"/>
  <c r="AC600" i="3" l="1"/>
  <c r="AC601" i="3" l="1"/>
  <c r="AC602" i="3" l="1"/>
  <c r="AC603" i="3" l="1"/>
  <c r="AC604" i="3" l="1"/>
  <c r="AC605" i="3" l="1"/>
  <c r="AC606" i="3" l="1"/>
  <c r="AC607" i="3" l="1"/>
  <c r="AC608" i="3" l="1"/>
  <c r="AC609" i="3" l="1"/>
  <c r="AC610" i="3" l="1"/>
  <c r="AC611" i="3" l="1"/>
  <c r="AC612" i="3" l="1"/>
  <c r="AC613" i="3" l="1"/>
  <c r="AC614" i="3" l="1"/>
  <c r="AC615" i="3" l="1"/>
  <c r="AC616" i="3" l="1"/>
  <c r="AC617" i="3" l="1"/>
  <c r="AC618" i="3" l="1"/>
  <c r="AC619" i="3" l="1"/>
  <c r="AC620" i="3" l="1"/>
  <c r="AC621" i="3" l="1"/>
  <c r="AC622" i="3" l="1"/>
  <c r="AC623" i="3" l="1"/>
  <c r="AC624" i="3" l="1"/>
  <c r="AC625" i="3" l="1"/>
  <c r="AC626" i="3" l="1"/>
  <c r="AC627" i="3" l="1"/>
  <c r="AC628" i="3" l="1"/>
  <c r="AC629" i="3" l="1"/>
  <c r="AC630" i="3" l="1"/>
  <c r="AC631" i="3" l="1"/>
  <c r="AC632" i="3" l="1"/>
  <c r="AC633" i="3" l="1"/>
  <c r="AC634" i="3" l="1"/>
  <c r="AC635" i="3" l="1"/>
  <c r="AC636" i="3" l="1"/>
  <c r="AC637" i="3" l="1"/>
  <c r="AC638" i="3" l="1"/>
  <c r="AC639" i="3" l="1"/>
  <c r="AC640" i="3" l="1"/>
  <c r="AC641" i="3" l="1"/>
  <c r="AC642" i="3" l="1"/>
  <c r="AC643" i="3" l="1"/>
  <c r="AC644" i="3" l="1"/>
  <c r="AC645" i="3" l="1"/>
  <c r="AC646" i="3" l="1"/>
  <c r="AC647" i="3" l="1"/>
  <c r="AC648" i="3" l="1"/>
  <c r="AC649" i="3" l="1"/>
  <c r="AC650" i="3" l="1"/>
  <c r="AC651" i="3" l="1"/>
  <c r="AC652" i="3" l="1"/>
  <c r="AC653" i="3" l="1"/>
  <c r="AC654" i="3" l="1"/>
  <c r="AC655" i="3" l="1"/>
  <c r="AC656" i="3" l="1"/>
  <c r="AC657" i="3" l="1"/>
  <c r="AC658" i="3" l="1"/>
  <c r="AC659" i="3" l="1"/>
  <c r="AC660" i="3" l="1"/>
  <c r="AC661" i="3" l="1"/>
  <c r="AC662" i="3" l="1"/>
  <c r="AC663" i="3" l="1"/>
  <c r="AC664" i="3" l="1"/>
  <c r="AC665" i="3" l="1"/>
  <c r="AC666" i="3" l="1"/>
  <c r="AC667" i="3" l="1"/>
  <c r="AC668" i="3" l="1"/>
  <c r="AC669" i="3" l="1"/>
  <c r="AC670" i="3" l="1"/>
  <c r="AC671" i="3" l="1"/>
  <c r="AC672" i="3" l="1"/>
  <c r="AC673" i="3" l="1"/>
  <c r="AC674" i="3" l="1"/>
  <c r="AC675" i="3" l="1"/>
  <c r="AC676" i="3" l="1"/>
  <c r="AC677" i="3" l="1"/>
  <c r="AC678" i="3" l="1"/>
  <c r="AC679" i="3" l="1"/>
  <c r="AC680" i="3" l="1"/>
  <c r="AC681" i="3" l="1"/>
  <c r="AC682" i="3" l="1"/>
  <c r="AC683" i="3" l="1"/>
  <c r="AC684" i="3" l="1"/>
  <c r="AC685" i="3" l="1"/>
  <c r="AC686" i="3" l="1"/>
  <c r="AC687" i="3" l="1"/>
  <c r="AC688" i="3" l="1"/>
  <c r="AC689" i="3" l="1"/>
  <c r="AC690" i="3" l="1"/>
  <c r="AC691" i="3" l="1"/>
  <c r="AC692" i="3" l="1"/>
  <c r="AC693" i="3" l="1"/>
  <c r="AC694" i="3" l="1"/>
  <c r="AC695" i="3" l="1"/>
  <c r="AC696" i="3" l="1"/>
  <c r="AC697" i="3" l="1"/>
  <c r="AC698" i="3" l="1"/>
  <c r="AC699" i="3" l="1"/>
  <c r="AC700" i="3" l="1"/>
  <c r="AC701" i="3" l="1"/>
  <c r="AC702" i="3" l="1"/>
  <c r="AC703" i="3" l="1"/>
  <c r="AC704" i="3" l="1"/>
  <c r="AC705" i="3" l="1"/>
  <c r="AC706" i="3" l="1"/>
  <c r="AC707" i="3" l="1"/>
  <c r="AC708" i="3" l="1"/>
  <c r="AC709" i="3" l="1"/>
  <c r="AC710" i="3" l="1"/>
  <c r="AC711" i="3" l="1"/>
  <c r="AC712" i="3" l="1"/>
  <c r="AC713" i="3" l="1"/>
  <c r="AC714" i="3" l="1"/>
  <c r="AC715" i="3" l="1"/>
  <c r="AC716" i="3" l="1"/>
  <c r="AC717" i="3" l="1"/>
  <c r="AC718" i="3" l="1"/>
  <c r="AC719" i="3" l="1"/>
  <c r="AC720" i="3" l="1"/>
  <c r="AC721" i="3" l="1"/>
  <c r="AB36" i="3" l="1"/>
  <c r="AA36" i="3" l="1"/>
  <c r="AC722" i="3"/>
  <c r="AC723" i="3" s="1"/>
  <c r="AC724" i="3" s="1"/>
  <c r="AC725" i="3" s="1"/>
  <c r="AC726" i="3" s="1"/>
  <c r="AC727" i="3" s="1"/>
  <c r="AC728" i="3" s="1"/>
  <c r="AC729" i="3" s="1"/>
  <c r="AC730" i="3" s="1"/>
  <c r="AC731" i="3" s="1"/>
  <c r="AC732" i="3" s="1"/>
  <c r="AC733" i="3" s="1"/>
  <c r="AC734" i="3" s="1"/>
  <c r="AC735" i="3" s="1"/>
  <c r="AC736" i="3" s="1"/>
  <c r="AC737" i="3" s="1"/>
  <c r="AC738" i="3" s="1"/>
  <c r="AC739" i="3" s="1"/>
  <c r="AC740" i="3" s="1"/>
  <c r="AC741" i="3" s="1"/>
  <c r="AC742" i="3" s="1"/>
  <c r="AC743" i="3" s="1"/>
  <c r="AC744" i="3" s="1"/>
  <c r="AC745" i="3" s="1"/>
  <c r="AC746" i="3" s="1"/>
  <c r="AC747" i="3" s="1"/>
  <c r="AC748" i="3" s="1"/>
  <c r="AC749" i="3" s="1"/>
  <c r="AC750" i="3" s="1"/>
  <c r="AC751" i="3" s="1"/>
  <c r="AC752" i="3" s="1"/>
  <c r="AC753" i="3" s="1"/>
  <c r="AC754" i="3" s="1"/>
  <c r="AC755" i="3" s="1"/>
  <c r="AC756" i="3" s="1"/>
  <c r="AC757" i="3" s="1"/>
  <c r="AC758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8" authorId="0" shapeId="0" xr:uid="{21ACE6CB-819A-452F-B648-DA855D6F3F48}">
      <text>
        <r>
          <rPr>
            <b/>
            <sz val="9"/>
            <color indexed="81"/>
            <rFont val="Tahoma"/>
            <family val="2"/>
          </rPr>
          <t>물가고려O: 실질수익률 = (1+은퇴연금수익률)/(1+물가상승률)-1 을 적용한 연금현가(PV)</t>
        </r>
      </text>
    </comment>
    <comment ref="E18" authorId="0" shapeId="0" xr:uid="{ECA0A6B4-7678-46AC-B0FF-1C564674FA3C}">
      <text>
        <r>
          <rPr>
            <b/>
            <sz val="9"/>
            <color indexed="81"/>
            <rFont val="Tahoma"/>
            <family val="2"/>
          </rPr>
          <t>물가고려O 거치금액:
1) PV(J11/12, I11*12, 0, D17) = 거치기간 역산 → 적립완료 시점 필요금액
2) PV(J11/12, H11*12, -월적립액, -적립완료필요금액) = 플랜 시작 시 필요 투자금(거치금액)</t>
        </r>
      </text>
    </comment>
    <comment ref="H18" authorId="0" shapeId="0" xr:uid="{996D76CD-E45B-4051-A49E-B646490A83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토글 연동: 물가고려 O 선택 시 D17, X 선택 시 D18 값 반영</t>
        </r>
      </text>
    </comment>
    <comment ref="I18" authorId="0" shapeId="0" xr:uid="{D8929A7E-F022-41C2-96EC-29B7258EB4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토글 연동: 물가고려 O 선택 시 E17, X 선택 시 E18 값 반영</t>
        </r>
      </text>
    </comment>
    <comment ref="D19" authorId="0" shapeId="0" xr:uid="{DAB95065-DA25-490E-BD88-BE0037DA36F2}">
      <text>
        <r>
          <rPr>
            <b/>
            <sz val="9"/>
            <color indexed="81"/>
            <rFont val="Tahoma"/>
            <family val="2"/>
          </rPr>
          <t>물가고려X: 은퇴연금 명목수익률을 적용한 연금현가(PV)</t>
        </r>
      </text>
    </comment>
    <comment ref="E19" authorId="0" shapeId="0" xr:uid="{8A43BFD3-E768-4450-9D69-F1E69B547196}">
      <text>
        <r>
          <rPr>
            <b/>
            <sz val="9"/>
            <color indexed="81"/>
            <rFont val="Tahoma"/>
            <family val="2"/>
          </rPr>
          <t>물가고려X 거치금액:
1) PV(J11/12, I11*12, 0, D18) = 거치기간 역산 → 적립완료 시점 필요금액
2) PV(J11/12, H11*12, -월적립액, -적립완료필요금액) = 플랜 시작 시 필요 투자금(거치금액)</t>
        </r>
      </text>
    </comment>
  </commentList>
</comments>
</file>

<file path=xl/sharedStrings.xml><?xml version="1.0" encoding="utf-8"?>
<sst xmlns="http://schemas.openxmlformats.org/spreadsheetml/2006/main" count="249" uniqueCount="210">
  <si>
    <t>은퇴기간(수령기간)</t>
    <phoneticPr fontId="4" type="noConversion"/>
  </si>
  <si>
    <t>물가상승률</t>
    <phoneticPr fontId="4" type="noConversion"/>
  </si>
  <si>
    <t>고객명</t>
    <phoneticPr fontId="4" type="noConversion"/>
  </si>
  <si>
    <t>생년월일</t>
    <phoneticPr fontId="4" type="noConversion"/>
  </si>
  <si>
    <t>나이</t>
    <phoneticPr fontId="4" type="noConversion"/>
  </si>
  <si>
    <t>테스트</t>
    <phoneticPr fontId="4" type="noConversion"/>
  </si>
  <si>
    <t>희망 은퇴 조건 입력</t>
    <phoneticPr fontId="4" type="noConversion"/>
  </si>
  <si>
    <t>희망 은퇴나이</t>
    <phoneticPr fontId="4" type="noConversion"/>
  </si>
  <si>
    <t>적립기간</t>
    <phoneticPr fontId="4" type="noConversion"/>
  </si>
  <si>
    <t>거치기간</t>
    <phoneticPr fontId="4" type="noConversion"/>
  </si>
  <si>
    <t>예상수익률</t>
    <phoneticPr fontId="4" type="noConversion"/>
  </si>
  <si>
    <t>계산결과</t>
    <phoneticPr fontId="4" type="noConversion"/>
  </si>
  <si>
    <t>목표은퇴자금</t>
    <phoneticPr fontId="4" type="noConversion"/>
  </si>
  <si>
    <t>Total</t>
    <phoneticPr fontId="4" type="noConversion"/>
  </si>
  <si>
    <t>물가고려 O</t>
    <phoneticPr fontId="4" type="noConversion"/>
  </si>
  <si>
    <t>물가 고려 X</t>
    <phoneticPr fontId="4" type="noConversion"/>
  </si>
  <si>
    <t>연적립 금액</t>
    <phoneticPr fontId="4" type="noConversion"/>
  </si>
  <si>
    <t>필요 거치금액</t>
    <phoneticPr fontId="4" type="noConversion"/>
  </si>
  <si>
    <t>복리성장 시뮬레이션</t>
    <phoneticPr fontId="4" type="noConversion"/>
  </si>
  <si>
    <t>연차</t>
  </si>
  <si>
    <t>구분</t>
  </si>
  <si>
    <t>월 적립액</t>
  </si>
  <si>
    <t>누적 원금</t>
  </si>
  <si>
    <t>운용수익(누적)</t>
  </si>
  <si>
    <t>총 평가금액</t>
  </si>
  <si>
    <t>물가고려</t>
  </si>
  <si>
    <t>→ 적용값</t>
  </si>
  <si>
    <t>X</t>
  </si>
  <si>
    <t>은퇴연금 수익률</t>
    <phoneticPr fontId="4" type="noConversion"/>
  </si>
  <si>
    <t>추가 거치금액</t>
  </si>
  <si>
    <t>연금수령기간</t>
    <phoneticPr fontId="4" type="noConversion"/>
  </si>
  <si>
    <t>연금준비기간</t>
    <phoneticPr fontId="4" type="noConversion"/>
  </si>
  <si>
    <t>현재가치 희망 수령액</t>
    <phoneticPr fontId="4" type="noConversion"/>
  </si>
  <si>
    <t>은퇴당시 수령액</t>
    <phoneticPr fontId="4" type="noConversion"/>
  </si>
  <si>
    <t>희망은퇴플랜</t>
    <phoneticPr fontId="4" type="noConversion"/>
  </si>
  <si>
    <t>투자흐름</t>
    <phoneticPr fontId="4" type="noConversion"/>
  </si>
  <si>
    <t>은퇴플랜</t>
    <phoneticPr fontId="4" type="noConversion"/>
  </si>
  <si>
    <t>인터렉티브 계산기</t>
    <phoneticPr fontId="4" type="noConversion"/>
  </si>
  <si>
    <t>연금수령 계획</t>
    <phoneticPr fontId="4" type="noConversion"/>
  </si>
  <si>
    <t>&lt;= 표는 아코디언 버튼으로 접었다 폈다 할 수 있도록하고, 그래프는 상시 보이도록</t>
    <phoneticPr fontId="4" type="noConversion"/>
  </si>
  <si>
    <t>&lt;= 이 부분은 토글버튼으로 구현하고, 적용값은 보여지는 부분 아님.</t>
    <phoneticPr fontId="4" type="noConversion"/>
  </si>
  <si>
    <t>연차(나이)</t>
    <phoneticPr fontId="4" type="noConversion"/>
  </si>
  <si>
    <t>연도</t>
    <phoneticPr fontId="4" type="noConversion"/>
  </si>
  <si>
    <t>연차</t>
    <phoneticPr fontId="4" type="noConversion"/>
  </si>
  <si>
    <t>누적원금</t>
    <phoneticPr fontId="4" type="noConversion"/>
  </si>
  <si>
    <t>총 평가액</t>
    <phoneticPr fontId="4" type="noConversion"/>
  </si>
  <si>
    <t>연적립금액</t>
    <phoneticPr fontId="4" type="noConversion"/>
  </si>
  <si>
    <t>연수익률</t>
    <phoneticPr fontId="4" type="noConversion"/>
  </si>
  <si>
    <t>순자산</t>
    <phoneticPr fontId="4" type="noConversion"/>
  </si>
  <si>
    <t>46세</t>
  </si>
  <si>
    <t>47세</t>
  </si>
  <si>
    <t>48세</t>
  </si>
  <si>
    <t>49세</t>
  </si>
  <si>
    <t>50세</t>
  </si>
  <si>
    <t>51세</t>
  </si>
  <si>
    <t>52세</t>
  </si>
  <si>
    <t>53세</t>
  </si>
  <si>
    <t>54세</t>
  </si>
  <si>
    <t>55세</t>
  </si>
  <si>
    <t>56세</t>
  </si>
  <si>
    <t>57세</t>
  </si>
  <si>
    <t>58세</t>
  </si>
  <si>
    <t>59세</t>
  </si>
  <si>
    <t>60세</t>
  </si>
  <si>
    <t>61세</t>
  </si>
  <si>
    <t>62세</t>
  </si>
  <si>
    <t>63세</t>
  </si>
  <si>
    <t>64세</t>
  </si>
  <si>
    <t>65세</t>
  </si>
  <si>
    <t>66세</t>
  </si>
  <si>
    <t>67세</t>
  </si>
  <si>
    <t>68세</t>
  </si>
  <si>
    <t>69세</t>
  </si>
  <si>
    <t>70세</t>
  </si>
  <si>
    <t>71세</t>
  </si>
  <si>
    <t>72세</t>
  </si>
  <si>
    <t>73세</t>
  </si>
  <si>
    <t>74세</t>
  </si>
  <si>
    <t>75세</t>
  </si>
  <si>
    <t>76세</t>
  </si>
  <si>
    <t>77세</t>
  </si>
  <si>
    <t>78세</t>
  </si>
  <si>
    <t>79세</t>
  </si>
  <si>
    <t>80세</t>
  </si>
  <si>
    <t>81세</t>
  </si>
  <si>
    <t>82세</t>
  </si>
  <si>
    <t>83세</t>
  </si>
  <si>
    <t>84세</t>
  </si>
  <si>
    <t>85세</t>
  </si>
  <si>
    <t>86세</t>
  </si>
  <si>
    <t>87세</t>
  </si>
  <si>
    <t>88세</t>
  </si>
  <si>
    <t>89세</t>
  </si>
  <si>
    <t>90세</t>
  </si>
  <si>
    <t>91세</t>
  </si>
  <si>
    <t>92세</t>
  </si>
  <si>
    <t>93세</t>
  </si>
  <si>
    <t>94세</t>
  </si>
  <si>
    <t>95세</t>
  </si>
  <si>
    <t>96세</t>
  </si>
  <si>
    <t>97세</t>
  </si>
  <si>
    <t>98세</t>
  </si>
  <si>
    <t>99세</t>
  </si>
  <si>
    <t>100세</t>
  </si>
  <si>
    <t>기간</t>
    <phoneticPr fontId="4" type="noConversion"/>
  </si>
  <si>
    <t>플랜(만)</t>
    <phoneticPr fontId="4" type="noConversion"/>
  </si>
  <si>
    <t>보정(%, 만)</t>
    <phoneticPr fontId="4" type="noConversion"/>
  </si>
  <si>
    <t>플랜 시작나이</t>
    <phoneticPr fontId="4" type="noConversion"/>
  </si>
  <si>
    <t>총 투자기간</t>
    <phoneticPr fontId="4" type="noConversion"/>
  </si>
  <si>
    <t>구성</t>
    <phoneticPr fontId="4" type="noConversion"/>
  </si>
  <si>
    <t>적립10년 + 거치 14년</t>
    <phoneticPr fontId="4" type="noConversion"/>
  </si>
  <si>
    <t>기간설정</t>
    <phoneticPr fontId="4" type="noConversion"/>
  </si>
  <si>
    <t>투자계획</t>
    <phoneticPr fontId="4" type="noConversion"/>
  </si>
  <si>
    <t>연거치금액</t>
    <phoneticPr fontId="4" type="noConversion"/>
  </si>
  <si>
    <t>총거치금액</t>
    <phoneticPr fontId="4" type="noConversion"/>
  </si>
  <si>
    <t>총투자금액</t>
    <phoneticPr fontId="4" type="noConversion"/>
  </si>
  <si>
    <t>목표</t>
    <phoneticPr fontId="4" type="noConversion"/>
  </si>
  <si>
    <t>예상 수익률</t>
    <phoneticPr fontId="4" type="noConversion"/>
  </si>
  <si>
    <t>희망 은퇴금액</t>
    <phoneticPr fontId="4" type="noConversion"/>
  </si>
  <si>
    <t>은퇴 직전 나이까지는 직전년도 원금 + 연적립액 + 거치금액 - 중도인출</t>
    <phoneticPr fontId="4" type="noConversion"/>
  </si>
  <si>
    <t>은퇴나이부터는 은퇴직전 나이까지의 원금이 유지</t>
    <phoneticPr fontId="4" type="noConversion"/>
  </si>
  <si>
    <t>은퇴연금(월)</t>
    <phoneticPr fontId="4" type="noConversion"/>
  </si>
  <si>
    <t>(물가고려)</t>
    <phoneticPr fontId="4" type="noConversion"/>
  </si>
  <si>
    <t>물가를 고려한 금액이라면 매년 물가상승률 만큼 증가</t>
    <phoneticPr fontId="4" type="noConversion"/>
  </si>
  <si>
    <t>디폴드 값은 예상 수익률</t>
    <phoneticPr fontId="4" type="noConversion"/>
  </si>
  <si>
    <t>연간 투자흐름도의 연도값이 저장되면 해당연도의 순자산 수익률을 적용</t>
    <phoneticPr fontId="4" type="noConversion"/>
  </si>
  <si>
    <t>매년 실제 수익률을 넣었을 대 해당연도 이후 순자산 금액도 함수에 맞게 바로 변경</t>
    <phoneticPr fontId="4" type="noConversion"/>
  </si>
  <si>
    <t>* 은퇴나이가 되었음을 배경색으로 구분</t>
    <phoneticPr fontId="4" type="noConversion"/>
  </si>
  <si>
    <t>계</t>
    <phoneticPr fontId="4" type="noConversion"/>
  </si>
  <si>
    <t>연간평가금액</t>
    <phoneticPr fontId="4" type="noConversion"/>
  </si>
  <si>
    <t>일시납금액</t>
    <phoneticPr fontId="4" type="noConversion"/>
  </si>
  <si>
    <t>총납입금액</t>
    <phoneticPr fontId="4" type="noConversion"/>
  </si>
  <si>
    <t>인출금액</t>
    <phoneticPr fontId="4" type="noConversion"/>
  </si>
  <si>
    <t>인출금액누적</t>
    <phoneticPr fontId="4" type="noConversion"/>
  </si>
  <si>
    <t>순이익</t>
    <phoneticPr fontId="4" type="noConversion"/>
  </si>
  <si>
    <t>순자산수익률</t>
    <phoneticPr fontId="4" type="noConversion"/>
  </si>
  <si>
    <t xml:space="preserve">* '연간 투자흐름표'에서 '적용' 버튼을 클릭하면 해당 연도의 '보정'값의 필드값이 '연간 투자흐름표'의 실제값으로 대체된다. </t>
    <phoneticPr fontId="4" type="noConversion"/>
  </si>
  <si>
    <t>* 1번 시트에서 기본 값들을 다 불러온다.</t>
    <phoneticPr fontId="4" type="noConversion"/>
  </si>
  <si>
    <t>당연히 물가를 고려하지 않는다면 첫 해금액이 마지막해 금액과 동일하게 될 것임.</t>
    <phoneticPr fontId="4" type="noConversion"/>
  </si>
  <si>
    <t>은퇴나이부터 은퇴당시 수령액 불러올 것</t>
    <phoneticPr fontId="4" type="noConversion"/>
  </si>
  <si>
    <t xml:space="preserve">연적립금액, 일시납금액, 연수익률, 인출금액 : 이 필드값들은 수정이 가능해야 함, </t>
    <phoneticPr fontId="4" type="noConversion"/>
  </si>
  <si>
    <t>단, '연간 투자흐름표'에서 불러온 값은 수정이 안됨.</t>
    <phoneticPr fontId="4" type="noConversion"/>
  </si>
  <si>
    <t>누적원금, 총 평가액 : 
1번 탭에서 저장된 플랜 값을 불러올 것.</t>
    <phoneticPr fontId="4" type="noConversion"/>
  </si>
  <si>
    <t>연금재원(PV)</t>
    <phoneticPr fontId="4" type="noConversion"/>
  </si>
  <si>
    <t>연금수익률(I/Y)(*)</t>
    <phoneticPr fontId="4" type="noConversion"/>
  </si>
  <si>
    <t>연금수령기간(N)(*)</t>
    <phoneticPr fontId="4" type="noConversion"/>
  </si>
  <si>
    <t>연금액(PMT)</t>
    <phoneticPr fontId="4" type="noConversion"/>
  </si>
  <si>
    <t>수령(*)</t>
    <phoneticPr fontId="4" type="noConversion"/>
  </si>
  <si>
    <t>원금</t>
    <phoneticPr fontId="4" type="noConversion"/>
  </si>
  <si>
    <t>받은원금</t>
    <phoneticPr fontId="4" type="noConversion"/>
  </si>
  <si>
    <t>남은원금</t>
    <phoneticPr fontId="4" type="noConversion"/>
  </si>
  <si>
    <t>이자</t>
    <phoneticPr fontId="4" type="noConversion"/>
  </si>
  <si>
    <t>받은이자</t>
    <phoneticPr fontId="4" type="noConversion"/>
  </si>
  <si>
    <t>월 연금액</t>
    <phoneticPr fontId="4" type="noConversion"/>
  </si>
  <si>
    <t>총 수령연금</t>
    <phoneticPr fontId="4" type="noConversion"/>
  </si>
  <si>
    <t>원리금 균등상환</t>
    <phoneticPr fontId="30" type="noConversion"/>
  </si>
  <si>
    <t>원금</t>
    <phoneticPr fontId="30" type="noConversion"/>
  </si>
  <si>
    <t>금리</t>
    <phoneticPr fontId="30" type="noConversion"/>
  </si>
  <si>
    <t>기간</t>
    <phoneticPr fontId="30" type="noConversion"/>
  </si>
  <si>
    <t>월상환액</t>
    <phoneticPr fontId="30" type="noConversion"/>
  </si>
  <si>
    <t>대출잔액</t>
    <phoneticPr fontId="4" type="noConversion"/>
  </si>
  <si>
    <t>회차</t>
  </si>
  <si>
    <t>상환원금</t>
    <phoneticPr fontId="30" type="noConversion"/>
  </si>
  <si>
    <t>대출이자</t>
    <phoneticPr fontId="30" type="noConversion"/>
  </si>
  <si>
    <t>대출잔액</t>
    <phoneticPr fontId="30" type="noConversion"/>
  </si>
  <si>
    <t>종신형</t>
    <phoneticPr fontId="4" type="noConversion"/>
  </si>
  <si>
    <t>확정형</t>
    <phoneticPr fontId="4" type="noConversion"/>
  </si>
  <si>
    <t>연금재원</t>
    <phoneticPr fontId="4" type="noConversion"/>
  </si>
  <si>
    <t>무한지급형</t>
    <phoneticPr fontId="4" type="noConversion"/>
  </si>
  <si>
    <t>상속재원</t>
    <phoneticPr fontId="4" type="noConversion"/>
  </si>
  <si>
    <t>연금전환 옵션 비교</t>
    <phoneticPr fontId="4" type="noConversion"/>
  </si>
  <si>
    <t>구분</t>
    <phoneticPr fontId="4" type="noConversion"/>
  </si>
  <si>
    <t>평생</t>
    <phoneticPr fontId="4" type="noConversion"/>
  </si>
  <si>
    <t>확정기간</t>
    <phoneticPr fontId="4" type="noConversion"/>
  </si>
  <si>
    <t>잔존연금</t>
    <phoneticPr fontId="4" type="noConversion"/>
  </si>
  <si>
    <t>연금재원 상당</t>
    <phoneticPr fontId="4" type="noConversion"/>
  </si>
  <si>
    <t>공시이율(약 2~3%)</t>
    <phoneticPr fontId="4" type="noConversion"/>
  </si>
  <si>
    <t>투자수익률(약 5~6%)</t>
    <phoneticPr fontId="4" type="noConversion"/>
  </si>
  <si>
    <t>무한지급형
(상속연금형)</t>
    <phoneticPr fontId="4" type="noConversion"/>
  </si>
  <si>
    <t>목표달성 플랜</t>
    <phoneticPr fontId="4" type="noConversion"/>
  </si>
  <si>
    <t>목표금액</t>
    <phoneticPr fontId="4" type="noConversion"/>
  </si>
  <si>
    <t>은퇴나이</t>
    <phoneticPr fontId="4" type="noConversion"/>
  </si>
  <si>
    <t>60세(35년)</t>
    <phoneticPr fontId="4" type="noConversion"/>
  </si>
  <si>
    <t>투자기간</t>
    <phoneticPr fontId="4" type="noConversion"/>
  </si>
  <si>
    <t>적립</t>
    <phoneticPr fontId="4" type="noConversion"/>
  </si>
  <si>
    <t>거치</t>
    <phoneticPr fontId="4" type="noConversion"/>
  </si>
  <si>
    <t>거치금액</t>
    <phoneticPr fontId="4" type="noConversion"/>
  </si>
  <si>
    <t>은퇴연금액</t>
    <phoneticPr fontId="4" type="noConversion"/>
  </si>
  <si>
    <t>100세 상속금액</t>
    <phoneticPr fontId="4" type="noConversion"/>
  </si>
  <si>
    <t>적립금액(연)</t>
    <phoneticPr fontId="4" type="noConversion"/>
  </si>
  <si>
    <t>제작 시 고려할 점</t>
    <phoneticPr fontId="4" type="noConversion"/>
  </si>
  <si>
    <t>1. 목표금액, 은퇴나이, 예상수익률, 투자기간은 1번 시트에 저장된 금액을 불러올 것</t>
    <phoneticPr fontId="4" type="noConversion"/>
  </si>
  <si>
    <t>2. 거치금액은 디폴트 값이지만 수정이 가능함(첫번째 칸을 입력하면 그 아래는 1억씩 늘어나도록 자동화)</t>
    <phoneticPr fontId="4" type="noConversion"/>
  </si>
  <si>
    <t>3. 적립금액은 함수로 계산</t>
    <phoneticPr fontId="4" type="noConversion"/>
  </si>
  <si>
    <t>4. 은퇴연금액은 1번 시트에서 가져오는 금액</t>
    <phoneticPr fontId="4" type="noConversion"/>
  </si>
  <si>
    <t>5. 은퇴연금 수익률은 디폴트 값이지만 수정이 가능함(첫번째 칸을 입력하면 그 아래는 1%씩 늘어나도록 자동화)</t>
    <phoneticPr fontId="4" type="noConversion"/>
  </si>
  <si>
    <t>6. 100세 상속금액은 함수로 계산</t>
    <phoneticPr fontId="4" type="noConversion"/>
  </si>
  <si>
    <t>총 연금액</t>
    <phoneticPr fontId="4" type="noConversion"/>
  </si>
  <si>
    <t>2. 그림은 연금재원과 연금수익률로 만들어진 연금액을 그래프로 그릴 것</t>
    <phoneticPr fontId="4" type="noConversion"/>
  </si>
  <si>
    <t xml:space="preserve">1. 연금재원, 연금수익률은 1번 시트에서 가져올 것. </t>
    <phoneticPr fontId="4" type="noConversion"/>
  </si>
  <si>
    <t>2. 연금수령기간은 입력</t>
    <phoneticPr fontId="4" type="noConversion"/>
  </si>
  <si>
    <t>3. 연금액은 연금수령기간에 따른 함수</t>
    <phoneticPr fontId="4" type="noConversion"/>
  </si>
  <si>
    <t>4. 은퇴나이는 1번 탭에서 가져올 것.</t>
    <phoneticPr fontId="4" type="noConversion"/>
  </si>
  <si>
    <t xml:space="preserve">1. 연금재원, 연금수익률, 연금액, 은퇴나이는 1번 시트에 저장된 값을 가져올 것. </t>
    <phoneticPr fontId="4" type="noConversion"/>
  </si>
  <si>
    <t>1. 연금재원, 연금수익률, 은퇴나이는 1번 탭에서 가져옴</t>
    <phoneticPr fontId="4" type="noConversion"/>
  </si>
  <si>
    <t>2. 연금수령기간은 117세를 기준으로 계산</t>
    <phoneticPr fontId="4" type="noConversion"/>
  </si>
  <si>
    <t>3. 연금액은 PV값을 구하는 함수</t>
    <phoneticPr fontId="4" type="noConversion"/>
  </si>
  <si>
    <t>4. 받은원금, 받은이자, 남은원금은 함수로 계산할 것. 각 의미는 숨겨진 30~758행을 참고할 것.</t>
    <phoneticPr fontId="4" type="noConversion"/>
  </si>
  <si>
    <t>5. 표는 가로축은 시간, 세로축은 금액을 뜻하며 동일한 연금액 안의 원금과 이자를 도식화 한 것.</t>
    <phoneticPr fontId="4" type="noConversion"/>
  </si>
  <si>
    <t>잔존연금 OR 없음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</si>
</sst>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176" formatCode="0&quot;년차&quot;"/>
    <numFmt numFmtId="177" formatCode="_(* #,##0_);_(* \(#,##0\);_(* &quot;-&quot;_);_(@_)"/>
    <numFmt numFmtId="178" formatCode="0&quot;세&quot;"/>
    <numFmt numFmtId="179" formatCode="0&quot;년&quot;"/>
    <numFmt numFmtId="180" formatCode="0.\1&quot;억원&quot;"/>
    <numFmt numFmtId="181" formatCode="#,##0&quot;만원&quot;"/>
    <numFmt numFmtId="182" formatCode="0.0%"/>
    <numFmt numFmtId="183" formatCode="#0&quot; 세&quot;"/>
    <numFmt numFmtId="184" formatCode="#,#00&quot; /년&quot;"/>
    <numFmt numFmtId="185" formatCode="#,#00&quot; /월&quot;"/>
    <numFmt numFmtId="186" formatCode="_-* #,##0_-;\-* #,##0_-;_-* \-_-;_-@_-"/>
    <numFmt numFmtId="187" formatCode="0&quot;개월&quot;"/>
    <numFmt numFmtId="188" formatCode="0&quot; 회차&quot;"/>
    <numFmt numFmtId="189" formatCode="#,##0_ ;[Red]\-#,##0\ "/>
  </numFmts>
  <fonts count="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rgb="FFFFFFFF"/>
      <name val="맑은 고딕"/>
      <family val="3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sz val="10"/>
      <color rgb="FF1A1A2E"/>
      <name val="Geist"/>
      <family val="2"/>
    </font>
    <font>
      <sz val="11"/>
      <color theme="1"/>
      <name val="맑은 고딕"/>
      <family val="3"/>
      <charset val="129"/>
      <scheme val="minor"/>
    </font>
    <font>
      <sz val="10"/>
      <color rgb="FF1A1A2E"/>
      <name val="맑은 고딕"/>
      <family val="3"/>
      <charset val="129"/>
      <scheme val="minor"/>
    </font>
    <font>
      <sz val="10"/>
      <color rgb="FF1E3A5F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2"/>
      <color theme="5"/>
      <name val="맑은 고딕"/>
      <family val="2"/>
      <charset val="129"/>
      <scheme val="minor"/>
    </font>
    <font>
      <b/>
      <sz val="12"/>
      <color theme="5"/>
      <name val="맑은 고딕"/>
      <family val="3"/>
      <charset val="129"/>
      <scheme val="minor"/>
    </font>
    <font>
      <b/>
      <sz val="14"/>
      <color theme="5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11"/>
      <name val="돋움"/>
      <family val="3"/>
      <charset val="129"/>
    </font>
    <font>
      <sz val="10"/>
      <name val="돋움"/>
      <family val="3"/>
      <charset val="129"/>
    </font>
    <font>
      <b/>
      <sz val="10"/>
      <color theme="0"/>
      <name val="돋움"/>
      <family val="3"/>
      <charset val="129"/>
    </font>
    <font>
      <sz val="8"/>
      <name val="돋움"/>
      <family val="3"/>
      <charset val="129"/>
    </font>
    <font>
      <b/>
      <sz val="12"/>
      <name val="돋움"/>
      <family val="3"/>
      <charset val="129"/>
    </font>
    <font>
      <b/>
      <sz val="10"/>
      <name val="돋움"/>
      <family val="3"/>
      <charset val="129"/>
    </font>
    <font>
      <b/>
      <sz val="10"/>
      <color indexed="12"/>
      <name val="돋움"/>
      <family val="3"/>
      <charset val="129"/>
    </font>
    <font>
      <b/>
      <sz val="1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B1D2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</fills>
  <borders count="76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7" fillId="0" borderId="0"/>
    <xf numFmtId="186" fontId="27" fillId="0" borderId="0" applyFill="0" applyBorder="0" applyAlignment="0" applyProtection="0"/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</cellStyleXfs>
  <cellXfs count="313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14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7" fontId="0" fillId="0" borderId="0" xfId="0" applyNumberFormat="1">
      <alignment vertical="center"/>
    </xf>
    <xf numFmtId="176" fontId="8" fillId="0" borderId="11" xfId="0" applyNumberFormat="1" applyFont="1" applyBorder="1" applyAlignment="1">
      <alignment horizontal="center" vertical="center"/>
    </xf>
    <xf numFmtId="177" fontId="8" fillId="0" borderId="11" xfId="0" applyNumberFormat="1" applyFont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1" fontId="0" fillId="0" borderId="4" xfId="1" applyFont="1" applyBorder="1" applyAlignment="1">
      <alignment vertical="center"/>
    </xf>
    <xf numFmtId="41" fontId="0" fillId="0" borderId="5" xfId="1" applyFont="1" applyBorder="1" applyAlignment="1">
      <alignment vertical="center"/>
    </xf>
    <xf numFmtId="41" fontId="0" fillId="2" borderId="1" xfId="1" applyFont="1" applyFill="1" applyBorder="1" applyAlignment="1">
      <alignment vertical="center"/>
    </xf>
    <xf numFmtId="41" fontId="0" fillId="2" borderId="2" xfId="1" applyFont="1" applyFill="1" applyBorder="1" applyAlignment="1">
      <alignment vertical="center"/>
    </xf>
    <xf numFmtId="0" fontId="0" fillId="2" borderId="8" xfId="0" applyFill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177" fontId="1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77" fontId="13" fillId="6" borderId="0" xfId="0" applyNumberFormat="1" applyFont="1" applyFill="1" applyAlignment="1">
      <alignment horizontal="center" vertical="center"/>
    </xf>
    <xf numFmtId="177" fontId="13" fillId="6" borderId="11" xfId="0" applyNumberFormat="1" applyFon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41" fontId="0" fillId="0" borderId="16" xfId="1" applyFont="1" applyBorder="1" applyAlignment="1">
      <alignment vertical="center"/>
    </xf>
    <xf numFmtId="0" fontId="0" fillId="2" borderId="17" xfId="0" applyFill="1" applyBorder="1" applyAlignment="1">
      <alignment horizontal="center" vertical="center"/>
    </xf>
    <xf numFmtId="41" fontId="0" fillId="3" borderId="18" xfId="1" applyFont="1" applyFill="1" applyBorder="1">
      <alignment vertical="center"/>
    </xf>
    <xf numFmtId="10" fontId="0" fillId="3" borderId="5" xfId="0" applyNumberFormat="1" applyFill="1" applyBorder="1" applyAlignment="1">
      <alignment horizontal="center" vertical="center"/>
    </xf>
    <xf numFmtId="9" fontId="0" fillId="3" borderId="6" xfId="0" applyNumberFormat="1" applyFill="1" applyBorder="1" applyAlignment="1">
      <alignment horizontal="center" vertical="center"/>
    </xf>
    <xf numFmtId="41" fontId="0" fillId="3" borderId="5" xfId="1" applyFont="1" applyFill="1" applyBorder="1" applyAlignment="1">
      <alignment vertical="center"/>
    </xf>
    <xf numFmtId="0" fontId="12" fillId="3" borderId="9" xfId="0" applyFont="1" applyFill="1" applyBorder="1" applyAlignment="1">
      <alignment horizontal="center" vertical="center"/>
    </xf>
    <xf numFmtId="177" fontId="5" fillId="0" borderId="11" xfId="0" applyNumberFormat="1" applyFont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0" fontId="0" fillId="0" borderId="19" xfId="0" applyBorder="1">
      <alignment vertical="center"/>
    </xf>
    <xf numFmtId="0" fontId="3" fillId="9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3" borderId="7" xfId="0" applyNumberFormat="1" applyFill="1" applyBorder="1" applyAlignment="1">
      <alignment horizontal="center" vertical="center"/>
    </xf>
    <xf numFmtId="179" fontId="0" fillId="3" borderId="7" xfId="0" applyNumberFormat="1" applyFill="1" applyBorder="1" applyAlignment="1">
      <alignment horizontal="center" vertical="center"/>
    </xf>
    <xf numFmtId="179" fontId="0" fillId="3" borderId="5" xfId="0" applyNumberFormat="1" applyFill="1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8" fillId="0" borderId="0" xfId="0" applyFont="1">
      <alignment vertical="center"/>
    </xf>
    <xf numFmtId="41" fontId="18" fillId="0" borderId="0" xfId="1" applyFont="1">
      <alignment vertical="center"/>
    </xf>
    <xf numFmtId="0" fontId="8" fillId="0" borderId="0" xfId="0" applyFont="1">
      <alignment vertical="center"/>
    </xf>
    <xf numFmtId="41" fontId="8" fillId="0" borderId="0" xfId="1" applyFont="1">
      <alignment vertical="center"/>
    </xf>
    <xf numFmtId="0" fontId="5" fillId="0" borderId="0" xfId="0" applyFont="1" applyAlignment="1">
      <alignment horizontal="left" vertical="center"/>
    </xf>
    <xf numFmtId="41" fontId="5" fillId="0" borderId="0" xfId="1" applyFont="1" applyAlignment="1">
      <alignment horizontal="left" vertical="center"/>
    </xf>
    <xf numFmtId="0" fontId="14" fillId="10" borderId="21" xfId="0" applyFont="1" applyFill="1" applyBorder="1" applyAlignment="1">
      <alignment horizontal="center" vertical="center" wrapText="1"/>
    </xf>
    <xf numFmtId="0" fontId="16" fillId="10" borderId="21" xfId="0" applyFont="1" applyFill="1" applyBorder="1" applyAlignment="1">
      <alignment horizontal="center" vertical="center" wrapText="1"/>
    </xf>
    <xf numFmtId="0" fontId="14" fillId="11" borderId="21" xfId="0" applyFont="1" applyFill="1" applyBorder="1" applyAlignment="1">
      <alignment horizontal="center" vertical="center" wrapText="1"/>
    </xf>
    <xf numFmtId="0" fontId="16" fillId="11" borderId="2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8" fillId="11" borderId="20" xfId="0" applyFont="1" applyFill="1" applyBorder="1" applyAlignment="1">
      <alignment horizontal="center" vertical="center"/>
    </xf>
    <xf numFmtId="0" fontId="18" fillId="11" borderId="21" xfId="0" applyFont="1" applyFill="1" applyBorder="1" applyAlignment="1">
      <alignment horizontal="center" vertical="center"/>
    </xf>
    <xf numFmtId="0" fontId="8" fillId="11" borderId="21" xfId="0" applyFont="1" applyFill="1" applyBorder="1" applyAlignment="1">
      <alignment horizontal="center" vertical="center"/>
    </xf>
    <xf numFmtId="41" fontId="8" fillId="13" borderId="21" xfId="1" applyFont="1" applyFill="1" applyBorder="1" applyAlignment="1">
      <alignment horizontal="center" vertical="center"/>
    </xf>
    <xf numFmtId="41" fontId="8" fillId="15" borderId="21" xfId="1" applyFont="1" applyFill="1" applyBorder="1" applyAlignment="1">
      <alignment horizontal="center" vertical="center"/>
    </xf>
    <xf numFmtId="0" fontId="8" fillId="15" borderId="21" xfId="0" applyFont="1" applyFill="1" applyBorder="1" applyAlignment="1">
      <alignment horizontal="center" vertical="center"/>
    </xf>
    <xf numFmtId="41" fontId="8" fillId="15" borderId="22" xfId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41" fontId="16" fillId="10" borderId="21" xfId="1" applyFont="1" applyFill="1" applyBorder="1" applyAlignment="1">
      <alignment horizontal="center" vertical="center" wrapText="1"/>
    </xf>
    <xf numFmtId="41" fontId="17" fillId="10" borderId="21" xfId="1" applyFont="1" applyFill="1" applyBorder="1" applyAlignment="1">
      <alignment horizontal="center" vertical="center" wrapText="1"/>
    </xf>
    <xf numFmtId="41" fontId="8" fillId="0" borderId="21" xfId="1" applyFont="1" applyBorder="1" applyAlignment="1">
      <alignment horizontal="center" vertical="center"/>
    </xf>
    <xf numFmtId="41" fontId="16" fillId="11" borderId="21" xfId="1" applyFont="1" applyFill="1" applyBorder="1" applyAlignment="1">
      <alignment horizontal="center" vertical="center" wrapText="1"/>
    </xf>
    <xf numFmtId="41" fontId="17" fillId="11" borderId="21" xfId="1" applyFont="1" applyFill="1" applyBorder="1" applyAlignment="1">
      <alignment horizontal="center" vertical="center" wrapText="1"/>
    </xf>
    <xf numFmtId="41" fontId="8" fillId="11" borderId="21" xfId="1" applyFont="1" applyFill="1" applyBorder="1" applyAlignment="1">
      <alignment horizontal="center" vertical="center"/>
    </xf>
    <xf numFmtId="41" fontId="6" fillId="0" borderId="0" xfId="1" applyFont="1" applyAlignment="1">
      <alignment horizontal="left" vertical="center"/>
    </xf>
    <xf numFmtId="182" fontId="8" fillId="0" borderId="21" xfId="0" applyNumberFormat="1" applyFont="1" applyBorder="1" applyAlignment="1">
      <alignment horizontal="center" vertical="center"/>
    </xf>
    <xf numFmtId="182" fontId="8" fillId="11" borderId="21" xfId="0" applyNumberFormat="1" applyFont="1" applyFill="1" applyBorder="1" applyAlignment="1">
      <alignment horizontal="center" vertical="center"/>
    </xf>
    <xf numFmtId="0" fontId="14" fillId="0" borderId="21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41" fontId="16" fillId="0" borderId="21" xfId="1" applyFont="1" applyFill="1" applyBorder="1" applyAlignment="1">
      <alignment horizontal="center" vertical="center" wrapText="1"/>
    </xf>
    <xf numFmtId="41" fontId="17" fillId="0" borderId="21" xfId="1" applyFont="1" applyFill="1" applyBorder="1" applyAlignment="1">
      <alignment horizontal="center" vertical="center" wrapText="1"/>
    </xf>
    <xf numFmtId="41" fontId="8" fillId="0" borderId="21" xfId="1" applyFont="1" applyFill="1" applyBorder="1" applyAlignment="1">
      <alignment horizontal="center" vertical="center"/>
    </xf>
    <xf numFmtId="182" fontId="19" fillId="0" borderId="22" xfId="2" applyNumberFormat="1" applyFont="1" applyBorder="1" applyAlignment="1">
      <alignment horizontal="center" vertical="center"/>
    </xf>
    <xf numFmtId="182" fontId="19" fillId="11" borderId="22" xfId="2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3" fillId="0" borderId="0" xfId="0" applyFont="1">
      <alignment vertical="center"/>
    </xf>
    <xf numFmtId="181" fontId="15" fillId="0" borderId="21" xfId="0" applyNumberFormat="1" applyFont="1" applyBorder="1" applyAlignment="1">
      <alignment horizontal="right" vertical="center"/>
    </xf>
    <xf numFmtId="41" fontId="15" fillId="0" borderId="0" xfId="1" applyFont="1" applyAlignment="1">
      <alignment horizontal="center" vertical="center"/>
    </xf>
    <xf numFmtId="0" fontId="20" fillId="0" borderId="22" xfId="1" applyNumberFormat="1" applyFont="1" applyBorder="1" applyAlignment="1">
      <alignment horizontal="right" vertical="center"/>
    </xf>
    <xf numFmtId="0" fontId="18" fillId="0" borderId="27" xfId="0" applyFont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 wrapText="1"/>
    </xf>
    <xf numFmtId="0" fontId="16" fillId="10" borderId="28" xfId="0" applyFont="1" applyFill="1" applyBorder="1" applyAlignment="1">
      <alignment horizontal="center" vertical="center" wrapText="1"/>
    </xf>
    <xf numFmtId="41" fontId="16" fillId="10" borderId="28" xfId="1" applyFont="1" applyFill="1" applyBorder="1" applyAlignment="1">
      <alignment horizontal="center" vertical="center" wrapText="1"/>
    </xf>
    <xf numFmtId="41" fontId="17" fillId="10" borderId="28" xfId="1" applyFont="1" applyFill="1" applyBorder="1" applyAlignment="1">
      <alignment horizontal="center" vertical="center" wrapText="1"/>
    </xf>
    <xf numFmtId="41" fontId="8" fillId="0" borderId="28" xfId="1" applyFont="1" applyBorder="1" applyAlignment="1">
      <alignment horizontal="center" vertical="center"/>
    </xf>
    <xf numFmtId="182" fontId="8" fillId="0" borderId="28" xfId="0" applyNumberFormat="1" applyFont="1" applyBorder="1" applyAlignment="1">
      <alignment horizontal="center" vertical="center"/>
    </xf>
    <xf numFmtId="182" fontId="19" fillId="0" borderId="29" xfId="2" applyNumberFormat="1" applyFont="1" applyBorder="1" applyAlignment="1">
      <alignment horizontal="center" vertical="center"/>
    </xf>
    <xf numFmtId="41" fontId="19" fillId="0" borderId="31" xfId="1" applyFont="1" applyBorder="1">
      <alignment vertical="center"/>
    </xf>
    <xf numFmtId="0" fontId="19" fillId="0" borderId="31" xfId="0" applyFont="1" applyBorder="1">
      <alignment vertical="center"/>
    </xf>
    <xf numFmtId="0" fontId="19" fillId="0" borderId="32" xfId="0" applyFont="1" applyBorder="1">
      <alignment vertical="center"/>
    </xf>
    <xf numFmtId="41" fontId="18" fillId="0" borderId="0" xfId="1" applyFont="1" applyAlignment="1">
      <alignment horizontal="center" vertical="center"/>
    </xf>
    <xf numFmtId="0" fontId="0" fillId="0" borderId="0" xfId="0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33" xfId="0" applyBorder="1" applyProtection="1">
      <alignment vertical="center"/>
      <protection hidden="1"/>
    </xf>
    <xf numFmtId="0" fontId="0" fillId="0" borderId="19" xfId="0" applyBorder="1" applyProtection="1">
      <alignment vertical="center"/>
      <protection hidden="1"/>
    </xf>
    <xf numFmtId="0" fontId="0" fillId="0" borderId="34" xfId="0" applyBorder="1" applyProtection="1">
      <alignment vertical="center"/>
      <protection hidden="1"/>
    </xf>
    <xf numFmtId="0" fontId="0" fillId="0" borderId="35" xfId="0" applyBorder="1" applyProtection="1">
      <alignment vertical="center"/>
      <protection hidden="1"/>
    </xf>
    <xf numFmtId="0" fontId="0" fillId="0" borderId="36" xfId="0" applyBorder="1" applyProtection="1">
      <alignment vertical="center"/>
      <protection hidden="1"/>
    </xf>
    <xf numFmtId="0" fontId="20" fillId="0" borderId="0" xfId="0" applyFont="1" applyProtection="1">
      <alignment vertical="center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41" fontId="20" fillId="0" borderId="0" xfId="1" applyFont="1" applyFill="1" applyBorder="1" applyAlignment="1" applyProtection="1">
      <alignment horizontal="center" vertical="center"/>
      <protection hidden="1"/>
    </xf>
    <xf numFmtId="9" fontId="20" fillId="0" borderId="0" xfId="2" applyFont="1" applyFill="1" applyBorder="1" applyAlignment="1" applyProtection="1">
      <alignment horizontal="center" vertical="center"/>
      <protection locked="0"/>
    </xf>
    <xf numFmtId="179" fontId="20" fillId="0" borderId="0" xfId="0" applyNumberFormat="1" applyFont="1" applyAlignment="1" applyProtection="1">
      <alignment horizontal="center" vertical="center"/>
      <protection locked="0"/>
    </xf>
    <xf numFmtId="184" fontId="20" fillId="0" borderId="0" xfId="0" applyNumberFormat="1" applyFont="1" applyAlignment="1" applyProtection="1">
      <alignment horizontal="right" vertical="center"/>
      <protection hidden="1"/>
    </xf>
    <xf numFmtId="185" fontId="20" fillId="0" borderId="0" xfId="1" applyNumberFormat="1" applyFont="1" applyFill="1" applyBorder="1" applyAlignment="1" applyProtection="1">
      <alignment horizontal="right" vertical="center"/>
      <protection hidden="1"/>
    </xf>
    <xf numFmtId="0" fontId="0" fillId="0" borderId="46" xfId="0" applyBorder="1" applyProtection="1">
      <alignment vertical="center"/>
      <protection hidden="1"/>
    </xf>
    <xf numFmtId="0" fontId="0" fillId="0" borderId="47" xfId="0" applyBorder="1" applyProtection="1">
      <alignment vertical="center"/>
      <protection hidden="1"/>
    </xf>
    <xf numFmtId="0" fontId="0" fillId="0" borderId="45" xfId="0" applyBorder="1" applyProtection="1">
      <alignment vertical="center"/>
      <protection hidden="1"/>
    </xf>
    <xf numFmtId="0" fontId="0" fillId="0" borderId="48" xfId="0" applyBorder="1" applyProtection="1">
      <alignment vertical="center"/>
      <protection hidden="1"/>
    </xf>
    <xf numFmtId="0" fontId="20" fillId="0" borderId="49" xfId="0" applyFont="1" applyBorder="1" applyProtection="1">
      <alignment vertical="center"/>
      <protection hidden="1"/>
    </xf>
    <xf numFmtId="0" fontId="20" fillId="0" borderId="48" xfId="0" applyFont="1" applyBorder="1" applyProtection="1">
      <alignment vertical="center"/>
      <protection hidden="1"/>
    </xf>
    <xf numFmtId="0" fontId="0" fillId="0" borderId="49" xfId="0" applyBorder="1" applyProtection="1">
      <alignment vertical="center"/>
      <protection hidden="1"/>
    </xf>
    <xf numFmtId="0" fontId="0" fillId="0" borderId="50" xfId="0" applyBorder="1" applyProtection="1">
      <alignment vertical="center"/>
      <protection hidden="1"/>
    </xf>
    <xf numFmtId="0" fontId="0" fillId="0" borderId="51" xfId="0" applyBorder="1" applyProtection="1">
      <alignment vertical="center"/>
      <protection hidden="1"/>
    </xf>
    <xf numFmtId="0" fontId="20" fillId="0" borderId="51" xfId="0" applyFont="1" applyBorder="1" applyProtection="1">
      <alignment vertical="center"/>
      <protection hidden="1"/>
    </xf>
    <xf numFmtId="0" fontId="20" fillId="0" borderId="50" xfId="0" applyFont="1" applyBorder="1" applyProtection="1">
      <alignment vertical="center"/>
      <protection hidden="1"/>
    </xf>
    <xf numFmtId="0" fontId="0" fillId="0" borderId="52" xfId="0" applyBorder="1" applyProtection="1">
      <alignment vertical="center"/>
      <protection hidden="1"/>
    </xf>
    <xf numFmtId="0" fontId="0" fillId="0" borderId="53" xfId="0" applyBorder="1" applyProtection="1">
      <alignment vertical="center"/>
      <protection hidden="1"/>
    </xf>
    <xf numFmtId="0" fontId="0" fillId="0" borderId="54" xfId="0" applyBorder="1" applyProtection="1">
      <alignment vertical="center"/>
      <protection hidden="1"/>
    </xf>
    <xf numFmtId="0" fontId="28" fillId="0" borderId="0" xfId="3" applyFont="1" applyAlignment="1" applyProtection="1">
      <alignment vertical="center"/>
      <protection hidden="1"/>
    </xf>
    <xf numFmtId="0" fontId="28" fillId="0" borderId="0" xfId="3" applyFont="1" applyAlignment="1" applyProtection="1">
      <alignment vertical="center" shrinkToFit="1"/>
      <protection hidden="1"/>
    </xf>
    <xf numFmtId="0" fontId="29" fillId="18" borderId="55" xfId="3" applyFont="1" applyFill="1" applyBorder="1" applyAlignment="1" applyProtection="1">
      <alignment horizontal="center" vertical="center" shrinkToFit="1"/>
      <protection hidden="1"/>
    </xf>
    <xf numFmtId="0" fontId="29" fillId="18" borderId="21" xfId="3" applyFont="1" applyFill="1" applyBorder="1" applyAlignment="1" applyProtection="1">
      <alignment horizontal="center" vertical="center" shrinkToFit="1"/>
      <protection hidden="1"/>
    </xf>
    <xf numFmtId="0" fontId="29" fillId="18" borderId="28" xfId="3" applyFont="1" applyFill="1" applyBorder="1" applyAlignment="1" applyProtection="1">
      <alignment horizontal="center" vertical="center" shrinkToFit="1"/>
      <protection hidden="1"/>
    </xf>
    <xf numFmtId="0" fontId="31" fillId="0" borderId="0" xfId="3" applyFont="1" applyAlignment="1" applyProtection="1">
      <alignment vertical="center"/>
      <protection hidden="1"/>
    </xf>
    <xf numFmtId="188" fontId="32" fillId="0" borderId="58" xfId="3" applyNumberFormat="1" applyFont="1" applyBorder="1" applyAlignment="1" applyProtection="1">
      <alignment horizontal="center" vertical="center"/>
      <protection hidden="1"/>
    </xf>
    <xf numFmtId="0" fontId="29" fillId="16" borderId="59" xfId="3" applyFont="1" applyFill="1" applyBorder="1" applyAlignment="1" applyProtection="1">
      <alignment horizontal="center" vertical="center"/>
      <protection hidden="1"/>
    </xf>
    <xf numFmtId="41" fontId="28" fillId="0" borderId="59" xfId="3" applyNumberFormat="1" applyFont="1" applyBorder="1" applyAlignment="1" applyProtection="1">
      <alignment horizontal="center" vertical="center"/>
      <protection hidden="1"/>
    </xf>
    <xf numFmtId="41" fontId="28" fillId="0" borderId="60" xfId="1" applyFont="1" applyBorder="1" applyAlignment="1" applyProtection="1">
      <alignment horizontal="center" vertical="center"/>
      <protection hidden="1"/>
    </xf>
    <xf numFmtId="0" fontId="28" fillId="0" borderId="0" xfId="3" applyFont="1" applyAlignment="1" applyProtection="1">
      <alignment horizontal="center" vertical="center"/>
      <protection hidden="1"/>
    </xf>
    <xf numFmtId="186" fontId="32" fillId="0" borderId="0" xfId="3" applyNumberFormat="1" applyFont="1" applyAlignment="1" applyProtection="1">
      <alignment vertical="center"/>
      <protection hidden="1"/>
    </xf>
    <xf numFmtId="0" fontId="32" fillId="0" borderId="0" xfId="3" applyFont="1" applyAlignment="1" applyProtection="1">
      <alignment vertical="center"/>
      <protection hidden="1"/>
    </xf>
    <xf numFmtId="41" fontId="28" fillId="0" borderId="0" xfId="3" applyNumberFormat="1" applyFont="1" applyAlignment="1" applyProtection="1">
      <alignment vertical="center"/>
      <protection hidden="1"/>
    </xf>
    <xf numFmtId="41" fontId="28" fillId="0" borderId="0" xfId="1" applyFont="1" applyBorder="1" applyAlignment="1" applyProtection="1">
      <alignment vertical="center"/>
      <protection hidden="1"/>
    </xf>
    <xf numFmtId="0" fontId="32" fillId="17" borderId="61" xfId="3" applyFont="1" applyFill="1" applyBorder="1" applyAlignment="1" applyProtection="1">
      <alignment horizontal="center" vertical="center"/>
      <protection hidden="1"/>
    </xf>
    <xf numFmtId="188" fontId="28" fillId="0" borderId="62" xfId="3" applyNumberFormat="1" applyFont="1" applyBorder="1" applyAlignment="1" applyProtection="1">
      <alignment horizontal="center" vertical="center" shrinkToFit="1"/>
      <protection hidden="1"/>
    </xf>
    <xf numFmtId="186" fontId="33" fillId="17" borderId="62" xfId="4" applyFont="1" applyFill="1" applyBorder="1" applyAlignment="1" applyProtection="1">
      <alignment vertical="center" shrinkToFit="1"/>
      <protection hidden="1"/>
    </xf>
    <xf numFmtId="186" fontId="28" fillId="0" borderId="62" xfId="4" applyFont="1" applyBorder="1" applyAlignment="1" applyProtection="1">
      <alignment vertical="center" shrinkToFit="1"/>
      <protection hidden="1"/>
    </xf>
    <xf numFmtId="186" fontId="32" fillId="0" borderId="62" xfId="4" applyFont="1" applyBorder="1" applyAlignment="1" applyProtection="1">
      <alignment vertical="center" shrinkToFit="1"/>
      <protection hidden="1"/>
    </xf>
    <xf numFmtId="188" fontId="28" fillId="0" borderId="62" xfId="3" applyNumberFormat="1" applyFont="1" applyBorder="1" applyAlignment="1" applyProtection="1">
      <alignment horizontal="center" vertical="center"/>
      <protection hidden="1"/>
    </xf>
    <xf numFmtId="41" fontId="32" fillId="17" borderId="62" xfId="1" applyFont="1" applyFill="1" applyBorder="1" applyAlignment="1" applyProtection="1">
      <alignment vertical="center"/>
      <protection hidden="1"/>
    </xf>
    <xf numFmtId="186" fontId="28" fillId="19" borderId="62" xfId="4" applyFont="1" applyFill="1" applyBorder="1" applyAlignment="1" applyProtection="1">
      <alignment vertical="center"/>
      <protection hidden="1"/>
    </xf>
    <xf numFmtId="186" fontId="28" fillId="0" borderId="62" xfId="4" applyFont="1" applyBorder="1" applyAlignment="1" applyProtection="1">
      <alignment vertical="center"/>
      <protection hidden="1"/>
    </xf>
    <xf numFmtId="0" fontId="32" fillId="0" borderId="0" xfId="3" applyFont="1" applyAlignment="1" applyProtection="1">
      <alignment vertical="center" shrinkToFit="1"/>
      <protection hidden="1"/>
    </xf>
    <xf numFmtId="41" fontId="8" fillId="0" borderId="0" xfId="6" applyFont="1" applyBorder="1" applyAlignment="1" applyProtection="1">
      <alignment horizontal="right" vertical="center"/>
    </xf>
    <xf numFmtId="0" fontId="8" fillId="0" borderId="0" xfId="5" applyFont="1">
      <alignment vertical="center"/>
    </xf>
    <xf numFmtId="41" fontId="8" fillId="0" borderId="0" xfId="6" applyFont="1" applyBorder="1" applyAlignment="1" applyProtection="1">
      <alignment vertical="center"/>
    </xf>
    <xf numFmtId="189" fontId="8" fillId="0" borderId="0" xfId="5" applyNumberFormat="1" applyFont="1">
      <alignment vertical="center"/>
    </xf>
    <xf numFmtId="189" fontId="8" fillId="19" borderId="0" xfId="5" applyNumberFormat="1" applyFont="1" applyFill="1" applyProtection="1">
      <alignment vertical="center"/>
      <protection locked="0"/>
    </xf>
    <xf numFmtId="0" fontId="24" fillId="16" borderId="0" xfId="0" applyFont="1" applyFill="1" applyProtection="1">
      <alignment vertical="center"/>
      <protection hidden="1"/>
    </xf>
    <xf numFmtId="0" fontId="25" fillId="0" borderId="48" xfId="0" applyFont="1" applyBorder="1" applyProtection="1">
      <alignment vertical="center"/>
      <protection hidden="1"/>
    </xf>
    <xf numFmtId="0" fontId="25" fillId="0" borderId="45" xfId="0" applyFont="1" applyBorder="1" applyProtection="1">
      <alignment vertical="center"/>
      <protection hidden="1"/>
    </xf>
    <xf numFmtId="0" fontId="25" fillId="0" borderId="46" xfId="0" applyFont="1" applyBorder="1" applyProtection="1">
      <alignment vertical="center"/>
      <protection hidden="1"/>
    </xf>
    <xf numFmtId="0" fontId="28" fillId="0" borderId="46" xfId="3" applyFont="1" applyBorder="1" applyAlignment="1" applyProtection="1">
      <alignment horizontal="center" vertical="center"/>
      <protection hidden="1"/>
    </xf>
    <xf numFmtId="0" fontId="20" fillId="0" borderId="46" xfId="0" applyFont="1" applyBorder="1" applyProtection="1">
      <alignment vertical="center"/>
      <protection hidden="1"/>
    </xf>
    <xf numFmtId="0" fontId="20" fillId="0" borderId="47" xfId="0" applyFont="1" applyBorder="1" applyProtection="1">
      <alignment vertical="center"/>
      <protection hidden="1"/>
    </xf>
    <xf numFmtId="0" fontId="25" fillId="0" borderId="49" xfId="0" applyFont="1" applyBorder="1" applyProtection="1">
      <alignment vertical="center"/>
      <protection hidden="1"/>
    </xf>
    <xf numFmtId="0" fontId="0" fillId="16" borderId="0" xfId="0" applyFill="1" applyProtection="1">
      <alignment vertical="center"/>
      <protection hidden="1"/>
    </xf>
    <xf numFmtId="0" fontId="0" fillId="0" borderId="63" xfId="0" applyBorder="1" applyProtection="1">
      <alignment vertical="center"/>
      <protection hidden="1"/>
    </xf>
    <xf numFmtId="0" fontId="0" fillId="0" borderId="63" xfId="0" applyBorder="1" applyAlignment="1" applyProtection="1">
      <alignment horizontal="center" vertical="center"/>
      <protection hidden="1"/>
    </xf>
    <xf numFmtId="41" fontId="0" fillId="0" borderId="0" xfId="1" applyFont="1" applyAlignment="1" applyProtection="1">
      <alignment horizontal="center" vertical="center"/>
      <protection hidden="1"/>
    </xf>
    <xf numFmtId="9" fontId="0" fillId="0" borderId="63" xfId="0" applyNumberFormat="1" applyBorder="1" applyAlignment="1" applyProtection="1">
      <alignment horizontal="center" vertical="center"/>
      <protection hidden="1"/>
    </xf>
    <xf numFmtId="41" fontId="0" fillId="0" borderId="63" xfId="1" applyFont="1" applyBorder="1" applyAlignment="1" applyProtection="1">
      <alignment horizontal="center" vertical="center"/>
      <protection hidden="1"/>
    </xf>
    <xf numFmtId="41" fontId="0" fillId="0" borderId="63" xfId="1" applyFont="1" applyBorder="1" applyProtection="1">
      <alignment vertical="center"/>
      <protection hidden="1"/>
    </xf>
    <xf numFmtId="185" fontId="0" fillId="0" borderId="63" xfId="0" applyNumberFormat="1" applyBorder="1" applyProtection="1">
      <alignment vertical="center"/>
      <protection hidden="1"/>
    </xf>
    <xf numFmtId="0" fontId="28" fillId="0" borderId="0" xfId="3" applyFont="1" applyAlignment="1" applyProtection="1">
      <alignment horizontal="left" vertical="center" shrinkToFit="1"/>
      <protection hidden="1"/>
    </xf>
    <xf numFmtId="0" fontId="0" fillId="0" borderId="0" xfId="0" applyProtection="1">
      <alignment vertical="center"/>
      <protection hidden="1"/>
    </xf>
    <xf numFmtId="0" fontId="28" fillId="0" borderId="0" xfId="3" applyFont="1" applyAlignment="1" applyProtection="1">
      <alignment vertical="center"/>
      <protection hidden="1"/>
    </xf>
    <xf numFmtId="0" fontId="28" fillId="0" borderId="0" xfId="3" applyFont="1" applyAlignment="1" applyProtection="1">
      <alignment vertical="center" shrinkToFit="1"/>
      <protection hidden="1"/>
    </xf>
    <xf numFmtId="41" fontId="0" fillId="0" borderId="63" xfId="1" applyFont="1" applyBorder="1" applyAlignment="1" applyProtection="1">
      <alignment horizontal="center" vertical="center"/>
      <protection hidden="1"/>
    </xf>
    <xf numFmtId="0" fontId="0" fillId="0" borderId="63" xfId="0" applyBorder="1" applyAlignment="1" applyProtection="1">
      <alignment horizontal="center" vertical="center"/>
      <protection hidden="1"/>
    </xf>
    <xf numFmtId="41" fontId="0" fillId="0" borderId="63" xfId="0" applyNumberFormat="1" applyBorder="1" applyAlignment="1" applyProtection="1">
      <alignment horizontal="center" vertical="center"/>
      <protection hidden="1"/>
    </xf>
    <xf numFmtId="0" fontId="0" fillId="0" borderId="69" xfId="0" applyBorder="1" applyAlignment="1" applyProtection="1">
      <alignment horizontal="center" vertical="center"/>
      <protection hidden="1"/>
    </xf>
    <xf numFmtId="0" fontId="0" fillId="0" borderId="71" xfId="0" applyBorder="1" applyAlignment="1" applyProtection="1">
      <alignment horizontal="center" vertical="center"/>
      <protection hidden="1"/>
    </xf>
    <xf numFmtId="0" fontId="0" fillId="0" borderId="64" xfId="0" applyBorder="1" applyAlignment="1" applyProtection="1">
      <alignment horizontal="center" vertical="center"/>
      <protection hidden="1"/>
    </xf>
    <xf numFmtId="0" fontId="0" fillId="0" borderId="65" xfId="0" applyBorder="1" applyAlignment="1" applyProtection="1">
      <alignment horizontal="center" vertical="center"/>
      <protection hidden="1"/>
    </xf>
    <xf numFmtId="0" fontId="0" fillId="0" borderId="66" xfId="0" applyBorder="1" applyAlignment="1" applyProtection="1">
      <alignment horizontal="center" vertical="center"/>
      <protection hidden="1"/>
    </xf>
    <xf numFmtId="0" fontId="0" fillId="0" borderId="67" xfId="0" applyBorder="1" applyAlignment="1" applyProtection="1">
      <alignment horizontal="center" vertical="center"/>
      <protection hidden="1"/>
    </xf>
    <xf numFmtId="0" fontId="0" fillId="0" borderId="11" xfId="0" applyBorder="1" applyAlignment="1" applyProtection="1">
      <alignment horizontal="center" vertical="center"/>
      <protection hidden="1"/>
    </xf>
    <xf numFmtId="0" fontId="0" fillId="0" borderId="68" xfId="0" applyBorder="1" applyAlignment="1" applyProtection="1">
      <alignment horizontal="center" vertical="center"/>
      <protection hidden="1"/>
    </xf>
    <xf numFmtId="179" fontId="0" fillId="0" borderId="64" xfId="0" applyNumberFormat="1" applyBorder="1" applyAlignment="1" applyProtection="1">
      <alignment horizontal="center" vertical="center"/>
      <protection hidden="1"/>
    </xf>
    <xf numFmtId="179" fontId="0" fillId="0" borderId="65" xfId="0" applyNumberFormat="1" applyBorder="1" applyAlignment="1" applyProtection="1">
      <alignment horizontal="center" vertical="center"/>
      <protection hidden="1"/>
    </xf>
    <xf numFmtId="179" fontId="0" fillId="0" borderId="66" xfId="0" applyNumberFormat="1" applyBorder="1" applyAlignment="1" applyProtection="1">
      <alignment horizontal="center" vertical="center"/>
      <protection hidden="1"/>
    </xf>
    <xf numFmtId="179" fontId="0" fillId="0" borderId="67" xfId="0" applyNumberFormat="1" applyBorder="1" applyAlignment="1" applyProtection="1">
      <alignment horizontal="center" vertical="center"/>
      <protection hidden="1"/>
    </xf>
    <xf numFmtId="179" fontId="0" fillId="0" borderId="11" xfId="0" applyNumberFormat="1" applyBorder="1" applyAlignment="1" applyProtection="1">
      <alignment horizontal="center" vertical="center"/>
      <protection hidden="1"/>
    </xf>
    <xf numFmtId="179" fontId="0" fillId="0" borderId="68" xfId="0" applyNumberFormat="1" applyBorder="1" applyAlignment="1" applyProtection="1">
      <alignment horizontal="center" vertical="center"/>
      <protection hidden="1"/>
    </xf>
    <xf numFmtId="185" fontId="0" fillId="0" borderId="64" xfId="0" applyNumberFormat="1" applyBorder="1" applyAlignment="1" applyProtection="1">
      <alignment horizontal="center" vertical="center"/>
      <protection hidden="1"/>
    </xf>
    <xf numFmtId="185" fontId="0" fillId="0" borderId="65" xfId="0" applyNumberFormat="1" applyBorder="1" applyAlignment="1" applyProtection="1">
      <alignment horizontal="center" vertical="center"/>
      <protection hidden="1"/>
    </xf>
    <xf numFmtId="185" fontId="0" fillId="0" borderId="66" xfId="0" applyNumberFormat="1" applyBorder="1" applyAlignment="1" applyProtection="1">
      <alignment horizontal="center" vertical="center"/>
      <protection hidden="1"/>
    </xf>
    <xf numFmtId="185" fontId="0" fillId="0" borderId="67" xfId="0" applyNumberFormat="1" applyBorder="1" applyAlignment="1" applyProtection="1">
      <alignment horizontal="center" vertical="center"/>
      <protection hidden="1"/>
    </xf>
    <xf numFmtId="185" fontId="0" fillId="0" borderId="11" xfId="0" applyNumberFormat="1" applyBorder="1" applyAlignment="1" applyProtection="1">
      <alignment horizontal="center" vertical="center"/>
      <protection hidden="1"/>
    </xf>
    <xf numFmtId="185" fontId="0" fillId="0" borderId="68" xfId="0" applyNumberFormat="1" applyBorder="1" applyAlignment="1" applyProtection="1">
      <alignment horizontal="center" vertical="center"/>
      <protection hidden="1"/>
    </xf>
    <xf numFmtId="0" fontId="0" fillId="12" borderId="69" xfId="0" applyFill="1" applyBorder="1" applyAlignment="1" applyProtection="1">
      <alignment horizontal="center" vertical="center"/>
      <protection hidden="1"/>
    </xf>
    <xf numFmtId="0" fontId="0" fillId="12" borderId="70" xfId="0" applyFill="1" applyBorder="1" applyAlignment="1" applyProtection="1">
      <alignment horizontal="center" vertical="center"/>
      <protection hidden="1"/>
    </xf>
    <xf numFmtId="0" fontId="0" fillId="12" borderId="71" xfId="0" applyFill="1" applyBorder="1" applyAlignment="1" applyProtection="1">
      <alignment horizontal="center" vertical="center"/>
      <protection hidden="1"/>
    </xf>
    <xf numFmtId="0" fontId="0" fillId="0" borderId="70" xfId="0" applyBorder="1" applyAlignment="1" applyProtection="1">
      <alignment horizontal="center" vertical="center"/>
      <protection hidden="1"/>
    </xf>
    <xf numFmtId="185" fontId="0" fillId="0" borderId="69" xfId="0" applyNumberFormat="1" applyBorder="1" applyAlignment="1" applyProtection="1">
      <alignment horizontal="center" vertical="center"/>
      <protection hidden="1"/>
    </xf>
    <xf numFmtId="185" fontId="0" fillId="0" borderId="70" xfId="0" applyNumberFormat="1" applyBorder="1" applyAlignment="1" applyProtection="1">
      <alignment horizontal="center" vertical="center"/>
      <protection hidden="1"/>
    </xf>
    <xf numFmtId="185" fontId="0" fillId="0" borderId="71" xfId="0" applyNumberFormat="1" applyBorder="1" applyAlignment="1" applyProtection="1">
      <alignment horizontal="center" vertical="center"/>
      <protection hidden="1"/>
    </xf>
    <xf numFmtId="0" fontId="0" fillId="0" borderId="69" xfId="0" applyBorder="1" applyAlignment="1" applyProtection="1">
      <alignment horizontal="center" vertical="center" wrapText="1"/>
      <protection hidden="1"/>
    </xf>
    <xf numFmtId="0" fontId="34" fillId="17" borderId="40" xfId="0" applyFont="1" applyFill="1" applyBorder="1" applyAlignment="1" applyProtection="1">
      <alignment horizontal="center" vertical="center"/>
      <protection hidden="1"/>
    </xf>
    <xf numFmtId="0" fontId="34" fillId="17" borderId="42" xfId="0" applyFont="1" applyFill="1" applyBorder="1" applyAlignment="1" applyProtection="1">
      <alignment horizontal="center" vertical="center"/>
      <protection hidden="1"/>
    </xf>
    <xf numFmtId="0" fontId="34" fillId="17" borderId="43" xfId="0" applyFont="1" applyFill="1" applyBorder="1" applyAlignment="1" applyProtection="1">
      <alignment horizontal="center" vertical="center"/>
      <protection hidden="1"/>
    </xf>
    <xf numFmtId="41" fontId="8" fillId="0" borderId="44" xfId="0" applyNumberFormat="1" applyFont="1" applyBorder="1" applyAlignment="1" applyProtection="1">
      <alignment horizontal="center" vertical="center"/>
      <protection hidden="1"/>
    </xf>
    <xf numFmtId="41" fontId="8" fillId="0" borderId="42" xfId="0" applyNumberFormat="1" applyFont="1" applyBorder="1" applyAlignment="1" applyProtection="1">
      <alignment horizontal="center" vertical="center"/>
      <protection hidden="1"/>
    </xf>
    <xf numFmtId="41" fontId="8" fillId="0" borderId="41" xfId="0" applyNumberFormat="1" applyFont="1" applyBorder="1" applyAlignment="1" applyProtection="1">
      <alignment horizontal="center" vertical="center"/>
      <protection hidden="1"/>
    </xf>
    <xf numFmtId="0" fontId="19" fillId="4" borderId="72" xfId="0" applyFont="1" applyFill="1" applyBorder="1" applyAlignment="1" applyProtection="1">
      <alignment horizontal="center" vertical="center"/>
      <protection hidden="1"/>
    </xf>
    <xf numFmtId="0" fontId="19" fillId="4" borderId="73" xfId="0" applyFont="1" applyFill="1" applyBorder="1" applyAlignment="1" applyProtection="1">
      <alignment horizontal="center" vertical="center"/>
      <protection hidden="1"/>
    </xf>
    <xf numFmtId="41" fontId="8" fillId="0" borderId="73" xfId="0" applyNumberFormat="1" applyFont="1" applyBorder="1" applyAlignment="1" applyProtection="1">
      <alignment horizontal="center" vertical="center"/>
      <protection hidden="1"/>
    </xf>
    <xf numFmtId="0" fontId="8" fillId="0" borderId="73" xfId="0" applyFont="1" applyBorder="1" applyAlignment="1" applyProtection="1">
      <alignment horizontal="center" vertical="center"/>
      <protection hidden="1"/>
    </xf>
    <xf numFmtId="0" fontId="8" fillId="0" borderId="74" xfId="0" applyFont="1" applyBorder="1" applyAlignment="1" applyProtection="1">
      <alignment horizontal="center" vertical="center"/>
      <protection hidden="1"/>
    </xf>
    <xf numFmtId="183" fontId="25" fillId="0" borderId="0" xfId="0" applyNumberFormat="1" applyFont="1" applyAlignment="1" applyProtection="1">
      <alignment horizontal="center" vertical="center"/>
      <protection hidden="1"/>
    </xf>
    <xf numFmtId="179" fontId="8" fillId="0" borderId="38" xfId="0" applyNumberFormat="1" applyFont="1" applyBorder="1" applyAlignment="1" applyProtection="1">
      <alignment horizontal="center" vertical="center"/>
      <protection locked="0"/>
    </xf>
    <xf numFmtId="179" fontId="8" fillId="0" borderId="39" xfId="0" applyNumberFormat="1" applyFont="1" applyBorder="1" applyAlignment="1" applyProtection="1">
      <alignment horizontal="center" vertical="center"/>
      <protection locked="0"/>
    </xf>
    <xf numFmtId="0" fontId="34" fillId="17" borderId="37" xfId="0" applyFont="1" applyFill="1" applyBorder="1" applyAlignment="1" applyProtection="1">
      <alignment horizontal="center" vertical="center"/>
      <protection hidden="1"/>
    </xf>
    <xf numFmtId="0" fontId="34" fillId="17" borderId="38" xfId="0" applyFont="1" applyFill="1" applyBorder="1" applyAlignment="1" applyProtection="1">
      <alignment horizontal="center" vertical="center"/>
      <protection hidden="1"/>
    </xf>
    <xf numFmtId="184" fontId="8" fillId="0" borderId="38" xfId="0" applyNumberFormat="1" applyFont="1" applyBorder="1" applyAlignment="1" applyProtection="1">
      <alignment horizontal="center" vertical="center"/>
      <protection hidden="1"/>
    </xf>
    <xf numFmtId="184" fontId="8" fillId="0" borderId="39" xfId="0" applyNumberFormat="1" applyFont="1" applyBorder="1" applyAlignment="1" applyProtection="1">
      <alignment horizontal="center" vertical="center"/>
      <protection hidden="1"/>
    </xf>
    <xf numFmtId="185" fontId="8" fillId="0" borderId="37" xfId="1" applyNumberFormat="1" applyFont="1" applyBorder="1" applyAlignment="1" applyProtection="1">
      <alignment horizontal="center" vertical="center"/>
      <protection hidden="1"/>
    </xf>
    <xf numFmtId="185" fontId="8" fillId="0" borderId="38" xfId="1" applyNumberFormat="1" applyFont="1" applyBorder="1" applyAlignment="1" applyProtection="1">
      <alignment horizontal="center" vertical="center"/>
      <protection hidden="1"/>
    </xf>
    <xf numFmtId="185" fontId="8" fillId="0" borderId="39" xfId="1" applyNumberFormat="1" applyFont="1" applyBorder="1" applyAlignment="1" applyProtection="1">
      <alignment horizontal="center" vertical="center"/>
      <protection hidden="1"/>
    </xf>
    <xf numFmtId="41" fontId="8" fillId="0" borderId="38" xfId="1" applyFont="1" applyBorder="1" applyAlignment="1" applyProtection="1">
      <alignment horizontal="center" vertical="center"/>
      <protection hidden="1"/>
    </xf>
    <xf numFmtId="41" fontId="8" fillId="0" borderId="39" xfId="1" applyFont="1" applyBorder="1" applyAlignment="1" applyProtection="1">
      <alignment horizontal="center" vertical="center"/>
      <protection hidden="1"/>
    </xf>
    <xf numFmtId="9" fontId="8" fillId="0" borderId="38" xfId="2" applyFont="1" applyBorder="1" applyAlignment="1" applyProtection="1">
      <alignment horizontal="center" vertical="center"/>
      <protection locked="0"/>
    </xf>
    <xf numFmtId="9" fontId="8" fillId="0" borderId="39" xfId="2" applyFont="1" applyBorder="1" applyAlignment="1" applyProtection="1">
      <alignment horizontal="center" vertical="center"/>
      <protection locked="0"/>
    </xf>
    <xf numFmtId="41" fontId="8" fillId="0" borderId="38" xfId="0" applyNumberFormat="1" applyFont="1" applyBorder="1" applyAlignment="1" applyProtection="1">
      <alignment horizontal="center" vertical="center"/>
      <protection hidden="1"/>
    </xf>
    <xf numFmtId="0" fontId="8" fillId="0" borderId="38" xfId="0" applyFont="1" applyBorder="1" applyAlignment="1" applyProtection="1">
      <alignment horizontal="center" vertical="center"/>
      <protection hidden="1"/>
    </xf>
    <xf numFmtId="0" fontId="8" fillId="0" borderId="39" xfId="0" applyFont="1" applyBorder="1" applyAlignment="1" applyProtection="1">
      <alignment horizontal="center" vertical="center"/>
      <protection hidden="1"/>
    </xf>
    <xf numFmtId="0" fontId="19" fillId="4" borderId="43" xfId="0" applyFont="1" applyFill="1" applyBorder="1" applyAlignment="1" applyProtection="1">
      <alignment horizontal="center" vertical="center"/>
      <protection hidden="1"/>
    </xf>
    <xf numFmtId="0" fontId="19" fillId="4" borderId="38" xfId="0" applyFont="1" applyFill="1" applyBorder="1" applyAlignment="1" applyProtection="1">
      <alignment horizontal="center" vertical="center"/>
      <protection hidden="1"/>
    </xf>
    <xf numFmtId="0" fontId="8" fillId="0" borderId="44" xfId="0" applyFont="1" applyBorder="1" applyAlignment="1" applyProtection="1">
      <alignment horizontal="center" vertical="center"/>
      <protection hidden="1"/>
    </xf>
    <xf numFmtId="0" fontId="29" fillId="18" borderId="1" xfId="3" applyFont="1" applyFill="1" applyBorder="1" applyAlignment="1" applyProtection="1">
      <alignment horizontal="center" vertical="center"/>
      <protection hidden="1"/>
    </xf>
    <xf numFmtId="0" fontId="29" fillId="18" borderId="2" xfId="3" applyFont="1" applyFill="1" applyBorder="1" applyAlignment="1" applyProtection="1">
      <alignment horizontal="center" vertical="center"/>
      <protection hidden="1"/>
    </xf>
    <xf numFmtId="0" fontId="29" fillId="18" borderId="20" xfId="3" applyFont="1" applyFill="1" applyBorder="1" applyAlignment="1" applyProtection="1">
      <alignment horizontal="center" vertical="center"/>
      <protection hidden="1"/>
    </xf>
    <xf numFmtId="0" fontId="29" fillId="18" borderId="21" xfId="3" applyFont="1" applyFill="1" applyBorder="1" applyAlignment="1" applyProtection="1">
      <alignment horizontal="center" vertical="center"/>
      <protection hidden="1"/>
    </xf>
    <xf numFmtId="0" fontId="29" fillId="18" borderId="4" xfId="3" applyFont="1" applyFill="1" applyBorder="1" applyAlignment="1" applyProtection="1">
      <alignment horizontal="center" vertical="center"/>
      <protection hidden="1"/>
    </xf>
    <xf numFmtId="0" fontId="29" fillId="18" borderId="5" xfId="3" applyFont="1" applyFill="1" applyBorder="1" applyAlignment="1" applyProtection="1">
      <alignment horizontal="center" vertical="center"/>
      <protection hidden="1"/>
    </xf>
    <xf numFmtId="186" fontId="29" fillId="18" borderId="55" xfId="4" applyFont="1" applyFill="1" applyBorder="1" applyAlignment="1" applyProtection="1">
      <alignment horizontal="center" vertical="center" shrinkToFit="1"/>
      <protection hidden="1"/>
    </xf>
    <xf numFmtId="186" fontId="29" fillId="18" borderId="56" xfId="4" applyFont="1" applyFill="1" applyBorder="1" applyAlignment="1" applyProtection="1">
      <alignment horizontal="center" vertical="center" shrinkToFit="1"/>
      <protection hidden="1"/>
    </xf>
    <xf numFmtId="10" fontId="29" fillId="18" borderId="21" xfId="3" applyNumberFormat="1" applyFont="1" applyFill="1" applyBorder="1" applyAlignment="1" applyProtection="1">
      <alignment horizontal="center" vertical="center" shrinkToFit="1"/>
      <protection hidden="1"/>
    </xf>
    <xf numFmtId="10" fontId="29" fillId="18" borderId="24" xfId="3" applyNumberFormat="1" applyFont="1" applyFill="1" applyBorder="1" applyAlignment="1" applyProtection="1">
      <alignment horizontal="center" vertical="center" shrinkToFit="1"/>
      <protection hidden="1"/>
    </xf>
    <xf numFmtId="187" fontId="29" fillId="18" borderId="28" xfId="3" applyNumberFormat="1" applyFont="1" applyFill="1" applyBorder="1" applyAlignment="1" applyProtection="1">
      <alignment horizontal="center" vertical="center" shrinkToFit="1"/>
      <protection hidden="1"/>
    </xf>
    <xf numFmtId="187" fontId="29" fillId="18" borderId="57" xfId="3" applyNumberFormat="1" applyFont="1" applyFill="1" applyBorder="1" applyAlignment="1" applyProtection="1">
      <alignment horizontal="center" vertical="center" shrinkToFit="1"/>
      <protection hidden="1"/>
    </xf>
    <xf numFmtId="0" fontId="25" fillId="0" borderId="48" xfId="0" applyFont="1" applyBorder="1" applyAlignment="1" applyProtection="1">
      <alignment horizontal="center" vertical="center"/>
      <protection hidden="1"/>
    </xf>
    <xf numFmtId="0" fontId="25" fillId="0" borderId="0" xfId="0" applyFont="1" applyAlignment="1" applyProtection="1">
      <alignment horizontal="center" vertical="center"/>
      <protection hidden="1"/>
    </xf>
    <xf numFmtId="0" fontId="25" fillId="0" borderId="45" xfId="0" applyFont="1" applyBorder="1" applyAlignment="1" applyProtection="1">
      <alignment horizontal="center" vertical="center"/>
      <protection hidden="1"/>
    </xf>
    <xf numFmtId="0" fontId="25" fillId="0" borderId="46" xfId="0" applyFont="1" applyBorder="1" applyAlignment="1" applyProtection="1">
      <alignment horizontal="center" vertical="center"/>
      <protection hidden="1"/>
    </xf>
    <xf numFmtId="0" fontId="24" fillId="16" borderId="0" xfId="0" applyFont="1" applyFill="1" applyAlignment="1" applyProtection="1">
      <alignment horizontal="left" vertical="center"/>
      <protection hidden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" xfId="1" applyNumberFormat="1" applyFont="1" applyBorder="1" applyAlignment="1">
      <alignment horizontal="center" vertical="center"/>
    </xf>
    <xf numFmtId="0" fontId="15" fillId="0" borderId="2" xfId="1" applyNumberFormat="1" applyFont="1" applyBorder="1" applyAlignment="1">
      <alignment horizontal="center" vertical="center"/>
    </xf>
    <xf numFmtId="0" fontId="15" fillId="0" borderId="20" xfId="1" applyNumberFormat="1" applyFont="1" applyBorder="1" applyAlignment="1">
      <alignment horizontal="center" vertical="center"/>
    </xf>
    <xf numFmtId="0" fontId="15" fillId="0" borderId="21" xfId="1" applyNumberFormat="1" applyFont="1" applyBorder="1" applyAlignment="1">
      <alignment horizontal="center" vertical="center"/>
    </xf>
    <xf numFmtId="178" fontId="15" fillId="0" borderId="2" xfId="0" applyNumberFormat="1" applyFont="1" applyBorder="1" applyAlignment="1">
      <alignment horizontal="right" vertical="center"/>
    </xf>
    <xf numFmtId="178" fontId="15" fillId="0" borderId="3" xfId="0" applyNumberFormat="1" applyFont="1" applyBorder="1" applyAlignment="1">
      <alignment horizontal="right" vertical="center"/>
    </xf>
    <xf numFmtId="178" fontId="15" fillId="0" borderId="21" xfId="0" applyNumberFormat="1" applyFont="1" applyBorder="1" applyAlignment="1">
      <alignment horizontal="right" vertical="center"/>
    </xf>
    <xf numFmtId="178" fontId="15" fillId="0" borderId="22" xfId="0" applyNumberFormat="1" applyFont="1" applyBorder="1" applyAlignment="1">
      <alignment horizontal="right" vertical="center"/>
    </xf>
    <xf numFmtId="179" fontId="15" fillId="0" borderId="21" xfId="0" applyNumberFormat="1" applyFont="1" applyBorder="1" applyAlignment="1">
      <alignment horizontal="right" vertical="center"/>
    </xf>
    <xf numFmtId="179" fontId="15" fillId="0" borderId="22" xfId="0" applyNumberFormat="1" applyFont="1" applyBorder="1" applyAlignment="1">
      <alignment horizontal="right" vertical="center"/>
    </xf>
    <xf numFmtId="0" fontId="15" fillId="0" borderId="5" xfId="0" applyFont="1" applyBorder="1" applyAlignment="1">
      <alignment horizontal="right" vertical="center"/>
    </xf>
    <xf numFmtId="0" fontId="15" fillId="0" borderId="6" xfId="0" applyFont="1" applyBorder="1" applyAlignment="1">
      <alignment horizontal="right" vertical="center"/>
    </xf>
    <xf numFmtId="181" fontId="15" fillId="0" borderId="2" xfId="1" applyNumberFormat="1" applyFont="1" applyBorder="1" applyAlignment="1">
      <alignment horizontal="right" vertical="center"/>
    </xf>
    <xf numFmtId="181" fontId="15" fillId="0" borderId="3" xfId="1" applyNumberFormat="1" applyFont="1" applyBorder="1" applyAlignment="1">
      <alignment horizontal="right" vertical="center"/>
    </xf>
    <xf numFmtId="181" fontId="15" fillId="0" borderId="21" xfId="1" applyNumberFormat="1" applyFont="1" applyBorder="1" applyAlignment="1">
      <alignment horizontal="right" vertical="center"/>
    </xf>
    <xf numFmtId="181" fontId="15" fillId="0" borderId="22" xfId="1" applyNumberFormat="1" applyFont="1" applyBorder="1" applyAlignment="1">
      <alignment horizontal="right" vertical="center"/>
    </xf>
    <xf numFmtId="180" fontId="15" fillId="0" borderId="21" xfId="1" applyNumberFormat="1" applyFont="1" applyBorder="1" applyAlignment="1">
      <alignment horizontal="right" vertical="center"/>
    </xf>
    <xf numFmtId="180" fontId="15" fillId="0" borderId="22" xfId="1" applyNumberFormat="1" applyFont="1" applyBorder="1" applyAlignment="1">
      <alignment horizontal="right" vertical="center"/>
    </xf>
    <xf numFmtId="180" fontId="15" fillId="0" borderId="5" xfId="1" applyNumberFormat="1" applyFont="1" applyBorder="1" applyAlignment="1">
      <alignment horizontal="right" vertical="center"/>
    </xf>
    <xf numFmtId="180" fontId="15" fillId="0" borderId="6" xfId="1" applyNumberFormat="1" applyFont="1" applyBorder="1" applyAlignment="1">
      <alignment horizontal="right" vertical="center"/>
    </xf>
    <xf numFmtId="41" fontId="15" fillId="0" borderId="1" xfId="1" applyFont="1" applyBorder="1" applyAlignment="1">
      <alignment horizontal="center" vertical="center"/>
    </xf>
    <xf numFmtId="41" fontId="15" fillId="0" borderId="2" xfId="1" applyFont="1" applyBorder="1" applyAlignment="1">
      <alignment horizontal="center" vertical="center"/>
    </xf>
    <xf numFmtId="0" fontId="15" fillId="0" borderId="4" xfId="1" applyNumberFormat="1" applyFont="1" applyBorder="1" applyAlignment="1">
      <alignment horizontal="center" vertical="center"/>
    </xf>
    <xf numFmtId="0" fontId="15" fillId="0" borderId="5" xfId="1" applyNumberFormat="1" applyFont="1" applyBorder="1" applyAlignment="1">
      <alignment horizontal="center" vertical="center"/>
    </xf>
    <xf numFmtId="9" fontId="15" fillId="0" borderId="8" xfId="1" applyNumberFormat="1" applyFont="1" applyBorder="1" applyAlignment="1">
      <alignment horizontal="right" vertical="center"/>
    </xf>
    <xf numFmtId="9" fontId="15" fillId="0" borderId="23" xfId="1" applyNumberFormat="1" applyFont="1" applyBorder="1" applyAlignment="1">
      <alignment horizontal="right" vertical="center"/>
    </xf>
    <xf numFmtId="180" fontId="15" fillId="0" borderId="24" xfId="1" applyNumberFormat="1" applyFont="1" applyBorder="1" applyAlignment="1">
      <alignment horizontal="right" vertical="center"/>
    </xf>
    <xf numFmtId="180" fontId="15" fillId="0" borderId="25" xfId="1" applyNumberFormat="1" applyFont="1" applyBorder="1" applyAlignment="1">
      <alignment horizontal="right" vertical="center"/>
    </xf>
    <xf numFmtId="10" fontId="15" fillId="0" borderId="7" xfId="0" applyNumberFormat="1" applyFont="1" applyBorder="1" applyAlignment="1">
      <alignment horizontal="right" vertical="center"/>
    </xf>
    <xf numFmtId="10" fontId="15" fillId="0" borderId="26" xfId="0" applyNumberFormat="1" applyFont="1" applyBorder="1" applyAlignment="1">
      <alignment horizontal="right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3" xfId="0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8" fillId="0" borderId="0" xfId="1" applyNumberFormat="1" applyFont="1" applyAlignment="1">
      <alignment horizontal="left" vertical="center" wrapText="1"/>
    </xf>
    <xf numFmtId="41" fontId="15" fillId="0" borderId="20" xfId="1" applyFont="1" applyBorder="1" applyAlignment="1">
      <alignment horizontal="center" vertical="center"/>
    </xf>
    <xf numFmtId="41" fontId="15" fillId="0" borderId="21" xfId="1" applyFont="1" applyBorder="1" applyAlignment="1">
      <alignment horizontal="center" vertical="center"/>
    </xf>
    <xf numFmtId="41" fontId="15" fillId="0" borderId="4" xfId="1" applyFont="1" applyBorder="1" applyAlignment="1">
      <alignment horizontal="center" vertical="center"/>
    </xf>
    <xf numFmtId="41" fontId="15" fillId="0" borderId="5" xfId="1" applyFont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18" fillId="12" borderId="2" xfId="0" applyFont="1" applyFill="1" applyBorder="1" applyAlignment="1">
      <alignment horizontal="center" vertical="center"/>
    </xf>
    <xf numFmtId="41" fontId="18" fillId="3" borderId="2" xfId="1" applyFont="1" applyFill="1" applyBorder="1" applyAlignment="1">
      <alignment horizontal="center" vertical="center"/>
    </xf>
    <xf numFmtId="0" fontId="0" fillId="0" borderId="75" xfId="0" applyBorder="1" applyProtection="1">
      <alignment vertical="center"/>
      <protection hidden="1"/>
    </xf>
  </cellXfs>
  <cellStyles count="7">
    <cellStyle name="백분율" xfId="2" builtinId="5"/>
    <cellStyle name="쉼표 [0]" xfId="1" builtinId="6"/>
    <cellStyle name="쉼표 [0] 2" xfId="6" xr:uid="{DEA50696-28B8-457B-AC2D-B3C35C2FB9A4}"/>
    <cellStyle name="쉼표 [0] 4" xfId="4" xr:uid="{672D9833-41B5-4B93-ABDB-4986DE0D49EF}"/>
    <cellStyle name="표준" xfId="0" builtinId="0"/>
    <cellStyle name="표준 2" xfId="5" xr:uid="{5ECBAC2C-74F6-4F70-B895-01751B54E82D}"/>
    <cellStyle name="표준 4 2" xfId="3" xr:uid="{639B5391-3446-42E6-BDED-29A2200DB7D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Sheet1!$G$25</c:f>
              <c:strCache>
                <c:ptCount val="1"/>
                <c:pt idx="0">
                  <c:v>누적 원금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Sheet1!$K$26:$K$45</c:f>
              <c:strCache>
                <c:ptCount val="20"/>
                <c:pt idx="0">
                  <c:v>1년차 (45세)</c:v>
                </c:pt>
                <c:pt idx="1">
                  <c:v>2년차 (46세)</c:v>
                </c:pt>
                <c:pt idx="2">
                  <c:v>3년차 (47세)</c:v>
                </c:pt>
                <c:pt idx="3">
                  <c:v>4년차 (48세)</c:v>
                </c:pt>
                <c:pt idx="4">
                  <c:v>5년차 (49세)</c:v>
                </c:pt>
                <c:pt idx="5">
                  <c:v>6년차 (50세)</c:v>
                </c:pt>
                <c:pt idx="6">
                  <c:v>7년차 (51세)</c:v>
                </c:pt>
                <c:pt idx="7">
                  <c:v>8년차 (52세)</c:v>
                </c:pt>
                <c:pt idx="8">
                  <c:v>9년차 (53세)</c:v>
                </c:pt>
                <c:pt idx="9">
                  <c:v>10년차 (54세)</c:v>
                </c:pt>
                <c:pt idx="10">
                  <c:v>11년차 (55세)</c:v>
                </c:pt>
                <c:pt idx="11">
                  <c:v>12년차 (56세)</c:v>
                </c:pt>
                <c:pt idx="12">
                  <c:v>13년차 (57세)</c:v>
                </c:pt>
                <c:pt idx="13">
                  <c:v>14년차 (58세)</c:v>
                </c:pt>
                <c:pt idx="14">
                  <c:v>15년차 (59세)</c:v>
                </c:pt>
                <c:pt idx="15">
                  <c:v>16년차 (60세)</c:v>
                </c:pt>
                <c:pt idx="16">
                  <c:v>17년차 (61세)</c:v>
                </c:pt>
                <c:pt idx="17">
                  <c:v>18년차 (62세)</c:v>
                </c:pt>
                <c:pt idx="18">
                  <c:v>19년차 (63세)</c:v>
                </c:pt>
                <c:pt idx="19">
                  <c:v>20년차 (64세)</c:v>
                </c:pt>
              </c:strCache>
            </c:strRef>
          </c:cat>
          <c:val>
            <c:numRef>
              <c:f>Sheet1!$G$26:$G$45</c:f>
              <c:numCache>
                <c:formatCode>_(* #,##0_);_(* \(#,##0\);_(* "-"_);_(@_)</c:formatCode>
                <c:ptCount val="20"/>
                <c:pt idx="0">
                  <c:v>2720670000</c:v>
                </c:pt>
                <c:pt idx="1">
                  <c:v>2870670000</c:v>
                </c:pt>
                <c:pt idx="2">
                  <c:v>3020670000</c:v>
                </c:pt>
                <c:pt idx="3">
                  <c:v>3170670000</c:v>
                </c:pt>
                <c:pt idx="4">
                  <c:v>3320670000</c:v>
                </c:pt>
                <c:pt idx="5">
                  <c:v>3320670000</c:v>
                </c:pt>
                <c:pt idx="6">
                  <c:v>3320670000</c:v>
                </c:pt>
                <c:pt idx="7">
                  <c:v>3320670000</c:v>
                </c:pt>
                <c:pt idx="8">
                  <c:v>3320670000</c:v>
                </c:pt>
                <c:pt idx="9">
                  <c:v>3320670000</c:v>
                </c:pt>
                <c:pt idx="10">
                  <c:v>3320670000</c:v>
                </c:pt>
                <c:pt idx="11">
                  <c:v>3320670000</c:v>
                </c:pt>
                <c:pt idx="12">
                  <c:v>3320670000</c:v>
                </c:pt>
                <c:pt idx="13">
                  <c:v>3320670000</c:v>
                </c:pt>
                <c:pt idx="14">
                  <c:v>3320670000</c:v>
                </c:pt>
                <c:pt idx="15">
                  <c:v>3320670000</c:v>
                </c:pt>
                <c:pt idx="16">
                  <c:v>3320670000</c:v>
                </c:pt>
                <c:pt idx="17">
                  <c:v>3320670000</c:v>
                </c:pt>
                <c:pt idx="18">
                  <c:v>3320670000</c:v>
                </c:pt>
                <c:pt idx="19">
                  <c:v>3320670000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6-4281-9275-BB99A4A0F4A5}"/>
            </c:ext>
          </c:extLst>
        </c:ser>
        <c:ser>
          <c:idx val="1"/>
          <c:order val="1"/>
          <c:tx>
            <c:strRef>
              <c:f>Sheet1!$H$25</c:f>
              <c:strCache>
                <c:ptCount val="1"/>
                <c:pt idx="0">
                  <c:v>운용수익(누적)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Sheet1!$K$26:$K$45</c:f>
              <c:strCache>
                <c:ptCount val="20"/>
                <c:pt idx="0">
                  <c:v>1년차 (45세)</c:v>
                </c:pt>
                <c:pt idx="1">
                  <c:v>2년차 (46세)</c:v>
                </c:pt>
                <c:pt idx="2">
                  <c:v>3년차 (47세)</c:v>
                </c:pt>
                <c:pt idx="3">
                  <c:v>4년차 (48세)</c:v>
                </c:pt>
                <c:pt idx="4">
                  <c:v>5년차 (49세)</c:v>
                </c:pt>
                <c:pt idx="5">
                  <c:v>6년차 (50세)</c:v>
                </c:pt>
                <c:pt idx="6">
                  <c:v>7년차 (51세)</c:v>
                </c:pt>
                <c:pt idx="7">
                  <c:v>8년차 (52세)</c:v>
                </c:pt>
                <c:pt idx="8">
                  <c:v>9년차 (53세)</c:v>
                </c:pt>
                <c:pt idx="9">
                  <c:v>10년차 (54세)</c:v>
                </c:pt>
                <c:pt idx="10">
                  <c:v>11년차 (55세)</c:v>
                </c:pt>
                <c:pt idx="11">
                  <c:v>12년차 (56세)</c:v>
                </c:pt>
                <c:pt idx="12">
                  <c:v>13년차 (57세)</c:v>
                </c:pt>
                <c:pt idx="13">
                  <c:v>14년차 (58세)</c:v>
                </c:pt>
                <c:pt idx="14">
                  <c:v>15년차 (59세)</c:v>
                </c:pt>
                <c:pt idx="15">
                  <c:v>16년차 (60세)</c:v>
                </c:pt>
                <c:pt idx="16">
                  <c:v>17년차 (61세)</c:v>
                </c:pt>
                <c:pt idx="17">
                  <c:v>18년차 (62세)</c:v>
                </c:pt>
                <c:pt idx="18">
                  <c:v>19년차 (63세)</c:v>
                </c:pt>
                <c:pt idx="19">
                  <c:v>20년차 (64세)</c:v>
                </c:pt>
              </c:strCache>
            </c:strRef>
          </c:cat>
          <c:val>
            <c:numRef>
              <c:f>Sheet1!$H$26:$H$45</c:f>
              <c:numCache>
                <c:formatCode>_(* #,##0_);_(* \(#,##0\);_(* "-"_);_(@_)</c:formatCode>
                <c:ptCount val="20"/>
                <c:pt idx="0">
                  <c:v>190741258.27520514</c:v>
                </c:pt>
                <c:pt idx="1">
                  <c:v>406114729.66218042</c:v>
                </c:pt>
                <c:pt idx="2">
                  <c:v>647901078.83844376</c:v>
                </c:pt>
                <c:pt idx="3">
                  <c:v>918009694.87502861</c:v>
                </c:pt>
                <c:pt idx="4">
                  <c:v>1218487996.7332993</c:v>
                </c:pt>
                <c:pt idx="5">
                  <c:v>1546624095.3363791</c:v>
                </c:pt>
                <c:pt idx="6">
                  <c:v>1898481179.0393257</c:v>
                </c:pt>
                <c:pt idx="7">
                  <c:v>2275774039.7729979</c:v>
                </c:pt>
                <c:pt idx="8">
                  <c:v>2680341431.9155874</c:v>
                </c:pt>
                <c:pt idx="9">
                  <c:v>3114155033.5479612</c:v>
                </c:pt>
                <c:pt idx="10">
                  <c:v>3579329055.5188742</c:v>
                </c:pt>
                <c:pt idx="11">
                  <c:v>4078130545.1502848</c:v>
                </c:pt>
                <c:pt idx="12">
                  <c:v>4612990434.7983608</c:v>
                </c:pt>
                <c:pt idx="13">
                  <c:v>5186515389.1158543</c:v>
                </c:pt>
                <c:pt idx="14">
                  <c:v>5801500508.7540283</c:v>
                </c:pt>
                <c:pt idx="15">
                  <c:v>6460942952.4162273</c:v>
                </c:pt>
                <c:pt idx="16">
                  <c:v>7168056543.6508007</c:v>
                </c:pt>
                <c:pt idx="17">
                  <c:v>7926287433.5702648</c:v>
                </c:pt>
                <c:pt idx="18">
                  <c:v>8739330895.8297024</c:v>
                </c:pt>
                <c:pt idx="19">
                  <c:v>9611149335.7155094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86-4281-9275-BB99A4A0F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34053208"/>
        <c:axId val="1134056448"/>
      </c:barChart>
      <c:catAx>
        <c:axId val="1134053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34056448"/>
        <c:crosses val="autoZero"/>
        <c:auto val="1"/>
        <c:lblAlgn val="ctr"/>
        <c:lblOffset val="100"/>
        <c:noMultiLvlLbl val="0"/>
      </c:catAx>
      <c:valAx>
        <c:axId val="11340564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1134053208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811789593930707E-2"/>
          <c:y val="3.4799582305371439E-2"/>
          <c:w val="0.92662762543315225"/>
          <c:h val="0.85506534449842764"/>
        </c:manualLayout>
      </c:layout>
      <c:lineChart>
        <c:grouping val="standard"/>
        <c:varyColors val="0"/>
        <c:ser>
          <c:idx val="0"/>
          <c:order val="0"/>
          <c:tx>
            <c:strRef>
              <c:f>Sheet2!$F$9</c:f>
              <c:strCache>
                <c:ptCount val="1"/>
                <c:pt idx="0">
                  <c:v> 총 평가액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Sheet2!$D$10:$D$64</c:f>
              <c:strCache>
                <c:ptCount val="55"/>
                <c:pt idx="0">
                  <c:v>46세</c:v>
                </c:pt>
                <c:pt idx="1">
                  <c:v>47세</c:v>
                </c:pt>
                <c:pt idx="2">
                  <c:v>48세</c:v>
                </c:pt>
                <c:pt idx="3">
                  <c:v>49세</c:v>
                </c:pt>
                <c:pt idx="4">
                  <c:v>50세</c:v>
                </c:pt>
                <c:pt idx="5">
                  <c:v>51세</c:v>
                </c:pt>
                <c:pt idx="6">
                  <c:v>52세</c:v>
                </c:pt>
                <c:pt idx="7">
                  <c:v>53세</c:v>
                </c:pt>
                <c:pt idx="8">
                  <c:v>54세</c:v>
                </c:pt>
                <c:pt idx="9">
                  <c:v>55세</c:v>
                </c:pt>
                <c:pt idx="10">
                  <c:v>56세</c:v>
                </c:pt>
                <c:pt idx="11">
                  <c:v>57세</c:v>
                </c:pt>
                <c:pt idx="12">
                  <c:v>58세</c:v>
                </c:pt>
                <c:pt idx="13">
                  <c:v>59세</c:v>
                </c:pt>
                <c:pt idx="14">
                  <c:v>60세</c:v>
                </c:pt>
                <c:pt idx="15">
                  <c:v>61세</c:v>
                </c:pt>
                <c:pt idx="16">
                  <c:v>62세</c:v>
                </c:pt>
                <c:pt idx="17">
                  <c:v>63세</c:v>
                </c:pt>
                <c:pt idx="18">
                  <c:v>64세</c:v>
                </c:pt>
                <c:pt idx="19">
                  <c:v>65세</c:v>
                </c:pt>
                <c:pt idx="20">
                  <c:v>66세</c:v>
                </c:pt>
                <c:pt idx="21">
                  <c:v>67세</c:v>
                </c:pt>
                <c:pt idx="22">
                  <c:v>68세</c:v>
                </c:pt>
                <c:pt idx="23">
                  <c:v>69세</c:v>
                </c:pt>
                <c:pt idx="24">
                  <c:v>70세</c:v>
                </c:pt>
                <c:pt idx="25">
                  <c:v>71세</c:v>
                </c:pt>
                <c:pt idx="26">
                  <c:v>72세</c:v>
                </c:pt>
                <c:pt idx="27">
                  <c:v>73세</c:v>
                </c:pt>
                <c:pt idx="28">
                  <c:v>74세</c:v>
                </c:pt>
                <c:pt idx="29">
                  <c:v>75세</c:v>
                </c:pt>
                <c:pt idx="30">
                  <c:v>76세</c:v>
                </c:pt>
                <c:pt idx="31">
                  <c:v>77세</c:v>
                </c:pt>
                <c:pt idx="32">
                  <c:v>78세</c:v>
                </c:pt>
                <c:pt idx="33">
                  <c:v>79세</c:v>
                </c:pt>
                <c:pt idx="34">
                  <c:v>80세</c:v>
                </c:pt>
                <c:pt idx="35">
                  <c:v>81세</c:v>
                </c:pt>
                <c:pt idx="36">
                  <c:v>82세</c:v>
                </c:pt>
                <c:pt idx="37">
                  <c:v>83세</c:v>
                </c:pt>
                <c:pt idx="38">
                  <c:v>84세</c:v>
                </c:pt>
                <c:pt idx="39">
                  <c:v>85세</c:v>
                </c:pt>
                <c:pt idx="40">
                  <c:v>86세</c:v>
                </c:pt>
                <c:pt idx="41">
                  <c:v>87세</c:v>
                </c:pt>
                <c:pt idx="42">
                  <c:v>88세</c:v>
                </c:pt>
                <c:pt idx="43">
                  <c:v>89세</c:v>
                </c:pt>
                <c:pt idx="44">
                  <c:v>90세</c:v>
                </c:pt>
                <c:pt idx="45">
                  <c:v>91세</c:v>
                </c:pt>
                <c:pt idx="46">
                  <c:v>92세</c:v>
                </c:pt>
                <c:pt idx="47">
                  <c:v>93세</c:v>
                </c:pt>
                <c:pt idx="48">
                  <c:v>94세</c:v>
                </c:pt>
                <c:pt idx="49">
                  <c:v>95세</c:v>
                </c:pt>
                <c:pt idx="50">
                  <c:v>96세</c:v>
                </c:pt>
                <c:pt idx="51">
                  <c:v>97세</c:v>
                </c:pt>
                <c:pt idx="52">
                  <c:v>98세</c:v>
                </c:pt>
                <c:pt idx="53">
                  <c:v>99세</c:v>
                </c:pt>
                <c:pt idx="54">
                  <c:v>100세</c:v>
                </c:pt>
              </c:strCache>
            </c:strRef>
          </c:cat>
          <c:val>
            <c:numRef>
              <c:f>Sheet2!$F$10:$F$64</c:f>
              <c:numCache>
                <c:formatCode>_(* #,##0_);_(* \(#,##0\);_(* "-"_);_(@_)</c:formatCode>
                <c:ptCount val="55"/>
                <c:pt idx="0">
                  <c:v>65419</c:v>
                </c:pt>
                <c:pt idx="1">
                  <c:v>134344.14000000001</c:v>
                </c:pt>
                <c:pt idx="2">
                  <c:v>207404.78840000002</c:v>
                </c:pt>
                <c:pt idx="3">
                  <c:v>284849.07570400002</c:v>
                </c:pt>
                <c:pt idx="4">
                  <c:v>366940.02024624002</c:v>
                </c:pt>
                <c:pt idx="5">
                  <c:v>400956.42146101443</c:v>
                </c:pt>
                <c:pt idx="6">
                  <c:v>437013.8067486753</c:v>
                </c:pt>
                <c:pt idx="7">
                  <c:v>475234.63515359582</c:v>
                </c:pt>
                <c:pt idx="8">
                  <c:v>515748.71326281159</c:v>
                </c:pt>
                <c:pt idx="9">
                  <c:v>558693.63605858036</c:v>
                </c:pt>
                <c:pt idx="10">
                  <c:v>592215.25422209525</c:v>
                </c:pt>
                <c:pt idx="11">
                  <c:v>627748.16947542096</c:v>
                </c:pt>
                <c:pt idx="12">
                  <c:v>665413.05964394624</c:v>
                </c:pt>
                <c:pt idx="13">
                  <c:v>705337.84322258306</c:v>
                </c:pt>
                <c:pt idx="14">
                  <c:v>747658.11381593812</c:v>
                </c:pt>
                <c:pt idx="15">
                  <c:v>792517.60064489441</c:v>
                </c:pt>
                <c:pt idx="16">
                  <c:v>840068.65668358817</c:v>
                </c:pt>
                <c:pt idx="17">
                  <c:v>890472.77608460351</c:v>
                </c:pt>
                <c:pt idx="18">
                  <c:v>943901.14264967979</c:v>
                </c:pt>
                <c:pt idx="19">
                  <c:v>1000535.2112086606</c:v>
                </c:pt>
                <c:pt idx="20">
                  <c:v>1060567.3238811803</c:v>
                </c:pt>
                <c:pt idx="21">
                  <c:v>1124201.3633140512</c:v>
                </c:pt>
                <c:pt idx="22">
                  <c:v>1191653.4451128943</c:v>
                </c:pt>
                <c:pt idx="23">
                  <c:v>1309160.891819668</c:v>
                </c:pt>
                <c:pt idx="24">
                  <c:v>1434868.9913288483</c:v>
                </c:pt>
                <c:pt idx="25">
                  <c:v>1569298.5379585791</c:v>
                </c:pt>
                <c:pt idx="26">
                  <c:v>1713002.292564844</c:v>
                </c:pt>
                <c:pt idx="27">
                  <c:v>1866566.9185057033</c:v>
                </c:pt>
                <c:pt idx="28">
                  <c:v>2030615.0342126884</c:v>
                </c:pt>
                <c:pt idx="29">
                  <c:v>2205807.3893770091</c:v>
                </c:pt>
                <c:pt idx="30">
                  <c:v>2392845.1721789776</c:v>
                </c:pt>
                <c:pt idx="31">
                  <c:v>2592472.4554350479</c:v>
                </c:pt>
                <c:pt idx="32">
                  <c:v>2805478.7900096155</c:v>
                </c:pt>
                <c:pt idx="33">
                  <c:v>3032701.9543398693</c:v>
                </c:pt>
                <c:pt idx="34">
                  <c:v>3275030.8694531806</c:v>
                </c:pt>
                <c:pt idx="35">
                  <c:v>3533408.6894196132</c:v>
                </c:pt>
                <c:pt idx="36">
                  <c:v>3808836.0777790127</c:v>
                </c:pt>
                <c:pt idx="37">
                  <c:v>4102374.6811148319</c:v>
                </c:pt>
                <c:pt idx="38">
                  <c:v>4415150.8116175272</c:v>
                </c:pt>
                <c:pt idx="39">
                  <c:v>4748359.3511912795</c:v>
                </c:pt>
                <c:pt idx="40">
                  <c:v>5103267.8904113742</c:v>
                </c:pt>
                <c:pt idx="41">
                  <c:v>5481221.1164383898</c:v>
                </c:pt>
                <c:pt idx="42">
                  <c:v>5883645.4648420848</c:v>
                </c:pt>
                <c:pt idx="43">
                  <c:v>6312054.0511854356</c:v>
                </c:pt>
                <c:pt idx="44">
                  <c:v>6768051.8991707088</c:v>
                </c:pt>
                <c:pt idx="45">
                  <c:v>7253341.4831579523</c:v>
                </c:pt>
                <c:pt idx="46">
                  <c:v>7769728.6039353553</c:v>
                </c:pt>
                <c:pt idx="47">
                  <c:v>8319128.6177541008</c:v>
                </c:pt>
                <c:pt idx="48">
                  <c:v>8903573.0398415364</c:v>
                </c:pt>
                <c:pt idx="49">
                  <c:v>9525216.5448797718</c:v>
                </c:pt>
                <c:pt idx="50">
                  <c:v>10186344.388286496</c:v>
                </c:pt>
                <c:pt idx="51">
                  <c:v>10889380.273565471</c:v>
                </c:pt>
                <c:pt idx="52">
                  <c:v>11636894.69251073</c:v>
                </c:pt>
                <c:pt idx="53">
                  <c:v>12431613.766655989</c:v>
                </c:pt>
                <c:pt idx="54">
                  <c:v>13276428.620064829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67-4614-A5E7-6CB8B93D5FEE}"/>
            </c:ext>
          </c:extLst>
        </c:ser>
        <c:ser>
          <c:idx val="1"/>
          <c:order val="1"/>
          <c:tx>
            <c:strRef>
              <c:f>Sheet2!$O$9</c:f>
              <c:strCache>
                <c:ptCount val="1"/>
                <c:pt idx="0">
                  <c:v> 순자산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Sheet2!$D$10:$D$64</c:f>
              <c:strCache>
                <c:ptCount val="55"/>
                <c:pt idx="0">
                  <c:v>46세</c:v>
                </c:pt>
                <c:pt idx="1">
                  <c:v>47세</c:v>
                </c:pt>
                <c:pt idx="2">
                  <c:v>48세</c:v>
                </c:pt>
                <c:pt idx="3">
                  <c:v>49세</c:v>
                </c:pt>
                <c:pt idx="4">
                  <c:v>50세</c:v>
                </c:pt>
                <c:pt idx="5">
                  <c:v>51세</c:v>
                </c:pt>
                <c:pt idx="6">
                  <c:v>52세</c:v>
                </c:pt>
                <c:pt idx="7">
                  <c:v>53세</c:v>
                </c:pt>
                <c:pt idx="8">
                  <c:v>54세</c:v>
                </c:pt>
                <c:pt idx="9">
                  <c:v>55세</c:v>
                </c:pt>
                <c:pt idx="10">
                  <c:v>56세</c:v>
                </c:pt>
                <c:pt idx="11">
                  <c:v>57세</c:v>
                </c:pt>
                <c:pt idx="12">
                  <c:v>58세</c:v>
                </c:pt>
                <c:pt idx="13">
                  <c:v>59세</c:v>
                </c:pt>
                <c:pt idx="14">
                  <c:v>60세</c:v>
                </c:pt>
                <c:pt idx="15">
                  <c:v>61세</c:v>
                </c:pt>
                <c:pt idx="16">
                  <c:v>62세</c:v>
                </c:pt>
                <c:pt idx="17">
                  <c:v>63세</c:v>
                </c:pt>
                <c:pt idx="18">
                  <c:v>64세</c:v>
                </c:pt>
                <c:pt idx="19">
                  <c:v>65세</c:v>
                </c:pt>
                <c:pt idx="20">
                  <c:v>66세</c:v>
                </c:pt>
                <c:pt idx="21">
                  <c:v>67세</c:v>
                </c:pt>
                <c:pt idx="22">
                  <c:v>68세</c:v>
                </c:pt>
                <c:pt idx="23">
                  <c:v>69세</c:v>
                </c:pt>
                <c:pt idx="24">
                  <c:v>70세</c:v>
                </c:pt>
                <c:pt idx="25">
                  <c:v>71세</c:v>
                </c:pt>
                <c:pt idx="26">
                  <c:v>72세</c:v>
                </c:pt>
                <c:pt idx="27">
                  <c:v>73세</c:v>
                </c:pt>
                <c:pt idx="28">
                  <c:v>74세</c:v>
                </c:pt>
                <c:pt idx="29">
                  <c:v>75세</c:v>
                </c:pt>
                <c:pt idx="30">
                  <c:v>76세</c:v>
                </c:pt>
                <c:pt idx="31">
                  <c:v>77세</c:v>
                </c:pt>
                <c:pt idx="32">
                  <c:v>78세</c:v>
                </c:pt>
                <c:pt idx="33">
                  <c:v>79세</c:v>
                </c:pt>
                <c:pt idx="34">
                  <c:v>80세</c:v>
                </c:pt>
                <c:pt idx="35">
                  <c:v>81세</c:v>
                </c:pt>
                <c:pt idx="36">
                  <c:v>82세</c:v>
                </c:pt>
                <c:pt idx="37">
                  <c:v>83세</c:v>
                </c:pt>
                <c:pt idx="38">
                  <c:v>84세</c:v>
                </c:pt>
                <c:pt idx="39">
                  <c:v>85세</c:v>
                </c:pt>
                <c:pt idx="40">
                  <c:v>86세</c:v>
                </c:pt>
                <c:pt idx="41">
                  <c:v>87세</c:v>
                </c:pt>
                <c:pt idx="42">
                  <c:v>88세</c:v>
                </c:pt>
                <c:pt idx="43">
                  <c:v>89세</c:v>
                </c:pt>
                <c:pt idx="44">
                  <c:v>90세</c:v>
                </c:pt>
                <c:pt idx="45">
                  <c:v>91세</c:v>
                </c:pt>
                <c:pt idx="46">
                  <c:v>92세</c:v>
                </c:pt>
                <c:pt idx="47">
                  <c:v>93세</c:v>
                </c:pt>
                <c:pt idx="48">
                  <c:v>94세</c:v>
                </c:pt>
                <c:pt idx="49">
                  <c:v>95세</c:v>
                </c:pt>
                <c:pt idx="50">
                  <c:v>96세</c:v>
                </c:pt>
                <c:pt idx="51">
                  <c:v>97세</c:v>
                </c:pt>
                <c:pt idx="52">
                  <c:v>98세</c:v>
                </c:pt>
                <c:pt idx="53">
                  <c:v>99세</c:v>
                </c:pt>
                <c:pt idx="54">
                  <c:v>100세</c:v>
                </c:pt>
              </c:strCache>
            </c:strRef>
          </c:cat>
          <c:val>
            <c:numRef>
              <c:f>Sheet2!$O$10:$O$64</c:f>
              <c:numCache>
                <c:formatCode>_(* #,##0_);_(* \(#,##0\);_(* "-"_);_(@_)</c:formatCode>
                <c:ptCount val="55"/>
                <c:pt idx="0">
                  <c:v>63749.999999999964</c:v>
                </c:pt>
                <c:pt idx="1">
                  <c:v>132574.99999999997</c:v>
                </c:pt>
                <c:pt idx="2">
                  <c:v>205529.49999999997</c:v>
                </c:pt>
                <c:pt idx="3">
                  <c:v>282861.26999999996</c:v>
                </c:pt>
                <c:pt idx="4">
                  <c:v>364832.94619999995</c:v>
                </c:pt>
                <c:pt idx="5">
                  <c:v>398722.92297199997</c:v>
                </c:pt>
                <c:pt idx="6">
                  <c:v>434646.29835031996</c:v>
                </c:pt>
                <c:pt idx="7">
                  <c:v>472725.07625133917</c:v>
                </c:pt>
                <c:pt idx="8">
                  <c:v>513088.58082641952</c:v>
                </c:pt>
                <c:pt idx="9">
                  <c:v>555873.8956760047</c:v>
                </c:pt>
                <c:pt idx="10">
                  <c:v>589226.32941656501</c:v>
                </c:pt>
                <c:pt idx="11">
                  <c:v>624579.90918155899</c:v>
                </c:pt>
                <c:pt idx="12">
                  <c:v>662054.70373245259</c:v>
                </c:pt>
                <c:pt idx="13">
                  <c:v>701777.98595639982</c:v>
                </c:pt>
                <c:pt idx="14">
                  <c:v>743884.66511378379</c:v>
                </c:pt>
                <c:pt idx="15">
                  <c:v>788517.74502061086</c:v>
                </c:pt>
                <c:pt idx="16">
                  <c:v>835828.80972184753</c:v>
                </c:pt>
                <c:pt idx="17">
                  <c:v>885978.53830515838</c:v>
                </c:pt>
                <c:pt idx="18">
                  <c:v>939137.25060346792</c:v>
                </c:pt>
                <c:pt idx="19">
                  <c:v>995485.4856396761</c:v>
                </c:pt>
                <c:pt idx="20">
                  <c:v>1055214.6147780567</c:v>
                </c:pt>
                <c:pt idx="21">
                  <c:v>1118527.4916647403</c:v>
                </c:pt>
                <c:pt idx="22">
                  <c:v>1185639.1411646248</c:v>
                </c:pt>
                <c:pt idx="23">
                  <c:v>1302785.7296345024</c:v>
                </c:pt>
                <c:pt idx="24">
                  <c:v>1428111.3194125728</c:v>
                </c:pt>
                <c:pt idx="25">
                  <c:v>1562135.4057273271</c:v>
                </c:pt>
                <c:pt idx="26">
                  <c:v>1705409.3723997169</c:v>
                </c:pt>
                <c:pt idx="27">
                  <c:v>1858518.4231306687</c:v>
                </c:pt>
                <c:pt idx="28">
                  <c:v>2022083.6291151517</c:v>
                </c:pt>
                <c:pt idx="29">
                  <c:v>2196764.0999736199</c:v>
                </c:pt>
                <c:pt idx="30">
                  <c:v>2383259.2854113849</c:v>
                </c:pt>
                <c:pt idx="31">
                  <c:v>2582311.4154613996</c:v>
                </c:pt>
                <c:pt idx="32">
                  <c:v>2794708.0876375483</c:v>
                </c:pt>
                <c:pt idx="33">
                  <c:v>3021285.0098254783</c:v>
                </c:pt>
                <c:pt idx="34">
                  <c:v>3262928.908267926</c:v>
                </c:pt>
                <c:pt idx="35">
                  <c:v>3520580.6105632433</c:v>
                </c:pt>
                <c:pt idx="36">
                  <c:v>3795238.3141912608</c:v>
                </c:pt>
                <c:pt idx="37">
                  <c:v>4087961.0517118149</c:v>
                </c:pt>
                <c:pt idx="38">
                  <c:v>4399872.364450329</c:v>
                </c:pt>
                <c:pt idx="39">
                  <c:v>4732164.1971940491</c:v>
                </c:pt>
                <c:pt idx="40">
                  <c:v>5086101.0271743098</c:v>
                </c:pt>
                <c:pt idx="41">
                  <c:v>5463024.241407102</c:v>
                </c:pt>
                <c:pt idx="42">
                  <c:v>5864356.7773089195</c:v>
                </c:pt>
                <c:pt idx="43">
                  <c:v>6291608.0424002809</c:v>
                </c:pt>
                <c:pt idx="44">
                  <c:v>6746379.1298584454</c:v>
                </c:pt>
                <c:pt idx="45">
                  <c:v>7230368.3476869529</c:v>
                </c:pt>
                <c:pt idx="46">
                  <c:v>7745377.0803360967</c:v>
                </c:pt>
                <c:pt idx="47">
                  <c:v>8293316.0027388865</c:v>
                </c:pt>
                <c:pt idx="48">
                  <c:v>8876211.6679254081</c:v>
                </c:pt>
                <c:pt idx="49">
                  <c:v>9496213.4906486757</c:v>
                </c:pt>
                <c:pt idx="50">
                  <c:v>10155601.150801534</c:v>
                </c:pt>
                <c:pt idx="51">
                  <c:v>10856792.441831412</c:v>
                </c:pt>
                <c:pt idx="52">
                  <c:v>11602351.590872627</c:v>
                </c:pt>
                <c:pt idx="53">
                  <c:v>12394998.078919599</c:v>
                </c:pt>
                <c:pt idx="54">
                  <c:v>13237615.991064256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67-4614-A5E7-6CB8B93D5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909440"/>
        <c:axId val="1089909800"/>
      </c:lineChart>
      <c:catAx>
        <c:axId val="108990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89909800"/>
        <c:crosses val="autoZero"/>
        <c:auto val="1"/>
        <c:lblAlgn val="ctr"/>
        <c:lblOffset val="100"/>
        <c:noMultiLvlLbl val="0"/>
      </c:catAx>
      <c:valAx>
        <c:axId val="1089909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8990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47</xdr:row>
      <xdr:rowOff>0</xdr:rowOff>
    </xdr:from>
    <xdr:to>
      <xdr:col>9</xdr:col>
      <xdr:colOff>9524</xdr:colOff>
      <xdr:row>68</xdr:row>
      <xdr:rowOff>44450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BDC764DD-5FE3-3DF0-93DE-777C873BB2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435429</xdr:colOff>
      <xdr:row>65</xdr:row>
      <xdr:rowOff>81642</xdr:rowOff>
    </xdr:from>
    <xdr:to>
      <xdr:col>6</xdr:col>
      <xdr:colOff>612321</xdr:colOff>
      <xdr:row>73</xdr:row>
      <xdr:rowOff>136071</xdr:rowOff>
    </xdr:to>
    <xdr:sp macro="" textlink="">
      <xdr:nvSpPr>
        <xdr:cNvPr id="8" name="화살표: 아래쪽 7">
          <a:extLst>
            <a:ext uri="{FF2B5EF4-FFF2-40B4-BE49-F238E27FC236}">
              <a16:creationId xmlns:a16="http://schemas.microsoft.com/office/drawing/2014/main" id="{A037B143-E7F2-59AD-A1CB-0AEEF0BD96D1}"/>
            </a:ext>
          </a:extLst>
        </xdr:cNvPr>
        <xdr:cNvSpPr/>
      </xdr:nvSpPr>
      <xdr:spPr>
        <a:xfrm>
          <a:off x="5361215" y="12069535"/>
          <a:ext cx="176892" cy="197303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94322</xdr:colOff>
      <xdr:row>77</xdr:row>
      <xdr:rowOff>25729</xdr:rowOff>
    </xdr:from>
    <xdr:to>
      <xdr:col>15</xdr:col>
      <xdr:colOff>857250</xdr:colOff>
      <xdr:row>99</xdr:row>
      <xdr:rowOff>148502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4831F59-820F-4F7F-2AA4-6291FF851D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285750</xdr:colOff>
      <xdr:row>65</xdr:row>
      <xdr:rowOff>40821</xdr:rowOff>
    </xdr:from>
    <xdr:to>
      <xdr:col>8</xdr:col>
      <xdr:colOff>462643</xdr:colOff>
      <xdr:row>71</xdr:row>
      <xdr:rowOff>13607</xdr:rowOff>
    </xdr:to>
    <xdr:sp macro="" textlink="">
      <xdr:nvSpPr>
        <xdr:cNvPr id="3" name="화살표: 아래쪽 2">
          <a:extLst>
            <a:ext uri="{FF2B5EF4-FFF2-40B4-BE49-F238E27FC236}">
              <a16:creationId xmlns:a16="http://schemas.microsoft.com/office/drawing/2014/main" id="{DF41C9E2-5DA5-DAE6-1757-26761A96E918}"/>
            </a:ext>
          </a:extLst>
        </xdr:cNvPr>
        <xdr:cNvSpPr/>
      </xdr:nvSpPr>
      <xdr:spPr>
        <a:xfrm>
          <a:off x="7252607" y="11933464"/>
          <a:ext cx="176893" cy="10341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394607</xdr:colOff>
      <xdr:row>65</xdr:row>
      <xdr:rowOff>40821</xdr:rowOff>
    </xdr:from>
    <xdr:to>
      <xdr:col>9</xdr:col>
      <xdr:colOff>639536</xdr:colOff>
      <xdr:row>68</xdr:row>
      <xdr:rowOff>122465</xdr:rowOff>
    </xdr:to>
    <xdr:sp macro="" textlink="">
      <xdr:nvSpPr>
        <xdr:cNvPr id="4" name="화살표: 아래쪽 3">
          <a:extLst>
            <a:ext uri="{FF2B5EF4-FFF2-40B4-BE49-F238E27FC236}">
              <a16:creationId xmlns:a16="http://schemas.microsoft.com/office/drawing/2014/main" id="{D6DF6E8D-33C0-B2C9-5FBB-3B5CA10B027A}"/>
            </a:ext>
          </a:extLst>
        </xdr:cNvPr>
        <xdr:cNvSpPr/>
      </xdr:nvSpPr>
      <xdr:spPr>
        <a:xfrm>
          <a:off x="8041821" y="11933464"/>
          <a:ext cx="244929" cy="61232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231322</xdr:colOff>
      <xdr:row>65</xdr:row>
      <xdr:rowOff>13607</xdr:rowOff>
    </xdr:from>
    <xdr:to>
      <xdr:col>11</xdr:col>
      <xdr:colOff>462644</xdr:colOff>
      <xdr:row>65</xdr:row>
      <xdr:rowOff>666750</xdr:rowOff>
    </xdr:to>
    <xdr:sp macro="" textlink="">
      <xdr:nvSpPr>
        <xdr:cNvPr id="5" name="화살표: 아래쪽 4">
          <a:extLst>
            <a:ext uri="{FF2B5EF4-FFF2-40B4-BE49-F238E27FC236}">
              <a16:creationId xmlns:a16="http://schemas.microsoft.com/office/drawing/2014/main" id="{978087A3-36E9-4CDE-8E85-2FFE2DF972D3}"/>
            </a:ext>
          </a:extLst>
        </xdr:cNvPr>
        <xdr:cNvSpPr/>
      </xdr:nvSpPr>
      <xdr:spPr>
        <a:xfrm>
          <a:off x="9674679" y="11906250"/>
          <a:ext cx="231322" cy="6531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462642</xdr:colOff>
      <xdr:row>65</xdr:row>
      <xdr:rowOff>13607</xdr:rowOff>
    </xdr:from>
    <xdr:to>
      <xdr:col>4</xdr:col>
      <xdr:colOff>693964</xdr:colOff>
      <xdr:row>65</xdr:row>
      <xdr:rowOff>666750</xdr:rowOff>
    </xdr:to>
    <xdr:sp macro="" textlink="">
      <xdr:nvSpPr>
        <xdr:cNvPr id="6" name="화살표: 아래쪽 5">
          <a:extLst>
            <a:ext uri="{FF2B5EF4-FFF2-40B4-BE49-F238E27FC236}">
              <a16:creationId xmlns:a16="http://schemas.microsoft.com/office/drawing/2014/main" id="{4229C00E-5800-873D-EE32-F3A95649282B}"/>
            </a:ext>
          </a:extLst>
        </xdr:cNvPr>
        <xdr:cNvSpPr/>
      </xdr:nvSpPr>
      <xdr:spPr>
        <a:xfrm>
          <a:off x="3184071" y="11906250"/>
          <a:ext cx="231322" cy="6531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435429</xdr:colOff>
      <xdr:row>65</xdr:row>
      <xdr:rowOff>13607</xdr:rowOff>
    </xdr:from>
    <xdr:to>
      <xdr:col>5</xdr:col>
      <xdr:colOff>666751</xdr:colOff>
      <xdr:row>65</xdr:row>
      <xdr:rowOff>666750</xdr:rowOff>
    </xdr:to>
    <xdr:sp macro="" textlink="">
      <xdr:nvSpPr>
        <xdr:cNvPr id="7" name="화살표: 아래쪽 6">
          <a:extLst>
            <a:ext uri="{FF2B5EF4-FFF2-40B4-BE49-F238E27FC236}">
              <a16:creationId xmlns:a16="http://schemas.microsoft.com/office/drawing/2014/main" id="{C8FA02F8-0DE2-2324-4BCB-1C192085E28E}"/>
            </a:ext>
          </a:extLst>
        </xdr:cNvPr>
        <xdr:cNvSpPr/>
      </xdr:nvSpPr>
      <xdr:spPr>
        <a:xfrm>
          <a:off x="4259036" y="11906250"/>
          <a:ext cx="231322" cy="6531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25400</xdr:colOff>
      <xdr:row>15</xdr:row>
      <xdr:rowOff>19050</xdr:rowOff>
    </xdr:from>
    <xdr:to>
      <xdr:col>53</xdr:col>
      <xdr:colOff>9525</xdr:colOff>
      <xdr:row>20</xdr:row>
      <xdr:rowOff>9525</xdr:rowOff>
    </xdr:to>
    <xdr:cxnSp macro="">
      <xdr:nvCxnSpPr>
        <xdr:cNvPr id="13" name="직선 연결선 12">
          <a:extLst>
            <a:ext uri="{FF2B5EF4-FFF2-40B4-BE49-F238E27FC236}">
              <a16:creationId xmlns:a16="http://schemas.microsoft.com/office/drawing/2014/main" id="{40F2880B-1781-4E95-81D2-203622A37931}"/>
            </a:ext>
          </a:extLst>
        </xdr:cNvPr>
        <xdr:cNvCxnSpPr/>
      </xdr:nvCxnSpPr>
      <xdr:spPr>
        <a:xfrm>
          <a:off x="1158875" y="8591550"/>
          <a:ext cx="8013700" cy="1895475"/>
        </a:xfrm>
        <a:prstGeom prst="line">
          <a:avLst/>
        </a:prstGeom>
        <a:ln w="285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02.&#48372;&#51312;&#51109;&#54364;_9988.xlsx" TargetMode="External"/><Relationship Id="rId1" Type="http://schemas.openxmlformats.org/officeDocument/2006/relationships/externalLinkPath" Target="02.&#48372;&#51312;&#51109;&#54364;_998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-1_은퇴플랜"/>
      <sheetName val="2-2_부동산마련"/>
      <sheetName val="2-3_부채상환"/>
      <sheetName val="2-4_교육자금마련"/>
      <sheetName val="2-5_유학자금마련"/>
      <sheetName val="2-6_독립자금마련"/>
      <sheetName val="적립식투자"/>
      <sheetName val="상승장과하락장투자"/>
      <sheetName val="적립_거치식투자"/>
      <sheetName val="시간의가치"/>
      <sheetName val="Sheet1"/>
      <sheetName val="절세투자비교"/>
      <sheetName val="Sheet2"/>
      <sheetName val="목표자산만들기_1"/>
      <sheetName val="목표자산만들기_2"/>
      <sheetName val="목표자산만들기_3"/>
      <sheetName val="6가지원칙"/>
      <sheetName val="코스트에버리징"/>
      <sheetName val="1990년~2012년 3개월 리밸런싱(채권실제기준가 적용"/>
      <sheetName val="장기투자"/>
      <sheetName val="분산투자"/>
      <sheetName val="리밸런싱"/>
      <sheetName val="업그레이딩"/>
      <sheetName val="인슈런스"/>
      <sheetName val="인슈런스_2"/>
      <sheetName val="적립식위험재조정"/>
      <sheetName val="거치식위험재조정"/>
      <sheetName val="추천투자전략"/>
      <sheetName val="자산배분샘플표"/>
      <sheetName val="연금저축절세비교"/>
      <sheetName val="연금저축계좌 VS 보험"/>
      <sheetName val="연금저축계좌 VS IRP"/>
      <sheetName val="연금저축계좌이전"/>
      <sheetName val="물고기(연금저축)"/>
      <sheetName val="연금저축수익률관리"/>
      <sheetName val="각종 지수"/>
      <sheetName val="은퇴플랜계산기"/>
      <sheetName val="은퇴플랜계산기_2"/>
      <sheetName val="대출상환 플랜"/>
      <sheetName val="은퇴플랜계산기_2 (2)"/>
      <sheetName val="은퇴연금시뮬레이션_1"/>
      <sheetName val="은퇴연금시뮬레이션_2"/>
      <sheetName val="물고기"/>
      <sheetName val="롬니증여"/>
      <sheetName val="보장자산계산"/>
    </sheetNames>
    <sheetDataSet>
      <sheetData sheetId="0">
        <row r="13">
          <cell r="Q13">
            <v>50</v>
          </cell>
          <cell r="R13">
            <v>51</v>
          </cell>
          <cell r="S13">
            <v>52</v>
          </cell>
          <cell r="T13">
            <v>53</v>
          </cell>
          <cell r="U13">
            <v>54</v>
          </cell>
          <cell r="V13">
            <v>55</v>
          </cell>
          <cell r="W13">
            <v>56</v>
          </cell>
          <cell r="X13">
            <v>57</v>
          </cell>
          <cell r="Y13">
            <v>58</v>
          </cell>
          <cell r="Z13">
            <v>59</v>
          </cell>
          <cell r="AA13">
            <v>60</v>
          </cell>
          <cell r="AB13">
            <v>61</v>
          </cell>
          <cell r="AC13">
            <v>62</v>
          </cell>
          <cell r="AD13">
            <v>63</v>
          </cell>
          <cell r="AE13">
            <v>64</v>
          </cell>
          <cell r="AF13">
            <v>65</v>
          </cell>
          <cell r="AG13">
            <v>66</v>
          </cell>
          <cell r="AH13">
            <v>67</v>
          </cell>
          <cell r="AI13">
            <v>68</v>
          </cell>
          <cell r="AJ13">
            <v>69</v>
          </cell>
          <cell r="AK13">
            <v>70</v>
          </cell>
          <cell r="AL13">
            <v>71</v>
          </cell>
          <cell r="AM13">
            <v>72</v>
          </cell>
          <cell r="AN13">
            <v>73</v>
          </cell>
          <cell r="AO13">
            <v>74</v>
          </cell>
          <cell r="AP13">
            <v>75</v>
          </cell>
          <cell r="AQ13">
            <v>76</v>
          </cell>
          <cell r="AR13">
            <v>77</v>
          </cell>
          <cell r="AS13">
            <v>78</v>
          </cell>
          <cell r="AT13">
            <v>79</v>
          </cell>
          <cell r="AU13">
            <v>80</v>
          </cell>
          <cell r="AV13">
            <v>81</v>
          </cell>
          <cell r="AW13">
            <v>82</v>
          </cell>
          <cell r="AX13">
            <v>83</v>
          </cell>
          <cell r="AY13">
            <v>84</v>
          </cell>
          <cell r="AZ13">
            <v>85</v>
          </cell>
          <cell r="BA13">
            <v>86</v>
          </cell>
          <cell r="BB13">
            <v>87</v>
          </cell>
          <cell r="BC13">
            <v>88</v>
          </cell>
          <cell r="BD13">
            <v>89</v>
          </cell>
          <cell r="BE13">
            <v>90</v>
          </cell>
          <cell r="BF13">
            <v>91</v>
          </cell>
          <cell r="BG13">
            <v>92</v>
          </cell>
          <cell r="BH13">
            <v>93</v>
          </cell>
          <cell r="BI13">
            <v>94</v>
          </cell>
          <cell r="BJ13">
            <v>95</v>
          </cell>
          <cell r="BK13">
            <v>96</v>
          </cell>
          <cell r="BL13">
            <v>97</v>
          </cell>
          <cell r="BM13">
            <v>98</v>
          </cell>
          <cell r="BN13">
            <v>99</v>
          </cell>
          <cell r="BO13">
            <v>100</v>
          </cell>
          <cell r="BP13" t="str">
            <v/>
          </cell>
          <cell r="BQ13" t="e">
            <v>#VALUE!</v>
          </cell>
          <cell r="BR13" t="e">
            <v>#VALUE!</v>
          </cell>
          <cell r="BS13" t="e">
            <v>#VALUE!</v>
          </cell>
          <cell r="BT13" t="e">
            <v>#VALUE!</v>
          </cell>
          <cell r="BU13" t="e">
            <v>#VALUE!</v>
          </cell>
          <cell r="BV13" t="e">
            <v>#VALUE!</v>
          </cell>
          <cell r="BW13" t="e">
            <v>#VALUE!</v>
          </cell>
          <cell r="BX13" t="e">
            <v>#VALUE!</v>
          </cell>
          <cell r="BY13" t="e">
            <v>#VALUE!</v>
          </cell>
          <cell r="BZ13" t="e">
            <v>#VALUE!</v>
          </cell>
          <cell r="CA13" t="e">
            <v>#VALUE!</v>
          </cell>
          <cell r="CB13" t="e">
            <v>#VALUE!</v>
          </cell>
          <cell r="CC13" t="e">
            <v>#VALUE!</v>
          </cell>
          <cell r="CD13" t="e">
            <v>#VALUE!</v>
          </cell>
          <cell r="CE13" t="e">
            <v>#VALUE!</v>
          </cell>
          <cell r="CF13" t="e">
            <v>#VALUE!</v>
          </cell>
          <cell r="CG13" t="e">
            <v>#VALUE!</v>
          </cell>
          <cell r="CH13" t="e">
            <v>#VALUE!</v>
          </cell>
          <cell r="CI13" t="e">
            <v>#VALUE!</v>
          </cell>
          <cell r="CJ13" t="e">
            <v>#VALUE!</v>
          </cell>
          <cell r="CK13" t="e">
            <v>#VALUE!</v>
          </cell>
          <cell r="CL13" t="e">
            <v>#VALUE!</v>
          </cell>
          <cell r="CM13" t="e">
            <v>#VALUE!</v>
          </cell>
          <cell r="CN13" t="e">
            <v>#VALUE!</v>
          </cell>
          <cell r="CO13" t="e">
            <v>#VALUE!</v>
          </cell>
          <cell r="CP13" t="e">
            <v>#VALUE!</v>
          </cell>
          <cell r="CQ13" t="e">
            <v>#VALUE!</v>
          </cell>
          <cell r="CR13" t="e">
            <v>#VALUE!</v>
          </cell>
          <cell r="CS13" t="e">
            <v>#VALUE!</v>
          </cell>
          <cell r="CT13" t="e">
            <v>#VALUE!</v>
          </cell>
          <cell r="CU13" t="e">
            <v>#VALUE!</v>
          </cell>
          <cell r="CV13" t="e">
            <v>#VALUE!</v>
          </cell>
          <cell r="CW13" t="e">
            <v>#VALUE!</v>
          </cell>
          <cell r="CX13" t="e">
            <v>#VALUE!</v>
          </cell>
          <cell r="CY13" t="e">
            <v>#VALUE!</v>
          </cell>
          <cell r="CZ13" t="e">
            <v>#VALUE!</v>
          </cell>
          <cell r="DA13" t="e">
            <v>#VALUE!</v>
          </cell>
          <cell r="DB13" t="e">
            <v>#VALUE!</v>
          </cell>
          <cell r="DC13" t="e">
            <v>#VALUE!</v>
          </cell>
          <cell r="DD13" t="e">
            <v>#VALUE!</v>
          </cell>
          <cell r="DE13" t="e">
            <v>#VALUE!</v>
          </cell>
          <cell r="DF13" t="e">
            <v>#VALUE!</v>
          </cell>
          <cell r="DG13" t="e">
            <v>#VALUE!</v>
          </cell>
          <cell r="DH13" t="e">
            <v>#VALUE!</v>
          </cell>
          <cell r="DI13" t="e">
            <v>#VALUE!</v>
          </cell>
          <cell r="DJ13" t="e">
            <v>#VALUE!</v>
          </cell>
          <cell r="DK13" t="e">
            <v>#VALUE!</v>
          </cell>
          <cell r="DL13" t="e">
            <v>#VALUE!</v>
          </cell>
          <cell r="DM13" t="e">
            <v>#VALUE!</v>
          </cell>
          <cell r="DN13" t="e">
            <v>#VALUE!</v>
          </cell>
          <cell r="DO13" t="e">
            <v>#VALUE!</v>
          </cell>
          <cell r="DP13" t="e">
            <v>#VALUE!</v>
          </cell>
          <cell r="DQ13" t="e">
            <v>#VALUE!</v>
          </cell>
          <cell r="DR13" t="e">
            <v>#VALUE!</v>
          </cell>
          <cell r="DS13" t="e">
            <v>#VALUE!</v>
          </cell>
          <cell r="DT13" t="e">
            <v>#VALUE!</v>
          </cell>
          <cell r="DU13" t="e">
            <v>#VALUE!</v>
          </cell>
          <cell r="DV13" t="e">
            <v>#VALUE!</v>
          </cell>
          <cell r="DW13" t="e">
            <v>#VALUE!</v>
          </cell>
          <cell r="DX13" t="e">
            <v>#VALUE!</v>
          </cell>
          <cell r="DY13" t="e">
            <v>#VALUE!</v>
          </cell>
          <cell r="DZ13" t="e">
            <v>#VALUE!</v>
          </cell>
          <cell r="EA13" t="e">
            <v>#VALUE!</v>
          </cell>
          <cell r="EB13" t="e">
            <v>#VALUE!</v>
          </cell>
          <cell r="EC13" t="e">
            <v>#VALUE!</v>
          </cell>
          <cell r="ED13" t="e">
            <v>#VALUE!</v>
          </cell>
          <cell r="EE13" t="e">
            <v>#VALUE!</v>
          </cell>
          <cell r="EF13" t="e">
            <v>#VALUE!</v>
          </cell>
          <cell r="EG13" t="e">
            <v>#VALUE!</v>
          </cell>
          <cell r="EH13" t="e">
            <v>#VALUE!</v>
          </cell>
          <cell r="EI13" t="e">
            <v>#VALUE!</v>
          </cell>
          <cell r="EJ13" t="e">
            <v>#VALUE!</v>
          </cell>
          <cell r="EK13" t="e">
            <v>#VALUE!</v>
          </cell>
          <cell r="EL13" t="e">
            <v>#VALUE!</v>
          </cell>
          <cell r="EM13" t="e">
            <v>#VALUE!</v>
          </cell>
          <cell r="EN13" t="e">
            <v>#VALUE!</v>
          </cell>
          <cell r="EO13" t="e">
            <v>#VALUE!</v>
          </cell>
          <cell r="EP13" t="e">
            <v>#VALUE!</v>
          </cell>
          <cell r="EQ13" t="e">
            <v>#VALUE!</v>
          </cell>
          <cell r="ER13" t="e">
            <v>#VALUE!</v>
          </cell>
          <cell r="ES13" t="e">
            <v>#VALUE!</v>
          </cell>
          <cell r="ET13" t="e">
            <v>#VALUE!</v>
          </cell>
          <cell r="EU13" t="e">
            <v>#VALUE!</v>
          </cell>
          <cell r="EV13" t="e">
            <v>#VALUE!</v>
          </cell>
          <cell r="EW13" t="e">
            <v>#VALUE!</v>
          </cell>
          <cell r="EX13" t="e">
            <v>#VALUE!</v>
          </cell>
          <cell r="EY13" t="e">
            <v>#VALUE!</v>
          </cell>
          <cell r="EZ13" t="e">
            <v>#VALUE!</v>
          </cell>
          <cell r="FA13" t="e">
            <v>#VALUE!</v>
          </cell>
        </row>
        <row r="25">
          <cell r="Q25">
            <v>68651.067878742484</v>
          </cell>
          <cell r="R25">
            <v>79008.046938020925</v>
          </cell>
          <cell r="S25">
            <v>90003.821803202081</v>
          </cell>
          <cell r="T25">
            <v>101677.79200182225</v>
          </cell>
          <cell r="U25">
            <v>114071.78713806467</v>
          </cell>
          <cell r="V25">
            <v>127230.21677456975</v>
          </cell>
          <cell r="W25">
            <v>141200.22955862741</v>
          </cell>
          <cell r="X25">
            <v>156031.88216292483</v>
          </cell>
          <cell r="Y25">
            <v>171778.31864618964</v>
          </cell>
          <cell r="Z25">
            <v>188495.96087640556</v>
          </cell>
          <cell r="AA25">
            <v>200121.97928855818</v>
          </cell>
          <cell r="AB25">
            <v>212465.06507706878</v>
          </cell>
          <cell r="AC25">
            <v>225569.44538867049</v>
          </cell>
          <cell r="AD25">
            <v>239482.07520373198</v>
          </cell>
          <cell r="AE25">
            <v>254252.80558306724</v>
          </cell>
          <cell r="AF25">
            <v>246386.14796282002</v>
          </cell>
          <cell r="AG25">
            <v>238280.21842334204</v>
          </cell>
          <cell r="AH25">
            <v>229927.73928024739</v>
          </cell>
          <cell r="AI25">
            <v>221321.21149141539</v>
          </cell>
          <cell r="AJ25">
            <v>212452.90792418341</v>
          </cell>
          <cell r="AK25">
            <v>203314.86641775462</v>
          </cell>
          <cell r="AL25">
            <v>193898.88263459242</v>
          </cell>
          <cell r="AM25">
            <v>184196.50269438329</v>
          </cell>
          <cell r="AN25">
            <v>174199.01558395429</v>
          </cell>
          <cell r="AO25">
            <v>163897.44533633112</v>
          </cell>
          <cell r="AP25">
            <v>153282.54297191478</v>
          </cell>
          <cell r="AQ25">
            <v>142344.77819454129</v>
          </cell>
          <cell r="AR25">
            <v>131074.33083496915</v>
          </cell>
          <cell r="AS25">
            <v>119461.08203411229</v>
          </cell>
          <cell r="AT25">
            <v>107494.60515810276</v>
          </cell>
          <cell r="AU25">
            <v>95164.156437026017</v>
          </cell>
          <cell r="AV25">
            <v>82458.665318924817</v>
          </cell>
          <cell r="AW25">
            <v>69366.724530410502</v>
          </cell>
          <cell r="AX25">
            <v>55876.579834958568</v>
          </cell>
          <cell r="AY25">
            <v>41976.119479692781</v>
          </cell>
          <cell r="AZ25">
            <v>27652.863321183329</v>
          </cell>
          <cell r="BA25">
            <v>12893.951620495534</v>
          </cell>
          <cell r="BB25" t="str">
            <v/>
          </cell>
          <cell r="BC25" t="str">
            <v/>
          </cell>
          <cell r="BD25" t="str">
            <v/>
          </cell>
          <cell r="BE25" t="str">
            <v/>
          </cell>
          <cell r="BF25" t="str">
            <v/>
          </cell>
          <cell r="BG25" t="str">
            <v/>
          </cell>
          <cell r="BH25" t="str">
            <v/>
          </cell>
          <cell r="BI25" t="str">
            <v/>
          </cell>
          <cell r="BJ25" t="str">
            <v/>
          </cell>
          <cell r="BK25" t="str">
            <v/>
          </cell>
          <cell r="BL25" t="str">
            <v/>
          </cell>
          <cell r="BM25" t="str">
            <v/>
          </cell>
          <cell r="BN25" t="str">
            <v/>
          </cell>
          <cell r="BO25" t="str">
            <v/>
          </cell>
          <cell r="BP25" t="str">
            <v/>
          </cell>
          <cell r="BQ25" t="str">
            <v/>
          </cell>
          <cell r="BR25" t="str">
            <v/>
          </cell>
          <cell r="BS25" t="str">
            <v/>
          </cell>
          <cell r="BT25" t="str">
            <v/>
          </cell>
          <cell r="BU25" t="str">
            <v/>
          </cell>
          <cell r="BV25" t="str">
            <v/>
          </cell>
          <cell r="BW25" t="str">
            <v/>
          </cell>
          <cell r="BX25" t="str">
            <v/>
          </cell>
          <cell r="BY25" t="str">
            <v/>
          </cell>
          <cell r="BZ25" t="str">
            <v/>
          </cell>
          <cell r="CA25" t="str">
            <v/>
          </cell>
          <cell r="CB25" t="str">
            <v/>
          </cell>
          <cell r="CC25" t="str">
            <v/>
          </cell>
          <cell r="CD25" t="str">
            <v/>
          </cell>
          <cell r="CE25" t="str">
            <v/>
          </cell>
          <cell r="CF25" t="str">
            <v/>
          </cell>
          <cell r="CG25" t="str">
            <v/>
          </cell>
          <cell r="CH25" t="str">
            <v/>
          </cell>
          <cell r="CI25" t="str">
            <v/>
          </cell>
          <cell r="CJ25" t="str">
            <v/>
          </cell>
          <cell r="CK25" t="str">
            <v/>
          </cell>
          <cell r="CL25" t="str">
            <v/>
          </cell>
          <cell r="CM25" t="str">
            <v/>
          </cell>
          <cell r="CN25" t="str">
            <v/>
          </cell>
          <cell r="CO25" t="str">
            <v/>
          </cell>
          <cell r="CP25" t="str">
            <v/>
          </cell>
          <cell r="CQ25" t="str">
            <v/>
          </cell>
          <cell r="CR25" t="str">
            <v/>
          </cell>
          <cell r="CS25" t="str">
            <v/>
          </cell>
          <cell r="CT25" t="str">
            <v/>
          </cell>
          <cell r="CU25" t="str">
            <v/>
          </cell>
          <cell r="CV25" t="str">
            <v/>
          </cell>
          <cell r="CW25" t="str">
            <v/>
          </cell>
          <cell r="CX25" t="str">
            <v/>
          </cell>
          <cell r="CY25" t="str">
            <v/>
          </cell>
          <cell r="CZ25" t="str">
            <v/>
          </cell>
          <cell r="DA25" t="str">
            <v/>
          </cell>
          <cell r="DB25" t="str">
            <v/>
          </cell>
          <cell r="DC25" t="str">
            <v/>
          </cell>
          <cell r="DD25" t="str">
            <v/>
          </cell>
          <cell r="DE25" t="str">
            <v/>
          </cell>
          <cell r="DF25" t="str">
            <v/>
          </cell>
          <cell r="DG25" t="str">
            <v/>
          </cell>
          <cell r="DH25" t="str">
            <v/>
          </cell>
          <cell r="DI25" t="str">
            <v/>
          </cell>
          <cell r="DJ25" t="str">
            <v/>
          </cell>
          <cell r="DK25" t="str">
            <v/>
          </cell>
          <cell r="DL25" t="str">
            <v/>
          </cell>
          <cell r="DM25" t="str">
            <v/>
          </cell>
          <cell r="DN25" t="str">
            <v/>
          </cell>
          <cell r="DO25" t="str">
            <v/>
          </cell>
          <cell r="DP25" t="str">
            <v/>
          </cell>
          <cell r="DQ25" t="str">
            <v/>
          </cell>
          <cell r="DR25" t="str">
            <v/>
          </cell>
          <cell r="DS25" t="str">
            <v/>
          </cell>
          <cell r="DT25" t="str">
            <v/>
          </cell>
          <cell r="DU25" t="str">
            <v/>
          </cell>
          <cell r="DV25" t="str">
            <v/>
          </cell>
          <cell r="DW25" t="str">
            <v/>
          </cell>
          <cell r="DX25" t="str">
            <v/>
          </cell>
          <cell r="DY25" t="str">
            <v/>
          </cell>
          <cell r="DZ25" t="str">
            <v/>
          </cell>
          <cell r="EA25" t="str">
            <v/>
          </cell>
          <cell r="EB25" t="str">
            <v/>
          </cell>
          <cell r="EC25" t="str">
            <v/>
          </cell>
          <cell r="ED25" t="str">
            <v/>
          </cell>
          <cell r="EE25" t="str">
            <v/>
          </cell>
          <cell r="EF25" t="str">
            <v/>
          </cell>
          <cell r="EG25" t="str">
            <v/>
          </cell>
          <cell r="EH25" t="str">
            <v/>
          </cell>
          <cell r="EI25" t="str">
            <v/>
          </cell>
          <cell r="EJ25" t="str">
            <v/>
          </cell>
          <cell r="EK25" t="str">
            <v/>
          </cell>
          <cell r="EL25" t="str">
            <v/>
          </cell>
          <cell r="EM25" t="str">
            <v/>
          </cell>
          <cell r="EN25" t="str">
            <v/>
          </cell>
          <cell r="EO25" t="str">
            <v/>
          </cell>
          <cell r="EP25" t="str">
            <v/>
          </cell>
          <cell r="EQ25" t="str">
            <v/>
          </cell>
          <cell r="ER25" t="str">
            <v/>
          </cell>
          <cell r="ES25" t="str">
            <v/>
          </cell>
          <cell r="ET25" t="str">
            <v/>
          </cell>
          <cell r="EU25" t="str">
            <v/>
          </cell>
          <cell r="EV25" t="str">
            <v/>
          </cell>
          <cell r="EW25" t="str">
            <v/>
          </cell>
          <cell r="EX25" t="str">
            <v/>
          </cell>
          <cell r="EY25" t="str">
            <v/>
          </cell>
          <cell r="EZ25" t="str">
            <v/>
          </cell>
          <cell r="FA25" t="str">
            <v/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3407A2-6FFC-474B-83E0-80FF7300F13C}">
  <we:reference id="wa200009404" version="1.0.0.8" store="ko-KR" storeType="OMEX"/>
  <we:alternateReferences>
    <we:reference id="wa200009404" version="1.0.0.8" store="" storeType="OMEX"/>
  </we:alternateReferences>
  <we:properties>
    <we:property name="claude.fileId" value="&quot;faeece19-ef94-49e9-bcca-768eeb4cf5b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02861-E390-4264-9956-75EBFE55E807}">
  <dimension ref="B2:K46"/>
  <sheetViews>
    <sheetView topLeftCell="A20" workbookViewId="0">
      <selection activeCell="L43" sqref="L43"/>
    </sheetView>
  </sheetViews>
  <sheetFormatPr defaultRowHeight="16.5"/>
  <cols>
    <col min="1" max="1" width="11.5" bestFit="1" customWidth="1"/>
    <col min="2" max="2" width="14.125" customWidth="1"/>
    <col min="3" max="3" width="9.125" customWidth="1"/>
    <col min="4" max="4" width="20.625" bestFit="1" customWidth="1"/>
    <col min="5" max="5" width="15.875" customWidth="1"/>
    <col min="6" max="6" width="14.25" bestFit="1" customWidth="1"/>
    <col min="7" max="7" width="16.375" bestFit="1" customWidth="1"/>
    <col min="8" max="8" width="16.625" bestFit="1" customWidth="1"/>
    <col min="9" max="9" width="18.625" bestFit="1" customWidth="1"/>
    <col min="10" max="11" width="13" bestFit="1" customWidth="1"/>
  </cols>
  <sheetData>
    <row r="2" spans="2:9">
      <c r="B2" s="9" t="s">
        <v>2</v>
      </c>
      <c r="C2" s="2" t="s">
        <v>5</v>
      </c>
      <c r="D2" s="9" t="s">
        <v>3</v>
      </c>
      <c r="E2" s="8">
        <v>29329</v>
      </c>
      <c r="F2" s="9" t="s">
        <v>4</v>
      </c>
      <c r="G2" s="43">
        <v>45</v>
      </c>
    </row>
    <row r="3" spans="2:9" ht="33.75" customHeight="1">
      <c r="E3" s="1"/>
    </row>
    <row r="4" spans="2:9" ht="24" customHeight="1" thickBot="1">
      <c r="B4" s="38" t="s">
        <v>34</v>
      </c>
      <c r="C4" s="39" t="s">
        <v>35</v>
      </c>
      <c r="D4" s="39" t="s">
        <v>36</v>
      </c>
      <c r="E4" s="40" t="s">
        <v>37</v>
      </c>
      <c r="F4" s="39" t="s">
        <v>38</v>
      </c>
    </row>
    <row r="5" spans="2:9">
      <c r="E5" s="1"/>
    </row>
    <row r="7" spans="2:9" ht="17.25">
      <c r="B7" s="6" t="s">
        <v>6</v>
      </c>
    </row>
    <row r="8" spans="2:9" ht="17.25" customHeight="1">
      <c r="B8" s="7"/>
    </row>
    <row r="9" spans="2:9">
      <c r="B9" s="261" t="s">
        <v>30</v>
      </c>
      <c r="C9" s="262"/>
      <c r="D9" s="31" t="s">
        <v>32</v>
      </c>
      <c r="E9" s="29" t="s">
        <v>33</v>
      </c>
      <c r="F9" s="4" t="s">
        <v>1</v>
      </c>
      <c r="G9" s="4" t="s">
        <v>28</v>
      </c>
      <c r="H9" s="4" t="s">
        <v>7</v>
      </c>
      <c r="I9" s="4" t="s">
        <v>0</v>
      </c>
    </row>
    <row r="10" spans="2:9">
      <c r="B10" s="261"/>
      <c r="C10" s="262"/>
      <c r="D10" s="32">
        <v>20000000</v>
      </c>
      <c r="E10" s="30">
        <f>ROUNDUP(FV(F10,H10-G2,0,-D10,0),-5)</f>
        <v>30400000</v>
      </c>
      <c r="F10" s="3">
        <v>2.1000000000000001E-2</v>
      </c>
      <c r="G10" s="33">
        <v>0.05</v>
      </c>
      <c r="H10" s="45">
        <v>65</v>
      </c>
      <c r="I10" s="46">
        <v>40</v>
      </c>
    </row>
    <row r="12" spans="2:9">
      <c r="B12" s="261" t="s">
        <v>31</v>
      </c>
      <c r="C12" s="263"/>
      <c r="D12" s="4" t="s">
        <v>8</v>
      </c>
      <c r="E12" s="4" t="s">
        <v>9</v>
      </c>
      <c r="F12" s="5" t="s">
        <v>10</v>
      </c>
      <c r="G12" s="4" t="s">
        <v>16</v>
      </c>
    </row>
    <row r="13" spans="2:9">
      <c r="B13" s="261"/>
      <c r="C13" s="263"/>
      <c r="D13" s="47">
        <v>5</v>
      </c>
      <c r="E13" s="48">
        <f>H10-G2-D13</f>
        <v>15</v>
      </c>
      <c r="F13" s="34">
        <v>7.0000000000000007E-2</v>
      </c>
      <c r="G13" s="35">
        <v>120000000</v>
      </c>
    </row>
    <row r="15" spans="2:9" ht="17.25">
      <c r="B15" s="6" t="s">
        <v>11</v>
      </c>
    </row>
    <row r="17" spans="2:11" ht="17.25">
      <c r="D17" s="17" t="s">
        <v>12</v>
      </c>
      <c r="E17" s="22" t="s">
        <v>17</v>
      </c>
      <c r="G17" s="23" t="s">
        <v>25</v>
      </c>
      <c r="H17" s="36" t="s">
        <v>27</v>
      </c>
      <c r="J17" t="s">
        <v>40</v>
      </c>
    </row>
    <row r="18" spans="2:11" ht="17.25">
      <c r="B18" s="261" t="s">
        <v>14</v>
      </c>
      <c r="C18" s="262"/>
      <c r="D18" s="18">
        <f>ROUNDUP(-PV(((1+G10)/(1+F10)-1)/12,I10*12,E10,0,1),-6)</f>
        <v>8736000000</v>
      </c>
      <c r="E18" s="19">
        <f>ROUNDUP(-PV(F13/12,D13*12,-G13/12,-PV(F13/12,E13*12,0,D18)),-4)</f>
        <v>1658040000</v>
      </c>
      <c r="G18" s="25" t="s">
        <v>26</v>
      </c>
      <c r="H18" s="24">
        <f>IF(H17="O",D18,D19)</f>
        <v>6331000000</v>
      </c>
      <c r="I18" s="24">
        <f>IF(H17="O",E18,E19)</f>
        <v>1062550000</v>
      </c>
    </row>
    <row r="19" spans="2:11">
      <c r="B19" s="261" t="s">
        <v>15</v>
      </c>
      <c r="C19" s="262"/>
      <c r="D19" s="20">
        <f>ROUNDUP(-PV(G10/12,I10*12,E10,0,1),-6)</f>
        <v>6331000000</v>
      </c>
      <c r="E19" s="21">
        <f>ROUNDUP(-PV(F13/12,D13*12,-G13/12,-PV(F13/12,E13*12,0,D19)),-4)</f>
        <v>1062550000</v>
      </c>
    </row>
    <row r="23" spans="2:11" ht="17.25">
      <c r="B23" s="6" t="s">
        <v>18</v>
      </c>
      <c r="E23" t="s">
        <v>39</v>
      </c>
    </row>
    <row r="25" spans="2:11" ht="17.25" thickBot="1">
      <c r="B25" s="16" t="s">
        <v>19</v>
      </c>
      <c r="C25" s="42" t="s">
        <v>4</v>
      </c>
      <c r="D25" s="16" t="s">
        <v>20</v>
      </c>
      <c r="E25" s="16" t="s">
        <v>21</v>
      </c>
      <c r="F25" s="16" t="s">
        <v>29</v>
      </c>
      <c r="G25" s="16" t="s">
        <v>22</v>
      </c>
      <c r="H25" s="16" t="s">
        <v>23</v>
      </c>
      <c r="I25" s="16" t="s">
        <v>24</v>
      </c>
      <c r="K25" s="49" t="s">
        <v>41</v>
      </c>
    </row>
    <row r="26" spans="2:11">
      <c r="B26" s="11">
        <v>1</v>
      </c>
      <c r="C26" s="43">
        <f>G2</f>
        <v>45</v>
      </c>
      <c r="D26" s="10" t="str">
        <f t="shared" ref="D26:D45" si="0">IF(B26&lt;=D$13,"적립","거치")</f>
        <v>적립</v>
      </c>
      <c r="E26" s="12">
        <v>12500000</v>
      </c>
      <c r="F26" s="27">
        <v>2570670000</v>
      </c>
      <c r="G26" s="12">
        <f>E26*12+F26</f>
        <v>2720670000</v>
      </c>
      <c r="H26" s="12">
        <f>I26-G26</f>
        <v>190741258.27520514</v>
      </c>
      <c r="I26" s="12">
        <f>FV(F$13/12,12,-E26,-F26)</f>
        <v>2911411258.2752051</v>
      </c>
      <c r="K26" s="2" t="str">
        <f>CONCATENATE(B26,"년차 (",C26,"세)")</f>
        <v>1년차 (45세)</v>
      </c>
    </row>
    <row r="27" spans="2:11">
      <c r="B27" s="11">
        <f>B26+1</f>
        <v>2</v>
      </c>
      <c r="C27" s="43">
        <f>C26+1</f>
        <v>46</v>
      </c>
      <c r="D27" s="10" t="str">
        <f t="shared" si="0"/>
        <v>적립</v>
      </c>
      <c r="E27" s="12">
        <v>12500000</v>
      </c>
      <c r="F27" s="27"/>
      <c r="G27" s="12">
        <f>G26+E27*12+F27</f>
        <v>2870670000</v>
      </c>
      <c r="H27" s="12">
        <f>I27-G27</f>
        <v>406114729.66218042</v>
      </c>
      <c r="I27" s="12">
        <f t="shared" ref="I27:I45" si="1">FV(F$13/12,12,-E27,-(I26+F27))</f>
        <v>3276784729.6621804</v>
      </c>
      <c r="K27" s="2" t="str">
        <f t="shared" ref="K27:K45" si="2">CONCATENATE(B27,"년차 (",C27,"세)")</f>
        <v>2년차 (46세)</v>
      </c>
    </row>
    <row r="28" spans="2:11">
      <c r="B28" s="11">
        <f t="shared" ref="B28:B45" si="3">B27+1</f>
        <v>3</v>
      </c>
      <c r="C28" s="43">
        <f t="shared" ref="C28:C45" si="4">C27+1</f>
        <v>47</v>
      </c>
      <c r="D28" s="10" t="str">
        <f t="shared" si="0"/>
        <v>적립</v>
      </c>
      <c r="E28" s="12">
        <v>12500000</v>
      </c>
      <c r="F28" s="27"/>
      <c r="G28" s="12">
        <f t="shared" ref="G28:G45" si="5">G27+E28*12+F28</f>
        <v>3020670000</v>
      </c>
      <c r="H28" s="12">
        <f t="shared" ref="H28:H45" si="6">I28-G28</f>
        <v>647901078.83844376</v>
      </c>
      <c r="I28" s="12">
        <f t="shared" si="1"/>
        <v>3668571078.8384438</v>
      </c>
      <c r="K28" s="2" t="str">
        <f t="shared" si="2"/>
        <v>3년차 (47세)</v>
      </c>
    </row>
    <row r="29" spans="2:11">
      <c r="B29" s="11">
        <f t="shared" si="3"/>
        <v>4</v>
      </c>
      <c r="C29" s="43">
        <f t="shared" si="4"/>
        <v>48</v>
      </c>
      <c r="D29" s="10" t="str">
        <f t="shared" si="0"/>
        <v>적립</v>
      </c>
      <c r="E29" s="12">
        <v>12500000</v>
      </c>
      <c r="F29" s="27"/>
      <c r="G29" s="12">
        <f t="shared" si="5"/>
        <v>3170670000</v>
      </c>
      <c r="H29" s="12">
        <f t="shared" si="6"/>
        <v>918009694.87502861</v>
      </c>
      <c r="I29" s="12">
        <f t="shared" si="1"/>
        <v>4088679694.8750286</v>
      </c>
      <c r="K29" s="2" t="str">
        <f t="shared" si="2"/>
        <v>4년차 (48세)</v>
      </c>
    </row>
    <row r="30" spans="2:11">
      <c r="B30" s="11">
        <f t="shared" si="3"/>
        <v>5</v>
      </c>
      <c r="C30" s="43">
        <f t="shared" si="4"/>
        <v>49</v>
      </c>
      <c r="D30" s="10" t="str">
        <f t="shared" si="0"/>
        <v>적립</v>
      </c>
      <c r="E30" s="12">
        <v>12500000</v>
      </c>
      <c r="F30" s="27"/>
      <c r="G30" s="12">
        <f t="shared" si="5"/>
        <v>3320670000</v>
      </c>
      <c r="H30" s="12">
        <f t="shared" si="6"/>
        <v>1218487996.7332993</v>
      </c>
      <c r="I30" s="12">
        <f>FV(F$13/12,12,-E30,-(I29+F30))</f>
        <v>4539157996.7332993</v>
      </c>
      <c r="K30" s="2" t="str">
        <f t="shared" si="2"/>
        <v>5년차 (49세)</v>
      </c>
    </row>
    <row r="31" spans="2:11">
      <c r="B31" s="11">
        <f t="shared" si="3"/>
        <v>6</v>
      </c>
      <c r="C31" s="43">
        <f t="shared" si="4"/>
        <v>50</v>
      </c>
      <c r="D31" s="10" t="str">
        <f t="shared" si="0"/>
        <v>거치</v>
      </c>
      <c r="E31" s="12">
        <f t="shared" ref="E31:E45" si="7">IF(B31&lt;=D$13,G$13/12,0)</f>
        <v>0</v>
      </c>
      <c r="F31" s="27"/>
      <c r="G31" s="12">
        <f t="shared" si="5"/>
        <v>3320670000</v>
      </c>
      <c r="H31" s="12">
        <f t="shared" si="6"/>
        <v>1546624095.3363791</v>
      </c>
      <c r="I31" s="12">
        <f t="shared" si="1"/>
        <v>4867294095.3363791</v>
      </c>
      <c r="K31" s="2" t="str">
        <f t="shared" si="2"/>
        <v>6년차 (50세)</v>
      </c>
    </row>
    <row r="32" spans="2:11">
      <c r="B32" s="11">
        <f t="shared" si="3"/>
        <v>7</v>
      </c>
      <c r="C32" s="43">
        <f t="shared" si="4"/>
        <v>51</v>
      </c>
      <c r="D32" s="10" t="str">
        <f t="shared" si="0"/>
        <v>거치</v>
      </c>
      <c r="E32" s="12">
        <f t="shared" si="7"/>
        <v>0</v>
      </c>
      <c r="F32" s="27"/>
      <c r="G32" s="12">
        <f t="shared" si="5"/>
        <v>3320670000</v>
      </c>
      <c r="H32" s="12">
        <f t="shared" si="6"/>
        <v>1898481179.0393257</v>
      </c>
      <c r="I32" s="12">
        <f t="shared" si="1"/>
        <v>5219151179.0393257</v>
      </c>
      <c r="K32" s="2" t="str">
        <f t="shared" si="2"/>
        <v>7년차 (51세)</v>
      </c>
    </row>
    <row r="33" spans="2:11">
      <c r="B33" s="11">
        <f t="shared" si="3"/>
        <v>8</v>
      </c>
      <c r="C33" s="43">
        <f t="shared" si="4"/>
        <v>52</v>
      </c>
      <c r="D33" s="10" t="str">
        <f t="shared" si="0"/>
        <v>거치</v>
      </c>
      <c r="E33" s="12">
        <f t="shared" si="7"/>
        <v>0</v>
      </c>
      <c r="F33" s="27">
        <v>0</v>
      </c>
      <c r="G33" s="12">
        <f t="shared" si="5"/>
        <v>3320670000</v>
      </c>
      <c r="H33" s="12">
        <f t="shared" si="6"/>
        <v>2275774039.7729979</v>
      </c>
      <c r="I33" s="12">
        <f t="shared" si="1"/>
        <v>5596444039.7729979</v>
      </c>
      <c r="K33" s="2" t="str">
        <f t="shared" si="2"/>
        <v>8년차 (52세)</v>
      </c>
    </row>
    <row r="34" spans="2:11">
      <c r="B34" s="11">
        <f t="shared" si="3"/>
        <v>9</v>
      </c>
      <c r="C34" s="43">
        <f t="shared" si="4"/>
        <v>53</v>
      </c>
      <c r="D34" s="10" t="str">
        <f t="shared" si="0"/>
        <v>거치</v>
      </c>
      <c r="E34" s="12">
        <f t="shared" si="7"/>
        <v>0</v>
      </c>
      <c r="F34" s="27">
        <v>0</v>
      </c>
      <c r="G34" s="12">
        <f t="shared" si="5"/>
        <v>3320670000</v>
      </c>
      <c r="H34" s="12">
        <f t="shared" si="6"/>
        <v>2680341431.9155874</v>
      </c>
      <c r="I34" s="12">
        <f t="shared" si="1"/>
        <v>6001011431.9155874</v>
      </c>
      <c r="K34" s="2" t="str">
        <f t="shared" si="2"/>
        <v>9년차 (53세)</v>
      </c>
    </row>
    <row r="35" spans="2:11">
      <c r="B35" s="11">
        <f t="shared" si="3"/>
        <v>10</v>
      </c>
      <c r="C35" s="43">
        <f t="shared" si="4"/>
        <v>54</v>
      </c>
      <c r="D35" s="10" t="str">
        <f t="shared" si="0"/>
        <v>거치</v>
      </c>
      <c r="E35" s="12">
        <f t="shared" si="7"/>
        <v>0</v>
      </c>
      <c r="F35" s="27">
        <v>0</v>
      </c>
      <c r="G35" s="12">
        <f t="shared" si="5"/>
        <v>3320670000</v>
      </c>
      <c r="H35" s="12">
        <f t="shared" si="6"/>
        <v>3114155033.5479612</v>
      </c>
      <c r="I35" s="12">
        <f t="shared" si="1"/>
        <v>6434825033.5479612</v>
      </c>
      <c r="K35" s="2" t="str">
        <f t="shared" si="2"/>
        <v>10년차 (54세)</v>
      </c>
    </row>
    <row r="36" spans="2:11">
      <c r="B36" s="11">
        <f t="shared" si="3"/>
        <v>11</v>
      </c>
      <c r="C36" s="43">
        <f t="shared" si="4"/>
        <v>55</v>
      </c>
      <c r="D36" s="10" t="str">
        <f t="shared" si="0"/>
        <v>거치</v>
      </c>
      <c r="E36" s="12">
        <f t="shared" si="7"/>
        <v>0</v>
      </c>
      <c r="F36" s="27">
        <v>0</v>
      </c>
      <c r="G36" s="12">
        <f t="shared" si="5"/>
        <v>3320670000</v>
      </c>
      <c r="H36" s="12">
        <f t="shared" si="6"/>
        <v>3579329055.5188742</v>
      </c>
      <c r="I36" s="12">
        <f t="shared" si="1"/>
        <v>6899999055.5188742</v>
      </c>
      <c r="K36" s="2" t="str">
        <f t="shared" si="2"/>
        <v>11년차 (55세)</v>
      </c>
    </row>
    <row r="37" spans="2:11">
      <c r="B37" s="11">
        <f t="shared" si="3"/>
        <v>12</v>
      </c>
      <c r="C37" s="43">
        <f t="shared" si="4"/>
        <v>56</v>
      </c>
      <c r="D37" s="10" t="str">
        <f t="shared" si="0"/>
        <v>거치</v>
      </c>
      <c r="E37" s="12">
        <f t="shared" si="7"/>
        <v>0</v>
      </c>
      <c r="F37" s="27">
        <v>0</v>
      </c>
      <c r="G37" s="12">
        <f t="shared" si="5"/>
        <v>3320670000</v>
      </c>
      <c r="H37" s="12">
        <f t="shared" si="6"/>
        <v>4078130545.1502848</v>
      </c>
      <c r="I37" s="12">
        <f t="shared" si="1"/>
        <v>7398800545.1502848</v>
      </c>
      <c r="K37" s="2" t="str">
        <f t="shared" si="2"/>
        <v>12년차 (56세)</v>
      </c>
    </row>
    <row r="38" spans="2:11">
      <c r="B38" s="11">
        <f t="shared" si="3"/>
        <v>13</v>
      </c>
      <c r="C38" s="43">
        <f t="shared" si="4"/>
        <v>57</v>
      </c>
      <c r="D38" s="10" t="str">
        <f t="shared" si="0"/>
        <v>거치</v>
      </c>
      <c r="E38" s="12">
        <f t="shared" si="7"/>
        <v>0</v>
      </c>
      <c r="F38" s="27">
        <v>0</v>
      </c>
      <c r="G38" s="12">
        <f t="shared" si="5"/>
        <v>3320670000</v>
      </c>
      <c r="H38" s="12">
        <f t="shared" si="6"/>
        <v>4612990434.7983608</v>
      </c>
      <c r="I38" s="12">
        <f t="shared" si="1"/>
        <v>7933660434.7983608</v>
      </c>
      <c r="K38" s="2" t="str">
        <f t="shared" si="2"/>
        <v>13년차 (57세)</v>
      </c>
    </row>
    <row r="39" spans="2:11">
      <c r="B39" s="11">
        <f t="shared" si="3"/>
        <v>14</v>
      </c>
      <c r="C39" s="43">
        <f t="shared" si="4"/>
        <v>58</v>
      </c>
      <c r="D39" s="10" t="str">
        <f t="shared" si="0"/>
        <v>거치</v>
      </c>
      <c r="E39" s="12">
        <f t="shared" si="7"/>
        <v>0</v>
      </c>
      <c r="F39" s="27">
        <v>0</v>
      </c>
      <c r="G39" s="12">
        <f t="shared" si="5"/>
        <v>3320670000</v>
      </c>
      <c r="H39" s="12">
        <f t="shared" si="6"/>
        <v>5186515389.1158543</v>
      </c>
      <c r="I39" s="12">
        <f t="shared" si="1"/>
        <v>8507185389.1158543</v>
      </c>
      <c r="K39" s="2" t="str">
        <f t="shared" si="2"/>
        <v>14년차 (58세)</v>
      </c>
    </row>
    <row r="40" spans="2:11">
      <c r="B40" s="11">
        <f t="shared" si="3"/>
        <v>15</v>
      </c>
      <c r="C40" s="43">
        <f t="shared" si="4"/>
        <v>59</v>
      </c>
      <c r="D40" s="10" t="str">
        <f t="shared" si="0"/>
        <v>거치</v>
      </c>
      <c r="E40" s="12">
        <f t="shared" si="7"/>
        <v>0</v>
      </c>
      <c r="F40" s="27">
        <v>0</v>
      </c>
      <c r="G40" s="12">
        <f t="shared" si="5"/>
        <v>3320670000</v>
      </c>
      <c r="H40" s="12">
        <f t="shared" si="6"/>
        <v>5801500508.7540283</v>
      </c>
      <c r="I40" s="12">
        <f t="shared" si="1"/>
        <v>9122170508.7540283</v>
      </c>
      <c r="K40" s="2" t="str">
        <f t="shared" si="2"/>
        <v>15년차 (59세)</v>
      </c>
    </row>
    <row r="41" spans="2:11">
      <c r="B41" s="11">
        <f t="shared" si="3"/>
        <v>16</v>
      </c>
      <c r="C41" s="43">
        <f t="shared" si="4"/>
        <v>60</v>
      </c>
      <c r="D41" s="10" t="str">
        <f t="shared" si="0"/>
        <v>거치</v>
      </c>
      <c r="E41" s="12">
        <f t="shared" si="7"/>
        <v>0</v>
      </c>
      <c r="F41" s="27">
        <v>0</v>
      </c>
      <c r="G41" s="12">
        <f t="shared" si="5"/>
        <v>3320670000</v>
      </c>
      <c r="H41" s="12">
        <f t="shared" si="6"/>
        <v>6460942952.4162273</v>
      </c>
      <c r="I41" s="12">
        <f t="shared" si="1"/>
        <v>9781612952.4162273</v>
      </c>
      <c r="K41" s="2" t="str">
        <f t="shared" si="2"/>
        <v>16년차 (60세)</v>
      </c>
    </row>
    <row r="42" spans="2:11">
      <c r="B42" s="11">
        <f t="shared" si="3"/>
        <v>17</v>
      </c>
      <c r="C42" s="43">
        <f t="shared" si="4"/>
        <v>61</v>
      </c>
      <c r="D42" s="10" t="str">
        <f t="shared" si="0"/>
        <v>거치</v>
      </c>
      <c r="E42" s="12">
        <f t="shared" si="7"/>
        <v>0</v>
      </c>
      <c r="F42" s="27">
        <v>0</v>
      </c>
      <c r="G42" s="12">
        <f t="shared" si="5"/>
        <v>3320670000</v>
      </c>
      <c r="H42" s="12">
        <f t="shared" si="6"/>
        <v>7168056543.6508007</v>
      </c>
      <c r="I42" s="12">
        <f t="shared" si="1"/>
        <v>10488726543.650801</v>
      </c>
      <c r="K42" s="2" t="str">
        <f t="shared" si="2"/>
        <v>17년차 (61세)</v>
      </c>
    </row>
    <row r="43" spans="2:11">
      <c r="B43" s="11">
        <f t="shared" si="3"/>
        <v>18</v>
      </c>
      <c r="C43" s="43">
        <f t="shared" si="4"/>
        <v>62</v>
      </c>
      <c r="D43" s="10" t="str">
        <f t="shared" si="0"/>
        <v>거치</v>
      </c>
      <c r="E43" s="12">
        <f t="shared" si="7"/>
        <v>0</v>
      </c>
      <c r="F43" s="27">
        <v>0</v>
      </c>
      <c r="G43" s="12">
        <f t="shared" si="5"/>
        <v>3320670000</v>
      </c>
      <c r="H43" s="12">
        <f t="shared" si="6"/>
        <v>7926287433.5702648</v>
      </c>
      <c r="I43" s="12">
        <f t="shared" si="1"/>
        <v>11246957433.570265</v>
      </c>
      <c r="K43" s="2" t="str">
        <f t="shared" si="2"/>
        <v>18년차 (62세)</v>
      </c>
    </row>
    <row r="44" spans="2:11">
      <c r="B44" s="11">
        <f t="shared" si="3"/>
        <v>19</v>
      </c>
      <c r="C44" s="43">
        <f t="shared" si="4"/>
        <v>63</v>
      </c>
      <c r="D44" s="10" t="str">
        <f t="shared" si="0"/>
        <v>거치</v>
      </c>
      <c r="E44" s="12">
        <f t="shared" si="7"/>
        <v>0</v>
      </c>
      <c r="F44" s="27">
        <v>0</v>
      </c>
      <c r="G44" s="12">
        <f t="shared" si="5"/>
        <v>3320670000</v>
      </c>
      <c r="H44" s="12">
        <f t="shared" si="6"/>
        <v>8739330895.8297024</v>
      </c>
      <c r="I44" s="12">
        <f>FV(F$13/12,12,-E44,-(I43+F44))</f>
        <v>12060000895.829702</v>
      </c>
      <c r="K44" s="2" t="str">
        <f t="shared" si="2"/>
        <v>19년차 (63세)</v>
      </c>
    </row>
    <row r="45" spans="2:11">
      <c r="B45" s="14">
        <f t="shared" si="3"/>
        <v>20</v>
      </c>
      <c r="C45" s="44">
        <f t="shared" si="4"/>
        <v>64</v>
      </c>
      <c r="D45" s="26" t="str">
        <f t="shared" si="0"/>
        <v>거치</v>
      </c>
      <c r="E45" s="15">
        <f t="shared" si="7"/>
        <v>0</v>
      </c>
      <c r="F45" s="28">
        <v>0</v>
      </c>
      <c r="G45" s="37">
        <f t="shared" si="5"/>
        <v>3320670000</v>
      </c>
      <c r="H45" s="37">
        <f t="shared" si="6"/>
        <v>9611149335.7155094</v>
      </c>
      <c r="I45" s="37">
        <f t="shared" si="1"/>
        <v>12931819335.715509</v>
      </c>
      <c r="K45" s="2" t="str">
        <f t="shared" si="2"/>
        <v>20년차 (64세)</v>
      </c>
    </row>
    <row r="46" spans="2:11">
      <c r="B46" s="41" t="s">
        <v>13</v>
      </c>
      <c r="D46" s="41"/>
      <c r="E46" s="13">
        <f>SUM(E26:E45)</f>
        <v>62500000</v>
      </c>
      <c r="F46" s="13">
        <f>SUM(F26:F45)</f>
        <v>2570670000</v>
      </c>
    </row>
  </sheetData>
  <mergeCells count="4">
    <mergeCell ref="B18:C18"/>
    <mergeCell ref="B19:C19"/>
    <mergeCell ref="B12:C13"/>
    <mergeCell ref="B9:C10"/>
  </mergeCells>
  <phoneticPr fontId="4" type="noConversion"/>
  <dataValidations count="1">
    <dataValidation type="list" allowBlank="1" showInputMessage="1" showErrorMessage="1" sqref="H17" xr:uid="{6F56091F-250D-4AE6-929E-FDD5D154E72E}">
      <formula1>"O,X"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6EF64-6879-45C0-983A-9559E13BB199}">
  <dimension ref="B2:AD76"/>
  <sheetViews>
    <sheetView topLeftCell="B1" zoomScale="70" zoomScaleNormal="70" workbookViewId="0">
      <pane xSplit="3" ySplit="9" topLeftCell="E10" activePane="bottomRight" state="frozen"/>
      <selection activeCell="B1" sqref="B1"/>
      <selection pane="topRight" activeCell="E1" sqref="E1"/>
      <selection pane="bottomLeft" activeCell="B10" sqref="B10"/>
      <selection pane="bottomRight" activeCell="W21" sqref="W21"/>
    </sheetView>
  </sheetViews>
  <sheetFormatPr defaultRowHeight="13.5"/>
  <cols>
    <col min="1" max="4" width="9" style="51"/>
    <col min="5" max="6" width="14.375" style="52" bestFit="1" customWidth="1"/>
    <col min="7" max="7" width="12.375" style="52" bestFit="1" customWidth="1"/>
    <col min="8" max="8" width="14.375" style="52" bestFit="1" customWidth="1"/>
    <col min="9" max="9" width="9" style="51" bestFit="1" customWidth="1"/>
    <col min="10" max="11" width="11.75" style="52" customWidth="1"/>
    <col min="12" max="12" width="9.375" style="52" bestFit="1" customWidth="1"/>
    <col min="13" max="13" width="13" style="52" bestFit="1" customWidth="1"/>
    <col min="14" max="14" width="11.125" style="52" customWidth="1"/>
    <col min="15" max="15" width="14.5" style="52" bestFit="1" customWidth="1"/>
    <col min="16" max="16" width="11.75" style="51" bestFit="1" customWidth="1"/>
    <col min="17" max="25" width="9" style="51"/>
    <col min="26" max="26" width="13.875" style="51" bestFit="1" customWidth="1"/>
    <col min="27" max="28" width="12.5" style="51" bestFit="1" customWidth="1"/>
    <col min="29" max="29" width="13.875" style="51" bestFit="1" customWidth="1"/>
    <col min="30" max="16384" width="9" style="51"/>
  </cols>
  <sheetData>
    <row r="2" spans="2:17" s="55" customFormat="1" ht="19.5" customHeight="1">
      <c r="B2" s="55" t="s">
        <v>111</v>
      </c>
      <c r="E2" s="56"/>
      <c r="F2" s="56"/>
      <c r="G2" s="56" t="s">
        <v>112</v>
      </c>
      <c r="H2" s="56"/>
      <c r="J2" s="56"/>
      <c r="K2" s="56"/>
      <c r="L2" s="76" t="s">
        <v>116</v>
      </c>
      <c r="M2" s="56"/>
      <c r="N2" s="56"/>
      <c r="O2" s="52"/>
    </row>
    <row r="3" spans="2:17" s="50" customFormat="1" ht="20.25">
      <c r="B3" s="264" t="s">
        <v>107</v>
      </c>
      <c r="C3" s="265"/>
      <c r="D3" s="274">
        <v>45</v>
      </c>
      <c r="E3" s="275"/>
      <c r="F3" s="90"/>
      <c r="G3" s="290" t="s">
        <v>46</v>
      </c>
      <c r="H3" s="291"/>
      <c r="I3" s="282">
        <v>12000</v>
      </c>
      <c r="J3" s="283"/>
      <c r="K3" s="90"/>
      <c r="L3" s="270" t="s">
        <v>117</v>
      </c>
      <c r="M3" s="271"/>
      <c r="N3" s="294">
        <v>0.06</v>
      </c>
      <c r="O3" s="295"/>
      <c r="Q3" s="88" t="s">
        <v>137</v>
      </c>
    </row>
    <row r="4" spans="2:17" s="50" customFormat="1" ht="16.5">
      <c r="B4" s="266" t="s">
        <v>7</v>
      </c>
      <c r="C4" s="267"/>
      <c r="D4" s="276">
        <v>69</v>
      </c>
      <c r="E4" s="277"/>
      <c r="F4" s="90"/>
      <c r="G4" s="305" t="s">
        <v>113</v>
      </c>
      <c r="H4" s="306"/>
      <c r="I4" s="284">
        <v>50000</v>
      </c>
      <c r="J4" s="285"/>
      <c r="K4" s="90"/>
      <c r="L4" s="272" t="s">
        <v>118</v>
      </c>
      <c r="M4" s="273"/>
      <c r="N4" s="296">
        <v>131.5</v>
      </c>
      <c r="O4" s="297"/>
    </row>
    <row r="5" spans="2:17" s="50" customFormat="1" ht="16.5">
      <c r="B5" s="266" t="s">
        <v>108</v>
      </c>
      <c r="C5" s="267"/>
      <c r="D5" s="278">
        <v>24</v>
      </c>
      <c r="E5" s="279"/>
      <c r="F5" s="90"/>
      <c r="G5" s="305" t="s">
        <v>114</v>
      </c>
      <c r="H5" s="306"/>
      <c r="I5" s="286">
        <v>25</v>
      </c>
      <c r="J5" s="287"/>
      <c r="K5" s="90"/>
      <c r="L5" s="266" t="s">
        <v>121</v>
      </c>
      <c r="M5" s="267"/>
      <c r="N5" s="89">
        <v>3617</v>
      </c>
      <c r="O5" s="91" t="s">
        <v>122</v>
      </c>
    </row>
    <row r="6" spans="2:17" s="50" customFormat="1" ht="16.5">
      <c r="B6" s="268" t="s">
        <v>109</v>
      </c>
      <c r="C6" s="269"/>
      <c r="D6" s="280" t="s">
        <v>110</v>
      </c>
      <c r="E6" s="281"/>
      <c r="F6" s="90"/>
      <c r="G6" s="307" t="s">
        <v>115</v>
      </c>
      <c r="H6" s="308"/>
      <c r="I6" s="288">
        <v>37</v>
      </c>
      <c r="J6" s="289"/>
      <c r="K6" s="90"/>
      <c r="L6" s="292" t="s">
        <v>1</v>
      </c>
      <c r="M6" s="293"/>
      <c r="N6" s="298">
        <v>2.5000000000000001E-2</v>
      </c>
      <c r="O6" s="299"/>
    </row>
    <row r="8" spans="2:17" s="61" customFormat="1" ht="16.5" customHeight="1">
      <c r="B8" s="309" t="s">
        <v>104</v>
      </c>
      <c r="C8" s="310"/>
      <c r="D8" s="310"/>
      <c r="E8" s="311" t="s">
        <v>105</v>
      </c>
      <c r="F8" s="311"/>
      <c r="G8" s="300" t="s">
        <v>106</v>
      </c>
      <c r="H8" s="300"/>
      <c r="I8" s="300"/>
      <c r="J8" s="300"/>
      <c r="K8" s="300"/>
      <c r="L8" s="300"/>
      <c r="M8" s="300"/>
      <c r="N8" s="300"/>
      <c r="O8" s="300"/>
      <c r="P8" s="301"/>
    </row>
    <row r="9" spans="2:17" s="61" customFormat="1" ht="18" customHeight="1">
      <c r="B9" s="62" t="s">
        <v>42</v>
      </c>
      <c r="C9" s="63" t="s">
        <v>43</v>
      </c>
      <c r="D9" s="64" t="s">
        <v>4</v>
      </c>
      <c r="E9" s="65" t="s">
        <v>44</v>
      </c>
      <c r="F9" s="65" t="s">
        <v>45</v>
      </c>
      <c r="G9" s="66" t="s">
        <v>46</v>
      </c>
      <c r="H9" s="66" t="s">
        <v>130</v>
      </c>
      <c r="I9" s="67" t="s">
        <v>47</v>
      </c>
      <c r="J9" s="66" t="s">
        <v>131</v>
      </c>
      <c r="K9" s="66" t="s">
        <v>129</v>
      </c>
      <c r="L9" s="66" t="s">
        <v>132</v>
      </c>
      <c r="M9" s="66" t="s">
        <v>133</v>
      </c>
      <c r="N9" s="66" t="s">
        <v>134</v>
      </c>
      <c r="O9" s="66" t="s">
        <v>48</v>
      </c>
      <c r="P9" s="68" t="s">
        <v>135</v>
      </c>
    </row>
    <row r="10" spans="2:17" s="61" customFormat="1" ht="17.25">
      <c r="B10" s="69">
        <v>2024</v>
      </c>
      <c r="C10" s="57">
        <v>1</v>
      </c>
      <c r="D10" s="58" t="s">
        <v>49</v>
      </c>
      <c r="E10" s="70">
        <v>62000</v>
      </c>
      <c r="F10" s="71">
        <v>65419</v>
      </c>
      <c r="G10" s="72">
        <v>12000</v>
      </c>
      <c r="H10" s="72">
        <v>50000</v>
      </c>
      <c r="I10" s="77">
        <v>3.5000000000000003E-2</v>
      </c>
      <c r="J10" s="70">
        <f>E10</f>
        <v>62000</v>
      </c>
      <c r="K10" s="70"/>
      <c r="L10" s="72"/>
      <c r="M10" s="72">
        <f>L10</f>
        <v>0</v>
      </c>
      <c r="N10" s="72">
        <f>O10-J10</f>
        <v>1749.9999999999636</v>
      </c>
      <c r="O10" s="71">
        <f>FV(I10,1,-G10,-H10-L10,0)</f>
        <v>63749.999999999964</v>
      </c>
      <c r="P10" s="84">
        <f>(O10-J10)/J10</f>
        <v>2.8225806451612316E-2</v>
      </c>
      <c r="Q10" s="87" t="s">
        <v>136</v>
      </c>
    </row>
    <row r="11" spans="2:17" s="61" customFormat="1">
      <c r="B11" s="69">
        <v>2025</v>
      </c>
      <c r="C11" s="57">
        <v>2</v>
      </c>
      <c r="D11" s="58" t="s">
        <v>50</v>
      </c>
      <c r="E11" s="70">
        <f t="shared" ref="E11:E33" si="0">J10+G11+H11-L11</f>
        <v>124000</v>
      </c>
      <c r="F11" s="71">
        <f>FV($N$3,1,-G11,-(F10+H11)-L11,0)</f>
        <v>134344.14000000001</v>
      </c>
      <c r="G11" s="72">
        <v>12000</v>
      </c>
      <c r="H11" s="72">
        <v>50000</v>
      </c>
      <c r="I11" s="77">
        <v>0.06</v>
      </c>
      <c r="J11" s="70">
        <f t="shared" ref="J11:J33" si="1">J10+G11+H11-L11</f>
        <v>124000</v>
      </c>
      <c r="K11" s="70"/>
      <c r="L11" s="72"/>
      <c r="M11" s="72">
        <f>L11+M10</f>
        <v>0</v>
      </c>
      <c r="N11" s="72">
        <f t="shared" ref="N11:N64" si="2">O11-J11</f>
        <v>8574.9999999999709</v>
      </c>
      <c r="O11" s="71">
        <f>FV(I11,1,-G11,-(O10+H11)-L11,0)</f>
        <v>132574.99999999997</v>
      </c>
      <c r="P11" s="84">
        <f t="shared" ref="P11:P64" si="3">(O11-J11)/J11</f>
        <v>6.9153225806451377E-2</v>
      </c>
    </row>
    <row r="12" spans="2:17" s="61" customFormat="1">
      <c r="B12" s="69">
        <v>2026</v>
      </c>
      <c r="C12" s="57">
        <v>3</v>
      </c>
      <c r="D12" s="58" t="s">
        <v>51</v>
      </c>
      <c r="E12" s="70">
        <f t="shared" si="0"/>
        <v>186000</v>
      </c>
      <c r="F12" s="71">
        <f t="shared" ref="F12:F64" si="4">FV($N$3,1,-G12,-(F11+H12)-L12,0)</f>
        <v>207404.78840000002</v>
      </c>
      <c r="G12" s="72">
        <v>12000</v>
      </c>
      <c r="H12" s="72">
        <v>50000</v>
      </c>
      <c r="I12" s="77">
        <v>0.06</v>
      </c>
      <c r="J12" s="70">
        <f t="shared" si="1"/>
        <v>186000</v>
      </c>
      <c r="K12" s="70"/>
      <c r="L12" s="72"/>
      <c r="M12" s="72">
        <f t="shared" ref="M12:M64" si="5">L12+M11</f>
        <v>0</v>
      </c>
      <c r="N12" s="72">
        <f t="shared" si="2"/>
        <v>19529.499999999971</v>
      </c>
      <c r="O12" s="71">
        <f t="shared" ref="O12:O64" si="6">FV(I12,1,-G12,-(O11+H12)-L12,0)</f>
        <v>205529.49999999997</v>
      </c>
      <c r="P12" s="84">
        <f t="shared" si="3"/>
        <v>0.10499731182795684</v>
      </c>
    </row>
    <row r="13" spans="2:17" s="61" customFormat="1">
      <c r="B13" s="69">
        <v>2027</v>
      </c>
      <c r="C13" s="57">
        <v>4</v>
      </c>
      <c r="D13" s="58" t="s">
        <v>52</v>
      </c>
      <c r="E13" s="70">
        <f t="shared" si="0"/>
        <v>248000</v>
      </c>
      <c r="F13" s="71">
        <f t="shared" si="4"/>
        <v>284849.07570400002</v>
      </c>
      <c r="G13" s="72">
        <v>12000</v>
      </c>
      <c r="H13" s="72">
        <v>50000</v>
      </c>
      <c r="I13" s="77">
        <v>0.06</v>
      </c>
      <c r="J13" s="70">
        <f t="shared" si="1"/>
        <v>248000</v>
      </c>
      <c r="K13" s="70"/>
      <c r="L13" s="72"/>
      <c r="M13" s="72">
        <f t="shared" si="5"/>
        <v>0</v>
      </c>
      <c r="N13" s="72">
        <f t="shared" si="2"/>
        <v>34861.26999999996</v>
      </c>
      <c r="O13" s="71">
        <f t="shared" si="6"/>
        <v>282861.26999999996</v>
      </c>
      <c r="P13" s="84">
        <f t="shared" si="3"/>
        <v>0.14056963709677403</v>
      </c>
    </row>
    <row r="14" spans="2:17" s="61" customFormat="1">
      <c r="B14" s="69">
        <v>2028</v>
      </c>
      <c r="C14" s="57">
        <v>5</v>
      </c>
      <c r="D14" s="58" t="s">
        <v>53</v>
      </c>
      <c r="E14" s="70">
        <f t="shared" si="0"/>
        <v>310000</v>
      </c>
      <c r="F14" s="71">
        <f t="shared" si="4"/>
        <v>366940.02024624002</v>
      </c>
      <c r="G14" s="72">
        <v>12000</v>
      </c>
      <c r="H14" s="72">
        <v>50000</v>
      </c>
      <c r="I14" s="77">
        <v>0.06</v>
      </c>
      <c r="J14" s="70">
        <f t="shared" si="1"/>
        <v>310000</v>
      </c>
      <c r="K14" s="70"/>
      <c r="L14" s="72"/>
      <c r="M14" s="72">
        <f t="shared" si="5"/>
        <v>0</v>
      </c>
      <c r="N14" s="72">
        <f t="shared" si="2"/>
        <v>54832.946199999948</v>
      </c>
      <c r="O14" s="71">
        <f t="shared" si="6"/>
        <v>364832.94619999995</v>
      </c>
      <c r="P14" s="84">
        <f t="shared" si="3"/>
        <v>0.17688047161290305</v>
      </c>
    </row>
    <row r="15" spans="2:17" s="61" customFormat="1">
      <c r="B15" s="69">
        <v>2029</v>
      </c>
      <c r="C15" s="57">
        <v>6</v>
      </c>
      <c r="D15" s="58" t="s">
        <v>54</v>
      </c>
      <c r="E15" s="70">
        <f t="shared" si="0"/>
        <v>322000</v>
      </c>
      <c r="F15" s="71">
        <f t="shared" si="4"/>
        <v>400956.42146101443</v>
      </c>
      <c r="G15" s="72">
        <v>12000</v>
      </c>
      <c r="H15" s="72"/>
      <c r="I15" s="77">
        <v>0.06</v>
      </c>
      <c r="J15" s="70">
        <f t="shared" si="1"/>
        <v>322000</v>
      </c>
      <c r="K15" s="70"/>
      <c r="L15" s="72"/>
      <c r="M15" s="72">
        <f t="shared" si="5"/>
        <v>0</v>
      </c>
      <c r="N15" s="72">
        <f t="shared" si="2"/>
        <v>76722.922971999971</v>
      </c>
      <c r="O15" s="71">
        <f t="shared" si="6"/>
        <v>398722.92297199997</v>
      </c>
      <c r="P15" s="84">
        <f t="shared" si="3"/>
        <v>0.23826994711801233</v>
      </c>
    </row>
    <row r="16" spans="2:17" s="61" customFormat="1">
      <c r="B16" s="69">
        <v>2030</v>
      </c>
      <c r="C16" s="57">
        <v>7</v>
      </c>
      <c r="D16" s="58" t="s">
        <v>55</v>
      </c>
      <c r="E16" s="70">
        <f t="shared" si="0"/>
        <v>334000</v>
      </c>
      <c r="F16" s="71">
        <f t="shared" si="4"/>
        <v>437013.8067486753</v>
      </c>
      <c r="G16" s="72">
        <v>12000</v>
      </c>
      <c r="H16" s="72"/>
      <c r="I16" s="77">
        <v>0.06</v>
      </c>
      <c r="J16" s="70">
        <f t="shared" si="1"/>
        <v>334000</v>
      </c>
      <c r="K16" s="70"/>
      <c r="L16" s="72"/>
      <c r="M16" s="72">
        <f t="shared" si="5"/>
        <v>0</v>
      </c>
      <c r="N16" s="72">
        <f t="shared" si="2"/>
        <v>100646.29835031996</v>
      </c>
      <c r="O16" s="71">
        <f t="shared" si="6"/>
        <v>434646.29835031996</v>
      </c>
      <c r="P16" s="84">
        <f t="shared" si="3"/>
        <v>0.30133622260574838</v>
      </c>
    </row>
    <row r="17" spans="2:30" s="61" customFormat="1">
      <c r="B17" s="69">
        <v>2031</v>
      </c>
      <c r="C17" s="57">
        <v>8</v>
      </c>
      <c r="D17" s="58" t="s">
        <v>56</v>
      </c>
      <c r="E17" s="70">
        <f t="shared" si="0"/>
        <v>346000</v>
      </c>
      <c r="F17" s="71">
        <f t="shared" si="4"/>
        <v>475234.63515359582</v>
      </c>
      <c r="G17" s="72">
        <v>12000</v>
      </c>
      <c r="H17" s="72"/>
      <c r="I17" s="77">
        <v>0.06</v>
      </c>
      <c r="J17" s="70">
        <f t="shared" si="1"/>
        <v>346000</v>
      </c>
      <c r="K17" s="70"/>
      <c r="L17" s="72"/>
      <c r="M17" s="72">
        <f t="shared" si="5"/>
        <v>0</v>
      </c>
      <c r="N17" s="72">
        <f t="shared" si="2"/>
        <v>126725.07625133917</v>
      </c>
      <c r="O17" s="71">
        <f t="shared" si="6"/>
        <v>472725.07625133917</v>
      </c>
      <c r="P17" s="84">
        <f t="shared" si="3"/>
        <v>0.36625744581311898</v>
      </c>
    </row>
    <row r="18" spans="2:30" s="61" customFormat="1">
      <c r="B18" s="69">
        <v>2032</v>
      </c>
      <c r="C18" s="57">
        <v>9</v>
      </c>
      <c r="D18" s="58" t="s">
        <v>57</v>
      </c>
      <c r="E18" s="70">
        <f t="shared" si="0"/>
        <v>358000</v>
      </c>
      <c r="F18" s="71">
        <f t="shared" si="4"/>
        <v>515748.71326281159</v>
      </c>
      <c r="G18" s="72">
        <v>12000</v>
      </c>
      <c r="H18" s="72"/>
      <c r="I18" s="77">
        <v>0.06</v>
      </c>
      <c r="J18" s="70">
        <f t="shared" si="1"/>
        <v>358000</v>
      </c>
      <c r="K18" s="70"/>
      <c r="L18" s="72"/>
      <c r="M18" s="72">
        <f t="shared" si="5"/>
        <v>0</v>
      </c>
      <c r="N18" s="72">
        <f t="shared" si="2"/>
        <v>155088.58082641952</v>
      </c>
      <c r="O18" s="71">
        <f t="shared" si="6"/>
        <v>513088.58082641952</v>
      </c>
      <c r="P18" s="84">
        <f t="shared" si="3"/>
        <v>0.43320832633078077</v>
      </c>
    </row>
    <row r="19" spans="2:30" s="61" customFormat="1">
      <c r="B19" s="69">
        <v>2033</v>
      </c>
      <c r="C19" s="57">
        <v>10</v>
      </c>
      <c r="D19" s="58" t="s">
        <v>58</v>
      </c>
      <c r="E19" s="70">
        <f t="shared" si="0"/>
        <v>370000</v>
      </c>
      <c r="F19" s="71">
        <f t="shared" si="4"/>
        <v>558693.63605858036</v>
      </c>
      <c r="G19" s="72">
        <v>12000</v>
      </c>
      <c r="H19" s="72"/>
      <c r="I19" s="77">
        <v>0.06</v>
      </c>
      <c r="J19" s="70">
        <f t="shared" si="1"/>
        <v>370000</v>
      </c>
      <c r="K19" s="70"/>
      <c r="L19" s="72"/>
      <c r="M19" s="72">
        <f t="shared" si="5"/>
        <v>0</v>
      </c>
      <c r="N19" s="72">
        <f t="shared" si="2"/>
        <v>185873.8956760047</v>
      </c>
      <c r="O19" s="71">
        <f t="shared" si="6"/>
        <v>555873.8956760047</v>
      </c>
      <c r="P19" s="84">
        <f t="shared" si="3"/>
        <v>0.50236188020541805</v>
      </c>
    </row>
    <row r="20" spans="2:30" s="61" customFormat="1">
      <c r="B20" s="69">
        <v>2034</v>
      </c>
      <c r="C20" s="57">
        <v>11</v>
      </c>
      <c r="D20" s="58" t="s">
        <v>59</v>
      </c>
      <c r="E20" s="70">
        <f t="shared" si="0"/>
        <v>370000</v>
      </c>
      <c r="F20" s="71">
        <f t="shared" si="4"/>
        <v>592215.25422209525</v>
      </c>
      <c r="G20" s="72"/>
      <c r="H20" s="72"/>
      <c r="I20" s="77">
        <v>0.06</v>
      </c>
      <c r="J20" s="70">
        <f t="shared" si="1"/>
        <v>370000</v>
      </c>
      <c r="K20" s="70"/>
      <c r="L20" s="72"/>
      <c r="M20" s="72">
        <f t="shared" si="5"/>
        <v>0</v>
      </c>
      <c r="N20" s="72">
        <f t="shared" si="2"/>
        <v>219226.32941656501</v>
      </c>
      <c r="O20" s="71">
        <f t="shared" si="6"/>
        <v>589226.32941656501</v>
      </c>
      <c r="P20" s="84">
        <f t="shared" si="3"/>
        <v>0.59250359301774325</v>
      </c>
    </row>
    <row r="21" spans="2:30" s="61" customFormat="1">
      <c r="B21" s="69">
        <v>2035</v>
      </c>
      <c r="C21" s="57">
        <v>12</v>
      </c>
      <c r="D21" s="58" t="s">
        <v>60</v>
      </c>
      <c r="E21" s="70">
        <f t="shared" si="0"/>
        <v>370000</v>
      </c>
      <c r="F21" s="71">
        <f t="shared" si="4"/>
        <v>627748.16947542096</v>
      </c>
      <c r="G21" s="72"/>
      <c r="H21" s="72"/>
      <c r="I21" s="77">
        <v>0.06</v>
      </c>
      <c r="J21" s="70">
        <f t="shared" si="1"/>
        <v>370000</v>
      </c>
      <c r="K21" s="70"/>
      <c r="L21" s="72"/>
      <c r="M21" s="72">
        <f t="shared" si="5"/>
        <v>0</v>
      </c>
      <c r="N21" s="72">
        <f t="shared" si="2"/>
        <v>254579.90918155899</v>
      </c>
      <c r="O21" s="71">
        <f t="shared" si="6"/>
        <v>624579.90918155899</v>
      </c>
      <c r="P21" s="84">
        <f t="shared" si="3"/>
        <v>0.68805380859880805</v>
      </c>
    </row>
    <row r="22" spans="2:30" s="61" customFormat="1">
      <c r="B22" s="69">
        <v>2036</v>
      </c>
      <c r="C22" s="57">
        <v>13</v>
      </c>
      <c r="D22" s="58" t="s">
        <v>61</v>
      </c>
      <c r="E22" s="70">
        <f t="shared" si="0"/>
        <v>370000</v>
      </c>
      <c r="F22" s="71">
        <f t="shared" si="4"/>
        <v>665413.05964394624</v>
      </c>
      <c r="G22" s="72"/>
      <c r="H22" s="72"/>
      <c r="I22" s="77">
        <v>0.06</v>
      </c>
      <c r="J22" s="70">
        <f t="shared" si="1"/>
        <v>370000</v>
      </c>
      <c r="K22" s="70"/>
      <c r="L22" s="72"/>
      <c r="M22" s="72">
        <f t="shared" si="5"/>
        <v>0</v>
      </c>
      <c r="N22" s="72">
        <f t="shared" si="2"/>
        <v>292054.70373245259</v>
      </c>
      <c r="O22" s="71">
        <f t="shared" si="6"/>
        <v>662054.70373245259</v>
      </c>
      <c r="P22" s="84">
        <f t="shared" si="3"/>
        <v>0.78933703711473668</v>
      </c>
    </row>
    <row r="23" spans="2:30" s="61" customFormat="1">
      <c r="B23" s="69">
        <v>2037</v>
      </c>
      <c r="C23" s="57">
        <v>14</v>
      </c>
      <c r="D23" s="58" t="s">
        <v>62</v>
      </c>
      <c r="E23" s="70">
        <f t="shared" si="0"/>
        <v>370000</v>
      </c>
      <c r="F23" s="71">
        <f t="shared" si="4"/>
        <v>705337.84322258306</v>
      </c>
      <c r="G23" s="72"/>
      <c r="H23" s="72"/>
      <c r="I23" s="77">
        <v>0.06</v>
      </c>
      <c r="J23" s="70">
        <f t="shared" si="1"/>
        <v>370000</v>
      </c>
      <c r="K23" s="70"/>
      <c r="L23" s="72"/>
      <c r="M23" s="72">
        <f t="shared" si="5"/>
        <v>0</v>
      </c>
      <c r="N23" s="72">
        <f t="shared" si="2"/>
        <v>331777.98595639982</v>
      </c>
      <c r="O23" s="71">
        <f t="shared" si="6"/>
        <v>701777.98595639982</v>
      </c>
      <c r="P23" s="84">
        <f t="shared" si="3"/>
        <v>0.89669725934162114</v>
      </c>
    </row>
    <row r="24" spans="2:30" s="61" customFormat="1">
      <c r="B24" s="69">
        <v>2038</v>
      </c>
      <c r="C24" s="57">
        <v>15</v>
      </c>
      <c r="D24" s="58" t="s">
        <v>63</v>
      </c>
      <c r="E24" s="70">
        <f t="shared" si="0"/>
        <v>370000</v>
      </c>
      <c r="F24" s="71">
        <f t="shared" si="4"/>
        <v>747658.11381593812</v>
      </c>
      <c r="G24" s="72"/>
      <c r="H24" s="72"/>
      <c r="I24" s="77">
        <v>0.06</v>
      </c>
      <c r="J24" s="70">
        <f t="shared" si="1"/>
        <v>370000</v>
      </c>
      <c r="K24" s="70"/>
      <c r="L24" s="72"/>
      <c r="M24" s="72">
        <f t="shared" si="5"/>
        <v>0</v>
      </c>
      <c r="N24" s="72">
        <f t="shared" si="2"/>
        <v>373884.66511378379</v>
      </c>
      <c r="O24" s="71">
        <f t="shared" si="6"/>
        <v>743884.66511378379</v>
      </c>
      <c r="P24" s="84">
        <f t="shared" si="3"/>
        <v>1.0104990949021184</v>
      </c>
    </row>
    <row r="25" spans="2:30" s="61" customFormat="1">
      <c r="B25" s="69">
        <v>2039</v>
      </c>
      <c r="C25" s="57">
        <v>16</v>
      </c>
      <c r="D25" s="58" t="s">
        <v>64</v>
      </c>
      <c r="E25" s="70">
        <f t="shared" si="0"/>
        <v>370000</v>
      </c>
      <c r="F25" s="71">
        <f t="shared" si="4"/>
        <v>792517.60064489441</v>
      </c>
      <c r="G25" s="72"/>
      <c r="H25" s="72"/>
      <c r="I25" s="77">
        <v>0.06</v>
      </c>
      <c r="J25" s="70">
        <f t="shared" si="1"/>
        <v>370000</v>
      </c>
      <c r="K25" s="70"/>
      <c r="L25" s="72"/>
      <c r="M25" s="72">
        <f t="shared" si="5"/>
        <v>0</v>
      </c>
      <c r="N25" s="72">
        <f t="shared" si="2"/>
        <v>418517.74502061086</v>
      </c>
      <c r="O25" s="71">
        <f t="shared" si="6"/>
        <v>788517.74502061086</v>
      </c>
      <c r="P25" s="84">
        <f t="shared" si="3"/>
        <v>1.1311290405962455</v>
      </c>
      <c r="Z25" s="103">
        <v>8382380000</v>
      </c>
      <c r="AA25" s="103">
        <f>Z25*0.06</f>
        <v>502942800</v>
      </c>
      <c r="AB25" s="103">
        <v>251040000</v>
      </c>
      <c r="AC25" s="103">
        <f>Z25+AA25-AB25</f>
        <v>8634282800</v>
      </c>
      <c r="AD25" s="103"/>
    </row>
    <row r="26" spans="2:30" s="61" customFormat="1">
      <c r="B26" s="69">
        <v>2040</v>
      </c>
      <c r="C26" s="57">
        <v>17</v>
      </c>
      <c r="D26" s="58" t="s">
        <v>65</v>
      </c>
      <c r="E26" s="70">
        <f t="shared" si="0"/>
        <v>370000</v>
      </c>
      <c r="F26" s="71">
        <f t="shared" si="4"/>
        <v>840068.65668358817</v>
      </c>
      <c r="G26" s="72"/>
      <c r="H26" s="72"/>
      <c r="I26" s="77">
        <v>0.06</v>
      </c>
      <c r="J26" s="70">
        <f t="shared" si="1"/>
        <v>370000</v>
      </c>
      <c r="K26" s="70"/>
      <c r="L26" s="72"/>
      <c r="M26" s="72">
        <f t="shared" si="5"/>
        <v>0</v>
      </c>
      <c r="N26" s="72">
        <f t="shared" si="2"/>
        <v>465828.80972184753</v>
      </c>
      <c r="O26" s="71">
        <f t="shared" si="6"/>
        <v>835828.80972184753</v>
      </c>
      <c r="P26" s="84">
        <f t="shared" si="3"/>
        <v>1.2589967830320203</v>
      </c>
      <c r="Z26" s="103"/>
      <c r="AA26" s="103"/>
      <c r="AB26" s="103"/>
      <c r="AC26" s="103"/>
      <c r="AD26" s="103"/>
    </row>
    <row r="27" spans="2:30" s="61" customFormat="1">
      <c r="B27" s="69">
        <v>2041</v>
      </c>
      <c r="C27" s="57">
        <v>18</v>
      </c>
      <c r="D27" s="58" t="s">
        <v>66</v>
      </c>
      <c r="E27" s="70">
        <f t="shared" si="0"/>
        <v>370000</v>
      </c>
      <c r="F27" s="71">
        <f t="shared" si="4"/>
        <v>890472.77608460351</v>
      </c>
      <c r="G27" s="72"/>
      <c r="H27" s="72"/>
      <c r="I27" s="77">
        <v>0.06</v>
      </c>
      <c r="J27" s="70">
        <f t="shared" si="1"/>
        <v>370000</v>
      </c>
      <c r="K27" s="70"/>
      <c r="L27" s="72"/>
      <c r="M27" s="72">
        <f t="shared" si="5"/>
        <v>0</v>
      </c>
      <c r="N27" s="72">
        <f t="shared" si="2"/>
        <v>515978.53830515838</v>
      </c>
      <c r="O27" s="71">
        <f t="shared" si="6"/>
        <v>885978.53830515838</v>
      </c>
      <c r="P27" s="84">
        <f t="shared" si="3"/>
        <v>1.3945365900139415</v>
      </c>
    </row>
    <row r="28" spans="2:30" s="61" customFormat="1">
      <c r="B28" s="69">
        <v>2042</v>
      </c>
      <c r="C28" s="57">
        <v>19</v>
      </c>
      <c r="D28" s="58" t="s">
        <v>67</v>
      </c>
      <c r="E28" s="70">
        <f t="shared" si="0"/>
        <v>370000</v>
      </c>
      <c r="F28" s="71">
        <f t="shared" si="4"/>
        <v>943901.14264967979</v>
      </c>
      <c r="G28" s="72"/>
      <c r="H28" s="72"/>
      <c r="I28" s="77">
        <v>0.06</v>
      </c>
      <c r="J28" s="70">
        <f t="shared" si="1"/>
        <v>370000</v>
      </c>
      <c r="K28" s="70"/>
      <c r="L28" s="72"/>
      <c r="M28" s="72">
        <f t="shared" si="5"/>
        <v>0</v>
      </c>
      <c r="N28" s="72">
        <f t="shared" si="2"/>
        <v>569137.25060346792</v>
      </c>
      <c r="O28" s="71">
        <f t="shared" si="6"/>
        <v>939137.25060346792</v>
      </c>
      <c r="P28" s="84">
        <f t="shared" si="3"/>
        <v>1.5382087854147781</v>
      </c>
    </row>
    <row r="29" spans="2:30" s="61" customFormat="1">
      <c r="B29" s="69">
        <v>2043</v>
      </c>
      <c r="C29" s="79">
        <v>20</v>
      </c>
      <c r="D29" s="80" t="s">
        <v>68</v>
      </c>
      <c r="E29" s="81">
        <f t="shared" si="0"/>
        <v>370000</v>
      </c>
      <c r="F29" s="82">
        <f t="shared" si="4"/>
        <v>1000535.2112086606</v>
      </c>
      <c r="G29" s="83"/>
      <c r="H29" s="83"/>
      <c r="I29" s="77">
        <v>0.06</v>
      </c>
      <c r="J29" s="81">
        <f t="shared" si="1"/>
        <v>370000</v>
      </c>
      <c r="K29" s="81"/>
      <c r="L29" s="83"/>
      <c r="M29" s="83">
        <f t="shared" si="5"/>
        <v>0</v>
      </c>
      <c r="N29" s="83">
        <f t="shared" si="2"/>
        <v>625485.4856396761</v>
      </c>
      <c r="O29" s="82">
        <f t="shared" si="6"/>
        <v>995485.4856396761</v>
      </c>
      <c r="P29" s="84">
        <f t="shared" si="3"/>
        <v>1.6905013125396651</v>
      </c>
    </row>
    <row r="30" spans="2:30" s="61" customFormat="1">
      <c r="B30" s="69">
        <v>2044</v>
      </c>
      <c r="C30" s="57">
        <v>21</v>
      </c>
      <c r="D30" s="58" t="s">
        <v>69</v>
      </c>
      <c r="E30" s="70">
        <f t="shared" si="0"/>
        <v>370000</v>
      </c>
      <c r="F30" s="71">
        <f t="shared" si="4"/>
        <v>1060567.3238811803</v>
      </c>
      <c r="G30" s="72"/>
      <c r="H30" s="72"/>
      <c r="I30" s="77">
        <v>0.06</v>
      </c>
      <c r="J30" s="70">
        <f t="shared" si="1"/>
        <v>370000</v>
      </c>
      <c r="K30" s="70"/>
      <c r="L30" s="72"/>
      <c r="M30" s="72">
        <f t="shared" si="5"/>
        <v>0</v>
      </c>
      <c r="N30" s="72">
        <f t="shared" si="2"/>
        <v>685214.61477805674</v>
      </c>
      <c r="O30" s="71">
        <f t="shared" si="6"/>
        <v>1055214.6147780567</v>
      </c>
      <c r="P30" s="84">
        <f t="shared" si="3"/>
        <v>1.8519313912920452</v>
      </c>
    </row>
    <row r="31" spans="2:30" s="61" customFormat="1">
      <c r="B31" s="69">
        <v>2045</v>
      </c>
      <c r="C31" s="57">
        <v>22</v>
      </c>
      <c r="D31" s="58" t="s">
        <v>70</v>
      </c>
      <c r="E31" s="70">
        <f t="shared" si="0"/>
        <v>370000</v>
      </c>
      <c r="F31" s="71">
        <f t="shared" si="4"/>
        <v>1124201.3633140512</v>
      </c>
      <c r="G31" s="72"/>
      <c r="H31" s="72"/>
      <c r="I31" s="77">
        <v>0.06</v>
      </c>
      <c r="J31" s="70">
        <f t="shared" si="1"/>
        <v>370000</v>
      </c>
      <c r="K31" s="70"/>
      <c r="L31" s="72"/>
      <c r="M31" s="72">
        <f t="shared" si="5"/>
        <v>0</v>
      </c>
      <c r="N31" s="72">
        <f t="shared" si="2"/>
        <v>748527.49166474026</v>
      </c>
      <c r="O31" s="71">
        <f t="shared" si="6"/>
        <v>1118527.4916647403</v>
      </c>
      <c r="P31" s="84">
        <f t="shared" si="3"/>
        <v>2.0230472747695685</v>
      </c>
    </row>
    <row r="32" spans="2:30" s="61" customFormat="1">
      <c r="B32" s="69">
        <v>2046</v>
      </c>
      <c r="C32" s="57">
        <v>23</v>
      </c>
      <c r="D32" s="58" t="s">
        <v>71</v>
      </c>
      <c r="E32" s="70">
        <f t="shared" si="0"/>
        <v>370000</v>
      </c>
      <c r="F32" s="71">
        <f t="shared" si="4"/>
        <v>1191653.4451128943</v>
      </c>
      <c r="G32" s="72"/>
      <c r="H32" s="72"/>
      <c r="I32" s="77">
        <v>0.06</v>
      </c>
      <c r="J32" s="70">
        <f t="shared" si="1"/>
        <v>370000</v>
      </c>
      <c r="K32" s="70"/>
      <c r="L32" s="72"/>
      <c r="M32" s="72">
        <f t="shared" si="5"/>
        <v>0</v>
      </c>
      <c r="N32" s="72">
        <f t="shared" si="2"/>
        <v>815639.14116462483</v>
      </c>
      <c r="O32" s="71">
        <f t="shared" si="6"/>
        <v>1185639.1411646248</v>
      </c>
      <c r="P32" s="84">
        <f t="shared" si="3"/>
        <v>2.2044301112557427</v>
      </c>
    </row>
    <row r="33" spans="2:17" s="61" customFormat="1" ht="17.25">
      <c r="B33" s="62">
        <v>2047</v>
      </c>
      <c r="C33" s="59">
        <v>24</v>
      </c>
      <c r="D33" s="60" t="s">
        <v>72</v>
      </c>
      <c r="E33" s="73">
        <f t="shared" si="0"/>
        <v>326596</v>
      </c>
      <c r="F33" s="74">
        <f t="shared" si="4"/>
        <v>1309160.891819668</v>
      </c>
      <c r="G33" s="75"/>
      <c r="H33" s="75"/>
      <c r="I33" s="78">
        <v>0.06</v>
      </c>
      <c r="J33" s="73">
        <f t="shared" si="1"/>
        <v>326596</v>
      </c>
      <c r="K33" s="73"/>
      <c r="L33" s="75">
        <f>N5*12</f>
        <v>43404</v>
      </c>
      <c r="M33" s="75">
        <f t="shared" si="5"/>
        <v>43404</v>
      </c>
      <c r="N33" s="75">
        <f t="shared" si="2"/>
        <v>976189.72963450244</v>
      </c>
      <c r="O33" s="74">
        <f t="shared" si="6"/>
        <v>1302785.7296345024</v>
      </c>
      <c r="P33" s="85">
        <f t="shared" si="3"/>
        <v>2.9889825032593862</v>
      </c>
      <c r="Q33" s="86" t="s">
        <v>127</v>
      </c>
    </row>
    <row r="34" spans="2:17" s="61" customFormat="1">
      <c r="B34" s="69">
        <v>2048</v>
      </c>
      <c r="C34" s="57">
        <v>25</v>
      </c>
      <c r="D34" s="58" t="s">
        <v>73</v>
      </c>
      <c r="E34" s="70">
        <f t="shared" ref="E34:E64" si="7">E33</f>
        <v>326596</v>
      </c>
      <c r="F34" s="71">
        <f t="shared" si="4"/>
        <v>1434868.9913288483</v>
      </c>
      <c r="G34" s="72"/>
      <c r="H34" s="72"/>
      <c r="I34" s="77">
        <v>0.06</v>
      </c>
      <c r="J34" s="70">
        <f t="shared" ref="J34:J64" si="8">J33</f>
        <v>326596</v>
      </c>
      <c r="K34" s="70"/>
      <c r="L34" s="72">
        <f>FV($N$6,1,0,-L33,1)</f>
        <v>44489.1</v>
      </c>
      <c r="M34" s="72">
        <f t="shared" si="5"/>
        <v>87893.1</v>
      </c>
      <c r="N34" s="72">
        <f t="shared" si="2"/>
        <v>1101515.3194125728</v>
      </c>
      <c r="O34" s="71">
        <f t="shared" si="6"/>
        <v>1428111.3194125728</v>
      </c>
      <c r="P34" s="84">
        <f t="shared" si="3"/>
        <v>3.3727152794662909</v>
      </c>
    </row>
    <row r="35" spans="2:17" s="61" customFormat="1">
      <c r="B35" s="69">
        <v>2049</v>
      </c>
      <c r="C35" s="57">
        <v>26</v>
      </c>
      <c r="D35" s="58" t="s">
        <v>74</v>
      </c>
      <c r="E35" s="70">
        <f t="shared" si="7"/>
        <v>326596</v>
      </c>
      <c r="F35" s="71">
        <f t="shared" si="4"/>
        <v>1569298.5379585791</v>
      </c>
      <c r="G35" s="72"/>
      <c r="H35" s="72"/>
      <c r="I35" s="77">
        <v>0.06</v>
      </c>
      <c r="J35" s="70">
        <f t="shared" si="8"/>
        <v>326596</v>
      </c>
      <c r="K35" s="70"/>
      <c r="L35" s="72">
        <f t="shared" ref="L35:L64" si="9">FV($N$6,1,0,-L34,1)</f>
        <v>45601.327499999992</v>
      </c>
      <c r="M35" s="72">
        <f t="shared" si="5"/>
        <v>133494.42749999999</v>
      </c>
      <c r="N35" s="72">
        <f t="shared" si="2"/>
        <v>1235539.4057273271</v>
      </c>
      <c r="O35" s="71">
        <f t="shared" si="6"/>
        <v>1562135.4057273271</v>
      </c>
      <c r="P35" s="84">
        <f t="shared" si="3"/>
        <v>3.7830818678958931</v>
      </c>
    </row>
    <row r="36" spans="2:17" s="61" customFormat="1">
      <c r="B36" s="69">
        <v>2050</v>
      </c>
      <c r="C36" s="57">
        <v>27</v>
      </c>
      <c r="D36" s="58" t="s">
        <v>75</v>
      </c>
      <c r="E36" s="70">
        <f t="shared" si="7"/>
        <v>326596</v>
      </c>
      <c r="F36" s="71">
        <f t="shared" si="4"/>
        <v>1713002.292564844</v>
      </c>
      <c r="G36" s="72"/>
      <c r="H36" s="72"/>
      <c r="I36" s="77">
        <v>0.06</v>
      </c>
      <c r="J36" s="70">
        <f t="shared" si="8"/>
        <v>326596</v>
      </c>
      <c r="K36" s="70"/>
      <c r="L36" s="72">
        <f t="shared" si="9"/>
        <v>46741.36068749999</v>
      </c>
      <c r="M36" s="72">
        <f t="shared" si="5"/>
        <v>180235.78818749997</v>
      </c>
      <c r="N36" s="72">
        <f t="shared" si="2"/>
        <v>1378813.3723997169</v>
      </c>
      <c r="O36" s="71">
        <f t="shared" si="6"/>
        <v>1705409.3723997169</v>
      </c>
      <c r="P36" s="84">
        <f t="shared" si="3"/>
        <v>4.2217705434228128</v>
      </c>
    </row>
    <row r="37" spans="2:17" s="61" customFormat="1">
      <c r="B37" s="69">
        <v>2051</v>
      </c>
      <c r="C37" s="57">
        <v>28</v>
      </c>
      <c r="D37" s="58" t="s">
        <v>76</v>
      </c>
      <c r="E37" s="70">
        <f t="shared" si="7"/>
        <v>326596</v>
      </c>
      <c r="F37" s="71">
        <f t="shared" si="4"/>
        <v>1866566.9185057033</v>
      </c>
      <c r="G37" s="72"/>
      <c r="H37" s="72"/>
      <c r="I37" s="77">
        <v>0.06</v>
      </c>
      <c r="J37" s="70">
        <f t="shared" si="8"/>
        <v>326596</v>
      </c>
      <c r="K37" s="70"/>
      <c r="L37" s="72">
        <f t="shared" si="9"/>
        <v>47909.894704687482</v>
      </c>
      <c r="M37" s="72">
        <f t="shared" si="5"/>
        <v>228145.68289218744</v>
      </c>
      <c r="N37" s="72">
        <f t="shared" si="2"/>
        <v>1531922.4231306687</v>
      </c>
      <c r="O37" s="71">
        <f t="shared" si="6"/>
        <v>1858518.4231306687</v>
      </c>
      <c r="P37" s="84">
        <f t="shared" si="3"/>
        <v>4.6905731335676757</v>
      </c>
    </row>
    <row r="38" spans="2:17" s="61" customFormat="1">
      <c r="B38" s="69">
        <v>2052</v>
      </c>
      <c r="C38" s="57">
        <v>29</v>
      </c>
      <c r="D38" s="58" t="s">
        <v>77</v>
      </c>
      <c r="E38" s="70">
        <f t="shared" si="7"/>
        <v>326596</v>
      </c>
      <c r="F38" s="71">
        <f t="shared" si="4"/>
        <v>2030615.0342126884</v>
      </c>
      <c r="G38" s="72"/>
      <c r="H38" s="72"/>
      <c r="I38" s="77">
        <v>0.06</v>
      </c>
      <c r="J38" s="70">
        <f t="shared" si="8"/>
        <v>326596</v>
      </c>
      <c r="K38" s="70"/>
      <c r="L38" s="72">
        <f t="shared" si="9"/>
        <v>49107.642072304661</v>
      </c>
      <c r="M38" s="72">
        <f t="shared" si="5"/>
        <v>277253.32496449212</v>
      </c>
      <c r="N38" s="72">
        <f t="shared" si="2"/>
        <v>1695487.6291151517</v>
      </c>
      <c r="O38" s="71">
        <f t="shared" si="6"/>
        <v>2022083.6291151517</v>
      </c>
      <c r="P38" s="84">
        <f t="shared" si="3"/>
        <v>5.1913912880597177</v>
      </c>
    </row>
    <row r="39" spans="2:17" s="61" customFormat="1">
      <c r="B39" s="69">
        <v>2053</v>
      </c>
      <c r="C39" s="57">
        <v>30</v>
      </c>
      <c r="D39" s="58" t="s">
        <v>78</v>
      </c>
      <c r="E39" s="70">
        <f t="shared" si="7"/>
        <v>326596</v>
      </c>
      <c r="F39" s="71">
        <f t="shared" si="4"/>
        <v>2205807.3893770091</v>
      </c>
      <c r="G39" s="72"/>
      <c r="H39" s="72"/>
      <c r="I39" s="77">
        <v>0.06</v>
      </c>
      <c r="J39" s="70">
        <f t="shared" si="8"/>
        <v>326596</v>
      </c>
      <c r="K39" s="70"/>
      <c r="L39" s="72">
        <f t="shared" si="9"/>
        <v>50335.333124112272</v>
      </c>
      <c r="M39" s="72">
        <f t="shared" si="5"/>
        <v>327588.6580886044</v>
      </c>
      <c r="N39" s="72">
        <f t="shared" si="2"/>
        <v>1870168.0999736199</v>
      </c>
      <c r="O39" s="71">
        <f t="shared" si="6"/>
        <v>2196764.0999736199</v>
      </c>
      <c r="P39" s="84">
        <f t="shared" si="3"/>
        <v>5.7262431259832329</v>
      </c>
    </row>
    <row r="40" spans="2:17" s="61" customFormat="1">
      <c r="B40" s="69">
        <v>2054</v>
      </c>
      <c r="C40" s="57">
        <v>31</v>
      </c>
      <c r="D40" s="58" t="s">
        <v>79</v>
      </c>
      <c r="E40" s="70">
        <f t="shared" si="7"/>
        <v>326596</v>
      </c>
      <c r="F40" s="71">
        <f t="shared" si="4"/>
        <v>2392845.1721789776</v>
      </c>
      <c r="G40" s="72"/>
      <c r="H40" s="72"/>
      <c r="I40" s="77">
        <v>0.06</v>
      </c>
      <c r="J40" s="70">
        <f t="shared" si="8"/>
        <v>326596</v>
      </c>
      <c r="K40" s="70"/>
      <c r="L40" s="72">
        <f t="shared" si="9"/>
        <v>51593.716452215078</v>
      </c>
      <c r="M40" s="72">
        <f t="shared" si="5"/>
        <v>379182.3745408195</v>
      </c>
      <c r="N40" s="72">
        <f t="shared" si="2"/>
        <v>2056663.2854113849</v>
      </c>
      <c r="O40" s="71">
        <f t="shared" si="6"/>
        <v>2383259.2854113849</v>
      </c>
      <c r="P40" s="84">
        <f t="shared" si="3"/>
        <v>6.2972702831981557</v>
      </c>
    </row>
    <row r="41" spans="2:17" s="61" customFormat="1">
      <c r="B41" s="69">
        <v>2055</v>
      </c>
      <c r="C41" s="57">
        <v>32</v>
      </c>
      <c r="D41" s="58" t="s">
        <v>80</v>
      </c>
      <c r="E41" s="70">
        <f t="shared" si="7"/>
        <v>326596</v>
      </c>
      <c r="F41" s="71">
        <f t="shared" si="4"/>
        <v>2592472.4554350479</v>
      </c>
      <c r="G41" s="72"/>
      <c r="H41" s="72"/>
      <c r="I41" s="77">
        <v>0.06</v>
      </c>
      <c r="J41" s="70">
        <f t="shared" si="8"/>
        <v>326596</v>
      </c>
      <c r="K41" s="70"/>
      <c r="L41" s="72">
        <f t="shared" si="9"/>
        <v>52883.55936352045</v>
      </c>
      <c r="M41" s="72">
        <f t="shared" si="5"/>
        <v>432065.93390433997</v>
      </c>
      <c r="N41" s="72">
        <f t="shared" si="2"/>
        <v>2255715.4154613996</v>
      </c>
      <c r="O41" s="71">
        <f t="shared" si="6"/>
        <v>2582311.4154613996</v>
      </c>
      <c r="P41" s="84">
        <f t="shared" si="3"/>
        <v>6.9067453840873725</v>
      </c>
    </row>
    <row r="42" spans="2:17" s="61" customFormat="1">
      <c r="B42" s="69">
        <v>2056</v>
      </c>
      <c r="C42" s="57">
        <v>33</v>
      </c>
      <c r="D42" s="58" t="s">
        <v>81</v>
      </c>
      <c r="E42" s="70">
        <f t="shared" si="7"/>
        <v>326596</v>
      </c>
      <c r="F42" s="71">
        <f t="shared" si="4"/>
        <v>2805478.7900096155</v>
      </c>
      <c r="G42" s="72"/>
      <c r="H42" s="72"/>
      <c r="I42" s="77">
        <v>0.06</v>
      </c>
      <c r="J42" s="70">
        <f t="shared" si="8"/>
        <v>326596</v>
      </c>
      <c r="K42" s="70"/>
      <c r="L42" s="72">
        <f t="shared" si="9"/>
        <v>54205.648347608454</v>
      </c>
      <c r="M42" s="72">
        <f t="shared" si="5"/>
        <v>486271.58225194842</v>
      </c>
      <c r="N42" s="72">
        <f t="shared" si="2"/>
        <v>2468112.0876375483</v>
      </c>
      <c r="O42" s="71">
        <f t="shared" si="6"/>
        <v>2794708.0876375483</v>
      </c>
      <c r="P42" s="84">
        <f t="shared" si="3"/>
        <v>7.557079963127376</v>
      </c>
    </row>
    <row r="43" spans="2:17" s="61" customFormat="1">
      <c r="B43" s="69">
        <v>2057</v>
      </c>
      <c r="C43" s="57">
        <v>34</v>
      </c>
      <c r="D43" s="58" t="s">
        <v>82</v>
      </c>
      <c r="E43" s="70">
        <f t="shared" si="7"/>
        <v>326596</v>
      </c>
      <c r="F43" s="71">
        <f t="shared" si="4"/>
        <v>3032701.9543398693</v>
      </c>
      <c r="G43" s="72"/>
      <c r="H43" s="72"/>
      <c r="I43" s="77">
        <v>0.06</v>
      </c>
      <c r="J43" s="70">
        <f t="shared" si="8"/>
        <v>326596</v>
      </c>
      <c r="K43" s="70"/>
      <c r="L43" s="72">
        <f t="shared" si="9"/>
        <v>55560.78955629866</v>
      </c>
      <c r="M43" s="72">
        <f t="shared" si="5"/>
        <v>541832.37180824706</v>
      </c>
      <c r="N43" s="72">
        <f t="shared" si="2"/>
        <v>2694689.0098254783</v>
      </c>
      <c r="O43" s="71">
        <f t="shared" si="6"/>
        <v>3021285.0098254783</v>
      </c>
      <c r="P43" s="84">
        <f t="shared" si="3"/>
        <v>8.2508328633096504</v>
      </c>
    </row>
    <row r="44" spans="2:17" s="61" customFormat="1">
      <c r="B44" s="69">
        <v>2058</v>
      </c>
      <c r="C44" s="57">
        <v>35</v>
      </c>
      <c r="D44" s="58" t="s">
        <v>83</v>
      </c>
      <c r="E44" s="70">
        <f t="shared" si="7"/>
        <v>326596</v>
      </c>
      <c r="F44" s="71">
        <f t="shared" si="4"/>
        <v>3275030.8694531806</v>
      </c>
      <c r="G44" s="72"/>
      <c r="H44" s="72"/>
      <c r="I44" s="77">
        <v>0.06</v>
      </c>
      <c r="J44" s="70">
        <f t="shared" si="8"/>
        <v>326596</v>
      </c>
      <c r="K44" s="70"/>
      <c r="L44" s="72">
        <f t="shared" si="9"/>
        <v>56949.80929520612</v>
      </c>
      <c r="M44" s="72">
        <f t="shared" si="5"/>
        <v>598782.18110345316</v>
      </c>
      <c r="N44" s="72">
        <f t="shared" si="2"/>
        <v>2936332.908267926</v>
      </c>
      <c r="O44" s="71">
        <f t="shared" si="6"/>
        <v>3262928.908267926</v>
      </c>
      <c r="P44" s="84">
        <f t="shared" si="3"/>
        <v>8.9907191400627262</v>
      </c>
    </row>
    <row r="45" spans="2:17" s="61" customFormat="1">
      <c r="B45" s="69">
        <v>2059</v>
      </c>
      <c r="C45" s="57">
        <v>36</v>
      </c>
      <c r="D45" s="58" t="s">
        <v>84</v>
      </c>
      <c r="E45" s="70">
        <f t="shared" si="7"/>
        <v>326596</v>
      </c>
      <c r="F45" s="71">
        <f t="shared" si="4"/>
        <v>3533408.6894196132</v>
      </c>
      <c r="G45" s="72"/>
      <c r="H45" s="72"/>
      <c r="I45" s="77">
        <v>0.06</v>
      </c>
      <c r="J45" s="70">
        <f t="shared" si="8"/>
        <v>326596</v>
      </c>
      <c r="K45" s="70"/>
      <c r="L45" s="72">
        <f t="shared" si="9"/>
        <v>58373.554527586268</v>
      </c>
      <c r="M45" s="72">
        <f t="shared" si="5"/>
        <v>657155.73563103937</v>
      </c>
      <c r="N45" s="72">
        <f t="shared" si="2"/>
        <v>3193984.6105632433</v>
      </c>
      <c r="O45" s="71">
        <f t="shared" si="6"/>
        <v>3520580.6105632433</v>
      </c>
      <c r="P45" s="84">
        <f t="shared" si="3"/>
        <v>9.7796195010448486</v>
      </c>
    </row>
    <row r="46" spans="2:17" s="61" customFormat="1">
      <c r="B46" s="69">
        <v>2060</v>
      </c>
      <c r="C46" s="57">
        <v>37</v>
      </c>
      <c r="D46" s="58" t="s">
        <v>85</v>
      </c>
      <c r="E46" s="70">
        <f t="shared" si="7"/>
        <v>326596</v>
      </c>
      <c r="F46" s="71">
        <f t="shared" si="4"/>
        <v>3808836.0777790127</v>
      </c>
      <c r="G46" s="72"/>
      <c r="H46" s="72"/>
      <c r="I46" s="77">
        <v>0.06</v>
      </c>
      <c r="J46" s="70">
        <f t="shared" si="8"/>
        <v>326596</v>
      </c>
      <c r="K46" s="70"/>
      <c r="L46" s="72">
        <f t="shared" si="9"/>
        <v>59832.89339077592</v>
      </c>
      <c r="M46" s="72">
        <f t="shared" si="5"/>
        <v>716988.62902181526</v>
      </c>
      <c r="N46" s="72">
        <f t="shared" si="2"/>
        <v>3468642.3141912608</v>
      </c>
      <c r="O46" s="71">
        <f t="shared" si="6"/>
        <v>3795238.3141912608</v>
      </c>
      <c r="P46" s="84">
        <f t="shared" si="3"/>
        <v>10.620590314000358</v>
      </c>
    </row>
    <row r="47" spans="2:17" s="61" customFormat="1">
      <c r="B47" s="69">
        <v>2061</v>
      </c>
      <c r="C47" s="57">
        <v>38</v>
      </c>
      <c r="D47" s="58" t="s">
        <v>86</v>
      </c>
      <c r="E47" s="70">
        <f t="shared" si="7"/>
        <v>326596</v>
      </c>
      <c r="F47" s="71">
        <f t="shared" si="4"/>
        <v>4102374.6811148319</v>
      </c>
      <c r="G47" s="72"/>
      <c r="H47" s="72"/>
      <c r="I47" s="77">
        <v>0.06</v>
      </c>
      <c r="J47" s="70">
        <f t="shared" si="8"/>
        <v>326596</v>
      </c>
      <c r="K47" s="70"/>
      <c r="L47" s="72">
        <f t="shared" si="9"/>
        <v>61328.715725545313</v>
      </c>
      <c r="M47" s="72">
        <f t="shared" si="5"/>
        <v>778317.34474736056</v>
      </c>
      <c r="N47" s="72">
        <f t="shared" si="2"/>
        <v>3761365.0517118149</v>
      </c>
      <c r="O47" s="71">
        <f t="shared" si="6"/>
        <v>4087961.0517118149</v>
      </c>
      <c r="P47" s="84">
        <f t="shared" si="3"/>
        <v>11.516874216805517</v>
      </c>
    </row>
    <row r="48" spans="2:17" s="61" customFormat="1">
      <c r="B48" s="69">
        <v>2062</v>
      </c>
      <c r="C48" s="57">
        <v>39</v>
      </c>
      <c r="D48" s="58" t="s">
        <v>87</v>
      </c>
      <c r="E48" s="70">
        <f t="shared" si="7"/>
        <v>326596</v>
      </c>
      <c r="F48" s="71">
        <f t="shared" si="4"/>
        <v>4415150.8116175272</v>
      </c>
      <c r="G48" s="72"/>
      <c r="H48" s="72"/>
      <c r="I48" s="77">
        <v>0.06</v>
      </c>
      <c r="J48" s="70">
        <f t="shared" si="8"/>
        <v>326596</v>
      </c>
      <c r="K48" s="70"/>
      <c r="L48" s="72">
        <f t="shared" si="9"/>
        <v>62861.933618683943</v>
      </c>
      <c r="M48" s="72">
        <f t="shared" si="5"/>
        <v>841179.27836604451</v>
      </c>
      <c r="N48" s="72">
        <f t="shared" si="2"/>
        <v>4073276.364450329</v>
      </c>
      <c r="O48" s="71">
        <f t="shared" si="6"/>
        <v>4399872.364450329</v>
      </c>
      <c r="P48" s="84">
        <f t="shared" si="3"/>
        <v>12.471911365878116</v>
      </c>
    </row>
    <row r="49" spans="2:16" s="61" customFormat="1">
      <c r="B49" s="69">
        <v>2063</v>
      </c>
      <c r="C49" s="57">
        <v>40</v>
      </c>
      <c r="D49" s="58" t="s">
        <v>88</v>
      </c>
      <c r="E49" s="70">
        <f t="shared" si="7"/>
        <v>326596</v>
      </c>
      <c r="F49" s="71">
        <f t="shared" si="4"/>
        <v>4748359.3511912795</v>
      </c>
      <c r="G49" s="72"/>
      <c r="H49" s="72"/>
      <c r="I49" s="77">
        <v>0.06</v>
      </c>
      <c r="J49" s="70">
        <f t="shared" si="8"/>
        <v>326596</v>
      </c>
      <c r="K49" s="70"/>
      <c r="L49" s="72">
        <f t="shared" si="9"/>
        <v>64433.481959151039</v>
      </c>
      <c r="M49" s="72">
        <f t="shared" si="5"/>
        <v>905612.7603251955</v>
      </c>
      <c r="N49" s="72">
        <f t="shared" si="2"/>
        <v>4405568.1971940491</v>
      </c>
      <c r="O49" s="71">
        <f t="shared" si="6"/>
        <v>4732164.1971940491</v>
      </c>
      <c r="P49" s="84">
        <f t="shared" si="3"/>
        <v>13.489351361296675</v>
      </c>
    </row>
    <row r="50" spans="2:16" s="61" customFormat="1">
      <c r="B50" s="69">
        <v>2064</v>
      </c>
      <c r="C50" s="57">
        <v>41</v>
      </c>
      <c r="D50" s="58" t="s">
        <v>89</v>
      </c>
      <c r="E50" s="70">
        <f t="shared" si="7"/>
        <v>326596</v>
      </c>
      <c r="F50" s="71">
        <f t="shared" si="4"/>
        <v>5103267.8904113742</v>
      </c>
      <c r="G50" s="72"/>
      <c r="H50" s="72"/>
      <c r="I50" s="77">
        <v>0.06</v>
      </c>
      <c r="J50" s="70">
        <f t="shared" si="8"/>
        <v>326596</v>
      </c>
      <c r="K50" s="70"/>
      <c r="L50" s="72">
        <f t="shared" si="9"/>
        <v>66044.319008129809</v>
      </c>
      <c r="M50" s="72">
        <f t="shared" si="5"/>
        <v>971657.07933332527</v>
      </c>
      <c r="N50" s="72">
        <f t="shared" si="2"/>
        <v>4759505.0271743098</v>
      </c>
      <c r="O50" s="71">
        <f t="shared" si="6"/>
        <v>5086101.0271743098</v>
      </c>
      <c r="P50" s="84">
        <f t="shared" si="3"/>
        <v>14.573065889276997</v>
      </c>
    </row>
    <row r="51" spans="2:16" s="61" customFormat="1">
      <c r="B51" s="69">
        <v>2065</v>
      </c>
      <c r="C51" s="57">
        <v>42</v>
      </c>
      <c r="D51" s="58" t="s">
        <v>90</v>
      </c>
      <c r="E51" s="70">
        <f t="shared" si="7"/>
        <v>326596</v>
      </c>
      <c r="F51" s="71">
        <f t="shared" si="4"/>
        <v>5481221.1164383898</v>
      </c>
      <c r="G51" s="72"/>
      <c r="H51" s="72"/>
      <c r="I51" s="77">
        <v>0.06</v>
      </c>
      <c r="J51" s="70">
        <f t="shared" si="8"/>
        <v>326596</v>
      </c>
      <c r="K51" s="70"/>
      <c r="L51" s="72">
        <f t="shared" si="9"/>
        <v>67695.426983333047</v>
      </c>
      <c r="M51" s="72">
        <f t="shared" si="5"/>
        <v>1039352.5063166583</v>
      </c>
      <c r="N51" s="72">
        <f t="shared" si="2"/>
        <v>5136428.241407102</v>
      </c>
      <c r="O51" s="71">
        <f t="shared" si="6"/>
        <v>5463024.241407102</v>
      </c>
      <c r="P51" s="84">
        <f t="shared" si="3"/>
        <v>15.727162125093701</v>
      </c>
    </row>
    <row r="52" spans="2:16" s="61" customFormat="1">
      <c r="B52" s="69">
        <v>2066</v>
      </c>
      <c r="C52" s="57">
        <v>43</v>
      </c>
      <c r="D52" s="58" t="s">
        <v>91</v>
      </c>
      <c r="E52" s="70">
        <f t="shared" si="7"/>
        <v>326596</v>
      </c>
      <c r="F52" s="71">
        <f t="shared" si="4"/>
        <v>5883645.4648420848</v>
      </c>
      <c r="G52" s="72"/>
      <c r="H52" s="72"/>
      <c r="I52" s="77">
        <v>0.06</v>
      </c>
      <c r="J52" s="70">
        <f t="shared" si="8"/>
        <v>326596</v>
      </c>
      <c r="K52" s="70"/>
      <c r="L52" s="72">
        <f t="shared" si="9"/>
        <v>69387.812657916365</v>
      </c>
      <c r="M52" s="72">
        <f t="shared" si="5"/>
        <v>1108740.3189745748</v>
      </c>
      <c r="N52" s="72">
        <f t="shared" si="2"/>
        <v>5537760.7773089195</v>
      </c>
      <c r="O52" s="71">
        <f t="shared" si="6"/>
        <v>5864356.7773089195</v>
      </c>
      <c r="P52" s="84">
        <f t="shared" si="3"/>
        <v>16.955996942120905</v>
      </c>
    </row>
    <row r="53" spans="2:16" s="61" customFormat="1">
      <c r="B53" s="69">
        <v>2067</v>
      </c>
      <c r="C53" s="57">
        <v>44</v>
      </c>
      <c r="D53" s="58" t="s">
        <v>92</v>
      </c>
      <c r="E53" s="70">
        <f t="shared" si="7"/>
        <v>326596</v>
      </c>
      <c r="F53" s="71">
        <f t="shared" si="4"/>
        <v>6312054.0511854356</v>
      </c>
      <c r="G53" s="72"/>
      <c r="H53" s="72"/>
      <c r="I53" s="77">
        <v>0.06</v>
      </c>
      <c r="J53" s="70">
        <f t="shared" si="8"/>
        <v>326596</v>
      </c>
      <c r="K53" s="70"/>
      <c r="L53" s="72">
        <f t="shared" si="9"/>
        <v>71122.507974364271</v>
      </c>
      <c r="M53" s="72">
        <f t="shared" si="5"/>
        <v>1179862.8269489391</v>
      </c>
      <c r="N53" s="72">
        <f t="shared" si="2"/>
        <v>5965012.0424002809</v>
      </c>
      <c r="O53" s="71">
        <f t="shared" si="6"/>
        <v>6291608.0424002809</v>
      </c>
      <c r="P53" s="84">
        <f t="shared" si="3"/>
        <v>18.264191975407783</v>
      </c>
    </row>
    <row r="54" spans="2:16" s="61" customFormat="1">
      <c r="B54" s="69">
        <v>2068</v>
      </c>
      <c r="C54" s="57">
        <v>45</v>
      </c>
      <c r="D54" s="58" t="s">
        <v>93</v>
      </c>
      <c r="E54" s="70">
        <f t="shared" si="7"/>
        <v>326596</v>
      </c>
      <c r="F54" s="71">
        <f t="shared" si="4"/>
        <v>6768051.8991707088</v>
      </c>
      <c r="G54" s="72"/>
      <c r="H54" s="72"/>
      <c r="I54" s="77">
        <v>0.06</v>
      </c>
      <c r="J54" s="70">
        <f t="shared" si="8"/>
        <v>326596</v>
      </c>
      <c r="K54" s="70"/>
      <c r="L54" s="72">
        <f t="shared" si="9"/>
        <v>72900.57067372337</v>
      </c>
      <c r="M54" s="72">
        <f t="shared" si="5"/>
        <v>1252763.3976226626</v>
      </c>
      <c r="N54" s="72">
        <f t="shared" si="2"/>
        <v>6419783.1298584454</v>
      </c>
      <c r="O54" s="71">
        <f t="shared" si="6"/>
        <v>6746379.1298584454</v>
      </c>
      <c r="P54" s="84">
        <f t="shared" si="3"/>
        <v>19.65664959111087</v>
      </c>
    </row>
    <row r="55" spans="2:16" s="61" customFormat="1">
      <c r="B55" s="69">
        <v>2069</v>
      </c>
      <c r="C55" s="57">
        <v>46</v>
      </c>
      <c r="D55" s="58" t="s">
        <v>94</v>
      </c>
      <c r="E55" s="70">
        <f t="shared" si="7"/>
        <v>326596</v>
      </c>
      <c r="F55" s="71">
        <f t="shared" si="4"/>
        <v>7253341.4831579523</v>
      </c>
      <c r="G55" s="72"/>
      <c r="H55" s="72"/>
      <c r="I55" s="77">
        <v>0.06</v>
      </c>
      <c r="J55" s="70">
        <f t="shared" si="8"/>
        <v>326596</v>
      </c>
      <c r="K55" s="70"/>
      <c r="L55" s="72">
        <f t="shared" si="9"/>
        <v>74723.084940566448</v>
      </c>
      <c r="M55" s="72">
        <f t="shared" si="5"/>
        <v>1327486.482563229</v>
      </c>
      <c r="N55" s="72">
        <f t="shared" si="2"/>
        <v>6903772.3476869529</v>
      </c>
      <c r="O55" s="71">
        <f t="shared" si="6"/>
        <v>7230368.3476869529</v>
      </c>
      <c r="P55" s="84">
        <f t="shared" si="3"/>
        <v>21.138569816185601</v>
      </c>
    </row>
    <row r="56" spans="2:16" s="61" customFormat="1">
      <c r="B56" s="69">
        <v>2070</v>
      </c>
      <c r="C56" s="57">
        <v>47</v>
      </c>
      <c r="D56" s="58" t="s">
        <v>95</v>
      </c>
      <c r="E56" s="70">
        <f t="shared" si="7"/>
        <v>326596</v>
      </c>
      <c r="F56" s="71">
        <f t="shared" si="4"/>
        <v>7769728.6039353553</v>
      </c>
      <c r="G56" s="72"/>
      <c r="H56" s="72"/>
      <c r="I56" s="77">
        <v>0.06</v>
      </c>
      <c r="J56" s="70">
        <f t="shared" si="8"/>
        <v>326596</v>
      </c>
      <c r="K56" s="70"/>
      <c r="L56" s="72">
        <f t="shared" si="9"/>
        <v>76591.162064080607</v>
      </c>
      <c r="M56" s="72">
        <f t="shared" si="5"/>
        <v>1404077.6446273096</v>
      </c>
      <c r="N56" s="72">
        <f t="shared" si="2"/>
        <v>7418781.0803360967</v>
      </c>
      <c r="O56" s="71">
        <f t="shared" si="6"/>
        <v>7745377.0803360967</v>
      </c>
      <c r="P56" s="84">
        <f t="shared" si="3"/>
        <v>22.715468286005024</v>
      </c>
    </row>
    <row r="57" spans="2:16" s="61" customFormat="1">
      <c r="B57" s="69">
        <v>2071</v>
      </c>
      <c r="C57" s="57">
        <v>48</v>
      </c>
      <c r="D57" s="58" t="s">
        <v>96</v>
      </c>
      <c r="E57" s="70">
        <f t="shared" si="7"/>
        <v>326596</v>
      </c>
      <c r="F57" s="71">
        <f t="shared" si="4"/>
        <v>8319128.6177541008</v>
      </c>
      <c r="G57" s="72"/>
      <c r="H57" s="72"/>
      <c r="I57" s="77">
        <v>0.06</v>
      </c>
      <c r="J57" s="70">
        <f t="shared" si="8"/>
        <v>326596</v>
      </c>
      <c r="K57" s="70"/>
      <c r="L57" s="72">
        <f t="shared" si="9"/>
        <v>78505.94111568261</v>
      </c>
      <c r="M57" s="72">
        <f t="shared" si="5"/>
        <v>1482583.5857429923</v>
      </c>
      <c r="N57" s="72">
        <f t="shared" si="2"/>
        <v>7966720.0027388865</v>
      </c>
      <c r="O57" s="71">
        <f t="shared" si="6"/>
        <v>8293316.0027388865</v>
      </c>
      <c r="P57" s="84">
        <f t="shared" si="3"/>
        <v>24.393195271034816</v>
      </c>
    </row>
    <row r="58" spans="2:16" s="61" customFormat="1">
      <c r="B58" s="69">
        <v>2072</v>
      </c>
      <c r="C58" s="57">
        <v>49</v>
      </c>
      <c r="D58" s="58" t="s">
        <v>97</v>
      </c>
      <c r="E58" s="70">
        <f t="shared" si="7"/>
        <v>326596</v>
      </c>
      <c r="F58" s="71">
        <f t="shared" si="4"/>
        <v>8903573.0398415364</v>
      </c>
      <c r="G58" s="72"/>
      <c r="H58" s="72"/>
      <c r="I58" s="77">
        <v>0.06</v>
      </c>
      <c r="J58" s="70">
        <f t="shared" si="8"/>
        <v>326596</v>
      </c>
      <c r="K58" s="70"/>
      <c r="L58" s="72">
        <f t="shared" si="9"/>
        <v>80468.589643574669</v>
      </c>
      <c r="M58" s="72">
        <f t="shared" si="5"/>
        <v>1563052.1753865671</v>
      </c>
      <c r="N58" s="72">
        <f t="shared" si="2"/>
        <v>8549615.6679254081</v>
      </c>
      <c r="O58" s="71">
        <f t="shared" si="6"/>
        <v>8876211.6679254081</v>
      </c>
      <c r="P58" s="84">
        <f t="shared" si="3"/>
        <v>26.177955847363126</v>
      </c>
    </row>
    <row r="59" spans="2:16" s="61" customFormat="1">
      <c r="B59" s="69">
        <v>2073</v>
      </c>
      <c r="C59" s="57">
        <v>50</v>
      </c>
      <c r="D59" s="58" t="s">
        <v>98</v>
      </c>
      <c r="E59" s="70">
        <f t="shared" si="7"/>
        <v>326596</v>
      </c>
      <c r="F59" s="71">
        <f t="shared" si="4"/>
        <v>9525216.5448797718</v>
      </c>
      <c r="G59" s="72"/>
      <c r="H59" s="72"/>
      <c r="I59" s="77">
        <v>0.06</v>
      </c>
      <c r="J59" s="70">
        <f t="shared" si="8"/>
        <v>326596</v>
      </c>
      <c r="K59" s="70"/>
      <c r="L59" s="72">
        <f t="shared" si="9"/>
        <v>82480.304384664036</v>
      </c>
      <c r="M59" s="72">
        <f t="shared" si="5"/>
        <v>1645532.4797712311</v>
      </c>
      <c r="N59" s="72">
        <f t="shared" si="2"/>
        <v>9169617.4906486757</v>
      </c>
      <c r="O59" s="71">
        <f t="shared" si="6"/>
        <v>9496213.4906486757</v>
      </c>
      <c r="P59" s="84">
        <f t="shared" si="3"/>
        <v>28.076331279772795</v>
      </c>
    </row>
    <row r="60" spans="2:16" s="61" customFormat="1">
      <c r="B60" s="69">
        <v>2074</v>
      </c>
      <c r="C60" s="57">
        <v>51</v>
      </c>
      <c r="D60" s="58" t="s">
        <v>99</v>
      </c>
      <c r="E60" s="70">
        <f t="shared" si="7"/>
        <v>326596</v>
      </c>
      <c r="F60" s="71">
        <f t="shared" si="4"/>
        <v>10186344.388286496</v>
      </c>
      <c r="G60" s="72"/>
      <c r="H60" s="72"/>
      <c r="I60" s="77">
        <v>0.06</v>
      </c>
      <c r="J60" s="70">
        <f t="shared" si="8"/>
        <v>326596</v>
      </c>
      <c r="K60" s="70"/>
      <c r="L60" s="72">
        <f t="shared" si="9"/>
        <v>84542.311994280622</v>
      </c>
      <c r="M60" s="72">
        <f t="shared" si="5"/>
        <v>1730074.7917655117</v>
      </c>
      <c r="N60" s="72">
        <f t="shared" si="2"/>
        <v>9829005.1508015338</v>
      </c>
      <c r="O60" s="71">
        <f t="shared" si="6"/>
        <v>10155601.150801534</v>
      </c>
      <c r="P60" s="84">
        <f t="shared" si="3"/>
        <v>30.095301690166242</v>
      </c>
    </row>
    <row r="61" spans="2:16" s="61" customFormat="1">
      <c r="B61" s="69">
        <v>2075</v>
      </c>
      <c r="C61" s="57">
        <v>52</v>
      </c>
      <c r="D61" s="58" t="s">
        <v>100</v>
      </c>
      <c r="E61" s="70">
        <f t="shared" si="7"/>
        <v>326596</v>
      </c>
      <c r="F61" s="71">
        <f t="shared" si="4"/>
        <v>10889380.273565471</v>
      </c>
      <c r="G61" s="72"/>
      <c r="H61" s="72"/>
      <c r="I61" s="77">
        <v>0.06</v>
      </c>
      <c r="J61" s="70">
        <f t="shared" si="8"/>
        <v>326596</v>
      </c>
      <c r="K61" s="70"/>
      <c r="L61" s="72">
        <f t="shared" si="9"/>
        <v>86655.86979413763</v>
      </c>
      <c r="M61" s="72">
        <f t="shared" si="5"/>
        <v>1816730.6615596493</v>
      </c>
      <c r="N61" s="72">
        <f t="shared" si="2"/>
        <v>10530196.441831412</v>
      </c>
      <c r="O61" s="71">
        <f t="shared" si="6"/>
        <v>10856792.441831412</v>
      </c>
      <c r="P61" s="84">
        <f t="shared" si="3"/>
        <v>32.242270088523469</v>
      </c>
    </row>
    <row r="62" spans="2:16" s="61" customFormat="1">
      <c r="B62" s="69">
        <v>2076</v>
      </c>
      <c r="C62" s="57">
        <v>53</v>
      </c>
      <c r="D62" s="58" t="s">
        <v>101</v>
      </c>
      <c r="E62" s="70">
        <f t="shared" si="7"/>
        <v>326596</v>
      </c>
      <c r="F62" s="71">
        <f t="shared" si="4"/>
        <v>11636894.69251073</v>
      </c>
      <c r="G62" s="72"/>
      <c r="H62" s="72"/>
      <c r="I62" s="77">
        <v>0.06</v>
      </c>
      <c r="J62" s="70">
        <f t="shared" si="8"/>
        <v>326596</v>
      </c>
      <c r="K62" s="70"/>
      <c r="L62" s="72">
        <f t="shared" si="9"/>
        <v>88822.266538991069</v>
      </c>
      <c r="M62" s="72">
        <f t="shared" si="5"/>
        <v>1905552.9280986404</v>
      </c>
      <c r="N62" s="72">
        <f t="shared" si="2"/>
        <v>11275755.590872627</v>
      </c>
      <c r="O62" s="71">
        <f t="shared" si="6"/>
        <v>11602351.590872627</v>
      </c>
      <c r="P62" s="84">
        <f t="shared" si="3"/>
        <v>34.525087848205814</v>
      </c>
    </row>
    <row r="63" spans="2:16" s="61" customFormat="1">
      <c r="B63" s="69">
        <v>2077</v>
      </c>
      <c r="C63" s="57">
        <v>54</v>
      </c>
      <c r="D63" s="58" t="s">
        <v>102</v>
      </c>
      <c r="E63" s="70">
        <f t="shared" si="7"/>
        <v>326596</v>
      </c>
      <c r="F63" s="71">
        <f t="shared" si="4"/>
        <v>12431613.766655989</v>
      </c>
      <c r="G63" s="72"/>
      <c r="H63" s="72"/>
      <c r="I63" s="77">
        <v>0.06</v>
      </c>
      <c r="J63" s="70">
        <f t="shared" si="8"/>
        <v>326596</v>
      </c>
      <c r="K63" s="70"/>
      <c r="L63" s="72">
        <f t="shared" si="9"/>
        <v>91042.823202465835</v>
      </c>
      <c r="M63" s="72">
        <f t="shared" si="5"/>
        <v>1996595.7513011063</v>
      </c>
      <c r="N63" s="72">
        <f t="shared" si="2"/>
        <v>12068402.078919599</v>
      </c>
      <c r="O63" s="71">
        <f t="shared" si="6"/>
        <v>12394998.078919599</v>
      </c>
      <c r="P63" s="84">
        <f t="shared" si="3"/>
        <v>36.952081712328379</v>
      </c>
    </row>
    <row r="64" spans="2:16" s="61" customFormat="1" ht="14.25" thickBot="1">
      <c r="B64" s="92">
        <v>2078</v>
      </c>
      <c r="C64" s="93">
        <v>55</v>
      </c>
      <c r="D64" s="94" t="s">
        <v>103</v>
      </c>
      <c r="E64" s="95">
        <f t="shared" si="7"/>
        <v>326596</v>
      </c>
      <c r="F64" s="96">
        <f t="shared" si="4"/>
        <v>13276428.620064829</v>
      </c>
      <c r="G64" s="97"/>
      <c r="H64" s="97"/>
      <c r="I64" s="98">
        <v>0.06</v>
      </c>
      <c r="J64" s="95">
        <f t="shared" si="8"/>
        <v>326596</v>
      </c>
      <c r="K64" s="95"/>
      <c r="L64" s="97">
        <f t="shared" si="9"/>
        <v>93318.893782527477</v>
      </c>
      <c r="M64" s="97">
        <f t="shared" si="5"/>
        <v>2089914.6450836337</v>
      </c>
      <c r="N64" s="97">
        <f t="shared" si="2"/>
        <v>12911019.991064256</v>
      </c>
      <c r="O64" s="96">
        <f t="shared" si="6"/>
        <v>13237615.991064256</v>
      </c>
      <c r="P64" s="99">
        <f t="shared" si="3"/>
        <v>39.532082423129054</v>
      </c>
    </row>
    <row r="65" spans="2:16" ht="21.75" customHeight="1">
      <c r="B65" s="302" t="s">
        <v>128</v>
      </c>
      <c r="C65" s="303"/>
      <c r="D65" s="303"/>
      <c r="E65" s="100">
        <f>E64</f>
        <v>326596</v>
      </c>
      <c r="F65" s="100">
        <f>F64</f>
        <v>13276428.620064829</v>
      </c>
      <c r="G65" s="100">
        <f>SUM(G10:G64)</f>
        <v>120000</v>
      </c>
      <c r="H65" s="100">
        <f>SUM(H10:H64)</f>
        <v>250000</v>
      </c>
      <c r="I65" s="101"/>
      <c r="J65" s="100">
        <f>J64</f>
        <v>326596</v>
      </c>
      <c r="K65" s="100"/>
      <c r="L65" s="100"/>
      <c r="M65" s="100"/>
      <c r="N65" s="100">
        <f>SUM(N10:N64)</f>
        <v>172625818.44565749</v>
      </c>
      <c r="O65" s="100">
        <f t="shared" ref="O65" si="10">O64</f>
        <v>13237615.991064256</v>
      </c>
      <c r="P65" s="102"/>
    </row>
    <row r="66" spans="2:16" ht="53.25" customHeight="1">
      <c r="D66" s="53"/>
      <c r="E66" s="54"/>
      <c r="F66" s="54"/>
      <c r="G66" s="54"/>
      <c r="H66" s="54"/>
      <c r="I66" s="53"/>
      <c r="J66" s="54"/>
      <c r="K66" s="54"/>
      <c r="L66" s="54"/>
      <c r="M66" s="54"/>
      <c r="N66" s="54"/>
      <c r="O66" s="54"/>
    </row>
    <row r="67" spans="2:16" ht="49.5" customHeight="1">
      <c r="D67" s="53"/>
      <c r="E67" s="304" t="s">
        <v>142</v>
      </c>
      <c r="F67" s="304"/>
      <c r="G67" s="54"/>
      <c r="H67" s="54"/>
      <c r="I67" s="53"/>
      <c r="K67" s="54"/>
      <c r="L67" s="52" t="s">
        <v>139</v>
      </c>
      <c r="M67" s="54"/>
      <c r="N67" s="54"/>
      <c r="O67" s="54"/>
    </row>
    <row r="68" spans="2:16">
      <c r="L68" s="52" t="s">
        <v>123</v>
      </c>
    </row>
    <row r="69" spans="2:16">
      <c r="L69" s="52" t="s">
        <v>138</v>
      </c>
    </row>
    <row r="70" spans="2:16">
      <c r="J70" s="54" t="s">
        <v>119</v>
      </c>
    </row>
    <row r="71" spans="2:16">
      <c r="J71" s="52" t="s">
        <v>120</v>
      </c>
    </row>
    <row r="72" spans="2:16">
      <c r="I72" s="51" t="s">
        <v>124</v>
      </c>
    </row>
    <row r="73" spans="2:16">
      <c r="I73" s="51" t="s">
        <v>125</v>
      </c>
    </row>
    <row r="74" spans="2:16">
      <c r="I74" s="51" t="s">
        <v>126</v>
      </c>
    </row>
    <row r="75" spans="2:16">
      <c r="G75" s="52" t="s">
        <v>140</v>
      </c>
    </row>
    <row r="76" spans="2:16">
      <c r="G76" s="52" t="s">
        <v>141</v>
      </c>
    </row>
  </sheetData>
  <mergeCells count="28">
    <mergeCell ref="B65:D65"/>
    <mergeCell ref="E67:F67"/>
    <mergeCell ref="G4:H4"/>
    <mergeCell ref="G5:H5"/>
    <mergeCell ref="G6:H6"/>
    <mergeCell ref="B8:D8"/>
    <mergeCell ref="E8:F8"/>
    <mergeCell ref="L6:M6"/>
    <mergeCell ref="N3:O3"/>
    <mergeCell ref="N4:O4"/>
    <mergeCell ref="N6:O6"/>
    <mergeCell ref="G8:P8"/>
    <mergeCell ref="B3:C3"/>
    <mergeCell ref="B4:C4"/>
    <mergeCell ref="B5:C5"/>
    <mergeCell ref="B6:C6"/>
    <mergeCell ref="L3:M3"/>
    <mergeCell ref="L4:M4"/>
    <mergeCell ref="L5:M5"/>
    <mergeCell ref="D3:E3"/>
    <mergeCell ref="D4:E4"/>
    <mergeCell ref="D5:E5"/>
    <mergeCell ref="D6:E6"/>
    <mergeCell ref="I3:J3"/>
    <mergeCell ref="I4:J4"/>
    <mergeCell ref="I5:J5"/>
    <mergeCell ref="I6:J6"/>
    <mergeCell ref="G3:H3"/>
  </mergeCells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44729-218D-4AF6-846F-525333D7154F}">
  <sheetPr>
    <tabColor theme="8" tint="0.59999389629810485"/>
    <pageSetUpPr fitToPage="1"/>
  </sheetPr>
  <dimension ref="B1:EH772"/>
  <sheetViews>
    <sheetView showGridLines="0" tabSelected="1" topLeftCell="CK6" zoomScale="85" zoomScaleNormal="85" workbookViewId="0">
      <selection activeCell="EF24" sqref="EF24"/>
    </sheetView>
  </sheetViews>
  <sheetFormatPr defaultColWidth="8.625" defaultRowHeight="16.5"/>
  <cols>
    <col min="1" max="10" width="3.75" style="104" customWidth="1"/>
    <col min="11" max="13" width="5.875" style="104" customWidth="1"/>
    <col min="14" max="19" width="3.75" style="104" customWidth="1"/>
    <col min="20" max="21" width="8.625" style="104"/>
    <col min="22" max="22" width="3.625" style="104" customWidth="1"/>
    <col min="23" max="126" width="3.75" style="104" customWidth="1"/>
    <col min="127" max="128" width="3.875" style="104" customWidth="1"/>
    <col min="129" max="130" width="8.125" style="104" customWidth="1"/>
    <col min="131" max="131" width="2.875" style="104" customWidth="1"/>
    <col min="132" max="132" width="14.375" style="104" customWidth="1"/>
    <col min="133" max="133" width="2.875" style="104" customWidth="1"/>
    <col min="134" max="134" width="13.625" style="104" bestFit="1" customWidth="1"/>
    <col min="135" max="135" width="2.875" style="104" customWidth="1"/>
    <col min="136" max="136" width="14.625" style="104" customWidth="1"/>
    <col min="137" max="137" width="2.75" style="104" customWidth="1"/>
    <col min="138" max="138" width="16.625" style="104" bestFit="1" customWidth="1"/>
    <col min="139" max="139" width="2.375" style="104" customWidth="1"/>
    <col min="140" max="142" width="9.25" style="104" customWidth="1"/>
    <col min="143" max="16384" width="8.625" style="104"/>
  </cols>
  <sheetData>
    <row r="1" spans="2:138" ht="15" customHeight="1"/>
    <row r="2" spans="2:138" ht="20.25" customHeight="1"/>
    <row r="3" spans="2:138" ht="20.25" customHeight="1"/>
    <row r="4" spans="2:138" ht="20.25" customHeight="1"/>
    <row r="5" spans="2:138" ht="15.95" customHeight="1"/>
    <row r="6" spans="2:138" ht="20.25" customHeight="1"/>
    <row r="7" spans="2:138" ht="24.6" customHeight="1">
      <c r="B7" s="162" t="s">
        <v>170</v>
      </c>
      <c r="C7" s="162"/>
      <c r="D7" s="162"/>
      <c r="E7" s="162"/>
      <c r="F7" s="170"/>
      <c r="G7" s="170"/>
      <c r="W7" s="260" t="s">
        <v>165</v>
      </c>
      <c r="X7" s="260"/>
      <c r="Y7" s="260"/>
      <c r="Z7" s="260"/>
      <c r="AA7" s="260"/>
      <c r="AB7" s="260"/>
      <c r="AC7" s="260"/>
      <c r="AD7" s="260"/>
      <c r="AE7" s="260"/>
      <c r="BF7" s="162" t="s">
        <v>166</v>
      </c>
      <c r="BG7" s="162"/>
      <c r="BH7" s="162"/>
      <c r="BI7" s="162"/>
      <c r="CO7" s="162" t="s">
        <v>168</v>
      </c>
      <c r="CP7" s="162"/>
      <c r="CQ7" s="162"/>
      <c r="CR7" s="162"/>
      <c r="DY7" s="162" t="s">
        <v>179</v>
      </c>
      <c r="DZ7" s="162"/>
      <c r="EA7" s="162"/>
    </row>
    <row r="8" spans="2:138" ht="11.25" customHeight="1"/>
    <row r="9" spans="2:138" ht="30" customHeight="1" thickBot="1">
      <c r="B9" s="205" t="s">
        <v>171</v>
      </c>
      <c r="C9" s="206"/>
      <c r="D9" s="206"/>
      <c r="E9" s="207"/>
      <c r="F9" s="205" t="s">
        <v>10</v>
      </c>
      <c r="G9" s="206"/>
      <c r="H9" s="206"/>
      <c r="I9" s="206"/>
      <c r="J9" s="207"/>
      <c r="K9" s="205" t="s">
        <v>153</v>
      </c>
      <c r="L9" s="206"/>
      <c r="M9" s="207"/>
      <c r="N9" s="205" t="s">
        <v>30</v>
      </c>
      <c r="O9" s="206"/>
      <c r="P9" s="206"/>
      <c r="Q9" s="207"/>
      <c r="R9" s="205" t="s">
        <v>169</v>
      </c>
      <c r="S9" s="206"/>
      <c r="T9" s="207"/>
      <c r="W9" s="227" t="s">
        <v>143</v>
      </c>
      <c r="X9" s="228"/>
      <c r="Y9" s="228"/>
      <c r="Z9" s="234">
        <v>9800000000</v>
      </c>
      <c r="AA9" s="234"/>
      <c r="AB9" s="234"/>
      <c r="AC9" s="235"/>
      <c r="AD9" s="111"/>
      <c r="AE9" s="227" t="s">
        <v>144</v>
      </c>
      <c r="AF9" s="228"/>
      <c r="AG9" s="228"/>
      <c r="AH9" s="228"/>
      <c r="AI9" s="236">
        <v>0.02</v>
      </c>
      <c r="AJ9" s="237"/>
      <c r="AL9" s="227" t="s">
        <v>145</v>
      </c>
      <c r="AM9" s="228"/>
      <c r="AN9" s="228"/>
      <c r="AO9" s="228"/>
      <c r="AP9" s="225">
        <f>BA23-Y23</f>
        <v>57</v>
      </c>
      <c r="AQ9" s="226"/>
      <c r="AS9" s="227" t="s">
        <v>146</v>
      </c>
      <c r="AT9" s="228"/>
      <c r="AU9" s="228"/>
      <c r="AV9" s="229">
        <f>AZ9*12</f>
        <v>287807615.32802033</v>
      </c>
      <c r="AW9" s="229"/>
      <c r="AX9" s="229"/>
      <c r="AY9" s="230"/>
      <c r="AZ9" s="231">
        <f>PMT(AI9/12,AP9*12,-Z9,0,1)</f>
        <v>23983967.944001697</v>
      </c>
      <c r="BA9" s="232"/>
      <c r="BB9" s="232"/>
      <c r="BC9" s="233"/>
      <c r="BF9" s="227" t="s">
        <v>143</v>
      </c>
      <c r="BG9" s="228"/>
      <c r="BH9" s="228"/>
      <c r="BI9" s="234">
        <f>Z9</f>
        <v>9800000000</v>
      </c>
      <c r="BJ9" s="234"/>
      <c r="BK9" s="234"/>
      <c r="BL9" s="235"/>
      <c r="BM9" s="111"/>
      <c r="BN9" s="227" t="s">
        <v>144</v>
      </c>
      <c r="BO9" s="228"/>
      <c r="BP9" s="228"/>
      <c r="BQ9" s="228"/>
      <c r="BR9" s="236">
        <f>AI9</f>
        <v>0.02</v>
      </c>
      <c r="BS9" s="237"/>
      <c r="BU9" s="227" t="s">
        <v>145</v>
      </c>
      <c r="BV9" s="228"/>
      <c r="BW9" s="228"/>
      <c r="BX9" s="228"/>
      <c r="BY9" s="225">
        <v>20</v>
      </c>
      <c r="BZ9" s="226"/>
      <c r="CB9" s="227" t="s">
        <v>146</v>
      </c>
      <c r="CC9" s="228"/>
      <c r="CD9" s="228"/>
      <c r="CE9" s="229">
        <f>CI9*12</f>
        <v>593928920.4789263</v>
      </c>
      <c r="CF9" s="229"/>
      <c r="CG9" s="229"/>
      <c r="CH9" s="230"/>
      <c r="CI9" s="231">
        <f>PMT(BR9/12,BY9*12,-BI9,0,1)</f>
        <v>49494076.706577189</v>
      </c>
      <c r="CJ9" s="232"/>
      <c r="CK9" s="232"/>
      <c r="CL9" s="233"/>
      <c r="CO9" s="227" t="s">
        <v>143</v>
      </c>
      <c r="CP9" s="228"/>
      <c r="CQ9" s="228"/>
      <c r="CR9" s="234">
        <f>BI9</f>
        <v>9800000000</v>
      </c>
      <c r="CS9" s="234"/>
      <c r="CT9" s="234"/>
      <c r="CU9" s="235"/>
      <c r="CV9" s="111"/>
      <c r="CW9" s="227" t="s">
        <v>144</v>
      </c>
      <c r="CX9" s="228"/>
      <c r="CY9" s="228"/>
      <c r="CZ9" s="228"/>
      <c r="DA9" s="236">
        <v>0.04</v>
      </c>
      <c r="DB9" s="237"/>
      <c r="DD9" s="227" t="s">
        <v>145</v>
      </c>
      <c r="DE9" s="228"/>
      <c r="DF9" s="228"/>
      <c r="DG9" s="228"/>
      <c r="DH9" s="225">
        <v>40</v>
      </c>
      <c r="DI9" s="226"/>
      <c r="DK9" s="227" t="s">
        <v>146</v>
      </c>
      <c r="DL9" s="228"/>
      <c r="DM9" s="228"/>
      <c r="DN9" s="229">
        <f>CR9*DA9</f>
        <v>392000000</v>
      </c>
      <c r="DO9" s="229"/>
      <c r="DP9" s="229"/>
      <c r="DQ9" s="230"/>
      <c r="DR9" s="231">
        <f>DN9/12</f>
        <v>32666666.666666668</v>
      </c>
      <c r="DS9" s="232"/>
      <c r="DT9" s="232"/>
      <c r="DU9" s="233"/>
      <c r="DY9" s="185" t="s">
        <v>180</v>
      </c>
      <c r="DZ9" s="186"/>
      <c r="EA9" s="105"/>
      <c r="EB9" s="172" t="s">
        <v>181</v>
      </c>
      <c r="EC9" s="105"/>
      <c r="ED9" s="172" t="s">
        <v>117</v>
      </c>
      <c r="EE9" s="105"/>
      <c r="EF9" s="183" t="s">
        <v>183</v>
      </c>
      <c r="EG9" s="183"/>
      <c r="EH9" s="183"/>
    </row>
    <row r="10" spans="2:138" ht="11.25" customHeight="1">
      <c r="B10" s="187" t="s">
        <v>165</v>
      </c>
      <c r="C10" s="188"/>
      <c r="D10" s="188"/>
      <c r="E10" s="189"/>
      <c r="F10" s="187" t="s">
        <v>176</v>
      </c>
      <c r="G10" s="188"/>
      <c r="H10" s="188"/>
      <c r="I10" s="188"/>
      <c r="J10" s="189"/>
      <c r="K10" s="199">
        <f>AZ9</f>
        <v>23983967.944001697</v>
      </c>
      <c r="L10" s="200"/>
      <c r="M10" s="201"/>
      <c r="N10" s="193" t="s">
        <v>172</v>
      </c>
      <c r="O10" s="194"/>
      <c r="P10" s="194"/>
      <c r="Q10" s="195"/>
      <c r="R10" s="187" t="s">
        <v>174</v>
      </c>
      <c r="S10" s="188"/>
      <c r="T10" s="189"/>
      <c r="W10" s="112"/>
      <c r="X10" s="112"/>
      <c r="Y10" s="112"/>
      <c r="Z10" s="113"/>
      <c r="AA10" s="113"/>
      <c r="AB10" s="113"/>
      <c r="AC10" s="113"/>
      <c r="AD10" s="111"/>
      <c r="AE10" s="112"/>
      <c r="AF10" s="112"/>
      <c r="AG10" s="112"/>
      <c r="AH10" s="114"/>
      <c r="AI10" s="114"/>
      <c r="AJ10" s="111"/>
      <c r="AK10" s="112"/>
      <c r="AL10" s="112"/>
      <c r="AM10" s="112"/>
      <c r="AN10" s="112"/>
      <c r="AO10" s="115"/>
      <c r="AP10" s="115"/>
      <c r="AQ10" s="111"/>
      <c r="AR10" s="112"/>
      <c r="AS10" s="112"/>
      <c r="AT10" s="112"/>
      <c r="AU10" s="116"/>
      <c r="AV10" s="116"/>
      <c r="AW10" s="116"/>
      <c r="AX10" s="116"/>
      <c r="AY10" s="117"/>
      <c r="AZ10" s="117"/>
      <c r="BA10" s="117"/>
      <c r="BB10" s="117"/>
      <c r="DY10" s="105"/>
      <c r="DZ10" s="105"/>
      <c r="EA10" s="105"/>
      <c r="EB10" s="105"/>
      <c r="EC10" s="105"/>
      <c r="ED10" s="105"/>
      <c r="EE10" s="105"/>
    </row>
    <row r="11" spans="2:138" ht="27" customHeight="1">
      <c r="B11" s="190"/>
      <c r="C11" s="191"/>
      <c r="D11" s="191"/>
      <c r="E11" s="192"/>
      <c r="F11" s="190"/>
      <c r="G11" s="191"/>
      <c r="H11" s="191"/>
      <c r="I11" s="191"/>
      <c r="J11" s="192"/>
      <c r="K11" s="202"/>
      <c r="L11" s="203"/>
      <c r="M11" s="204"/>
      <c r="N11" s="196"/>
      <c r="O11" s="197"/>
      <c r="P11" s="197"/>
      <c r="Q11" s="198"/>
      <c r="R11" s="190"/>
      <c r="S11" s="191"/>
      <c r="T11" s="192"/>
      <c r="W11" s="106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  <c r="AU11" s="107"/>
      <c r="AV11" s="107"/>
      <c r="AW11" s="107"/>
      <c r="AX11" s="107"/>
      <c r="AY11" s="107"/>
      <c r="AZ11" s="107"/>
      <c r="BA11" s="107"/>
      <c r="BB11" s="107"/>
      <c r="BC11" s="108"/>
      <c r="BF11" s="106"/>
      <c r="BG11" s="107"/>
      <c r="BH11" s="107"/>
      <c r="BI11" s="107"/>
      <c r="BJ11" s="107"/>
      <c r="BK11" s="107"/>
      <c r="BL11" s="107"/>
      <c r="BM11" s="107"/>
      <c r="BN11" s="107"/>
      <c r="BO11" s="107"/>
      <c r="BP11" s="107"/>
      <c r="BQ11" s="107"/>
      <c r="BR11" s="107"/>
      <c r="BS11" s="107"/>
      <c r="BT11" s="107"/>
      <c r="BU11" s="107"/>
      <c r="BV11" s="107"/>
      <c r="BW11" s="107"/>
      <c r="BX11" s="107"/>
      <c r="BY11" s="107"/>
      <c r="BZ11" s="107"/>
      <c r="CA11" s="107"/>
      <c r="CB11" s="107"/>
      <c r="CC11" s="107"/>
      <c r="CD11" s="107"/>
      <c r="CE11" s="107"/>
      <c r="CF11" s="107"/>
      <c r="CG11" s="107"/>
      <c r="CH11" s="107"/>
      <c r="CI11" s="107"/>
      <c r="CJ11" s="107"/>
      <c r="CK11" s="107"/>
      <c r="CL11" s="108"/>
      <c r="CO11" s="106"/>
      <c r="CP11" s="107"/>
      <c r="CQ11" s="107"/>
      <c r="CR11" s="107"/>
      <c r="CS11" s="107"/>
      <c r="CT11" s="107"/>
      <c r="CU11" s="107"/>
      <c r="CV11" s="107"/>
      <c r="CW11" s="107"/>
      <c r="CX11" s="107"/>
      <c r="CY11" s="107"/>
      <c r="CZ11" s="107"/>
      <c r="DA11" s="107"/>
      <c r="DB11" s="107"/>
      <c r="DC11" s="107"/>
      <c r="DD11" s="107"/>
      <c r="DE11" s="107"/>
      <c r="DF11" s="107"/>
      <c r="DG11" s="107"/>
      <c r="DH11" s="107"/>
      <c r="DI11" s="107"/>
      <c r="DJ11" s="107"/>
      <c r="DK11" s="107"/>
      <c r="DL11" s="107"/>
      <c r="DM11" s="107"/>
      <c r="DN11" s="107"/>
      <c r="DO11" s="107"/>
      <c r="DP11" s="107"/>
      <c r="DQ11" s="107"/>
      <c r="DR11" s="107"/>
      <c r="DS11" s="107"/>
      <c r="DT11" s="107"/>
      <c r="DU11" s="108"/>
      <c r="DY11" s="184">
        <f>CR9</f>
        <v>9800000000</v>
      </c>
      <c r="DZ11" s="184"/>
      <c r="EA11" s="105"/>
      <c r="EB11" s="172" t="s">
        <v>182</v>
      </c>
      <c r="EC11" s="105"/>
      <c r="ED11" s="174">
        <v>0.06</v>
      </c>
      <c r="EE11" s="105"/>
      <c r="EF11" s="172" t="s">
        <v>184</v>
      </c>
      <c r="EG11" s="183">
        <v>10</v>
      </c>
      <c r="EH11" s="183"/>
    </row>
    <row r="12" spans="2:138" ht="30" customHeight="1" thickBot="1">
      <c r="B12" s="187" t="s">
        <v>166</v>
      </c>
      <c r="C12" s="188"/>
      <c r="D12" s="188"/>
      <c r="E12" s="189"/>
      <c r="F12" s="187" t="s">
        <v>176</v>
      </c>
      <c r="G12" s="188"/>
      <c r="H12" s="188"/>
      <c r="I12" s="188"/>
      <c r="J12" s="189"/>
      <c r="K12" s="199">
        <f>CI9</f>
        <v>49494076.706577189</v>
      </c>
      <c r="L12" s="200"/>
      <c r="M12" s="201"/>
      <c r="N12" s="187" t="s">
        <v>173</v>
      </c>
      <c r="O12" s="188"/>
      <c r="P12" s="188"/>
      <c r="Q12" s="189"/>
      <c r="R12" s="187" t="s">
        <v>209</v>
      </c>
      <c r="S12" s="188"/>
      <c r="T12" s="189"/>
      <c r="W12" s="109"/>
      <c r="AG12" s="227" t="s">
        <v>147</v>
      </c>
      <c r="AH12" s="228"/>
      <c r="AI12" s="225">
        <v>10</v>
      </c>
      <c r="AJ12" s="226"/>
      <c r="AQ12" s="227" t="s">
        <v>147</v>
      </c>
      <c r="AR12" s="228"/>
      <c r="AS12" s="225">
        <v>40</v>
      </c>
      <c r="AT12" s="226"/>
      <c r="BC12" s="110"/>
      <c r="BF12" s="109"/>
      <c r="BZ12" s="227" t="s">
        <v>147</v>
      </c>
      <c r="CA12" s="228"/>
      <c r="CB12" s="225">
        <f>BY9</f>
        <v>20</v>
      </c>
      <c r="CC12" s="226"/>
      <c r="CL12" s="110"/>
      <c r="CO12" s="109"/>
      <c r="CP12" s="219" t="s">
        <v>167</v>
      </c>
      <c r="CQ12" s="220"/>
      <c r="CR12" s="220"/>
      <c r="CS12" s="221">
        <f>CR9</f>
        <v>9800000000</v>
      </c>
      <c r="CT12" s="222"/>
      <c r="CU12" s="222"/>
      <c r="CV12" s="223"/>
      <c r="DB12" s="227" t="s">
        <v>147</v>
      </c>
      <c r="DC12" s="228"/>
      <c r="DD12" s="225">
        <f>DH9</f>
        <v>40</v>
      </c>
      <c r="DE12" s="226"/>
      <c r="DN12" s="219" t="s">
        <v>169</v>
      </c>
      <c r="DO12" s="220"/>
      <c r="DP12" s="220"/>
      <c r="DQ12" s="221">
        <f>CR9</f>
        <v>9800000000</v>
      </c>
      <c r="DR12" s="222"/>
      <c r="DS12" s="222"/>
      <c r="DT12" s="223"/>
      <c r="DU12" s="110"/>
      <c r="DY12" s="105"/>
      <c r="DZ12" s="105"/>
      <c r="EA12" s="105"/>
      <c r="EB12" s="105"/>
      <c r="EC12" s="105"/>
      <c r="ED12" s="105"/>
      <c r="EE12" s="105"/>
      <c r="EF12" s="172" t="s">
        <v>185</v>
      </c>
      <c r="EG12" s="183">
        <v>25</v>
      </c>
      <c r="EH12" s="183"/>
    </row>
    <row r="13" spans="2:138" ht="6.95" customHeight="1" thickBot="1">
      <c r="B13" s="190"/>
      <c r="C13" s="191"/>
      <c r="D13" s="191"/>
      <c r="E13" s="192"/>
      <c r="F13" s="190"/>
      <c r="G13" s="191"/>
      <c r="H13" s="191"/>
      <c r="I13" s="191"/>
      <c r="J13" s="192"/>
      <c r="K13" s="202"/>
      <c r="L13" s="203"/>
      <c r="M13" s="204"/>
      <c r="N13" s="190"/>
      <c r="O13" s="191"/>
      <c r="P13" s="191"/>
      <c r="Q13" s="192"/>
      <c r="R13" s="190"/>
      <c r="S13" s="191"/>
      <c r="T13" s="192"/>
      <c r="W13" s="109"/>
      <c r="AI13" s="111"/>
      <c r="AJ13" s="111"/>
      <c r="AK13" s="111"/>
      <c r="AL13" s="111"/>
      <c r="BC13" s="110"/>
      <c r="BF13" s="109"/>
      <c r="BR13" s="111"/>
      <c r="BS13" s="111"/>
      <c r="BT13" s="111"/>
      <c r="BU13" s="111"/>
      <c r="CL13" s="110"/>
      <c r="CO13" s="109"/>
      <c r="DA13" s="111"/>
      <c r="DB13" s="111"/>
      <c r="DC13" s="111"/>
      <c r="DD13" s="111"/>
      <c r="DU13" s="110"/>
      <c r="DY13" s="105"/>
      <c r="DZ13" s="105"/>
      <c r="EA13" s="105"/>
      <c r="EB13" s="105"/>
      <c r="EC13" s="105"/>
      <c r="ED13" s="105"/>
      <c r="EE13" s="105"/>
    </row>
    <row r="14" spans="2:138" ht="30" customHeight="1" thickTop="1">
      <c r="B14" s="212" t="s">
        <v>178</v>
      </c>
      <c r="C14" s="208"/>
      <c r="D14" s="208"/>
      <c r="E14" s="186"/>
      <c r="F14" s="185" t="s">
        <v>177</v>
      </c>
      <c r="G14" s="208"/>
      <c r="H14" s="208"/>
      <c r="I14" s="208"/>
      <c r="J14" s="186"/>
      <c r="K14" s="209">
        <f>DR9</f>
        <v>32666666.666666668</v>
      </c>
      <c r="L14" s="210"/>
      <c r="M14" s="211"/>
      <c r="N14" s="185" t="s">
        <v>172</v>
      </c>
      <c r="O14" s="208"/>
      <c r="P14" s="208"/>
      <c r="Q14" s="186"/>
      <c r="R14" s="185" t="s">
        <v>175</v>
      </c>
      <c r="S14" s="208"/>
      <c r="T14" s="186"/>
      <c r="W14" s="109"/>
      <c r="Z14" s="258" t="s">
        <v>148</v>
      </c>
      <c r="AA14" s="259"/>
      <c r="AB14" s="118"/>
      <c r="AC14" s="118"/>
      <c r="AD14" s="118"/>
      <c r="AE14" s="118"/>
      <c r="AF14" s="118"/>
      <c r="AG14" s="118"/>
      <c r="AH14" s="118"/>
      <c r="AI14" s="120"/>
      <c r="AJ14" s="118"/>
      <c r="AK14" s="118"/>
      <c r="AL14" s="118"/>
      <c r="AM14" s="118"/>
      <c r="AN14" s="118"/>
      <c r="AO14" s="118"/>
      <c r="AP14" s="118"/>
      <c r="AQ14" s="118"/>
      <c r="AR14" s="118"/>
      <c r="AS14" s="120"/>
      <c r="AT14" s="118"/>
      <c r="AU14" s="118"/>
      <c r="AV14" s="118"/>
      <c r="AW14" s="118"/>
      <c r="AX14" s="118"/>
      <c r="AY14" s="118"/>
      <c r="AZ14" s="118"/>
      <c r="BA14" s="119"/>
      <c r="BC14" s="110"/>
      <c r="BF14" s="109"/>
      <c r="BI14" s="164"/>
      <c r="BJ14" s="165"/>
      <c r="BK14" s="118"/>
      <c r="BL14" s="118"/>
      <c r="BM14" s="118"/>
      <c r="BN14" s="118"/>
      <c r="BO14" s="118"/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121"/>
      <c r="CL14" s="110"/>
      <c r="CO14" s="109"/>
      <c r="CR14" s="169"/>
      <c r="CS14" s="165"/>
      <c r="CT14" s="118"/>
      <c r="CU14" s="118"/>
      <c r="CV14" s="118"/>
      <c r="CW14" s="118"/>
      <c r="CX14" s="118"/>
      <c r="CY14" s="118"/>
      <c r="CZ14" s="118"/>
      <c r="DA14" s="118"/>
      <c r="DB14" s="118"/>
      <c r="DC14" s="118"/>
      <c r="DD14" s="118"/>
      <c r="DE14" s="118"/>
      <c r="DF14" s="118"/>
      <c r="DG14" s="118"/>
      <c r="DH14" s="118"/>
      <c r="DI14" s="118"/>
      <c r="DJ14" s="118"/>
      <c r="DK14" s="118"/>
      <c r="DL14" s="118"/>
      <c r="DM14" s="118"/>
      <c r="DN14" s="118"/>
      <c r="DO14" s="118"/>
      <c r="DP14" s="118"/>
      <c r="DQ14" s="119"/>
      <c r="DU14" s="110"/>
      <c r="DY14" s="312"/>
      <c r="DZ14" s="312"/>
      <c r="EA14" s="312"/>
      <c r="EB14" s="312"/>
      <c r="EC14" s="312"/>
      <c r="ED14" s="312"/>
      <c r="EE14" s="312"/>
      <c r="EF14" s="312"/>
      <c r="EG14" s="312"/>
      <c r="EH14" s="312"/>
    </row>
    <row r="15" spans="2:138" ht="30" customHeight="1" thickBot="1">
      <c r="W15" s="109"/>
      <c r="Z15" s="121"/>
      <c r="AA15" s="241" t="s">
        <v>149</v>
      </c>
      <c r="AB15" s="242"/>
      <c r="AC15" s="242"/>
      <c r="AD15" s="238">
        <f>Z9-AM15</f>
        <v>1035302695.7127151</v>
      </c>
      <c r="AE15" s="239"/>
      <c r="AF15" s="239"/>
      <c r="AG15" s="243"/>
      <c r="AI15" s="123"/>
      <c r="AJ15" s="241" t="s">
        <v>150</v>
      </c>
      <c r="AK15" s="242"/>
      <c r="AL15" s="242"/>
      <c r="AM15" s="238">
        <f>AC34</f>
        <v>8764697304.2872849</v>
      </c>
      <c r="AN15" s="239"/>
      <c r="AO15" s="239"/>
      <c r="AP15" s="243"/>
      <c r="AQ15" s="111"/>
      <c r="AR15" s="111"/>
      <c r="AS15" s="123"/>
      <c r="AT15" s="241" t="s">
        <v>150</v>
      </c>
      <c r="AU15" s="242"/>
      <c r="AV15" s="242"/>
      <c r="AW15" s="238">
        <f>AI34</f>
        <v>4144835530.8563643</v>
      </c>
      <c r="AX15" s="239"/>
      <c r="AY15" s="239"/>
      <c r="AZ15" s="243"/>
      <c r="BB15" s="121"/>
      <c r="BC15" s="110"/>
      <c r="BF15" s="109"/>
      <c r="BI15" s="121"/>
      <c r="BJ15" s="133"/>
      <c r="BK15" s="133"/>
      <c r="BL15" s="133"/>
      <c r="BM15" s="133"/>
      <c r="BN15" s="133"/>
      <c r="BO15" s="133"/>
      <c r="BP15" s="133"/>
      <c r="BQ15" s="133"/>
      <c r="BR15" s="133"/>
      <c r="BS15" s="133"/>
      <c r="BZ15" s="111"/>
      <c r="CA15" s="111"/>
      <c r="CB15" s="123"/>
      <c r="CL15" s="110"/>
      <c r="CO15" s="109"/>
      <c r="CR15" s="124"/>
      <c r="CZ15" s="133"/>
      <c r="DA15" s="133"/>
      <c r="DB15" s="133"/>
      <c r="DI15" s="111"/>
      <c r="DJ15" s="111"/>
      <c r="DK15" s="111"/>
      <c r="DQ15" s="124"/>
      <c r="DU15" s="110"/>
      <c r="DY15" s="183" t="s">
        <v>186</v>
      </c>
      <c r="DZ15" s="183"/>
      <c r="EB15" s="172" t="s">
        <v>189</v>
      </c>
      <c r="EC15" s="105"/>
      <c r="ED15" s="171" t="s">
        <v>187</v>
      </c>
      <c r="EF15" s="171" t="s">
        <v>28</v>
      </c>
      <c r="EH15" s="171" t="s">
        <v>188</v>
      </c>
    </row>
    <row r="16" spans="2:138" ht="30" customHeight="1" thickBot="1">
      <c r="W16" s="109"/>
      <c r="Z16" s="121"/>
      <c r="AB16" s="111"/>
      <c r="AC16" s="111"/>
      <c r="AD16" s="111"/>
      <c r="AE16" s="111"/>
      <c r="AF16" s="111"/>
      <c r="AG16" s="111"/>
      <c r="AH16" s="111"/>
      <c r="AI16" s="123"/>
      <c r="AJ16" s="111"/>
      <c r="AK16" s="111"/>
      <c r="AL16" s="111"/>
      <c r="AM16" s="111"/>
      <c r="AN16" s="111"/>
      <c r="AO16" s="111"/>
      <c r="AS16" s="121"/>
      <c r="BB16" s="121"/>
      <c r="BC16" s="110"/>
      <c r="BF16" s="109"/>
      <c r="BI16" s="121"/>
      <c r="BJ16" s="133"/>
      <c r="BO16" s="241" t="s">
        <v>149</v>
      </c>
      <c r="BP16" s="242"/>
      <c r="BQ16" s="242"/>
      <c r="BR16" s="238">
        <f>BI9</f>
        <v>9800000000</v>
      </c>
      <c r="BS16" s="239"/>
      <c r="BT16" s="239"/>
      <c r="BU16" s="243"/>
      <c r="BV16" s="111"/>
      <c r="BW16" s="111"/>
      <c r="BX16" s="111"/>
      <c r="CB16" s="121"/>
      <c r="CL16" s="110"/>
      <c r="CO16" s="109"/>
      <c r="CR16" s="124"/>
      <c r="CS16" s="133"/>
      <c r="DE16" s="111"/>
      <c r="DF16" s="111"/>
      <c r="DG16" s="111"/>
      <c r="DQ16" s="124"/>
      <c r="DU16" s="110"/>
      <c r="DZ16" s="105"/>
      <c r="EA16" s="105"/>
      <c r="EB16" s="105"/>
      <c r="EC16" s="105"/>
    </row>
    <row r="17" spans="23:138" ht="30" customHeight="1">
      <c r="W17" s="109"/>
      <c r="Z17" s="256" t="s">
        <v>151</v>
      </c>
      <c r="AA17" s="257"/>
      <c r="AB17" s="111"/>
      <c r="AC17" s="111"/>
      <c r="AD17" s="111"/>
      <c r="AE17" s="111"/>
      <c r="AF17" s="111"/>
      <c r="AG17" s="111"/>
      <c r="AH17" s="111"/>
      <c r="AI17" s="123"/>
      <c r="AJ17" s="111"/>
      <c r="AK17" s="111"/>
      <c r="AL17" s="111"/>
      <c r="AM17" s="111"/>
      <c r="AN17" s="111"/>
      <c r="AO17" s="111"/>
      <c r="AP17" s="111"/>
      <c r="AQ17" s="111"/>
      <c r="AR17" s="111"/>
      <c r="AS17" s="123"/>
      <c r="BA17" s="124"/>
      <c r="BC17" s="110"/>
      <c r="BF17" s="109"/>
      <c r="BI17" s="163"/>
      <c r="BJ17" s="133"/>
      <c r="BP17" s="111"/>
      <c r="BQ17" s="111"/>
      <c r="BR17" s="111"/>
      <c r="BS17" s="111"/>
      <c r="BT17" s="111"/>
      <c r="BU17" s="111"/>
      <c r="BZ17" s="111"/>
      <c r="CA17" s="111"/>
      <c r="CB17" s="123"/>
      <c r="CL17" s="110"/>
      <c r="CO17" s="109"/>
      <c r="CR17" s="169"/>
      <c r="CS17" s="133"/>
      <c r="CY17" s="111"/>
      <c r="CZ17" s="111"/>
      <c r="DA17" s="111"/>
      <c r="DB17" s="111"/>
      <c r="DC17" s="111"/>
      <c r="DD17" s="111"/>
      <c r="DI17" s="111"/>
      <c r="DJ17" s="111"/>
      <c r="DK17" s="111"/>
      <c r="DQ17" s="124"/>
      <c r="DU17" s="110"/>
      <c r="DY17" s="182">
        <v>100000000</v>
      </c>
      <c r="DZ17" s="182"/>
      <c r="EA17" s="173"/>
      <c r="EB17" s="175">
        <f>($DY$11-FV($ED$11,$EG$11+$EG$12,0,-DY17))/(FV($ED$11,$EG$11,-1,0)*(1+$ED$11)^$EG$12)</f>
        <v>159649081.74982789</v>
      </c>
      <c r="EC17" s="105"/>
      <c r="ED17" s="177">
        <f>DR9</f>
        <v>32666666.666666668</v>
      </c>
      <c r="EF17" s="174">
        <v>0.02</v>
      </c>
      <c r="EH17" s="176">
        <f>FV(EF17,40,$ED$17*12,-$DY$11,1)</f>
        <v>-2512340251.5625687</v>
      </c>
    </row>
    <row r="18" spans="23:138" ht="30" customHeight="1" thickBot="1">
      <c r="W18" s="109"/>
      <c r="Z18" s="121"/>
      <c r="AB18" s="111"/>
      <c r="AC18" s="111"/>
      <c r="AD18" s="111"/>
      <c r="AE18" s="111"/>
      <c r="AF18" s="111"/>
      <c r="AG18" s="111"/>
      <c r="AH18" s="111"/>
      <c r="AI18" s="123"/>
      <c r="AJ18" s="111"/>
      <c r="AK18" s="111"/>
      <c r="AL18" s="111"/>
      <c r="AM18" s="111"/>
      <c r="AN18" s="111"/>
      <c r="AO18" s="111"/>
      <c r="AP18" s="111"/>
      <c r="AQ18" s="111"/>
      <c r="AR18" s="111"/>
      <c r="AS18" s="123"/>
      <c r="AT18" s="111"/>
      <c r="AU18" s="111"/>
      <c r="AV18" s="111"/>
      <c r="BA18" s="124"/>
      <c r="BC18" s="110"/>
      <c r="BF18" s="109"/>
      <c r="BI18" s="121"/>
      <c r="BJ18" s="132"/>
      <c r="BV18" s="111"/>
      <c r="BW18" s="111"/>
      <c r="BX18" s="111"/>
      <c r="BY18" s="111"/>
      <c r="BZ18" s="111"/>
      <c r="CA18" s="111"/>
      <c r="CB18" s="123"/>
      <c r="CC18" s="111"/>
      <c r="CD18" s="111"/>
      <c r="CE18" s="111"/>
      <c r="CL18" s="110"/>
      <c r="CO18" s="109"/>
      <c r="CR18" s="124"/>
      <c r="CS18" s="132"/>
      <c r="DE18" s="111"/>
      <c r="DF18" s="111"/>
      <c r="DG18" s="111"/>
      <c r="DH18" s="111"/>
      <c r="DI18" s="111"/>
      <c r="DJ18" s="111"/>
      <c r="DK18" s="111"/>
      <c r="DL18" s="111"/>
      <c r="DM18" s="111"/>
      <c r="DN18" s="111"/>
      <c r="DQ18" s="124"/>
      <c r="DU18" s="110"/>
      <c r="DY18" s="182">
        <v>200000000</v>
      </c>
      <c r="DZ18" s="182"/>
      <c r="EA18" s="173"/>
      <c r="EB18" s="175">
        <f>($DY$11-FV($ED$11,$EG$11+$EG$12,0,-DY18))/(FV($ED$11,$EG$11,-1,0)*(1+$ED$11)^$EG$12)</f>
        <v>146062285.92778954</v>
      </c>
      <c r="EF18" s="174">
        <v>0.03</v>
      </c>
      <c r="EH18" s="176">
        <f>FV(EF18,40,$ED$17*12,-$DY$11,1)</f>
        <v>1523957731.6727257</v>
      </c>
    </row>
    <row r="19" spans="23:138" ht="30" customHeight="1" thickTop="1" thickBot="1">
      <c r="W19" s="109"/>
      <c r="Z19" s="121"/>
      <c r="AA19" s="241" t="s">
        <v>152</v>
      </c>
      <c r="AB19" s="242"/>
      <c r="AC19" s="242"/>
      <c r="AD19" s="238">
        <f>Z39*AI12*12-AD15</f>
        <v>1842773457.5674887</v>
      </c>
      <c r="AE19" s="239"/>
      <c r="AF19" s="239"/>
      <c r="AG19" s="243"/>
      <c r="AI19" s="123"/>
      <c r="AJ19" s="111"/>
      <c r="AK19" s="111"/>
      <c r="AL19" s="111"/>
      <c r="AM19" s="111"/>
      <c r="AN19" s="111"/>
      <c r="AO19" s="111"/>
      <c r="AP19" s="111"/>
      <c r="AQ19" s="111"/>
      <c r="AR19" s="111"/>
      <c r="AS19" s="123"/>
      <c r="AT19" s="111"/>
      <c r="AU19" s="111"/>
      <c r="AV19" s="111"/>
      <c r="BA19" s="124"/>
      <c r="BC19" s="110"/>
      <c r="BF19" s="109"/>
      <c r="BI19" s="120"/>
      <c r="BJ19" s="166"/>
      <c r="BK19" s="118"/>
      <c r="BL19" s="118"/>
      <c r="BM19" s="118"/>
      <c r="BN19" s="118"/>
      <c r="BO19" s="118"/>
      <c r="BP19" s="118"/>
      <c r="BQ19" s="118"/>
      <c r="BR19" s="118"/>
      <c r="BS19" s="118"/>
      <c r="BT19" s="118"/>
      <c r="BU19" s="118"/>
      <c r="BV19" s="167"/>
      <c r="BW19" s="167"/>
      <c r="BX19" s="167"/>
      <c r="BY19" s="167"/>
      <c r="BZ19" s="167"/>
      <c r="CA19" s="168"/>
      <c r="CB19" s="123"/>
      <c r="CC19" s="111"/>
      <c r="CD19" s="111"/>
      <c r="CE19" s="111"/>
      <c r="CL19" s="110"/>
      <c r="CO19" s="109"/>
      <c r="CR19" s="124"/>
      <c r="CS19" s="166"/>
      <c r="CT19" s="118"/>
      <c r="CU19" s="118"/>
      <c r="CV19" s="118"/>
      <c r="CW19" s="118"/>
      <c r="CX19" s="118"/>
      <c r="CY19" s="118"/>
      <c r="CZ19" s="118"/>
      <c r="DA19" s="118"/>
      <c r="DB19" s="118"/>
      <c r="DC19" s="118"/>
      <c r="DD19" s="118"/>
      <c r="DE19" s="167"/>
      <c r="DF19" s="167"/>
      <c r="DG19" s="167"/>
      <c r="DH19" s="167"/>
      <c r="DI19" s="167"/>
      <c r="DJ19" s="167"/>
      <c r="DK19" s="167"/>
      <c r="DL19" s="167"/>
      <c r="DM19" s="167"/>
      <c r="DN19" s="167"/>
      <c r="DO19" s="118"/>
      <c r="DP19" s="118"/>
      <c r="DQ19" s="119"/>
      <c r="DU19" s="110"/>
      <c r="DY19" s="182">
        <v>300000000</v>
      </c>
      <c r="DZ19" s="182"/>
      <c r="EA19" s="173"/>
      <c r="EB19" s="175">
        <f>($DY$11-FV($ED$11,$EG$11+$EG$12,0,-DY19))/(FV($ED$11,$EG$11,-1,0)*(1+$ED$11)^$EG$12)</f>
        <v>132475490.10575117</v>
      </c>
      <c r="EF19" s="174">
        <v>0.04</v>
      </c>
      <c r="EH19" s="176">
        <f>FV(EF19,40,$ED$17*12,-$DY$11,1)</f>
        <v>8309999913.8488235</v>
      </c>
    </row>
    <row r="20" spans="23:138" ht="30" customHeight="1" thickBot="1">
      <c r="W20" s="109"/>
      <c r="Z20" s="121"/>
      <c r="AH20" s="111"/>
      <c r="AI20" s="123"/>
      <c r="AJ20" s="111"/>
      <c r="AK20" s="111"/>
      <c r="AL20" s="111"/>
      <c r="AM20" s="111"/>
      <c r="AN20" s="111"/>
      <c r="AO20" s="111"/>
      <c r="AP20" s="111"/>
      <c r="AQ20" s="111"/>
      <c r="AR20" s="111"/>
      <c r="AS20" s="123"/>
      <c r="AT20" s="111"/>
      <c r="AU20" s="111"/>
      <c r="AV20" s="111"/>
      <c r="BA20" s="124"/>
      <c r="BC20" s="110"/>
      <c r="BF20" s="109"/>
      <c r="BI20" s="121"/>
      <c r="BJ20" s="132"/>
      <c r="BK20" s="132"/>
      <c r="BL20" s="132"/>
      <c r="BM20" s="132"/>
      <c r="BN20" s="132"/>
      <c r="BO20" s="219" t="s">
        <v>152</v>
      </c>
      <c r="BP20" s="220"/>
      <c r="BQ20" s="220"/>
      <c r="BR20" s="221">
        <f>CI9*BY9*12-BI9</f>
        <v>2078578409.5785255</v>
      </c>
      <c r="BS20" s="222"/>
      <c r="BT20" s="222"/>
      <c r="BU20" s="223"/>
      <c r="BV20" s="111"/>
      <c r="BW20" s="111"/>
      <c r="BX20" s="111"/>
      <c r="BY20" s="111"/>
      <c r="BZ20" s="111"/>
      <c r="CA20" s="122"/>
      <c r="CB20" s="123"/>
      <c r="CC20" s="111"/>
      <c r="CD20" s="111"/>
      <c r="CE20" s="111"/>
      <c r="CL20" s="110"/>
      <c r="CO20" s="109"/>
      <c r="CR20" s="124"/>
      <c r="CS20" s="132"/>
      <c r="CT20" s="132"/>
      <c r="CU20" s="132"/>
      <c r="CV20" s="132"/>
      <c r="CW20" s="132"/>
      <c r="DA20" s="219" t="s">
        <v>197</v>
      </c>
      <c r="DB20" s="220"/>
      <c r="DC20" s="220"/>
      <c r="DD20" s="221">
        <f>CR9*DA9*DH9</f>
        <v>15680000000</v>
      </c>
      <c r="DE20" s="222"/>
      <c r="DF20" s="222"/>
      <c r="DG20" s="223"/>
      <c r="DH20" s="111"/>
      <c r="DI20" s="111"/>
      <c r="DJ20" s="111"/>
      <c r="DK20" s="111"/>
      <c r="DL20" s="111"/>
      <c r="DM20" s="111"/>
      <c r="DN20" s="111"/>
      <c r="DQ20" s="124"/>
      <c r="DU20" s="110"/>
      <c r="DY20" s="182">
        <v>400000000</v>
      </c>
      <c r="DZ20" s="182"/>
      <c r="EA20" s="173"/>
      <c r="EB20" s="175">
        <f>($DY$11-FV($ED$11,$EG$11+$EG$12,0,-DY20))/(FV($ED$11,$EG$11,-1,0)*(1+$ED$11)^$EG$12)</f>
        <v>118888694.28371279</v>
      </c>
      <c r="EF20" s="174">
        <v>0.05</v>
      </c>
      <c r="EH20" s="176">
        <f>FV(EF20,40,$ED$17*12,-$DY$11,1)</f>
        <v>19270702300.611458</v>
      </c>
    </row>
    <row r="21" spans="23:138" ht="30" customHeight="1" thickBot="1">
      <c r="W21" s="109"/>
      <c r="Z21" s="125"/>
      <c r="AA21" s="126"/>
      <c r="AB21" s="127"/>
      <c r="AC21" s="127"/>
      <c r="AD21" s="127"/>
      <c r="AE21" s="127"/>
      <c r="AF21" s="127"/>
      <c r="AG21" s="127"/>
      <c r="AH21" s="127"/>
      <c r="AI21" s="128"/>
      <c r="AJ21" s="127"/>
      <c r="AK21" s="127"/>
      <c r="AL21" s="127"/>
      <c r="AM21" s="127"/>
      <c r="AN21" s="127"/>
      <c r="AO21" s="127"/>
      <c r="AP21" s="127"/>
      <c r="AQ21" s="127"/>
      <c r="AR21" s="127"/>
      <c r="AS21" s="128"/>
      <c r="AT21" s="127"/>
      <c r="AU21" s="127"/>
      <c r="AV21" s="127"/>
      <c r="AW21" s="126"/>
      <c r="AX21" s="126"/>
      <c r="AY21" s="126"/>
      <c r="AZ21" s="126"/>
      <c r="BA21" s="129"/>
      <c r="BC21" s="110"/>
      <c r="BF21" s="109"/>
      <c r="BI21" s="125"/>
      <c r="BJ21" s="126"/>
      <c r="BK21" s="127"/>
      <c r="BL21" s="127"/>
      <c r="BM21" s="127"/>
      <c r="BN21" s="127"/>
      <c r="BO21" s="127"/>
      <c r="BP21" s="127"/>
      <c r="BQ21" s="127"/>
      <c r="BR21" s="127"/>
      <c r="BS21" s="127"/>
      <c r="BT21" s="127"/>
      <c r="BU21" s="127"/>
      <c r="BV21" s="127"/>
      <c r="BW21" s="127"/>
      <c r="BX21" s="127"/>
      <c r="BY21" s="127"/>
      <c r="BZ21" s="127"/>
      <c r="CA21" s="127"/>
      <c r="CB21" s="128"/>
      <c r="CC21" s="127"/>
      <c r="CD21" s="127"/>
      <c r="CE21" s="127"/>
      <c r="CF21" s="126"/>
      <c r="CG21" s="126"/>
      <c r="CH21" s="126"/>
      <c r="CI21" s="126"/>
      <c r="CJ21" s="126"/>
      <c r="CL21" s="110"/>
      <c r="CO21" s="109"/>
      <c r="CR21" s="124"/>
      <c r="CS21" s="126"/>
      <c r="CT21" s="127"/>
      <c r="CU21" s="127"/>
      <c r="CV21" s="127"/>
      <c r="CW21" s="127"/>
      <c r="CX21" s="127"/>
      <c r="CY21" s="127"/>
      <c r="CZ21" s="127"/>
      <c r="DA21" s="127"/>
      <c r="DB21" s="127"/>
      <c r="DC21" s="127"/>
      <c r="DD21" s="127"/>
      <c r="DE21" s="127"/>
      <c r="DF21" s="127"/>
      <c r="DG21" s="127"/>
      <c r="DH21" s="127"/>
      <c r="DI21" s="127"/>
      <c r="DJ21" s="127"/>
      <c r="DK21" s="127"/>
      <c r="DL21" s="127"/>
      <c r="DM21" s="127"/>
      <c r="DN21" s="127"/>
      <c r="DO21" s="126"/>
      <c r="DP21" s="126"/>
      <c r="DQ21" s="129"/>
      <c r="DU21" s="110"/>
      <c r="DY21" s="182">
        <v>500000000</v>
      </c>
      <c r="DZ21" s="182"/>
      <c r="EA21" s="105"/>
      <c r="EB21" s="175">
        <f>($DY$11-FV($ED$11,$EG$11+$EG$12,0,-DY21))/(FV($ED$11,$EG$11,-1,0)*(1+$ED$11)^$EG$12)</f>
        <v>105301898.46167441</v>
      </c>
      <c r="EF21" s="174">
        <v>0.06</v>
      </c>
      <c r="EH21" s="176">
        <f>FV(EF21,40,$ED$17*12,-$DY$11,1)</f>
        <v>36493343829.924675</v>
      </c>
    </row>
    <row r="22" spans="23:138" ht="7.5" customHeight="1" thickTop="1">
      <c r="W22" s="109"/>
      <c r="AB22" s="111"/>
      <c r="AC22" s="111"/>
      <c r="AD22" s="111"/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111"/>
      <c r="AQ22" s="111"/>
      <c r="AR22" s="111"/>
      <c r="AS22" s="111"/>
      <c r="AT22" s="111"/>
      <c r="AU22" s="111"/>
      <c r="AV22" s="111"/>
      <c r="BC22" s="110"/>
      <c r="BF22" s="109"/>
      <c r="BK22" s="111"/>
      <c r="BL22" s="111"/>
      <c r="BM22" s="111"/>
      <c r="BN22" s="111"/>
      <c r="BO22" s="111"/>
      <c r="BP22" s="111"/>
      <c r="BQ22" s="111"/>
      <c r="BR22" s="111"/>
      <c r="BS22" s="111"/>
      <c r="BT22" s="111"/>
      <c r="BU22" s="111"/>
      <c r="BV22" s="111"/>
      <c r="BW22" s="111"/>
      <c r="BX22" s="111"/>
      <c r="BY22" s="111"/>
      <c r="BZ22" s="111"/>
      <c r="CA22" s="111"/>
      <c r="CB22" s="111"/>
      <c r="CC22" s="111"/>
      <c r="CD22" s="111"/>
      <c r="CE22" s="111"/>
      <c r="CL22" s="110"/>
      <c r="CO22" s="109"/>
      <c r="CT22" s="111"/>
      <c r="CU22" s="111"/>
      <c r="CV22" s="111"/>
      <c r="CW22" s="111"/>
      <c r="CX22" s="111"/>
      <c r="CY22" s="111"/>
      <c r="CZ22" s="111"/>
      <c r="DA22" s="111"/>
      <c r="DB22" s="111"/>
      <c r="DC22" s="111"/>
      <c r="DD22" s="111"/>
      <c r="DE22" s="111"/>
      <c r="DF22" s="111"/>
      <c r="DG22" s="111"/>
      <c r="DH22" s="111"/>
      <c r="DI22" s="111"/>
      <c r="DJ22" s="111"/>
      <c r="DK22" s="111"/>
      <c r="DL22" s="111"/>
      <c r="DM22" s="111"/>
      <c r="DN22" s="111"/>
      <c r="DU22" s="110"/>
    </row>
    <row r="23" spans="23:138" ht="21" customHeight="1">
      <c r="W23" s="109"/>
      <c r="Y23" s="224">
        <v>60</v>
      </c>
      <c r="Z23" s="224"/>
      <c r="AB23" s="111"/>
      <c r="AC23" s="111"/>
      <c r="AD23" s="111"/>
      <c r="AE23" s="111"/>
      <c r="AF23" s="111"/>
      <c r="AG23" s="111"/>
      <c r="AH23" s="224">
        <f>Y23+AI12</f>
        <v>70</v>
      </c>
      <c r="AI23" s="224"/>
      <c r="AL23" s="111"/>
      <c r="AM23" s="111"/>
      <c r="AN23" s="111"/>
      <c r="AO23" s="111"/>
      <c r="AP23" s="111"/>
      <c r="AQ23" s="111"/>
      <c r="AR23" s="224">
        <v>100</v>
      </c>
      <c r="AS23" s="224"/>
      <c r="BA23" s="224">
        <v>117</v>
      </c>
      <c r="BB23" s="224"/>
      <c r="BC23" s="110"/>
      <c r="BF23" s="109"/>
      <c r="BH23" s="224">
        <v>60</v>
      </c>
      <c r="BI23" s="224"/>
      <c r="BK23" s="111"/>
      <c r="BL23" s="111"/>
      <c r="BM23" s="111"/>
      <c r="BN23" s="111"/>
      <c r="BO23" s="111"/>
      <c r="BP23" s="111"/>
      <c r="BQ23" s="224"/>
      <c r="BR23" s="224"/>
      <c r="BU23" s="111"/>
      <c r="BV23" s="111"/>
      <c r="BW23" s="111"/>
      <c r="BX23" s="111"/>
      <c r="BY23" s="111"/>
      <c r="BZ23" s="111"/>
      <c r="CA23" s="224">
        <f>BY9+BH23</f>
        <v>80</v>
      </c>
      <c r="CB23" s="224"/>
      <c r="CJ23" s="224">
        <v>100</v>
      </c>
      <c r="CK23" s="224"/>
      <c r="CL23" s="110"/>
      <c r="CO23" s="109"/>
      <c r="CR23" s="224">
        <v>60</v>
      </c>
      <c r="CS23" s="224"/>
      <c r="CT23" s="111"/>
      <c r="CU23" s="111"/>
      <c r="CV23" s="111"/>
      <c r="CY23" s="111"/>
      <c r="CZ23" s="224"/>
      <c r="DA23" s="224"/>
      <c r="DD23" s="111"/>
      <c r="DE23" s="111"/>
      <c r="DF23" s="111"/>
      <c r="DG23" s="111"/>
      <c r="DH23" s="111"/>
      <c r="DI23" s="111"/>
      <c r="DJ23" s="224"/>
      <c r="DK23" s="224"/>
      <c r="DQ23" s="224">
        <v>100</v>
      </c>
      <c r="DR23" s="224"/>
      <c r="DU23" s="110"/>
    </row>
    <row r="24" spans="23:138" ht="7.5" customHeight="1">
      <c r="W24" s="109"/>
      <c r="BC24" s="110"/>
      <c r="BF24" s="109"/>
      <c r="CL24" s="110"/>
      <c r="CO24" s="109"/>
      <c r="DU24" s="110"/>
      <c r="EE24" s="105"/>
      <c r="EF24" s="105"/>
    </row>
    <row r="25" spans="23:138" ht="30" customHeight="1" thickBot="1">
      <c r="W25" s="109"/>
      <c r="X25" s="213" t="s">
        <v>153</v>
      </c>
      <c r="Y25" s="214"/>
      <c r="Z25" s="215"/>
      <c r="AA25" s="216">
        <f>AZ9</f>
        <v>23983967.944001697</v>
      </c>
      <c r="AB25" s="217"/>
      <c r="AC25" s="218"/>
      <c r="AE25" s="213" t="s">
        <v>154</v>
      </c>
      <c r="AF25" s="214"/>
      <c r="AG25" s="214"/>
      <c r="AH25" s="215"/>
      <c r="AI25" s="238">
        <f>AD19+AD15</f>
        <v>2878076153.2802038</v>
      </c>
      <c r="AJ25" s="239"/>
      <c r="AK25" s="239"/>
      <c r="AL25" s="240"/>
      <c r="AO25" s="213" t="s">
        <v>154</v>
      </c>
      <c r="AP25" s="214"/>
      <c r="AQ25" s="214"/>
      <c r="AR25" s="215"/>
      <c r="AS25" s="238">
        <f>AA25*AS12*12</f>
        <v>11512304613.120815</v>
      </c>
      <c r="AT25" s="239"/>
      <c r="AU25" s="239"/>
      <c r="AV25" s="240"/>
      <c r="BC25" s="110"/>
      <c r="BF25" s="109"/>
      <c r="BG25" s="213" t="s">
        <v>153</v>
      </c>
      <c r="BH25" s="214"/>
      <c r="BI25" s="215"/>
      <c r="BJ25" s="216">
        <f>CI9</f>
        <v>49494076.706577189</v>
      </c>
      <c r="BK25" s="217"/>
      <c r="BL25" s="218"/>
      <c r="BX25" s="213" t="s">
        <v>154</v>
      </c>
      <c r="BY25" s="214"/>
      <c r="BZ25" s="214"/>
      <c r="CA25" s="215"/>
      <c r="CB25" s="238">
        <f>BJ25*CB12*12</f>
        <v>11878578409.578526</v>
      </c>
      <c r="CC25" s="239"/>
      <c r="CD25" s="239"/>
      <c r="CE25" s="240"/>
      <c r="CL25" s="110"/>
      <c r="CO25" s="109"/>
      <c r="CP25" s="213" t="s">
        <v>153</v>
      </c>
      <c r="CQ25" s="214"/>
      <c r="CR25" s="215"/>
      <c r="CS25" s="216">
        <f>DR9</f>
        <v>32666666.666666668</v>
      </c>
      <c r="CT25" s="217"/>
      <c r="CU25" s="218"/>
      <c r="DU25" s="110"/>
      <c r="DY25" s="104" t="s">
        <v>190</v>
      </c>
    </row>
    <row r="26" spans="23:138" ht="27" customHeight="1" thickBot="1">
      <c r="W26" s="130"/>
      <c r="X26" s="126"/>
      <c r="Y26" s="126"/>
      <c r="Z26" s="126"/>
      <c r="AA26" s="126"/>
      <c r="AB26" s="126"/>
      <c r="AC26" s="126"/>
      <c r="AD26" s="126"/>
      <c r="AE26" s="126"/>
      <c r="AF26" s="126"/>
      <c r="AG26" s="126"/>
      <c r="AH26" s="126"/>
      <c r="AI26" s="126"/>
      <c r="AJ26" s="126"/>
      <c r="AK26" s="126"/>
      <c r="AL26" s="126"/>
      <c r="AM26" s="126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31"/>
      <c r="BF26" s="130"/>
      <c r="BG26" s="126"/>
      <c r="BH26" s="126"/>
      <c r="BI26" s="126"/>
      <c r="BJ26" s="126"/>
      <c r="BK26" s="126"/>
      <c r="BL26" s="126"/>
      <c r="BM26" s="126"/>
      <c r="BN26" s="126"/>
      <c r="BO26" s="126"/>
      <c r="BP26" s="126"/>
      <c r="BQ26" s="126"/>
      <c r="BR26" s="126"/>
      <c r="BS26" s="126"/>
      <c r="BT26" s="126"/>
      <c r="BU26" s="126"/>
      <c r="BV26" s="126"/>
      <c r="BW26" s="126"/>
      <c r="BX26" s="126"/>
      <c r="BY26" s="126"/>
      <c r="BZ26" s="126"/>
      <c r="CA26" s="126"/>
      <c r="CB26" s="126"/>
      <c r="CC26" s="126"/>
      <c r="CD26" s="126"/>
      <c r="CE26" s="126"/>
      <c r="CF26" s="126"/>
      <c r="CG26" s="126"/>
      <c r="CH26" s="126"/>
      <c r="CI26" s="126"/>
      <c r="CJ26" s="126"/>
      <c r="CK26" s="126"/>
      <c r="CL26" s="131"/>
      <c r="CO26" s="130"/>
      <c r="CP26" s="126"/>
      <c r="CQ26" s="126"/>
      <c r="CR26" s="126"/>
      <c r="CS26" s="126"/>
      <c r="CT26" s="126"/>
      <c r="CU26" s="126"/>
      <c r="CV26" s="126"/>
      <c r="CW26" s="126"/>
      <c r="CX26" s="126"/>
      <c r="CY26" s="126"/>
      <c r="CZ26" s="126"/>
      <c r="DA26" s="126"/>
      <c r="DB26" s="126"/>
      <c r="DC26" s="126"/>
      <c r="DD26" s="126"/>
      <c r="DE26" s="126"/>
      <c r="DF26" s="126"/>
      <c r="DG26" s="126"/>
      <c r="DH26" s="126"/>
      <c r="DI26" s="126"/>
      <c r="DJ26" s="126"/>
      <c r="DK26" s="126"/>
      <c r="DL26" s="126"/>
      <c r="DM26" s="126"/>
      <c r="DN26" s="126"/>
      <c r="DO26" s="126"/>
      <c r="DP26" s="126"/>
      <c r="DQ26" s="126"/>
      <c r="DR26" s="126"/>
      <c r="DS26" s="126"/>
      <c r="DT26" s="126"/>
      <c r="DU26" s="131"/>
      <c r="DY26" s="179" t="s">
        <v>191</v>
      </c>
      <c r="DZ26" s="179"/>
      <c r="EA26" s="179"/>
      <c r="EB26" s="179"/>
      <c r="EC26" s="179"/>
      <c r="ED26" s="179"/>
      <c r="EE26" s="179"/>
      <c r="EF26" s="179"/>
      <c r="EG26" s="179"/>
      <c r="EH26" s="179"/>
    </row>
    <row r="27" spans="23:138" ht="15" customHeight="1" thickTop="1">
      <c r="DY27" s="179" t="s">
        <v>192</v>
      </c>
      <c r="DZ27" s="179"/>
      <c r="EA27" s="179"/>
      <c r="EB27" s="179"/>
      <c r="EC27" s="179"/>
      <c r="ED27" s="179"/>
      <c r="EE27" s="179"/>
      <c r="EF27" s="179"/>
      <c r="EG27" s="179"/>
      <c r="EH27" s="179"/>
    </row>
    <row r="28" spans="23:138" ht="15" customHeight="1">
      <c r="DY28" s="179" t="s">
        <v>193</v>
      </c>
      <c r="DZ28" s="179"/>
      <c r="EA28" s="179"/>
      <c r="EB28" s="179"/>
      <c r="EC28" s="179"/>
      <c r="ED28" s="179"/>
      <c r="EE28" s="179"/>
      <c r="EF28" s="179"/>
      <c r="EG28" s="179"/>
      <c r="EH28" s="179"/>
    </row>
    <row r="29" spans="23:138" s="132" customFormat="1">
      <c r="W29" s="132" t="s">
        <v>190</v>
      </c>
      <c r="AF29" s="104"/>
      <c r="AG29" s="104"/>
      <c r="AH29" s="104"/>
      <c r="AI29" s="104"/>
      <c r="AJ29" s="104"/>
      <c r="BF29" s="104" t="s">
        <v>190</v>
      </c>
      <c r="CO29" s="104" t="s">
        <v>190</v>
      </c>
      <c r="DY29" s="180" t="s">
        <v>194</v>
      </c>
      <c r="DZ29" s="180"/>
      <c r="EA29" s="180"/>
      <c r="EB29" s="180"/>
      <c r="EC29" s="180"/>
      <c r="ED29" s="180"/>
      <c r="EE29" s="180"/>
      <c r="EF29" s="180"/>
      <c r="EG29" s="180"/>
      <c r="EH29" s="180"/>
    </row>
    <row r="30" spans="23:138" s="133" customFormat="1" ht="12.95" hidden="1" customHeight="1">
      <c r="Y30" s="244" t="s">
        <v>155</v>
      </c>
      <c r="Z30" s="245"/>
      <c r="AA30" s="134" t="s">
        <v>156</v>
      </c>
      <c r="AB30" s="250">
        <f>Z9</f>
        <v>9800000000</v>
      </c>
      <c r="AC30" s="251"/>
      <c r="AF30" s="104"/>
      <c r="AG30" s="104"/>
      <c r="AH30" s="104"/>
      <c r="AI30" s="104"/>
      <c r="AJ30" s="104"/>
      <c r="BK30" s="132"/>
      <c r="BL30" s="132"/>
      <c r="BM30" s="132"/>
      <c r="BN30" s="132"/>
      <c r="BO30" s="132"/>
      <c r="BP30" s="132"/>
      <c r="BQ30" s="132"/>
      <c r="BR30" s="132"/>
      <c r="BS30" s="132"/>
      <c r="BT30" s="132"/>
      <c r="BU30" s="132"/>
      <c r="BV30" s="132"/>
      <c r="BW30" s="132"/>
      <c r="BX30" s="132"/>
      <c r="BY30" s="132"/>
      <c r="DG30" s="132"/>
      <c r="DH30" s="132"/>
      <c r="DI30" s="132"/>
      <c r="DJ30" s="132"/>
      <c r="DK30" s="132"/>
      <c r="DL30" s="132"/>
      <c r="DM30" s="132"/>
      <c r="DN30" s="132"/>
      <c r="DO30" s="132"/>
    </row>
    <row r="31" spans="23:138" s="133" customFormat="1" ht="12.95" hidden="1" customHeight="1">
      <c r="Y31" s="246"/>
      <c r="Z31" s="247"/>
      <c r="AA31" s="135" t="s">
        <v>157</v>
      </c>
      <c r="AB31" s="252">
        <f>AI9</f>
        <v>0.02</v>
      </c>
      <c r="AC31" s="253"/>
      <c r="AF31" s="104"/>
      <c r="AG31" s="104"/>
      <c r="AH31" s="104"/>
      <c r="AI31" s="104"/>
      <c r="AJ31" s="104"/>
      <c r="BK31" s="132"/>
      <c r="BL31" s="132"/>
      <c r="BM31" s="132"/>
      <c r="BN31" s="132"/>
      <c r="BO31" s="132"/>
      <c r="BP31" s="132"/>
      <c r="BQ31" s="132"/>
      <c r="BR31" s="132"/>
      <c r="BS31" s="132"/>
      <c r="BT31" s="132"/>
      <c r="BU31" s="132"/>
      <c r="BV31" s="132"/>
      <c r="BW31" s="132"/>
      <c r="BX31" s="132"/>
      <c r="BY31" s="132"/>
    </row>
    <row r="32" spans="23:138" s="133" customFormat="1" ht="12.95" hidden="1" customHeight="1">
      <c r="Y32" s="248"/>
      <c r="Z32" s="249"/>
      <c r="AA32" s="136" t="s">
        <v>158</v>
      </c>
      <c r="AB32" s="254">
        <f>AP9*12</f>
        <v>684</v>
      </c>
      <c r="AC32" s="255"/>
      <c r="AF32" s="104"/>
      <c r="AG32" s="104"/>
      <c r="AH32" s="104"/>
      <c r="AI32" s="104"/>
      <c r="AJ32" s="104"/>
      <c r="BK32" s="132"/>
      <c r="BL32" s="132"/>
      <c r="BM32" s="132"/>
      <c r="BN32" s="132"/>
      <c r="BV32" s="132"/>
      <c r="BW32" s="132"/>
      <c r="BX32" s="132"/>
      <c r="BY32" s="132"/>
    </row>
    <row r="33" spans="25:77" s="132" customFormat="1" ht="15" hidden="1" customHeight="1" thickBot="1">
      <c r="Y33" s="137"/>
      <c r="Z33" s="137"/>
      <c r="AF33" s="104"/>
      <c r="AG33" s="104"/>
      <c r="AH33" s="104"/>
      <c r="AI33" s="104"/>
      <c r="AJ33" s="104"/>
    </row>
    <row r="34" spans="25:77" s="142" customFormat="1" ht="13.5" hidden="1" customHeight="1" thickBot="1">
      <c r="Y34" s="138">
        <f>AI12*12</f>
        <v>120</v>
      </c>
      <c r="Z34" s="139" t="s">
        <v>159</v>
      </c>
      <c r="AA34" s="140">
        <f>Z39</f>
        <v>23983967.944001697</v>
      </c>
      <c r="AB34" s="139" t="s">
        <v>160</v>
      </c>
      <c r="AC34" s="141">
        <f>VLOOKUP(Y34,Y38:AC758,5,0)</f>
        <v>8764697304.2872849</v>
      </c>
      <c r="AE34" s="138">
        <f>AS12*12</f>
        <v>480</v>
      </c>
      <c r="AF34" s="139" t="s">
        <v>159</v>
      </c>
      <c r="AG34" s="140">
        <f>AF39</f>
        <v>0</v>
      </c>
      <c r="AH34" s="139" t="s">
        <v>160</v>
      </c>
      <c r="AI34" s="141">
        <f>VLOOKUP(AE34,Y38:AC758,5,0)</f>
        <v>4144835530.8563643</v>
      </c>
      <c r="AJ34" s="104"/>
      <c r="BK34" s="132"/>
      <c r="BL34" s="132"/>
      <c r="BM34" s="132"/>
      <c r="BN34" s="132"/>
      <c r="BV34" s="132"/>
      <c r="BW34" s="132"/>
      <c r="BX34" s="132"/>
      <c r="BY34" s="132"/>
    </row>
    <row r="35" spans="25:77" s="132" customFormat="1" ht="12.95" hidden="1" customHeight="1">
      <c r="Y35" s="143"/>
      <c r="Z35" s="144"/>
      <c r="AA35" s="145"/>
      <c r="AC35" s="146"/>
      <c r="AF35" s="104"/>
      <c r="AG35" s="104"/>
      <c r="AH35" s="104"/>
      <c r="AI35" s="104"/>
      <c r="AJ35" s="104"/>
    </row>
    <row r="36" spans="25:77" s="132" customFormat="1" ht="12.95" hidden="1" customHeight="1">
      <c r="Y36" s="143"/>
      <c r="Z36" s="144"/>
      <c r="AA36" s="145">
        <f>SUM(AA38:AA758)</f>
        <v>9799999999.9999962</v>
      </c>
      <c r="AB36" s="145">
        <f>SUM(AB38:AB758)</f>
        <v>6605034073.6971607</v>
      </c>
      <c r="AC36" s="146"/>
      <c r="AF36" s="104"/>
      <c r="AG36" s="104"/>
      <c r="AH36" s="104"/>
      <c r="AI36" s="104"/>
      <c r="AJ36" s="104"/>
    </row>
    <row r="37" spans="25:77" s="144" customFormat="1" ht="12.95" hidden="1" customHeight="1">
      <c r="Y37" s="147" t="s">
        <v>161</v>
      </c>
      <c r="Z37" s="147" t="s">
        <v>159</v>
      </c>
      <c r="AA37" s="147" t="s">
        <v>162</v>
      </c>
      <c r="AB37" s="147" t="s">
        <v>163</v>
      </c>
      <c r="AC37" s="147" t="s">
        <v>164</v>
      </c>
      <c r="AF37" s="104"/>
      <c r="AG37" s="104"/>
      <c r="AH37" s="104"/>
      <c r="AI37" s="104"/>
      <c r="AJ37" s="104"/>
    </row>
    <row r="38" spans="25:77" s="133" customFormat="1" ht="12.95" hidden="1" customHeight="1">
      <c r="Y38" s="148">
        <v>0</v>
      </c>
      <c r="Z38" s="149"/>
      <c r="AA38" s="150"/>
      <c r="AB38" s="150"/>
      <c r="AC38" s="151">
        <f>$AB$30</f>
        <v>9800000000</v>
      </c>
      <c r="AF38" s="104"/>
      <c r="AG38" s="104"/>
      <c r="AH38" s="104"/>
      <c r="AI38" s="104"/>
      <c r="AJ38" s="104"/>
    </row>
    <row r="39" spans="25:77" s="132" customFormat="1" ht="12.95" hidden="1" customHeight="1">
      <c r="Y39" s="152">
        <v>1</v>
      </c>
      <c r="Z39" s="153">
        <f>IF(Y39&lt;=$AB$32, PMT($AB$31/12,$AB$32,-$AB$30,0,1), 0)</f>
        <v>23983967.944001697</v>
      </c>
      <c r="AA39" s="154">
        <f>IF(Y39&lt;=$AB$32,-PPMT($AB$31/12,Y39,$AB$32,$AB$30,,1),0)</f>
        <v>23983967.944001697</v>
      </c>
      <c r="AB39" s="155">
        <f>IF(Y39&lt;=$AB$32,-IPMT($AB$31/12,Y39,$AB$32,$AB$30,,1),0)</f>
        <v>0</v>
      </c>
      <c r="AC39" s="155">
        <f>AC38-AA39</f>
        <v>9776016032.0559978</v>
      </c>
      <c r="AF39" s="104"/>
      <c r="AG39" s="104"/>
      <c r="AH39" s="104"/>
      <c r="AI39" s="104"/>
      <c r="AJ39" s="104"/>
    </row>
    <row r="40" spans="25:77" s="132" customFormat="1" ht="12.95" hidden="1" customHeight="1">
      <c r="Y40" s="152">
        <v>2</v>
      </c>
      <c r="Z40" s="153">
        <f t="shared" ref="Z40:Z103" si="0">IF(Y40&lt;=$AB$32, PMT($AB$31/12,$AB$32,-$AB$30,0,1), 0)</f>
        <v>23983967.944001697</v>
      </c>
      <c r="AA40" s="154">
        <f t="shared" ref="AA40:AA103" si="1">IF(Y40&lt;=$AB$32,-PPMT($AB$31/12,Y40,$AB$32,$AB$30,,1),0)</f>
        <v>7690607.8905750345</v>
      </c>
      <c r="AB40" s="155">
        <f>IF(Y40&lt;=$AB$32,-IPMT($AB$31/12,Y40,$AB$32,$AB$30,,1),0)</f>
        <v>16293360.053426664</v>
      </c>
      <c r="AC40" s="155">
        <f t="shared" ref="AC40:AC103" si="2">AC39-AA40</f>
        <v>9768325424.1654224</v>
      </c>
      <c r="AF40" s="104"/>
      <c r="AG40" s="104"/>
      <c r="AH40" s="104"/>
      <c r="AI40" s="104"/>
      <c r="AJ40" s="104"/>
    </row>
    <row r="41" spans="25:77" s="132" customFormat="1" ht="12.95" hidden="1" customHeight="1">
      <c r="Y41" s="152">
        <v>3</v>
      </c>
      <c r="Z41" s="153">
        <f t="shared" si="0"/>
        <v>23983967.944001697</v>
      </c>
      <c r="AA41" s="154">
        <f t="shared" si="1"/>
        <v>7703425.5703926599</v>
      </c>
      <c r="AB41" s="155">
        <f t="shared" ref="AB41:AB104" si="3">IF(Y41&lt;=$AB$32,-IPMT($AB$31/12,Y41,$AB$32,$AB$30,,1),0)</f>
        <v>16280542.373609042</v>
      </c>
      <c r="AC41" s="155">
        <f t="shared" si="2"/>
        <v>9760621998.5950298</v>
      </c>
      <c r="AF41" s="104"/>
      <c r="AG41" s="104"/>
      <c r="AH41" s="104"/>
      <c r="AI41" s="104"/>
      <c r="AJ41" s="104"/>
    </row>
    <row r="42" spans="25:77" s="132" customFormat="1" ht="12.95" hidden="1" customHeight="1">
      <c r="Y42" s="152">
        <v>4</v>
      </c>
      <c r="Z42" s="153">
        <f t="shared" si="0"/>
        <v>23983967.944001697</v>
      </c>
      <c r="AA42" s="154">
        <f t="shared" si="1"/>
        <v>7716264.6130099781</v>
      </c>
      <c r="AB42" s="155">
        <f t="shared" si="3"/>
        <v>16267703.330991721</v>
      </c>
      <c r="AC42" s="155">
        <f t="shared" si="2"/>
        <v>9752905733.9820194</v>
      </c>
      <c r="AF42" s="104"/>
      <c r="AG42" s="104"/>
      <c r="AH42" s="104"/>
      <c r="AI42" s="104"/>
      <c r="AJ42" s="104"/>
    </row>
    <row r="43" spans="25:77" s="132" customFormat="1" ht="12.95" hidden="1" customHeight="1">
      <c r="Y43" s="152">
        <v>5</v>
      </c>
      <c r="Z43" s="153">
        <f t="shared" si="0"/>
        <v>23983967.944001697</v>
      </c>
      <c r="AA43" s="154">
        <f t="shared" si="1"/>
        <v>7729125.0540316626</v>
      </c>
      <c r="AB43" s="155">
        <f t="shared" si="3"/>
        <v>16254842.889970038</v>
      </c>
      <c r="AC43" s="155">
        <f t="shared" si="2"/>
        <v>9745176608.9279881</v>
      </c>
      <c r="AF43" s="104"/>
      <c r="AG43" s="104"/>
      <c r="AH43" s="104"/>
      <c r="AI43" s="104"/>
      <c r="AJ43" s="104"/>
    </row>
    <row r="44" spans="25:77" s="132" customFormat="1" ht="12.95" hidden="1" customHeight="1">
      <c r="Y44" s="152">
        <v>6</v>
      </c>
      <c r="Z44" s="153">
        <f t="shared" si="0"/>
        <v>23983967.944001697</v>
      </c>
      <c r="AA44" s="154">
        <f t="shared" si="1"/>
        <v>7742006.9291217159</v>
      </c>
      <c r="AB44" s="155">
        <f t="shared" si="3"/>
        <v>16241961.014879983</v>
      </c>
      <c r="AC44" s="155">
        <f t="shared" si="2"/>
        <v>9737434601.998867</v>
      </c>
      <c r="AF44" s="104"/>
      <c r="AG44" s="104"/>
      <c r="AH44" s="104"/>
      <c r="AI44" s="104"/>
      <c r="AJ44" s="104"/>
    </row>
    <row r="45" spans="25:77" s="132" customFormat="1" ht="12.95" hidden="1" customHeight="1">
      <c r="Y45" s="152">
        <v>7</v>
      </c>
      <c r="Z45" s="153">
        <f t="shared" si="0"/>
        <v>23983967.944001697</v>
      </c>
      <c r="AA45" s="154">
        <f t="shared" si="1"/>
        <v>7754910.2740035858</v>
      </c>
      <c r="AB45" s="155">
        <f t="shared" si="3"/>
        <v>16229057.669998113</v>
      </c>
      <c r="AC45" s="155">
        <f t="shared" si="2"/>
        <v>9729679691.7248631</v>
      </c>
      <c r="AF45" s="104"/>
      <c r="AG45" s="104"/>
      <c r="AH45" s="104"/>
      <c r="AI45" s="104"/>
      <c r="AJ45" s="104"/>
    </row>
    <row r="46" spans="25:77" s="132" customFormat="1" ht="12.95" hidden="1" customHeight="1">
      <c r="Y46" s="152">
        <v>8</v>
      </c>
      <c r="Z46" s="153">
        <f t="shared" si="0"/>
        <v>23983967.944001697</v>
      </c>
      <c r="AA46" s="154">
        <f t="shared" si="1"/>
        <v>7767835.1244602585</v>
      </c>
      <c r="AB46" s="155">
        <f t="shared" si="3"/>
        <v>16216132.819541439</v>
      </c>
      <c r="AC46" s="155">
        <f t="shared" si="2"/>
        <v>9721911856.6004028</v>
      </c>
      <c r="AF46" s="104"/>
      <c r="AG46" s="104"/>
      <c r="AH46" s="104"/>
      <c r="AI46" s="104"/>
      <c r="AJ46" s="104"/>
    </row>
    <row r="47" spans="25:77" s="132" customFormat="1" ht="12.95" hidden="1" customHeight="1">
      <c r="Y47" s="152">
        <v>9</v>
      </c>
      <c r="Z47" s="153">
        <f t="shared" si="0"/>
        <v>23983967.944001697</v>
      </c>
      <c r="AA47" s="154">
        <f t="shared" si="1"/>
        <v>7780781.5163343577</v>
      </c>
      <c r="AB47" s="155">
        <f t="shared" si="3"/>
        <v>16203186.427667338</v>
      </c>
      <c r="AC47" s="155">
        <f t="shared" si="2"/>
        <v>9714131075.0840683</v>
      </c>
      <c r="AF47" s="104"/>
      <c r="AG47" s="104"/>
      <c r="AH47" s="104"/>
      <c r="AI47" s="104"/>
      <c r="AJ47" s="104"/>
    </row>
    <row r="48" spans="25:77" s="132" customFormat="1" ht="12.95" hidden="1" customHeight="1">
      <c r="Y48" s="152">
        <v>10</v>
      </c>
      <c r="Z48" s="153">
        <f t="shared" si="0"/>
        <v>23983967.944001697</v>
      </c>
      <c r="AA48" s="154">
        <f t="shared" si="1"/>
        <v>7793749.4855282493</v>
      </c>
      <c r="AB48" s="155">
        <f t="shared" si="3"/>
        <v>16190218.458473448</v>
      </c>
      <c r="AC48" s="155">
        <f t="shared" si="2"/>
        <v>9706337325.5985394</v>
      </c>
      <c r="AF48" s="104"/>
      <c r="AG48" s="104"/>
      <c r="AH48" s="104"/>
      <c r="AI48" s="104"/>
      <c r="AJ48" s="104"/>
    </row>
    <row r="49" spans="25:36" s="132" customFormat="1" ht="12.95" hidden="1" customHeight="1">
      <c r="Y49" s="152">
        <v>11</v>
      </c>
      <c r="Z49" s="153">
        <f t="shared" si="0"/>
        <v>23983967.944001697</v>
      </c>
      <c r="AA49" s="154">
        <f t="shared" si="1"/>
        <v>7806739.0680041276</v>
      </c>
      <c r="AB49" s="155">
        <f t="shared" si="3"/>
        <v>16177228.875997569</v>
      </c>
      <c r="AC49" s="155">
        <f t="shared" si="2"/>
        <v>9698530586.5305347</v>
      </c>
      <c r="AF49" s="104"/>
      <c r="AG49" s="104"/>
      <c r="AH49" s="104"/>
      <c r="AI49" s="104"/>
      <c r="AJ49" s="104"/>
    </row>
    <row r="50" spans="25:36" s="132" customFormat="1" ht="12.95" hidden="1" customHeight="1">
      <c r="Y50" s="152">
        <v>12</v>
      </c>
      <c r="Z50" s="153">
        <f t="shared" si="0"/>
        <v>23983967.944001697</v>
      </c>
      <c r="AA50" s="154">
        <f t="shared" si="1"/>
        <v>7819750.2997841351</v>
      </c>
      <c r="AB50" s="155">
        <f t="shared" si="3"/>
        <v>16164217.64421756</v>
      </c>
      <c r="AC50" s="155">
        <f t="shared" si="2"/>
        <v>9690710836.230751</v>
      </c>
      <c r="AF50" s="104"/>
      <c r="AG50" s="104"/>
      <c r="AH50" s="104"/>
      <c r="AI50" s="104"/>
      <c r="AJ50" s="104"/>
    </row>
    <row r="51" spans="25:36" s="132" customFormat="1" ht="12.95" hidden="1" customHeight="1">
      <c r="Y51" s="152">
        <v>13</v>
      </c>
      <c r="Z51" s="153">
        <f t="shared" si="0"/>
        <v>23983967.944001697</v>
      </c>
      <c r="AA51" s="154">
        <f t="shared" si="1"/>
        <v>7832783.2169504417</v>
      </c>
      <c r="AB51" s="155">
        <f t="shared" si="3"/>
        <v>16151184.727051258</v>
      </c>
      <c r="AC51" s="155">
        <f t="shared" si="2"/>
        <v>9682878053.0137997</v>
      </c>
      <c r="AF51" s="104"/>
      <c r="AG51" s="104"/>
      <c r="AH51" s="104"/>
      <c r="AI51" s="104"/>
      <c r="AJ51" s="104"/>
    </row>
    <row r="52" spans="25:36" s="132" customFormat="1" ht="12.95" hidden="1" customHeight="1">
      <c r="Y52" s="152">
        <v>14</v>
      </c>
      <c r="Z52" s="153">
        <f t="shared" si="0"/>
        <v>23983967.944001697</v>
      </c>
      <c r="AA52" s="154">
        <f t="shared" si="1"/>
        <v>7845837.8556453595</v>
      </c>
      <c r="AB52" s="155">
        <f t="shared" si="3"/>
        <v>16138130.088356338</v>
      </c>
      <c r="AC52" s="155">
        <f t="shared" si="2"/>
        <v>9675032215.1581535</v>
      </c>
      <c r="AF52" s="104"/>
      <c r="AG52" s="104"/>
      <c r="AH52" s="104"/>
      <c r="AI52" s="104"/>
      <c r="AJ52" s="104"/>
    </row>
    <row r="53" spans="25:36" s="132" customFormat="1" ht="12.95" hidden="1" customHeight="1">
      <c r="Y53" s="152">
        <v>15</v>
      </c>
      <c r="Z53" s="153">
        <f t="shared" si="0"/>
        <v>23983967.944001697</v>
      </c>
      <c r="AA53" s="154">
        <f t="shared" si="1"/>
        <v>7858914.2520714346</v>
      </c>
      <c r="AB53" s="155">
        <f t="shared" si="3"/>
        <v>16125053.691930261</v>
      </c>
      <c r="AC53" s="155">
        <f t="shared" si="2"/>
        <v>9667173300.9060822</v>
      </c>
      <c r="AF53" s="104"/>
      <c r="AG53" s="104"/>
      <c r="AH53" s="104"/>
      <c r="AI53" s="104"/>
      <c r="AJ53" s="104"/>
    </row>
    <row r="54" spans="25:36" s="132" customFormat="1" ht="12.95" hidden="1" customHeight="1">
      <c r="Y54" s="152">
        <v>16</v>
      </c>
      <c r="Z54" s="153">
        <f t="shared" si="0"/>
        <v>23983967.944001697</v>
      </c>
      <c r="AA54" s="154">
        <f t="shared" si="1"/>
        <v>7872012.4424915556</v>
      </c>
      <c r="AB54" s="155">
        <f t="shared" si="3"/>
        <v>16111955.501510145</v>
      </c>
      <c r="AC54" s="155">
        <f t="shared" si="2"/>
        <v>9659301288.4635906</v>
      </c>
      <c r="AF54" s="104"/>
      <c r="AG54" s="104"/>
      <c r="AH54" s="104"/>
      <c r="AI54" s="104"/>
      <c r="AJ54" s="104"/>
    </row>
    <row r="55" spans="25:36" s="132" customFormat="1" ht="12.95" hidden="1" customHeight="1">
      <c r="Y55" s="152">
        <v>17</v>
      </c>
      <c r="Z55" s="153">
        <f t="shared" si="0"/>
        <v>23983967.944001697</v>
      </c>
      <c r="AA55" s="154">
        <f t="shared" si="1"/>
        <v>7885132.4632290415</v>
      </c>
      <c r="AB55" s="155">
        <f t="shared" si="3"/>
        <v>16098835.480772657</v>
      </c>
      <c r="AC55" s="155">
        <f t="shared" si="2"/>
        <v>9651416156.0003624</v>
      </c>
      <c r="AF55" s="104"/>
      <c r="AG55" s="104"/>
      <c r="AH55" s="104"/>
      <c r="AI55" s="104"/>
      <c r="AJ55" s="104"/>
    </row>
    <row r="56" spans="25:36" s="132" customFormat="1" ht="12.95" hidden="1" customHeight="1">
      <c r="Y56" s="152">
        <v>18</v>
      </c>
      <c r="Z56" s="153">
        <f t="shared" si="0"/>
        <v>23983967.944001697</v>
      </c>
      <c r="AA56" s="154">
        <f t="shared" si="1"/>
        <v>7898274.3506677551</v>
      </c>
      <c r="AB56" s="155">
        <f t="shared" si="3"/>
        <v>16085693.593333945</v>
      </c>
      <c r="AC56" s="155">
        <f t="shared" si="2"/>
        <v>9643517881.6496944</v>
      </c>
      <c r="AF56" s="104"/>
      <c r="AG56" s="104"/>
      <c r="AH56" s="104"/>
      <c r="AI56" s="104"/>
      <c r="AJ56" s="104"/>
    </row>
    <row r="57" spans="25:36" s="132" customFormat="1" ht="12.95" hidden="1" customHeight="1">
      <c r="Y57" s="152">
        <v>19</v>
      </c>
      <c r="Z57" s="153">
        <f t="shared" si="0"/>
        <v>23983967.944001697</v>
      </c>
      <c r="AA57" s="154">
        <f t="shared" si="1"/>
        <v>7911438.1412522001</v>
      </c>
      <c r="AB57" s="155">
        <f t="shared" si="3"/>
        <v>16072529.802749498</v>
      </c>
      <c r="AC57" s="155">
        <f t="shared" si="2"/>
        <v>9635606443.5084419</v>
      </c>
      <c r="AF57" s="104"/>
      <c r="AG57" s="104"/>
      <c r="AH57" s="104"/>
      <c r="AI57" s="104"/>
      <c r="AJ57" s="104"/>
    </row>
    <row r="58" spans="25:36" s="132" customFormat="1" ht="12.95" hidden="1" customHeight="1">
      <c r="Y58" s="152">
        <v>20</v>
      </c>
      <c r="Z58" s="153">
        <f t="shared" si="0"/>
        <v>23983967.944001697</v>
      </c>
      <c r="AA58" s="154">
        <f t="shared" si="1"/>
        <v>7924623.8714876221</v>
      </c>
      <c r="AB58" s="155">
        <f t="shared" si="3"/>
        <v>16059344.072514076</v>
      </c>
      <c r="AC58" s="155">
        <f t="shared" si="2"/>
        <v>9627681819.6369534</v>
      </c>
      <c r="AF58" s="104"/>
      <c r="AG58" s="104"/>
      <c r="AH58" s="104"/>
      <c r="AI58" s="104"/>
      <c r="AJ58" s="104"/>
    </row>
    <row r="59" spans="25:36" s="132" customFormat="1" ht="12.95" hidden="1" customHeight="1">
      <c r="Y59" s="152">
        <v>21</v>
      </c>
      <c r="Z59" s="153">
        <f t="shared" si="0"/>
        <v>23983967.944001697</v>
      </c>
      <c r="AA59" s="154">
        <f t="shared" si="1"/>
        <v>7937831.5779401017</v>
      </c>
      <c r="AB59" s="155">
        <f t="shared" si="3"/>
        <v>16046136.366061596</v>
      </c>
      <c r="AC59" s="155">
        <f t="shared" si="2"/>
        <v>9619743988.0590134</v>
      </c>
      <c r="AF59" s="104"/>
      <c r="AG59" s="104"/>
      <c r="AH59" s="104"/>
      <c r="AI59" s="104"/>
      <c r="AJ59" s="104"/>
    </row>
    <row r="60" spans="25:36" s="132" customFormat="1" ht="12.95" hidden="1" customHeight="1">
      <c r="Y60" s="152">
        <v>22</v>
      </c>
      <c r="Z60" s="153">
        <f t="shared" si="0"/>
        <v>23983967.944001697</v>
      </c>
      <c r="AA60" s="154">
        <f t="shared" si="1"/>
        <v>7951061.2972366698</v>
      </c>
      <c r="AB60" s="155">
        <f t="shared" si="3"/>
        <v>16032906.646765029</v>
      </c>
      <c r="AC60" s="155">
        <f t="shared" si="2"/>
        <v>9611792926.761776</v>
      </c>
      <c r="AF60" s="104"/>
      <c r="AG60" s="104"/>
      <c r="AH60" s="104"/>
      <c r="AI60" s="104"/>
      <c r="AJ60" s="104"/>
    </row>
    <row r="61" spans="25:36" s="132" customFormat="1" ht="12.95" hidden="1" customHeight="1">
      <c r="Y61" s="152">
        <v>23</v>
      </c>
      <c r="Z61" s="153">
        <f t="shared" si="0"/>
        <v>23983967.944001697</v>
      </c>
      <c r="AA61" s="154">
        <f t="shared" si="1"/>
        <v>7964313.0660653962</v>
      </c>
      <c r="AB61" s="155">
        <f t="shared" si="3"/>
        <v>16019654.877936302</v>
      </c>
      <c r="AC61" s="155">
        <f t="shared" si="2"/>
        <v>9603828613.6957111</v>
      </c>
      <c r="AF61" s="104"/>
      <c r="AG61" s="104"/>
      <c r="AH61" s="104"/>
      <c r="AI61" s="104"/>
      <c r="AJ61" s="104"/>
    </row>
    <row r="62" spans="25:36" s="132" customFormat="1" ht="12.95" hidden="1" customHeight="1">
      <c r="Y62" s="152">
        <v>24</v>
      </c>
      <c r="Z62" s="153">
        <f t="shared" si="0"/>
        <v>23983967.944001697</v>
      </c>
      <c r="AA62" s="154">
        <f t="shared" si="1"/>
        <v>7977586.921175506</v>
      </c>
      <c r="AB62" s="155">
        <f t="shared" si="3"/>
        <v>16006381.022826193</v>
      </c>
      <c r="AC62" s="155">
        <f t="shared" si="2"/>
        <v>9595851026.7745361</v>
      </c>
      <c r="AF62" s="104"/>
      <c r="AG62" s="104"/>
      <c r="AH62" s="104"/>
      <c r="AI62" s="104"/>
      <c r="AJ62" s="104"/>
    </row>
    <row r="63" spans="25:36" s="132" customFormat="1" ht="12.95" hidden="1" customHeight="1">
      <c r="Y63" s="152">
        <v>25</v>
      </c>
      <c r="Z63" s="153">
        <f t="shared" si="0"/>
        <v>23983967.944001697</v>
      </c>
      <c r="AA63" s="154">
        <f t="shared" si="1"/>
        <v>7990882.8993774662</v>
      </c>
      <c r="AB63" s="155">
        <f t="shared" si="3"/>
        <v>15993085.044624234</v>
      </c>
      <c r="AC63" s="155">
        <f t="shared" si="2"/>
        <v>9587860143.8751583</v>
      </c>
      <c r="AF63" s="104"/>
      <c r="AG63" s="104"/>
      <c r="AH63" s="104"/>
      <c r="AI63" s="104"/>
      <c r="AJ63" s="104"/>
    </row>
    <row r="64" spans="25:36" s="132" customFormat="1" ht="12.95" hidden="1" customHeight="1">
      <c r="Y64" s="152">
        <v>26</v>
      </c>
      <c r="Z64" s="153">
        <f t="shared" si="0"/>
        <v>23983967.944001697</v>
      </c>
      <c r="AA64" s="154">
        <f t="shared" si="1"/>
        <v>8004201.0375430938</v>
      </c>
      <c r="AB64" s="155">
        <f t="shared" si="3"/>
        <v>15979766.906458603</v>
      </c>
      <c r="AC64" s="155">
        <f t="shared" si="2"/>
        <v>9579855942.837616</v>
      </c>
      <c r="AF64" s="104"/>
      <c r="AG64" s="104"/>
      <c r="AH64" s="104"/>
      <c r="AI64" s="104"/>
      <c r="AJ64" s="104"/>
    </row>
    <row r="65" spans="25:36" s="132" customFormat="1" ht="12.95" hidden="1" customHeight="1">
      <c r="Y65" s="152">
        <v>27</v>
      </c>
      <c r="Z65" s="153">
        <f t="shared" si="0"/>
        <v>23983967.944001697</v>
      </c>
      <c r="AA65" s="154">
        <f t="shared" si="1"/>
        <v>8017541.3726056656</v>
      </c>
      <c r="AB65" s="155">
        <f t="shared" si="3"/>
        <v>15966426.571396032</v>
      </c>
      <c r="AC65" s="155">
        <f t="shared" si="2"/>
        <v>9571838401.4650097</v>
      </c>
      <c r="AF65" s="104"/>
      <c r="AG65" s="104"/>
      <c r="AH65" s="104"/>
      <c r="AI65" s="104"/>
      <c r="AJ65" s="104"/>
    </row>
    <row r="66" spans="25:36" s="132" customFormat="1" ht="12.95" hidden="1" customHeight="1">
      <c r="Y66" s="152">
        <v>28</v>
      </c>
      <c r="Z66" s="153">
        <f t="shared" si="0"/>
        <v>23983967.944001697</v>
      </c>
      <c r="AA66" s="154">
        <f t="shared" si="1"/>
        <v>8030903.9415600076</v>
      </c>
      <c r="AB66" s="155">
        <f t="shared" si="3"/>
        <v>15953064.002441693</v>
      </c>
      <c r="AC66" s="155">
        <f t="shared" si="2"/>
        <v>9563807497.5234489</v>
      </c>
      <c r="AF66" s="104"/>
      <c r="AG66" s="104"/>
      <c r="AH66" s="104"/>
      <c r="AI66" s="104"/>
      <c r="AJ66" s="104"/>
    </row>
    <row r="67" spans="25:36" s="132" customFormat="1" ht="12.95" hidden="1" customHeight="1">
      <c r="Y67" s="152">
        <v>29</v>
      </c>
      <c r="Z67" s="153">
        <f t="shared" si="0"/>
        <v>23983967.944001697</v>
      </c>
      <c r="AA67" s="154">
        <f t="shared" si="1"/>
        <v>8044288.7814626088</v>
      </c>
      <c r="AB67" s="155">
        <f t="shared" si="3"/>
        <v>15939679.162539087</v>
      </c>
      <c r="AC67" s="155">
        <f t="shared" si="2"/>
        <v>9555763208.7419872</v>
      </c>
      <c r="AF67" s="104"/>
      <c r="AG67" s="104"/>
      <c r="AH67" s="104"/>
      <c r="AI67" s="104"/>
      <c r="AJ67" s="104"/>
    </row>
    <row r="68" spans="25:36" s="132" customFormat="1" ht="12.95" hidden="1" customHeight="1">
      <c r="Y68" s="152">
        <v>30</v>
      </c>
      <c r="Z68" s="153">
        <f t="shared" si="0"/>
        <v>23983967.944001697</v>
      </c>
      <c r="AA68" s="154">
        <f t="shared" si="1"/>
        <v>8057695.9294317123</v>
      </c>
      <c r="AB68" s="155">
        <f t="shared" si="3"/>
        <v>15926272.014569987</v>
      </c>
      <c r="AC68" s="155">
        <f t="shared" si="2"/>
        <v>9547705512.8125553</v>
      </c>
      <c r="AF68" s="104"/>
      <c r="AG68" s="104"/>
      <c r="AH68" s="104"/>
      <c r="AI68" s="104"/>
      <c r="AJ68" s="104"/>
    </row>
    <row r="69" spans="25:36" s="132" customFormat="1" ht="12.95" hidden="1" customHeight="1">
      <c r="Y69" s="152">
        <v>31</v>
      </c>
      <c r="Z69" s="153">
        <f t="shared" si="0"/>
        <v>23983967.944001697</v>
      </c>
      <c r="AA69" s="154">
        <f t="shared" si="1"/>
        <v>8071125.4226474324</v>
      </c>
      <c r="AB69" s="155">
        <f t="shared" si="3"/>
        <v>15912842.521354264</v>
      </c>
      <c r="AC69" s="155">
        <f t="shared" si="2"/>
        <v>9539634387.3899078</v>
      </c>
      <c r="AF69" s="104"/>
      <c r="AG69" s="104"/>
      <c r="AH69" s="104"/>
      <c r="AI69" s="104"/>
      <c r="AJ69" s="104"/>
    </row>
    <row r="70" spans="25:36" s="132" customFormat="1" ht="12.95" hidden="1" customHeight="1">
      <c r="Y70" s="152">
        <v>32</v>
      </c>
      <c r="Z70" s="153">
        <f t="shared" si="0"/>
        <v>23983967.944001697</v>
      </c>
      <c r="AA70" s="154">
        <f t="shared" si="1"/>
        <v>8084577.2983518448</v>
      </c>
      <c r="AB70" s="155">
        <f t="shared" si="3"/>
        <v>15899390.645649854</v>
      </c>
      <c r="AC70" s="155">
        <f t="shared" si="2"/>
        <v>9531549810.0915565</v>
      </c>
      <c r="AF70" s="104"/>
      <c r="AG70" s="104"/>
      <c r="AH70" s="104"/>
      <c r="AI70" s="104"/>
      <c r="AJ70" s="104"/>
    </row>
    <row r="71" spans="25:36" s="132" customFormat="1" ht="12.95" hidden="1" customHeight="1">
      <c r="Y71" s="152">
        <v>33</v>
      </c>
      <c r="Z71" s="153">
        <f t="shared" si="0"/>
        <v>23983967.944001697</v>
      </c>
      <c r="AA71" s="154">
        <f t="shared" si="1"/>
        <v>8098051.5938490964</v>
      </c>
      <c r="AB71" s="155">
        <f t="shared" si="3"/>
        <v>15885916.350152602</v>
      </c>
      <c r="AC71" s="155">
        <f t="shared" si="2"/>
        <v>9523451758.4977074</v>
      </c>
      <c r="AF71" s="104"/>
      <c r="AG71" s="104"/>
      <c r="AH71" s="104"/>
      <c r="AI71" s="104"/>
      <c r="AJ71" s="104"/>
    </row>
    <row r="72" spans="25:36" s="132" customFormat="1" ht="12.95" hidden="1" customHeight="1">
      <c r="Y72" s="152">
        <v>34</v>
      </c>
      <c r="Z72" s="153">
        <f t="shared" si="0"/>
        <v>23983967.944001697</v>
      </c>
      <c r="AA72" s="154">
        <f t="shared" si="1"/>
        <v>8111548.3465055116</v>
      </c>
      <c r="AB72" s="155">
        <f t="shared" si="3"/>
        <v>15872419.597496185</v>
      </c>
      <c r="AC72" s="155">
        <f t="shared" si="2"/>
        <v>9515340210.1512012</v>
      </c>
      <c r="AF72" s="104"/>
      <c r="AG72" s="104"/>
      <c r="AH72" s="104"/>
      <c r="AI72" s="104"/>
      <c r="AJ72" s="104"/>
    </row>
    <row r="73" spans="25:36" s="132" customFormat="1" ht="12.95" hidden="1" customHeight="1">
      <c r="Y73" s="152">
        <v>35</v>
      </c>
      <c r="Z73" s="153">
        <f t="shared" si="0"/>
        <v>23983967.944001697</v>
      </c>
      <c r="AA73" s="154">
        <f t="shared" si="1"/>
        <v>8125067.5937496889</v>
      </c>
      <c r="AB73" s="155">
        <f t="shared" si="3"/>
        <v>15858900.35025201</v>
      </c>
      <c r="AC73" s="155">
        <f t="shared" si="2"/>
        <v>9507215142.5574512</v>
      </c>
      <c r="AF73" s="104"/>
      <c r="AG73" s="104"/>
      <c r="AH73" s="104"/>
      <c r="AI73" s="104"/>
      <c r="AJ73" s="104"/>
    </row>
    <row r="74" spans="25:36" s="132" customFormat="1" ht="12.95" hidden="1" customHeight="1">
      <c r="Y74" s="152">
        <v>36</v>
      </c>
      <c r="Z74" s="153">
        <f t="shared" si="0"/>
        <v>23983967.944001697</v>
      </c>
      <c r="AA74" s="154">
        <f t="shared" si="1"/>
        <v>8138609.3730726037</v>
      </c>
      <c r="AB74" s="155">
        <f t="shared" si="3"/>
        <v>15845358.570929095</v>
      </c>
      <c r="AC74" s="155">
        <f t="shared" si="2"/>
        <v>9499076533.1843796</v>
      </c>
      <c r="AF74" s="104"/>
      <c r="AG74" s="104"/>
      <c r="AH74" s="104"/>
      <c r="AI74" s="104"/>
      <c r="AJ74" s="104"/>
    </row>
    <row r="75" spans="25:36" s="132" customFormat="1" ht="12.95" hidden="1" customHeight="1">
      <c r="Y75" s="152">
        <v>37</v>
      </c>
      <c r="Z75" s="153">
        <f t="shared" si="0"/>
        <v>23983967.944001697</v>
      </c>
      <c r="AA75" s="154">
        <f t="shared" si="1"/>
        <v>8152173.7220277265</v>
      </c>
      <c r="AB75" s="155">
        <f t="shared" si="3"/>
        <v>15831794.221973972</v>
      </c>
      <c r="AC75" s="155">
        <f t="shared" si="2"/>
        <v>9490924359.4623528</v>
      </c>
      <c r="AF75" s="104"/>
      <c r="AG75" s="104"/>
      <c r="AH75" s="104"/>
      <c r="AI75" s="104"/>
      <c r="AJ75" s="104"/>
    </row>
    <row r="76" spans="25:36" s="132" customFormat="1" ht="12.95" hidden="1" customHeight="1">
      <c r="Y76" s="152">
        <v>38</v>
      </c>
      <c r="Z76" s="153">
        <f t="shared" si="0"/>
        <v>23983967.944001697</v>
      </c>
      <c r="AA76" s="154">
        <f t="shared" si="1"/>
        <v>8165760.6782311061</v>
      </c>
      <c r="AB76" s="155">
        <f t="shared" si="3"/>
        <v>15818207.265770594</v>
      </c>
      <c r="AC76" s="155">
        <f t="shared" si="2"/>
        <v>9482758598.7841225</v>
      </c>
      <c r="AF76" s="104"/>
      <c r="AG76" s="104"/>
      <c r="AH76" s="104"/>
      <c r="AI76" s="104"/>
      <c r="AJ76" s="104"/>
    </row>
    <row r="77" spans="25:36" s="132" customFormat="1" ht="12.95" hidden="1" customHeight="1">
      <c r="Y77" s="152">
        <v>39</v>
      </c>
      <c r="Z77" s="153">
        <f t="shared" si="0"/>
        <v>23983967.944001697</v>
      </c>
      <c r="AA77" s="154">
        <f t="shared" si="1"/>
        <v>8179370.2793614902</v>
      </c>
      <c r="AB77" s="155">
        <f t="shared" si="3"/>
        <v>15804597.664640209</v>
      </c>
      <c r="AC77" s="155">
        <f t="shared" si="2"/>
        <v>9474579228.5047607</v>
      </c>
      <c r="AF77" s="104"/>
      <c r="AG77" s="104"/>
      <c r="AH77" s="104"/>
      <c r="AI77" s="104"/>
      <c r="AJ77" s="104"/>
    </row>
    <row r="78" spans="25:36" s="132" customFormat="1" ht="12.95" hidden="1" customHeight="1">
      <c r="Y78" s="152">
        <v>40</v>
      </c>
      <c r="Z78" s="153">
        <f t="shared" si="0"/>
        <v>23983967.944001697</v>
      </c>
      <c r="AA78" s="154">
        <f t="shared" si="1"/>
        <v>8193002.5631604251</v>
      </c>
      <c r="AB78" s="155">
        <f t="shared" si="3"/>
        <v>15790965.380841274</v>
      </c>
      <c r="AC78" s="155">
        <f t="shared" si="2"/>
        <v>9466386225.9416008</v>
      </c>
      <c r="AF78" s="104"/>
      <c r="AG78" s="104"/>
      <c r="AH78" s="104"/>
      <c r="AI78" s="104"/>
      <c r="AJ78" s="104"/>
    </row>
    <row r="79" spans="25:36" s="132" customFormat="1" ht="12.95" hidden="1" customHeight="1">
      <c r="Y79" s="152">
        <v>41</v>
      </c>
      <c r="Z79" s="153">
        <f t="shared" si="0"/>
        <v>23983967.944001697</v>
      </c>
      <c r="AA79" s="154">
        <f t="shared" si="1"/>
        <v>8206657.5674323598</v>
      </c>
      <c r="AB79" s="155">
        <f t="shared" si="3"/>
        <v>15777310.376569336</v>
      </c>
      <c r="AC79" s="155">
        <f t="shared" si="2"/>
        <v>9458179568.3741684</v>
      </c>
      <c r="AF79" s="104"/>
      <c r="AG79" s="104"/>
      <c r="AH79" s="104"/>
      <c r="AI79" s="104"/>
      <c r="AJ79" s="104"/>
    </row>
    <row r="80" spans="25:36" s="132" customFormat="1" ht="12.95" hidden="1" customHeight="1">
      <c r="Y80" s="152">
        <v>42</v>
      </c>
      <c r="Z80" s="153">
        <f t="shared" si="0"/>
        <v>23983967.944001697</v>
      </c>
      <c r="AA80" s="154">
        <f t="shared" si="1"/>
        <v>8220335.3300447464</v>
      </c>
      <c r="AB80" s="155">
        <f t="shared" si="3"/>
        <v>15763632.613956952</v>
      </c>
      <c r="AC80" s="155">
        <f t="shared" si="2"/>
        <v>9449959233.0441246</v>
      </c>
      <c r="AF80" s="104"/>
      <c r="AG80" s="104"/>
      <c r="AH80" s="104"/>
      <c r="AI80" s="104"/>
      <c r="AJ80" s="104"/>
    </row>
    <row r="81" spans="25:36" s="132" customFormat="1" ht="12.95" hidden="1" customHeight="1">
      <c r="Y81" s="152">
        <v>43</v>
      </c>
      <c r="Z81" s="153">
        <f t="shared" si="0"/>
        <v>23983967.944001697</v>
      </c>
      <c r="AA81" s="154">
        <f t="shared" si="1"/>
        <v>8234035.8889281563</v>
      </c>
      <c r="AB81" s="155">
        <f t="shared" si="3"/>
        <v>15749932.055073543</v>
      </c>
      <c r="AC81" s="155">
        <f t="shared" si="2"/>
        <v>9441725197.1551971</v>
      </c>
      <c r="AF81" s="104"/>
      <c r="AG81" s="104"/>
      <c r="AH81" s="104"/>
      <c r="AI81" s="104"/>
      <c r="AJ81" s="104"/>
    </row>
    <row r="82" spans="25:36" s="132" customFormat="1" ht="12.95" hidden="1" customHeight="1">
      <c r="Y82" s="152">
        <v>44</v>
      </c>
      <c r="Z82" s="153">
        <f t="shared" si="0"/>
        <v>23983967.944001697</v>
      </c>
      <c r="AA82" s="154">
        <f t="shared" si="1"/>
        <v>8247759.282076369</v>
      </c>
      <c r="AB82" s="155">
        <f t="shared" si="3"/>
        <v>15736208.661925331</v>
      </c>
      <c r="AC82" s="155">
        <f t="shared" si="2"/>
        <v>9433477437.8731213</v>
      </c>
      <c r="AF82" s="104"/>
      <c r="AG82" s="104"/>
      <c r="AH82" s="104"/>
      <c r="AI82" s="104"/>
      <c r="AJ82" s="104"/>
    </row>
    <row r="83" spans="25:36" s="132" customFormat="1" ht="12.95" hidden="1" customHeight="1">
      <c r="Y83" s="152">
        <v>45</v>
      </c>
      <c r="Z83" s="153">
        <f t="shared" si="0"/>
        <v>23983967.944001697</v>
      </c>
      <c r="AA83" s="154">
        <f t="shared" si="1"/>
        <v>8261505.5475464966</v>
      </c>
      <c r="AB83" s="155">
        <f t="shared" si="3"/>
        <v>15722462.3964552</v>
      </c>
      <c r="AC83" s="155">
        <f t="shared" si="2"/>
        <v>9425215932.3255749</v>
      </c>
      <c r="AF83" s="104"/>
      <c r="AG83" s="104"/>
      <c r="AH83" s="104"/>
      <c r="AI83" s="104"/>
      <c r="AJ83" s="104"/>
    </row>
    <row r="84" spans="25:36" s="132" customFormat="1" ht="12.95" hidden="1" customHeight="1">
      <c r="Y84" s="152">
        <v>46</v>
      </c>
      <c r="Z84" s="153">
        <f t="shared" si="0"/>
        <v>23983967.944001697</v>
      </c>
      <c r="AA84" s="154">
        <f t="shared" si="1"/>
        <v>8275274.7234590743</v>
      </c>
      <c r="AB84" s="155">
        <f t="shared" si="3"/>
        <v>15708693.220542623</v>
      </c>
      <c r="AC84" s="155">
        <f t="shared" si="2"/>
        <v>9416940657.6021156</v>
      </c>
      <c r="AF84" s="104"/>
      <c r="AG84" s="104"/>
      <c r="AH84" s="104"/>
      <c r="AI84" s="104"/>
      <c r="AJ84" s="104"/>
    </row>
    <row r="85" spans="25:36" s="132" customFormat="1" ht="12.95" hidden="1" customHeight="1">
      <c r="Y85" s="152">
        <v>47</v>
      </c>
      <c r="Z85" s="153">
        <f t="shared" si="0"/>
        <v>23983967.944001697</v>
      </c>
      <c r="AA85" s="154">
        <f t="shared" si="1"/>
        <v>8289066.847998172</v>
      </c>
      <c r="AB85" s="155">
        <f t="shared" si="3"/>
        <v>15694901.096003529</v>
      </c>
      <c r="AC85" s="155">
        <f t="shared" si="2"/>
        <v>9408651590.754118</v>
      </c>
      <c r="AF85" s="104"/>
      <c r="AG85" s="104"/>
      <c r="AH85" s="104"/>
      <c r="AI85" s="104"/>
      <c r="AJ85" s="104"/>
    </row>
    <row r="86" spans="25:36" s="132" customFormat="1" ht="12.95" hidden="1" customHeight="1">
      <c r="Y86" s="152">
        <v>48</v>
      </c>
      <c r="Z86" s="153">
        <f t="shared" si="0"/>
        <v>23983967.944001697</v>
      </c>
      <c r="AA86" s="154">
        <f t="shared" si="1"/>
        <v>8302881.9594115019</v>
      </c>
      <c r="AB86" s="155">
        <f t="shared" si="3"/>
        <v>15681085.984590197</v>
      </c>
      <c r="AC86" s="155">
        <f t="shared" si="2"/>
        <v>9400348708.7947063</v>
      </c>
      <c r="AF86" s="104"/>
      <c r="AG86" s="104"/>
      <c r="AH86" s="104"/>
      <c r="AI86" s="104"/>
      <c r="AJ86" s="104"/>
    </row>
    <row r="87" spans="25:36" s="132" customFormat="1" ht="12.95" hidden="1" customHeight="1">
      <c r="Y87" s="152">
        <v>49</v>
      </c>
      <c r="Z87" s="153">
        <f t="shared" si="0"/>
        <v>23983967.944001697</v>
      </c>
      <c r="AA87" s="154">
        <f t="shared" si="1"/>
        <v>8316720.0960105229</v>
      </c>
      <c r="AB87" s="155">
        <f t="shared" si="3"/>
        <v>15667247.847991176</v>
      </c>
      <c r="AC87" s="155">
        <f t="shared" si="2"/>
        <v>9392031988.6986961</v>
      </c>
      <c r="AF87" s="104"/>
      <c r="AG87" s="104"/>
      <c r="AH87" s="104"/>
      <c r="AI87" s="104"/>
      <c r="AJ87" s="104"/>
    </row>
    <row r="88" spans="25:36" s="132" customFormat="1" ht="12.95" hidden="1" customHeight="1">
      <c r="Y88" s="152">
        <v>50</v>
      </c>
      <c r="Z88" s="153">
        <f t="shared" si="0"/>
        <v>23983967.944001697</v>
      </c>
      <c r="AA88" s="154">
        <f t="shared" si="1"/>
        <v>8330581.2961705392</v>
      </c>
      <c r="AB88" s="155">
        <f t="shared" si="3"/>
        <v>15653386.647831161</v>
      </c>
      <c r="AC88" s="155">
        <f t="shared" si="2"/>
        <v>9383701407.4025249</v>
      </c>
      <c r="AF88" s="104"/>
      <c r="AG88" s="104"/>
      <c r="AH88" s="104"/>
      <c r="AI88" s="104"/>
      <c r="AJ88" s="104"/>
    </row>
    <row r="89" spans="25:36" s="132" customFormat="1" ht="12.95" hidden="1" customHeight="1">
      <c r="Y89" s="152">
        <v>51</v>
      </c>
      <c r="Z89" s="153">
        <f t="shared" si="0"/>
        <v>23983967.944001697</v>
      </c>
      <c r="AA89" s="154">
        <f t="shared" si="1"/>
        <v>8344465.5983308237</v>
      </c>
      <c r="AB89" s="155">
        <f t="shared" si="3"/>
        <v>15639502.345670875</v>
      </c>
      <c r="AC89" s="155">
        <f t="shared" si="2"/>
        <v>9375356941.8041935</v>
      </c>
      <c r="AF89" s="104"/>
      <c r="AG89" s="104"/>
      <c r="AH89" s="104"/>
      <c r="AI89" s="104"/>
      <c r="AJ89" s="104"/>
    </row>
    <row r="90" spans="25:36" s="132" customFormat="1" ht="12.95" hidden="1" customHeight="1">
      <c r="Y90" s="152">
        <v>52</v>
      </c>
      <c r="Z90" s="153">
        <f t="shared" si="0"/>
        <v>23983967.944001697</v>
      </c>
      <c r="AA90" s="154">
        <f t="shared" si="1"/>
        <v>8358373.0409947094</v>
      </c>
      <c r="AB90" s="155">
        <f t="shared" si="3"/>
        <v>15625594.90300699</v>
      </c>
      <c r="AC90" s="155">
        <f t="shared" si="2"/>
        <v>9366998568.7631989</v>
      </c>
      <c r="AF90" s="104"/>
      <c r="AG90" s="104"/>
      <c r="AH90" s="104"/>
      <c r="AI90" s="104"/>
      <c r="AJ90" s="104"/>
    </row>
    <row r="91" spans="25:36" s="132" customFormat="1" ht="12.95" hidden="1" customHeight="1">
      <c r="Y91" s="152">
        <v>53</v>
      </c>
      <c r="Z91" s="153">
        <f t="shared" si="0"/>
        <v>23983967.944001697</v>
      </c>
      <c r="AA91" s="154">
        <f t="shared" si="1"/>
        <v>8372303.6627297001</v>
      </c>
      <c r="AB91" s="155">
        <f t="shared" si="3"/>
        <v>15611664.281271996</v>
      </c>
      <c r="AC91" s="155">
        <f t="shared" si="2"/>
        <v>9358626265.1004696</v>
      </c>
      <c r="AF91" s="104"/>
      <c r="AG91" s="104"/>
      <c r="AH91" s="104"/>
      <c r="AI91" s="104"/>
      <c r="AJ91" s="104"/>
    </row>
    <row r="92" spans="25:36" s="132" customFormat="1" ht="12.95" hidden="1" customHeight="1">
      <c r="Y92" s="152">
        <v>54</v>
      </c>
      <c r="Z92" s="153">
        <f t="shared" si="0"/>
        <v>23983967.944001697</v>
      </c>
      <c r="AA92" s="154">
        <f t="shared" si="1"/>
        <v>8386257.5021675825</v>
      </c>
      <c r="AB92" s="155">
        <f t="shared" si="3"/>
        <v>15597710.441834114</v>
      </c>
      <c r="AC92" s="155">
        <f t="shared" si="2"/>
        <v>9350240007.5983028</v>
      </c>
      <c r="AF92" s="104"/>
      <c r="AG92" s="104"/>
      <c r="AH92" s="104"/>
      <c r="AI92" s="104"/>
      <c r="AJ92" s="104"/>
    </row>
    <row r="93" spans="25:36" s="132" customFormat="1" ht="12.95" hidden="1" customHeight="1">
      <c r="Y93" s="152">
        <v>55</v>
      </c>
      <c r="Z93" s="153">
        <f t="shared" si="0"/>
        <v>23983967.944001697</v>
      </c>
      <c r="AA93" s="154">
        <f t="shared" si="1"/>
        <v>8400234.5980045274</v>
      </c>
      <c r="AB93" s="155">
        <f t="shared" si="3"/>
        <v>15583733.345997168</v>
      </c>
      <c r="AC93" s="155">
        <f t="shared" si="2"/>
        <v>9341839773.0002975</v>
      </c>
      <c r="AF93" s="104"/>
      <c r="AG93" s="104"/>
      <c r="AH93" s="104"/>
      <c r="AI93" s="104"/>
      <c r="AJ93" s="104"/>
    </row>
    <row r="94" spans="25:36" s="132" customFormat="1" ht="12.95" hidden="1" customHeight="1">
      <c r="Y94" s="152">
        <v>56</v>
      </c>
      <c r="Z94" s="153">
        <f t="shared" si="0"/>
        <v>23983967.944001697</v>
      </c>
      <c r="AA94" s="154">
        <f t="shared" si="1"/>
        <v>8414234.9890012033</v>
      </c>
      <c r="AB94" s="155">
        <f t="shared" si="3"/>
        <v>15569732.955000499</v>
      </c>
      <c r="AC94" s="155">
        <f t="shared" si="2"/>
        <v>9333425538.0112972</v>
      </c>
      <c r="AF94" s="104"/>
      <c r="AG94" s="104"/>
      <c r="AH94" s="104"/>
      <c r="AI94" s="104"/>
      <c r="AJ94" s="104"/>
    </row>
    <row r="95" spans="25:36" s="132" customFormat="1" ht="12.95" hidden="1" customHeight="1">
      <c r="Y95" s="152">
        <v>57</v>
      </c>
      <c r="Z95" s="153">
        <f t="shared" si="0"/>
        <v>23983967.944001697</v>
      </c>
      <c r="AA95" s="154">
        <f t="shared" si="1"/>
        <v>8428258.7139828708</v>
      </c>
      <c r="AB95" s="155">
        <f t="shared" si="3"/>
        <v>15555709.230018828</v>
      </c>
      <c r="AC95" s="155">
        <f t="shared" si="2"/>
        <v>9324997279.2973137</v>
      </c>
      <c r="AF95" s="104"/>
      <c r="AG95" s="104"/>
      <c r="AH95" s="104"/>
      <c r="AI95" s="104"/>
      <c r="AJ95" s="104"/>
    </row>
    <row r="96" spans="25:36" s="132" customFormat="1" ht="12.95" hidden="1" customHeight="1">
      <c r="Y96" s="152">
        <v>58</v>
      </c>
      <c r="Z96" s="153">
        <f t="shared" si="0"/>
        <v>23983967.944001697</v>
      </c>
      <c r="AA96" s="154">
        <f t="shared" si="1"/>
        <v>8442305.8118395079</v>
      </c>
      <c r="AB96" s="155">
        <f t="shared" si="3"/>
        <v>15541662.132162189</v>
      </c>
      <c r="AC96" s="155">
        <f t="shared" si="2"/>
        <v>9316554973.4854736</v>
      </c>
      <c r="AF96" s="104"/>
      <c r="AG96" s="104"/>
      <c r="AH96" s="104"/>
      <c r="AI96" s="104"/>
      <c r="AJ96" s="104"/>
    </row>
    <row r="97" spans="25:36" s="132" customFormat="1" ht="12.95" hidden="1" customHeight="1">
      <c r="Y97" s="152">
        <v>59</v>
      </c>
      <c r="Z97" s="153">
        <f t="shared" si="0"/>
        <v>23983967.944001697</v>
      </c>
      <c r="AA97" s="154">
        <f t="shared" si="1"/>
        <v>8456376.321525909</v>
      </c>
      <c r="AB97" s="155">
        <f t="shared" si="3"/>
        <v>15527591.622475792</v>
      </c>
      <c r="AC97" s="155">
        <f t="shared" si="2"/>
        <v>9308098597.1639481</v>
      </c>
      <c r="AF97" s="104"/>
      <c r="AG97" s="104"/>
      <c r="AH97" s="104"/>
      <c r="AI97" s="104"/>
      <c r="AJ97" s="104"/>
    </row>
    <row r="98" spans="25:36" s="132" customFormat="1" ht="12.95" hidden="1" customHeight="1">
      <c r="Y98" s="152">
        <v>60</v>
      </c>
      <c r="Z98" s="153">
        <f t="shared" si="0"/>
        <v>23983967.944001697</v>
      </c>
      <c r="AA98" s="154">
        <f t="shared" si="1"/>
        <v>8470470.2820617855</v>
      </c>
      <c r="AB98" s="155">
        <f t="shared" si="3"/>
        <v>15513497.661939913</v>
      </c>
      <c r="AC98" s="155">
        <f t="shared" si="2"/>
        <v>9299628126.8818855</v>
      </c>
      <c r="AF98" s="104"/>
      <c r="AG98" s="104"/>
      <c r="AH98" s="104"/>
      <c r="AI98" s="104"/>
      <c r="AJ98" s="104"/>
    </row>
    <row r="99" spans="25:36" s="132" customFormat="1" ht="12.95" hidden="1" customHeight="1">
      <c r="Y99" s="152">
        <v>61</v>
      </c>
      <c r="Z99" s="153">
        <f t="shared" si="0"/>
        <v>23983967.944001697</v>
      </c>
      <c r="AA99" s="154">
        <f t="shared" si="1"/>
        <v>8484587.7325318884</v>
      </c>
      <c r="AB99" s="155">
        <f t="shared" si="3"/>
        <v>15499380.211469809</v>
      </c>
      <c r="AC99" s="155">
        <f t="shared" si="2"/>
        <v>9291143539.149353</v>
      </c>
      <c r="AF99" s="104"/>
      <c r="AG99" s="104"/>
      <c r="AH99" s="104"/>
      <c r="AI99" s="104"/>
      <c r="AJ99" s="104"/>
    </row>
    <row r="100" spans="25:36" s="132" customFormat="1" ht="12.95" hidden="1" customHeight="1">
      <c r="Y100" s="152">
        <v>62</v>
      </c>
      <c r="Z100" s="153">
        <f t="shared" si="0"/>
        <v>23983967.944001697</v>
      </c>
      <c r="AA100" s="154">
        <f t="shared" si="1"/>
        <v>8498728.7120861076</v>
      </c>
      <c r="AB100" s="155">
        <f t="shared" si="3"/>
        <v>15485239.231915593</v>
      </c>
      <c r="AC100" s="155">
        <f t="shared" si="2"/>
        <v>9282644810.4372673</v>
      </c>
      <c r="AF100" s="104"/>
      <c r="AG100" s="104"/>
      <c r="AH100" s="104"/>
      <c r="AI100" s="104"/>
      <c r="AJ100" s="104"/>
    </row>
    <row r="101" spans="25:36" s="132" customFormat="1" ht="12.95" hidden="1" customHeight="1">
      <c r="Y101" s="152">
        <v>63</v>
      </c>
      <c r="Z101" s="153">
        <f t="shared" si="0"/>
        <v>23983967.944001697</v>
      </c>
      <c r="AA101" s="154">
        <f t="shared" si="1"/>
        <v>8512893.2599395849</v>
      </c>
      <c r="AB101" s="155">
        <f t="shared" si="3"/>
        <v>15471074.68406211</v>
      </c>
      <c r="AC101" s="155">
        <f t="shared" si="2"/>
        <v>9274131917.1773281</v>
      </c>
      <c r="AF101" s="104"/>
      <c r="AG101" s="104"/>
      <c r="AH101" s="104"/>
      <c r="AI101" s="104"/>
      <c r="AJ101" s="104"/>
    </row>
    <row r="102" spans="25:36" s="132" customFormat="1" ht="12.95" hidden="1" customHeight="1">
      <c r="Y102" s="152">
        <v>64</v>
      </c>
      <c r="Z102" s="153">
        <f t="shared" si="0"/>
        <v>23983967.944001697</v>
      </c>
      <c r="AA102" s="154">
        <f t="shared" si="1"/>
        <v>8527081.4153728168</v>
      </c>
      <c r="AB102" s="155">
        <f t="shared" si="3"/>
        <v>15456886.528628882</v>
      </c>
      <c r="AC102" s="155">
        <f t="shared" si="2"/>
        <v>9265604835.7619553</v>
      </c>
      <c r="AF102" s="104"/>
      <c r="AG102" s="104"/>
      <c r="AH102" s="104"/>
      <c r="AI102" s="104"/>
      <c r="AJ102" s="104"/>
    </row>
    <row r="103" spans="25:36" s="132" customFormat="1" ht="12.95" hidden="1" customHeight="1">
      <c r="Y103" s="152">
        <v>65</v>
      </c>
      <c r="Z103" s="153">
        <f t="shared" si="0"/>
        <v>23983967.944001697</v>
      </c>
      <c r="AA103" s="154">
        <f t="shared" si="1"/>
        <v>8541293.217731772</v>
      </c>
      <c r="AB103" s="155">
        <f t="shared" si="3"/>
        <v>15442674.726269927</v>
      </c>
      <c r="AC103" s="155">
        <f t="shared" si="2"/>
        <v>9257063542.5442238</v>
      </c>
      <c r="AF103" s="104"/>
      <c r="AG103" s="104"/>
      <c r="AH103" s="104"/>
      <c r="AI103" s="104"/>
      <c r="AJ103" s="104"/>
    </row>
    <row r="104" spans="25:36" s="132" customFormat="1" ht="12.95" hidden="1" customHeight="1">
      <c r="Y104" s="152">
        <v>66</v>
      </c>
      <c r="Z104" s="153">
        <f t="shared" ref="Z104:Z167" si="4">IF(Y104&lt;=$AB$32, PMT($AB$31/12,$AB$32,-$AB$30,0,1), 0)</f>
        <v>23983967.944001697</v>
      </c>
      <c r="AA104" s="154">
        <f t="shared" ref="AA104:AA167" si="5">IF(Y104&lt;=$AB$32,-PPMT($AB$31/12,Y104,$AB$32,$AB$30,,1),0)</f>
        <v>8555528.7064279914</v>
      </c>
      <c r="AB104" s="155">
        <f t="shared" si="3"/>
        <v>15428439.237573706</v>
      </c>
      <c r="AC104" s="155">
        <f t="shared" ref="AC104:AC167" si="6">AC103-AA104</f>
        <v>9248508013.8377953</v>
      </c>
      <c r="AF104" s="104"/>
      <c r="AG104" s="104"/>
      <c r="AH104" s="104"/>
      <c r="AI104" s="104"/>
      <c r="AJ104" s="104"/>
    </row>
    <row r="105" spans="25:36" s="132" customFormat="1" ht="12.95" hidden="1" customHeight="1">
      <c r="Y105" s="152">
        <v>67</v>
      </c>
      <c r="Z105" s="153">
        <f t="shared" si="4"/>
        <v>23983967.944001697</v>
      </c>
      <c r="AA105" s="154">
        <f t="shared" si="5"/>
        <v>8569787.9209387042</v>
      </c>
      <c r="AB105" s="155">
        <f t="shared" ref="AB105:AB168" si="7">IF(Y105&lt;=$AB$32,-IPMT($AB$31/12,Y105,$AB$32,$AB$30,,1),0)</f>
        <v>15414180.023062993</v>
      </c>
      <c r="AC105" s="155">
        <f t="shared" si="6"/>
        <v>9239938225.9168568</v>
      </c>
      <c r="AF105" s="104"/>
      <c r="AG105" s="104"/>
      <c r="AH105" s="104"/>
      <c r="AI105" s="104"/>
      <c r="AJ105" s="104"/>
    </row>
    <row r="106" spans="25:36" s="132" customFormat="1" ht="12.95" hidden="1" customHeight="1">
      <c r="Y106" s="152">
        <v>68</v>
      </c>
      <c r="Z106" s="153">
        <f t="shared" si="4"/>
        <v>23983967.944001697</v>
      </c>
      <c r="AA106" s="154">
        <f t="shared" si="5"/>
        <v>8584070.9008069374</v>
      </c>
      <c r="AB106" s="155">
        <f t="shared" si="7"/>
        <v>15399897.043194763</v>
      </c>
      <c r="AC106" s="155">
        <f t="shared" si="6"/>
        <v>9231354155.0160503</v>
      </c>
      <c r="AF106" s="104"/>
      <c r="AG106" s="104"/>
      <c r="AH106" s="104"/>
      <c r="AI106" s="104"/>
      <c r="AJ106" s="104"/>
    </row>
    <row r="107" spans="25:36" s="132" customFormat="1" ht="12.95" hidden="1" customHeight="1">
      <c r="Y107" s="152">
        <v>69</v>
      </c>
      <c r="Z107" s="153">
        <f t="shared" si="4"/>
        <v>23983967.944001697</v>
      </c>
      <c r="AA107" s="154">
        <f t="shared" si="5"/>
        <v>8598377.6856416129</v>
      </c>
      <c r="AB107" s="155">
        <f t="shared" si="7"/>
        <v>15385590.258360088</v>
      </c>
      <c r="AC107" s="155">
        <f t="shared" si="6"/>
        <v>9222755777.3304081</v>
      </c>
      <c r="AF107" s="104"/>
      <c r="AG107" s="104"/>
      <c r="AH107" s="104"/>
      <c r="AI107" s="104"/>
      <c r="AJ107" s="104"/>
    </row>
    <row r="108" spans="25:36" s="132" customFormat="1" ht="12.95" hidden="1" customHeight="1">
      <c r="Y108" s="152">
        <v>70</v>
      </c>
      <c r="Z108" s="153">
        <f t="shared" si="4"/>
        <v>23983967.944001697</v>
      </c>
      <c r="AA108" s="154">
        <f t="shared" si="5"/>
        <v>8612708.3151176814</v>
      </c>
      <c r="AB108" s="155">
        <f t="shared" si="7"/>
        <v>15371259.628884016</v>
      </c>
      <c r="AC108" s="155">
        <f t="shared" si="6"/>
        <v>9214143069.0152912</v>
      </c>
      <c r="AF108" s="104"/>
      <c r="AG108" s="104"/>
      <c r="AH108" s="104"/>
      <c r="AI108" s="104"/>
      <c r="AJ108" s="104"/>
    </row>
    <row r="109" spans="25:36" s="132" customFormat="1" ht="12.95" hidden="1" customHeight="1">
      <c r="Y109" s="152">
        <v>71</v>
      </c>
      <c r="Z109" s="153">
        <f t="shared" si="4"/>
        <v>23983967.944001697</v>
      </c>
      <c r="AA109" s="154">
        <f t="shared" si="5"/>
        <v>8627062.8289762121</v>
      </c>
      <c r="AB109" s="155">
        <f t="shared" si="7"/>
        <v>15356905.115025485</v>
      </c>
      <c r="AC109" s="155">
        <f t="shared" si="6"/>
        <v>9205516006.1863155</v>
      </c>
      <c r="AF109" s="104"/>
      <c r="AG109" s="104"/>
      <c r="AH109" s="104"/>
      <c r="AI109" s="104"/>
      <c r="AJ109" s="104"/>
    </row>
    <row r="110" spans="25:36" s="132" customFormat="1" ht="12.95" hidden="1" customHeight="1">
      <c r="Y110" s="152">
        <v>72</v>
      </c>
      <c r="Z110" s="153">
        <f t="shared" si="4"/>
        <v>23983967.944001697</v>
      </c>
      <c r="AA110" s="154">
        <f t="shared" si="5"/>
        <v>8641441.2670245077</v>
      </c>
      <c r="AB110" s="155">
        <f t="shared" si="7"/>
        <v>15342526.676977189</v>
      </c>
      <c r="AC110" s="155">
        <f t="shared" si="6"/>
        <v>9196874564.9192905</v>
      </c>
      <c r="AF110" s="104"/>
      <c r="AG110" s="104"/>
      <c r="AH110" s="104"/>
      <c r="AI110" s="104"/>
      <c r="AJ110" s="104"/>
    </row>
    <row r="111" spans="25:36" s="132" customFormat="1" ht="12.95" hidden="1" customHeight="1">
      <c r="Y111" s="152">
        <v>73</v>
      </c>
      <c r="Z111" s="153">
        <f t="shared" si="4"/>
        <v>23983967.944001697</v>
      </c>
      <c r="AA111" s="154">
        <f t="shared" si="5"/>
        <v>8655843.669136215</v>
      </c>
      <c r="AB111" s="155">
        <f t="shared" si="7"/>
        <v>15328124.274865482</v>
      </c>
      <c r="AC111" s="155">
        <f t="shared" si="6"/>
        <v>9188218721.2501545</v>
      </c>
      <c r="AF111" s="104"/>
      <c r="AG111" s="104"/>
      <c r="AH111" s="104"/>
      <c r="AI111" s="104"/>
      <c r="AJ111" s="104"/>
    </row>
    <row r="112" spans="25:36" s="132" customFormat="1" ht="12.95" hidden="1" customHeight="1">
      <c r="Y112" s="152">
        <v>74</v>
      </c>
      <c r="Z112" s="153">
        <f t="shared" si="4"/>
        <v>23983967.944001697</v>
      </c>
      <c r="AA112" s="154">
        <f t="shared" si="5"/>
        <v>8670270.0752514414</v>
      </c>
      <c r="AB112" s="155">
        <f t="shared" si="7"/>
        <v>15313697.868750257</v>
      </c>
      <c r="AC112" s="155">
        <f t="shared" si="6"/>
        <v>9179548451.1749039</v>
      </c>
      <c r="AF112" s="104"/>
      <c r="AG112" s="104"/>
      <c r="AH112" s="104"/>
      <c r="AI112" s="104"/>
      <c r="AJ112" s="104"/>
    </row>
    <row r="113" spans="25:36" s="132" customFormat="1" ht="12.95" hidden="1" customHeight="1">
      <c r="Y113" s="152">
        <v>75</v>
      </c>
      <c r="Z113" s="153">
        <f t="shared" si="4"/>
        <v>23983967.944001697</v>
      </c>
      <c r="AA113" s="154">
        <f t="shared" si="5"/>
        <v>8684720.5253768619</v>
      </c>
      <c r="AB113" s="155">
        <f t="shared" si="7"/>
        <v>15299247.418624837</v>
      </c>
      <c r="AC113" s="155">
        <f t="shared" si="6"/>
        <v>9170863730.6495266</v>
      </c>
      <c r="AF113" s="104"/>
      <c r="AG113" s="104"/>
      <c r="AH113" s="104"/>
      <c r="AI113" s="104"/>
      <c r="AJ113" s="104"/>
    </row>
    <row r="114" spans="25:36" s="132" customFormat="1" ht="12.95" hidden="1" customHeight="1">
      <c r="Y114" s="152">
        <v>76</v>
      </c>
      <c r="Z114" s="153">
        <f t="shared" si="4"/>
        <v>23983967.944001697</v>
      </c>
      <c r="AA114" s="154">
        <f t="shared" si="5"/>
        <v>8699195.0595858209</v>
      </c>
      <c r="AB114" s="155">
        <f t="shared" si="7"/>
        <v>15284772.884415876</v>
      </c>
      <c r="AC114" s="155">
        <f t="shared" si="6"/>
        <v>9162164535.589941</v>
      </c>
      <c r="AF114" s="104"/>
      <c r="AG114" s="104"/>
      <c r="AH114" s="104"/>
      <c r="AI114" s="104"/>
      <c r="AJ114" s="104"/>
    </row>
    <row r="115" spans="25:36" s="132" customFormat="1" ht="12.95" hidden="1" customHeight="1">
      <c r="Y115" s="152">
        <v>77</v>
      </c>
      <c r="Z115" s="153">
        <f t="shared" si="4"/>
        <v>23983967.944001697</v>
      </c>
      <c r="AA115" s="154">
        <f t="shared" si="5"/>
        <v>8713693.7180184629</v>
      </c>
      <c r="AB115" s="155">
        <f t="shared" si="7"/>
        <v>15270274.225983234</v>
      </c>
      <c r="AC115" s="155">
        <f t="shared" si="6"/>
        <v>9153450841.8719234</v>
      </c>
      <c r="AF115" s="104"/>
      <c r="AG115" s="104"/>
      <c r="AH115" s="104"/>
      <c r="AI115" s="104"/>
      <c r="AJ115" s="104"/>
    </row>
    <row r="116" spans="25:36" s="132" customFormat="1" ht="12.95" hidden="1" customHeight="1">
      <c r="Y116" s="152">
        <v>78</v>
      </c>
      <c r="Z116" s="153">
        <f t="shared" si="4"/>
        <v>23983967.944001697</v>
      </c>
      <c r="AA116" s="154">
        <f t="shared" si="5"/>
        <v>8728216.5408818275</v>
      </c>
      <c r="AB116" s="155">
        <f t="shared" si="7"/>
        <v>15255751.40311987</v>
      </c>
      <c r="AC116" s="155">
        <f t="shared" si="6"/>
        <v>9144722625.3310413</v>
      </c>
      <c r="AF116" s="104"/>
      <c r="AG116" s="104"/>
      <c r="AH116" s="104"/>
      <c r="AI116" s="104"/>
      <c r="AJ116" s="104"/>
    </row>
    <row r="117" spans="25:36" s="132" customFormat="1" ht="12.95" hidden="1" customHeight="1">
      <c r="Y117" s="152">
        <v>79</v>
      </c>
      <c r="Z117" s="153">
        <f t="shared" si="4"/>
        <v>23983967.944001697</v>
      </c>
      <c r="AA117" s="154">
        <f t="shared" si="5"/>
        <v>8742763.5684499647</v>
      </c>
      <c r="AB117" s="155">
        <f t="shared" si="7"/>
        <v>15241204.375551736</v>
      </c>
      <c r="AC117" s="155">
        <f t="shared" si="6"/>
        <v>9135979861.7625923</v>
      </c>
      <c r="AF117" s="104"/>
      <c r="AG117" s="104"/>
      <c r="AH117" s="104"/>
      <c r="AI117" s="104"/>
      <c r="AJ117" s="104"/>
    </row>
    <row r="118" spans="25:36" s="132" customFormat="1" ht="12.95" hidden="1" customHeight="1">
      <c r="Y118" s="152">
        <v>80</v>
      </c>
      <c r="Z118" s="153">
        <f t="shared" si="4"/>
        <v>23983967.944001697</v>
      </c>
      <c r="AA118" s="154">
        <f t="shared" si="5"/>
        <v>8757334.8410640489</v>
      </c>
      <c r="AB118" s="155">
        <f t="shared" si="7"/>
        <v>15226633.102937652</v>
      </c>
      <c r="AC118" s="155">
        <f t="shared" si="6"/>
        <v>9127222526.9215279</v>
      </c>
      <c r="AF118" s="104"/>
      <c r="AG118" s="104"/>
      <c r="AH118" s="104"/>
      <c r="AI118" s="104"/>
      <c r="AJ118" s="104"/>
    </row>
    <row r="119" spans="25:36" s="132" customFormat="1" ht="12.95" hidden="1" customHeight="1">
      <c r="Y119" s="152">
        <v>81</v>
      </c>
      <c r="Z119" s="153">
        <f t="shared" si="4"/>
        <v>23983967.944001697</v>
      </c>
      <c r="AA119" s="154">
        <f t="shared" si="5"/>
        <v>8771930.3991324883</v>
      </c>
      <c r="AB119" s="155">
        <f t="shared" si="7"/>
        <v>15212037.544869209</v>
      </c>
      <c r="AC119" s="155">
        <f t="shared" si="6"/>
        <v>9118450596.5223961</v>
      </c>
      <c r="AF119" s="104"/>
      <c r="AG119" s="104"/>
      <c r="AH119" s="104"/>
      <c r="AI119" s="104"/>
      <c r="AJ119" s="104"/>
    </row>
    <row r="120" spans="25:36" s="132" customFormat="1" ht="12.95" hidden="1" customHeight="1">
      <c r="Y120" s="152">
        <v>82</v>
      </c>
      <c r="Z120" s="153">
        <f t="shared" si="4"/>
        <v>23983967.944001697</v>
      </c>
      <c r="AA120" s="154">
        <f t="shared" si="5"/>
        <v>8786550.2831310444</v>
      </c>
      <c r="AB120" s="155">
        <f t="shared" si="7"/>
        <v>15197417.660870656</v>
      </c>
      <c r="AC120" s="155">
        <f t="shared" si="6"/>
        <v>9109664046.2392654</v>
      </c>
      <c r="AF120" s="104"/>
      <c r="AG120" s="104"/>
      <c r="AH120" s="104"/>
      <c r="AI120" s="104"/>
      <c r="AJ120" s="104"/>
    </row>
    <row r="121" spans="25:36" s="132" customFormat="1" ht="12.95" hidden="1" customHeight="1">
      <c r="Y121" s="152">
        <v>83</v>
      </c>
      <c r="Z121" s="153">
        <f t="shared" si="4"/>
        <v>23983967.944001697</v>
      </c>
      <c r="AA121" s="154">
        <f t="shared" si="5"/>
        <v>8801194.5336029269</v>
      </c>
      <c r="AB121" s="155">
        <f t="shared" si="7"/>
        <v>15182773.410398772</v>
      </c>
      <c r="AC121" s="155">
        <f t="shared" si="6"/>
        <v>9100862851.7056618</v>
      </c>
      <c r="AF121" s="104"/>
      <c r="AG121" s="104"/>
      <c r="AH121" s="104"/>
      <c r="AI121" s="104"/>
      <c r="AJ121" s="104"/>
    </row>
    <row r="122" spans="25:36" s="132" customFormat="1" ht="12.95" hidden="1" customHeight="1">
      <c r="Y122" s="152">
        <v>84</v>
      </c>
      <c r="Z122" s="153">
        <f t="shared" si="4"/>
        <v>23983967.944001697</v>
      </c>
      <c r="AA122" s="154">
        <f t="shared" si="5"/>
        <v>8815863.1911589336</v>
      </c>
      <c r="AB122" s="155">
        <f t="shared" si="7"/>
        <v>15168104.752842769</v>
      </c>
      <c r="AC122" s="155">
        <f t="shared" si="6"/>
        <v>9092046988.5145035</v>
      </c>
      <c r="AF122" s="104"/>
      <c r="AG122" s="104"/>
      <c r="AH122" s="104"/>
      <c r="AI122" s="104"/>
      <c r="AJ122" s="104"/>
    </row>
    <row r="123" spans="25:36" s="132" customFormat="1" ht="12.95" hidden="1" customHeight="1">
      <c r="Y123" s="152">
        <v>85</v>
      </c>
      <c r="Z123" s="153">
        <f t="shared" si="4"/>
        <v>23983967.944001697</v>
      </c>
      <c r="AA123" s="154">
        <f t="shared" si="5"/>
        <v>8830556.2964775302</v>
      </c>
      <c r="AB123" s="155">
        <f t="shared" si="7"/>
        <v>15153411.647524169</v>
      </c>
      <c r="AC123" s="155">
        <f t="shared" si="6"/>
        <v>9083216432.2180252</v>
      </c>
      <c r="AF123" s="104"/>
      <c r="AG123" s="104"/>
      <c r="AH123" s="104"/>
      <c r="AI123" s="104"/>
      <c r="AJ123" s="104"/>
    </row>
    <row r="124" spans="25:36" s="132" customFormat="1" ht="12.95" hidden="1" customHeight="1">
      <c r="Y124" s="152">
        <v>86</v>
      </c>
      <c r="Z124" s="153">
        <f t="shared" si="4"/>
        <v>23983967.944001697</v>
      </c>
      <c r="AA124" s="154">
        <f t="shared" si="5"/>
        <v>8845273.8903049938</v>
      </c>
      <c r="AB124" s="155">
        <f t="shared" si="7"/>
        <v>15138694.053696707</v>
      </c>
      <c r="AC124" s="155">
        <f t="shared" si="6"/>
        <v>9074371158.3277206</v>
      </c>
      <c r="AF124" s="104"/>
      <c r="AG124" s="104"/>
      <c r="AH124" s="104"/>
      <c r="AI124" s="104"/>
      <c r="AJ124" s="104"/>
    </row>
    <row r="125" spans="25:36" s="132" customFormat="1" ht="12.95" hidden="1" customHeight="1">
      <c r="Y125" s="152">
        <v>87</v>
      </c>
      <c r="Z125" s="153">
        <f t="shared" si="4"/>
        <v>23983967.944001697</v>
      </c>
      <c r="AA125" s="154">
        <f t="shared" si="5"/>
        <v>8860016.0134555027</v>
      </c>
      <c r="AB125" s="155">
        <f t="shared" si="7"/>
        <v>15123951.930546198</v>
      </c>
      <c r="AC125" s="155">
        <f t="shared" si="6"/>
        <v>9065511142.3142643</v>
      </c>
      <c r="AF125" s="104"/>
      <c r="AG125" s="104"/>
      <c r="AH125" s="104"/>
      <c r="AI125" s="104"/>
      <c r="AJ125" s="104"/>
    </row>
    <row r="126" spans="25:36" s="132" customFormat="1" ht="12.95" hidden="1" customHeight="1">
      <c r="Y126" s="152">
        <v>88</v>
      </c>
      <c r="Z126" s="153">
        <f t="shared" si="4"/>
        <v>23983967.944001697</v>
      </c>
      <c r="AA126" s="154">
        <f t="shared" si="5"/>
        <v>8874782.7068112604</v>
      </c>
      <c r="AB126" s="155">
        <f t="shared" si="7"/>
        <v>15109185.237190435</v>
      </c>
      <c r="AC126" s="155">
        <f t="shared" si="6"/>
        <v>9056636359.6074524</v>
      </c>
      <c r="AF126" s="104"/>
      <c r="AG126" s="104"/>
      <c r="AH126" s="104"/>
      <c r="AI126" s="104"/>
      <c r="AJ126" s="104"/>
    </row>
    <row r="127" spans="25:36" s="132" customFormat="1" ht="12.95" hidden="1" customHeight="1">
      <c r="Y127" s="152">
        <v>89</v>
      </c>
      <c r="Z127" s="153">
        <f t="shared" si="4"/>
        <v>23983967.944001697</v>
      </c>
      <c r="AA127" s="154">
        <f t="shared" si="5"/>
        <v>8889574.0113226119</v>
      </c>
      <c r="AB127" s="155">
        <f t="shared" si="7"/>
        <v>15094393.932679087</v>
      </c>
      <c r="AC127" s="155">
        <f t="shared" si="6"/>
        <v>9047746785.5961304</v>
      </c>
      <c r="AF127" s="104"/>
      <c r="AG127" s="104"/>
      <c r="AH127" s="104"/>
      <c r="AI127" s="104"/>
      <c r="AJ127" s="104"/>
    </row>
    <row r="128" spans="25:36" s="132" customFormat="1" ht="12.95" hidden="1" customHeight="1">
      <c r="Y128" s="152">
        <v>90</v>
      </c>
      <c r="Z128" s="153">
        <f t="shared" si="4"/>
        <v>23983967.944001697</v>
      </c>
      <c r="AA128" s="154">
        <f t="shared" si="5"/>
        <v>8904389.9680081513</v>
      </c>
      <c r="AB128" s="155">
        <f t="shared" si="7"/>
        <v>15079577.975993549</v>
      </c>
      <c r="AC128" s="155">
        <f t="shared" si="6"/>
        <v>9038842395.6281223</v>
      </c>
      <c r="AF128" s="104"/>
      <c r="AG128" s="104"/>
      <c r="AH128" s="104"/>
      <c r="AI128" s="104"/>
      <c r="AJ128" s="104"/>
    </row>
    <row r="129" spans="25:36" s="132" customFormat="1" ht="12.95" hidden="1" customHeight="1">
      <c r="Y129" s="152">
        <v>91</v>
      </c>
      <c r="Z129" s="153">
        <f t="shared" si="4"/>
        <v>23983967.944001697</v>
      </c>
      <c r="AA129" s="154">
        <f t="shared" si="5"/>
        <v>8919230.6179548297</v>
      </c>
      <c r="AB129" s="155">
        <f t="shared" si="7"/>
        <v>15064737.326046865</v>
      </c>
      <c r="AC129" s="155">
        <f t="shared" si="6"/>
        <v>9029923165.0101681</v>
      </c>
      <c r="AF129" s="104"/>
      <c r="AG129" s="104"/>
      <c r="AH129" s="104"/>
      <c r="AI129" s="104"/>
      <c r="AJ129" s="104"/>
    </row>
    <row r="130" spans="25:36" s="132" customFormat="1" ht="12.95" hidden="1" customHeight="1">
      <c r="Y130" s="152">
        <v>92</v>
      </c>
      <c r="Z130" s="153">
        <f t="shared" si="4"/>
        <v>23983967.944001697</v>
      </c>
      <c r="AA130" s="154">
        <f t="shared" si="5"/>
        <v>8934096.0023180898</v>
      </c>
      <c r="AB130" s="155">
        <f t="shared" si="7"/>
        <v>15049871.941683609</v>
      </c>
      <c r="AC130" s="155">
        <f t="shared" si="6"/>
        <v>9020989069.0078506</v>
      </c>
      <c r="AF130" s="104"/>
      <c r="AG130" s="104"/>
      <c r="AH130" s="104"/>
      <c r="AI130" s="104"/>
      <c r="AJ130" s="104"/>
    </row>
    <row r="131" spans="25:36" s="132" customFormat="1" ht="12.95" hidden="1" customHeight="1">
      <c r="Y131" s="152">
        <v>93</v>
      </c>
      <c r="Z131" s="153">
        <f t="shared" si="4"/>
        <v>23983967.944001697</v>
      </c>
      <c r="AA131" s="154">
        <f t="shared" si="5"/>
        <v>8948986.1623219531</v>
      </c>
      <c r="AB131" s="155">
        <f t="shared" si="7"/>
        <v>15034981.781679744</v>
      </c>
      <c r="AC131" s="155">
        <f t="shared" si="6"/>
        <v>9012040082.8455296</v>
      </c>
      <c r="AF131" s="104"/>
      <c r="AG131" s="104"/>
      <c r="AH131" s="104"/>
      <c r="AI131" s="104"/>
      <c r="AJ131" s="104"/>
    </row>
    <row r="132" spans="25:36" s="132" customFormat="1" ht="12.95" hidden="1" customHeight="1">
      <c r="Y132" s="152">
        <v>94</v>
      </c>
      <c r="Z132" s="153">
        <f t="shared" si="4"/>
        <v>23983967.944001697</v>
      </c>
      <c r="AA132" s="154">
        <f t="shared" si="5"/>
        <v>8963901.1392591558</v>
      </c>
      <c r="AB132" s="155">
        <f t="shared" si="7"/>
        <v>15020066.804742541</v>
      </c>
      <c r="AC132" s="155">
        <f t="shared" si="6"/>
        <v>9003076181.7062702</v>
      </c>
      <c r="AF132" s="104"/>
      <c r="AG132" s="104"/>
      <c r="AH132" s="104"/>
      <c r="AI132" s="104"/>
      <c r="AJ132" s="104"/>
    </row>
    <row r="133" spans="25:36" s="132" customFormat="1" ht="12.95" hidden="1" customHeight="1">
      <c r="Y133" s="152">
        <v>95</v>
      </c>
      <c r="Z133" s="153">
        <f t="shared" si="4"/>
        <v>23983967.944001697</v>
      </c>
      <c r="AA133" s="154">
        <f t="shared" si="5"/>
        <v>8978840.9744912554</v>
      </c>
      <c r="AB133" s="155">
        <f t="shared" si="7"/>
        <v>15005126.969510442</v>
      </c>
      <c r="AC133" s="155">
        <f t="shared" si="6"/>
        <v>8994097340.7317791</v>
      </c>
      <c r="AF133" s="104"/>
      <c r="AG133" s="104"/>
      <c r="AH133" s="104"/>
      <c r="AI133" s="104"/>
      <c r="AJ133" s="104"/>
    </row>
    <row r="134" spans="25:36" s="132" customFormat="1" ht="12.95" hidden="1" customHeight="1">
      <c r="Y134" s="152">
        <v>96</v>
      </c>
      <c r="Z134" s="153">
        <f t="shared" si="4"/>
        <v>23983967.944001697</v>
      </c>
      <c r="AA134" s="154">
        <f t="shared" si="5"/>
        <v>8993805.7094487399</v>
      </c>
      <c r="AB134" s="155">
        <f t="shared" si="7"/>
        <v>14990162.234552961</v>
      </c>
      <c r="AC134" s="155">
        <f t="shared" si="6"/>
        <v>8985103535.0223312</v>
      </c>
      <c r="AF134" s="104"/>
      <c r="AG134" s="104"/>
      <c r="AH134" s="104"/>
      <c r="AI134" s="104"/>
      <c r="AJ134" s="104"/>
    </row>
    <row r="135" spans="25:36" s="132" customFormat="1" ht="12.95" hidden="1" customHeight="1">
      <c r="Y135" s="152">
        <v>97</v>
      </c>
      <c r="Z135" s="153">
        <f t="shared" si="4"/>
        <v>23983967.944001697</v>
      </c>
      <c r="AA135" s="154">
        <f t="shared" si="5"/>
        <v>9008795.3856311552</v>
      </c>
      <c r="AB135" s="155">
        <f t="shared" si="7"/>
        <v>14975172.558370544</v>
      </c>
      <c r="AC135" s="155">
        <f t="shared" si="6"/>
        <v>8976094739.6366997</v>
      </c>
      <c r="AF135" s="104"/>
      <c r="AG135" s="104"/>
      <c r="AH135" s="104"/>
      <c r="AI135" s="104"/>
      <c r="AJ135" s="104"/>
    </row>
    <row r="136" spans="25:36" s="132" customFormat="1" ht="12.95" hidden="1" customHeight="1">
      <c r="Y136" s="152">
        <v>98</v>
      </c>
      <c r="Z136" s="153">
        <f t="shared" si="4"/>
        <v>23983967.944001697</v>
      </c>
      <c r="AA136" s="154">
        <f t="shared" si="5"/>
        <v>9023810.0446072072</v>
      </c>
      <c r="AB136" s="155">
        <f t="shared" si="7"/>
        <v>14960157.899394492</v>
      </c>
      <c r="AC136" s="155">
        <f t="shared" si="6"/>
        <v>8967070929.5920925</v>
      </c>
      <c r="AF136" s="104"/>
      <c r="AG136" s="104"/>
      <c r="AH136" s="104"/>
      <c r="AI136" s="104"/>
      <c r="AJ136" s="104"/>
    </row>
    <row r="137" spans="25:36" s="132" customFormat="1" ht="12.95" hidden="1" customHeight="1">
      <c r="Y137" s="152">
        <v>99</v>
      </c>
      <c r="Z137" s="153">
        <f t="shared" si="4"/>
        <v>23983967.944001697</v>
      </c>
      <c r="AA137" s="154">
        <f t="shared" si="5"/>
        <v>9038849.7280148864</v>
      </c>
      <c r="AB137" s="155">
        <f t="shared" si="7"/>
        <v>14945118.215986811</v>
      </c>
      <c r="AC137" s="155">
        <f t="shared" si="6"/>
        <v>8958032079.8640785</v>
      </c>
      <c r="AF137" s="104"/>
      <c r="AG137" s="104"/>
      <c r="AH137" s="104"/>
      <c r="AI137" s="104"/>
      <c r="AJ137" s="104"/>
    </row>
    <row r="138" spans="25:36" s="132" customFormat="1" ht="12.95" hidden="1" customHeight="1">
      <c r="Y138" s="152">
        <v>100</v>
      </c>
      <c r="Z138" s="153">
        <f t="shared" si="4"/>
        <v>23983967.944001697</v>
      </c>
      <c r="AA138" s="154">
        <f t="shared" si="5"/>
        <v>9053914.4775615763</v>
      </c>
      <c r="AB138" s="155">
        <f t="shared" si="7"/>
        <v>14930053.466440123</v>
      </c>
      <c r="AC138" s="155">
        <f t="shared" si="6"/>
        <v>8948978165.3865166</v>
      </c>
      <c r="AF138" s="104"/>
      <c r="AG138" s="104"/>
      <c r="AH138" s="104"/>
      <c r="AI138" s="104"/>
      <c r="AJ138" s="104"/>
    </row>
    <row r="139" spans="25:36" s="132" customFormat="1" ht="12.95" hidden="1" customHeight="1">
      <c r="Y139" s="152">
        <v>101</v>
      </c>
      <c r="Z139" s="153">
        <f t="shared" si="4"/>
        <v>23983967.944001697</v>
      </c>
      <c r="AA139" s="154">
        <f t="shared" si="5"/>
        <v>9069004.335024178</v>
      </c>
      <c r="AB139" s="155">
        <f t="shared" si="7"/>
        <v>14914963.608977519</v>
      </c>
      <c r="AC139" s="155">
        <f t="shared" si="6"/>
        <v>8939909161.0514927</v>
      </c>
      <c r="AF139" s="104"/>
      <c r="AG139" s="104"/>
      <c r="AH139" s="104"/>
      <c r="AI139" s="104"/>
      <c r="AJ139" s="104"/>
    </row>
    <row r="140" spans="25:36" s="132" customFormat="1" ht="12.95" hidden="1" customHeight="1">
      <c r="Y140" s="152">
        <v>102</v>
      </c>
      <c r="Z140" s="153">
        <f t="shared" si="4"/>
        <v>23983967.944001697</v>
      </c>
      <c r="AA140" s="154">
        <f t="shared" si="5"/>
        <v>9084119.3422492202</v>
      </c>
      <c r="AB140" s="155">
        <f t="shared" si="7"/>
        <v>14899848.601752477</v>
      </c>
      <c r="AC140" s="155">
        <f t="shared" si="6"/>
        <v>8930825041.7092438</v>
      </c>
      <c r="AF140" s="104"/>
      <c r="AG140" s="104"/>
      <c r="AH140" s="104"/>
      <c r="AI140" s="104"/>
      <c r="AJ140" s="104"/>
    </row>
    <row r="141" spans="25:36" s="132" customFormat="1" ht="12.95" hidden="1" customHeight="1">
      <c r="Y141" s="152">
        <v>103</v>
      </c>
      <c r="Z141" s="153">
        <f t="shared" si="4"/>
        <v>23983967.944001697</v>
      </c>
      <c r="AA141" s="154">
        <f t="shared" si="5"/>
        <v>9099259.541152969</v>
      </c>
      <c r="AB141" s="155">
        <f t="shared" si="7"/>
        <v>14884708.402848728</v>
      </c>
      <c r="AC141" s="155">
        <f t="shared" si="6"/>
        <v>8921725782.1680908</v>
      </c>
      <c r="AF141" s="104"/>
      <c r="AG141" s="104"/>
      <c r="AH141" s="104"/>
      <c r="AI141" s="104"/>
      <c r="AJ141" s="104"/>
    </row>
    <row r="142" spans="25:36" s="132" customFormat="1" ht="12.95" hidden="1" customHeight="1">
      <c r="Y142" s="152">
        <v>104</v>
      </c>
      <c r="Z142" s="153">
        <f t="shared" si="4"/>
        <v>23983967.944001697</v>
      </c>
      <c r="AA142" s="154">
        <f t="shared" si="5"/>
        <v>9114424.9737215564</v>
      </c>
      <c r="AB142" s="155">
        <f t="shared" si="7"/>
        <v>14869542.970280141</v>
      </c>
      <c r="AC142" s="155">
        <f t="shared" si="6"/>
        <v>8912611357.1943684</v>
      </c>
      <c r="AF142" s="104"/>
      <c r="AG142" s="104"/>
      <c r="AH142" s="104"/>
      <c r="AI142" s="104"/>
      <c r="AJ142" s="104"/>
    </row>
    <row r="143" spans="25:36" s="132" customFormat="1" ht="12.95" hidden="1" customHeight="1">
      <c r="Y143" s="152">
        <v>105</v>
      </c>
      <c r="Z143" s="153">
        <f t="shared" si="4"/>
        <v>23983967.944001697</v>
      </c>
      <c r="AA143" s="154">
        <f t="shared" si="5"/>
        <v>9129615.6820110921</v>
      </c>
      <c r="AB143" s="155">
        <f t="shared" si="7"/>
        <v>14854352.261990603</v>
      </c>
      <c r="AC143" s="155">
        <f t="shared" si="6"/>
        <v>8903481741.5123577</v>
      </c>
      <c r="AF143" s="104"/>
      <c r="AG143" s="104"/>
      <c r="AH143" s="104"/>
      <c r="AI143" s="104"/>
      <c r="AJ143" s="104"/>
    </row>
    <row r="144" spans="25:36" s="132" customFormat="1" ht="12.95" hidden="1" customHeight="1">
      <c r="Y144" s="152">
        <v>106</v>
      </c>
      <c r="Z144" s="153">
        <f t="shared" si="4"/>
        <v>23983967.944001697</v>
      </c>
      <c r="AA144" s="154">
        <f t="shared" si="5"/>
        <v>9144831.7081477772</v>
      </c>
      <c r="AB144" s="155">
        <f t="shared" si="7"/>
        <v>14839136.23585392</v>
      </c>
      <c r="AC144" s="155">
        <f t="shared" si="6"/>
        <v>8894336909.8042107</v>
      </c>
      <c r="AF144" s="104"/>
      <c r="AG144" s="104"/>
      <c r="AH144" s="104"/>
      <c r="AI144" s="104"/>
      <c r="AJ144" s="104"/>
    </row>
    <row r="145" spans="25:36" s="132" customFormat="1" ht="12.95" hidden="1" customHeight="1">
      <c r="Y145" s="152">
        <v>107</v>
      </c>
      <c r="Z145" s="153">
        <f t="shared" si="4"/>
        <v>23983967.944001697</v>
      </c>
      <c r="AA145" s="154">
        <f t="shared" si="5"/>
        <v>9160073.0943280235</v>
      </c>
      <c r="AB145" s="155">
        <f t="shared" si="7"/>
        <v>14823894.849673675</v>
      </c>
      <c r="AC145" s="155">
        <f t="shared" si="6"/>
        <v>8885176836.7098827</v>
      </c>
      <c r="AF145" s="104"/>
      <c r="AG145" s="104"/>
      <c r="AH145" s="104"/>
      <c r="AI145" s="104"/>
      <c r="AJ145" s="104"/>
    </row>
    <row r="146" spans="25:36" s="132" customFormat="1" ht="12.95" hidden="1" customHeight="1">
      <c r="Y146" s="152">
        <v>108</v>
      </c>
      <c r="Z146" s="153">
        <f t="shared" si="4"/>
        <v>23983967.944001697</v>
      </c>
      <c r="AA146" s="154">
        <f t="shared" si="5"/>
        <v>9175339.8828185722</v>
      </c>
      <c r="AB146" s="155">
        <f t="shared" si="7"/>
        <v>14808628.06118313</v>
      </c>
      <c r="AC146" s="155">
        <f t="shared" si="6"/>
        <v>8876001496.8270645</v>
      </c>
      <c r="AF146" s="104"/>
      <c r="AG146" s="104"/>
      <c r="AH146" s="104"/>
      <c r="AI146" s="104"/>
      <c r="AJ146" s="104"/>
    </row>
    <row r="147" spans="25:36" s="132" customFormat="1" ht="12.95" hidden="1" customHeight="1">
      <c r="Y147" s="152">
        <v>109</v>
      </c>
      <c r="Z147" s="153">
        <f t="shared" si="4"/>
        <v>23983967.944001697</v>
      </c>
      <c r="AA147" s="154">
        <f t="shared" si="5"/>
        <v>9190632.1159566026</v>
      </c>
      <c r="AB147" s="155">
        <f t="shared" si="7"/>
        <v>14793335.828045098</v>
      </c>
      <c r="AC147" s="155">
        <f t="shared" si="6"/>
        <v>8866810864.7111073</v>
      </c>
      <c r="AF147" s="104"/>
      <c r="AG147" s="104"/>
      <c r="AH147" s="104"/>
      <c r="AI147" s="104"/>
      <c r="AJ147" s="104"/>
    </row>
    <row r="148" spans="25:36" s="132" customFormat="1" ht="12.95" hidden="1" customHeight="1">
      <c r="Y148" s="152">
        <v>110</v>
      </c>
      <c r="Z148" s="153">
        <f t="shared" si="4"/>
        <v>23983967.944001697</v>
      </c>
      <c r="AA148" s="154">
        <f t="shared" si="5"/>
        <v>9205949.8361498639</v>
      </c>
      <c r="AB148" s="155">
        <f t="shared" si="7"/>
        <v>14778018.107851839</v>
      </c>
      <c r="AC148" s="155">
        <f t="shared" si="6"/>
        <v>8857604914.874958</v>
      </c>
      <c r="AF148" s="104"/>
      <c r="AG148" s="104"/>
      <c r="AH148" s="104"/>
      <c r="AI148" s="104"/>
      <c r="AJ148" s="104"/>
    </row>
    <row r="149" spans="25:36" s="132" customFormat="1" ht="12.95" hidden="1" customHeight="1">
      <c r="Y149" s="152">
        <v>111</v>
      </c>
      <c r="Z149" s="153">
        <f t="shared" si="4"/>
        <v>23983967.944001697</v>
      </c>
      <c r="AA149" s="154">
        <f t="shared" si="5"/>
        <v>9221293.0858767796</v>
      </c>
      <c r="AB149" s="155">
        <f t="shared" si="7"/>
        <v>14762674.858124919</v>
      </c>
      <c r="AC149" s="155">
        <f t="shared" si="6"/>
        <v>8848383621.7890816</v>
      </c>
      <c r="AF149" s="104"/>
      <c r="AG149" s="104"/>
      <c r="AH149" s="104"/>
      <c r="AI149" s="104"/>
      <c r="AJ149" s="104"/>
    </row>
    <row r="150" spans="25:36" s="132" customFormat="1" ht="12.95" hidden="1" customHeight="1">
      <c r="Y150" s="152">
        <v>112</v>
      </c>
      <c r="Z150" s="153">
        <f t="shared" si="4"/>
        <v>23983967.944001697</v>
      </c>
      <c r="AA150" s="154">
        <f t="shared" si="5"/>
        <v>9236661.9076865744</v>
      </c>
      <c r="AB150" s="155">
        <f t="shared" si="7"/>
        <v>14747306.036315124</v>
      </c>
      <c r="AC150" s="155">
        <f t="shared" si="6"/>
        <v>8839146959.8813953</v>
      </c>
      <c r="AF150" s="104"/>
      <c r="AG150" s="104"/>
      <c r="AH150" s="104"/>
      <c r="AI150" s="104"/>
      <c r="AJ150" s="104"/>
    </row>
    <row r="151" spans="25:36" s="132" customFormat="1" ht="12.95" hidden="1" customHeight="1">
      <c r="Y151" s="152">
        <v>113</v>
      </c>
      <c r="Z151" s="153">
        <f t="shared" si="4"/>
        <v>23983967.944001697</v>
      </c>
      <c r="AA151" s="154">
        <f t="shared" si="5"/>
        <v>9252056.3441993855</v>
      </c>
      <c r="AB151" s="155">
        <f t="shared" si="7"/>
        <v>14731911.599802315</v>
      </c>
      <c r="AC151" s="155">
        <f t="shared" si="6"/>
        <v>8829894903.5371952</v>
      </c>
      <c r="AF151" s="104"/>
      <c r="AG151" s="104"/>
      <c r="AH151" s="104"/>
      <c r="AI151" s="104"/>
      <c r="AJ151" s="104"/>
    </row>
    <row r="152" spans="25:36" s="132" customFormat="1" ht="12.95" hidden="1" customHeight="1">
      <c r="Y152" s="152">
        <v>114</v>
      </c>
      <c r="Z152" s="153">
        <f t="shared" si="4"/>
        <v>23983967.944001697</v>
      </c>
      <c r="AA152" s="154">
        <f t="shared" si="5"/>
        <v>9267476.4381063823</v>
      </c>
      <c r="AB152" s="155">
        <f t="shared" si="7"/>
        <v>14716491.505895313</v>
      </c>
      <c r="AC152" s="155">
        <f t="shared" si="6"/>
        <v>8820627427.0990887</v>
      </c>
      <c r="AF152" s="104"/>
      <c r="AG152" s="104"/>
      <c r="AH152" s="104"/>
      <c r="AI152" s="104"/>
      <c r="AJ152" s="104"/>
    </row>
    <row r="153" spans="25:36" s="132" customFormat="1" ht="12.95" hidden="1" customHeight="1">
      <c r="Y153" s="152">
        <v>115</v>
      </c>
      <c r="Z153" s="153">
        <f t="shared" si="4"/>
        <v>23983967.944001697</v>
      </c>
      <c r="AA153" s="154">
        <f t="shared" si="5"/>
        <v>9282922.2321698945</v>
      </c>
      <c r="AB153" s="155">
        <f t="shared" si="7"/>
        <v>14701045.711831803</v>
      </c>
      <c r="AC153" s="155">
        <f t="shared" si="6"/>
        <v>8811344504.8669186</v>
      </c>
      <c r="AF153" s="104"/>
      <c r="AG153" s="104"/>
      <c r="AH153" s="104"/>
      <c r="AI153" s="104"/>
      <c r="AJ153" s="104"/>
    </row>
    <row r="154" spans="25:36" s="132" customFormat="1" ht="12.95" hidden="1" customHeight="1">
      <c r="Y154" s="152">
        <v>116</v>
      </c>
      <c r="Z154" s="153">
        <f t="shared" si="4"/>
        <v>23983967.944001697</v>
      </c>
      <c r="AA154" s="154">
        <f t="shared" si="5"/>
        <v>9298393.7692235112</v>
      </c>
      <c r="AB154" s="155">
        <f t="shared" si="7"/>
        <v>14685574.174778188</v>
      </c>
      <c r="AC154" s="155">
        <f t="shared" si="6"/>
        <v>8802046111.0976944</v>
      </c>
      <c r="AF154" s="104"/>
      <c r="AG154" s="104"/>
      <c r="AH154" s="104"/>
      <c r="AI154" s="104"/>
      <c r="AJ154" s="104"/>
    </row>
    <row r="155" spans="25:36" s="132" customFormat="1" ht="12.95" hidden="1" customHeight="1">
      <c r="Y155" s="152">
        <v>117</v>
      </c>
      <c r="Z155" s="153">
        <f t="shared" si="4"/>
        <v>23983967.944001697</v>
      </c>
      <c r="AA155" s="154">
        <f t="shared" si="5"/>
        <v>9313891.0921722166</v>
      </c>
      <c r="AB155" s="155">
        <f t="shared" si="7"/>
        <v>14670076.851829479</v>
      </c>
      <c r="AC155" s="155">
        <f t="shared" si="6"/>
        <v>8792732220.0055218</v>
      </c>
      <c r="AF155" s="104"/>
      <c r="AG155" s="104"/>
      <c r="AH155" s="104"/>
      <c r="AI155" s="104"/>
      <c r="AJ155" s="104"/>
    </row>
    <row r="156" spans="25:36" s="132" customFormat="1" ht="12.95" hidden="1" customHeight="1">
      <c r="Y156" s="152">
        <v>118</v>
      </c>
      <c r="Z156" s="153">
        <f t="shared" si="4"/>
        <v>23983967.944001697</v>
      </c>
      <c r="AA156" s="154">
        <f t="shared" si="5"/>
        <v>9329414.2439925037</v>
      </c>
      <c r="AB156" s="155">
        <f t="shared" si="7"/>
        <v>14654553.700009193</v>
      </c>
      <c r="AC156" s="155">
        <f t="shared" si="6"/>
        <v>8783402805.7615299</v>
      </c>
      <c r="AF156" s="104"/>
      <c r="AG156" s="104"/>
      <c r="AH156" s="104"/>
      <c r="AI156" s="104"/>
      <c r="AJ156" s="104"/>
    </row>
    <row r="157" spans="25:36" s="132" customFormat="1" ht="12.95" hidden="1" customHeight="1">
      <c r="Y157" s="152">
        <v>119</v>
      </c>
      <c r="Z157" s="153">
        <f t="shared" si="4"/>
        <v>23983967.944001697</v>
      </c>
      <c r="AA157" s="154">
        <f t="shared" si="5"/>
        <v>9344963.2677324917</v>
      </c>
      <c r="AB157" s="155">
        <f t="shared" si="7"/>
        <v>14639004.676269207</v>
      </c>
      <c r="AC157" s="155">
        <f t="shared" si="6"/>
        <v>8774057842.4937973</v>
      </c>
      <c r="AF157" s="104"/>
      <c r="AG157" s="104"/>
      <c r="AH157" s="104"/>
      <c r="AI157" s="104"/>
      <c r="AJ157" s="104"/>
    </row>
    <row r="158" spans="25:36" s="132" customFormat="1" ht="12.95" hidden="1" customHeight="1">
      <c r="Y158" s="152">
        <v>120</v>
      </c>
      <c r="Z158" s="153">
        <f t="shared" si="4"/>
        <v>23983967.944001697</v>
      </c>
      <c r="AA158" s="154">
        <f t="shared" si="5"/>
        <v>9360538.2065120451</v>
      </c>
      <c r="AB158" s="155">
        <f t="shared" si="7"/>
        <v>14623429.737489654</v>
      </c>
      <c r="AC158" s="155">
        <f t="shared" si="6"/>
        <v>8764697304.2872849</v>
      </c>
      <c r="AF158" s="104"/>
      <c r="AG158" s="104"/>
      <c r="AH158" s="104"/>
      <c r="AI158" s="104"/>
      <c r="AJ158" s="104"/>
    </row>
    <row r="159" spans="25:36" s="132" customFormat="1" ht="12.95" hidden="1" customHeight="1">
      <c r="Y159" s="152">
        <v>121</v>
      </c>
      <c r="Z159" s="153">
        <f t="shared" si="4"/>
        <v>23983967.944001697</v>
      </c>
      <c r="AA159" s="154">
        <f t="shared" si="5"/>
        <v>9376139.1035228986</v>
      </c>
      <c r="AB159" s="155">
        <f t="shared" si="7"/>
        <v>14607828.840478798</v>
      </c>
      <c r="AC159" s="155">
        <f t="shared" si="6"/>
        <v>8755321165.1837616</v>
      </c>
      <c r="AF159" s="104"/>
      <c r="AG159" s="104"/>
      <c r="AH159" s="104"/>
      <c r="AI159" s="104"/>
      <c r="AJ159" s="104"/>
    </row>
    <row r="160" spans="25:36" s="132" customFormat="1" ht="12.95" hidden="1" customHeight="1">
      <c r="Y160" s="152">
        <v>122</v>
      </c>
      <c r="Z160" s="153">
        <f t="shared" si="4"/>
        <v>23983967.944001697</v>
      </c>
      <c r="AA160" s="154">
        <f t="shared" si="5"/>
        <v>9391766.0020287707</v>
      </c>
      <c r="AB160" s="155">
        <f t="shared" si="7"/>
        <v>14592201.941972926</v>
      </c>
      <c r="AC160" s="155">
        <f t="shared" si="6"/>
        <v>8745929399.1817322</v>
      </c>
      <c r="AF160" s="104"/>
      <c r="AG160" s="104"/>
      <c r="AH160" s="104"/>
      <c r="AI160" s="104"/>
      <c r="AJ160" s="104"/>
    </row>
    <row r="161" spans="25:36" s="132" customFormat="1" ht="12.95" hidden="1" customHeight="1">
      <c r="Y161" s="152">
        <v>123</v>
      </c>
      <c r="Z161" s="153">
        <f t="shared" si="4"/>
        <v>23983967.944001697</v>
      </c>
      <c r="AA161" s="154">
        <f t="shared" si="5"/>
        <v>9407418.9453654848</v>
      </c>
      <c r="AB161" s="155">
        <f t="shared" si="7"/>
        <v>14576548.99863621</v>
      </c>
      <c r="AC161" s="155">
        <f t="shared" si="6"/>
        <v>8736521980.2363663</v>
      </c>
      <c r="AF161" s="104"/>
      <c r="AG161" s="104"/>
      <c r="AH161" s="104"/>
      <c r="AI161" s="104"/>
      <c r="AJ161" s="104"/>
    </row>
    <row r="162" spans="25:36" s="132" customFormat="1" ht="12.95" hidden="1" customHeight="1">
      <c r="Y162" s="152">
        <v>124</v>
      </c>
      <c r="Z162" s="153">
        <f t="shared" si="4"/>
        <v>23983967.944001697</v>
      </c>
      <c r="AA162" s="154">
        <f t="shared" si="5"/>
        <v>9423097.9769410938</v>
      </c>
      <c r="AB162" s="155">
        <f t="shared" si="7"/>
        <v>14560869.967060603</v>
      </c>
      <c r="AC162" s="155">
        <f t="shared" si="6"/>
        <v>8727098882.2594261</v>
      </c>
      <c r="AF162" s="104"/>
      <c r="AG162" s="104"/>
      <c r="AH162" s="104"/>
      <c r="AI162" s="104"/>
      <c r="AJ162" s="104"/>
    </row>
    <row r="163" spans="25:36" s="132" customFormat="1" ht="12.95" hidden="1" customHeight="1">
      <c r="Y163" s="152">
        <v>125</v>
      </c>
      <c r="Z163" s="153">
        <f t="shared" si="4"/>
        <v>23983967.944001697</v>
      </c>
      <c r="AA163" s="154">
        <f t="shared" si="5"/>
        <v>9438803.140235994</v>
      </c>
      <c r="AB163" s="155">
        <f t="shared" si="7"/>
        <v>14545164.803765705</v>
      </c>
      <c r="AC163" s="155">
        <f t="shared" si="6"/>
        <v>8717660079.1191902</v>
      </c>
      <c r="AF163" s="104"/>
      <c r="AG163" s="104"/>
      <c r="AH163" s="104"/>
      <c r="AI163" s="104"/>
      <c r="AJ163" s="104"/>
    </row>
    <row r="164" spans="25:36" s="132" customFormat="1" ht="12.95" hidden="1" customHeight="1">
      <c r="Y164" s="152">
        <v>126</v>
      </c>
      <c r="Z164" s="153">
        <f t="shared" si="4"/>
        <v>23983967.944001697</v>
      </c>
      <c r="AA164" s="154">
        <f t="shared" si="5"/>
        <v>9454534.4788030554</v>
      </c>
      <c r="AB164" s="155">
        <f t="shared" si="7"/>
        <v>14529433.465198642</v>
      </c>
      <c r="AC164" s="155">
        <f t="shared" si="6"/>
        <v>8708205544.6403866</v>
      </c>
      <c r="AF164" s="104"/>
      <c r="AG164" s="104"/>
      <c r="AH164" s="104"/>
      <c r="AI164" s="104"/>
      <c r="AJ164" s="104"/>
    </row>
    <row r="165" spans="25:36" s="132" customFormat="1" ht="12.95" hidden="1" customHeight="1">
      <c r="Y165" s="152">
        <v>127</v>
      </c>
      <c r="Z165" s="153">
        <f t="shared" si="4"/>
        <v>23983967.944001697</v>
      </c>
      <c r="AA165" s="154">
        <f t="shared" si="5"/>
        <v>9470292.0362677276</v>
      </c>
      <c r="AB165" s="155">
        <f t="shared" si="7"/>
        <v>14513675.907733968</v>
      </c>
      <c r="AC165" s="155">
        <f t="shared" si="6"/>
        <v>8698735252.6041183</v>
      </c>
      <c r="AF165" s="104"/>
      <c r="AG165" s="104"/>
      <c r="AH165" s="104"/>
      <c r="AI165" s="104"/>
      <c r="AJ165" s="104"/>
    </row>
    <row r="166" spans="25:36" s="132" customFormat="1" ht="12.95" hidden="1" customHeight="1">
      <c r="Y166" s="152">
        <v>128</v>
      </c>
      <c r="Z166" s="153">
        <f t="shared" si="4"/>
        <v>23983967.944001697</v>
      </c>
      <c r="AA166" s="154">
        <f t="shared" si="5"/>
        <v>9486075.8563281726</v>
      </c>
      <c r="AB166" s="155">
        <f t="shared" si="7"/>
        <v>14497892.087673526</v>
      </c>
      <c r="AC166" s="155">
        <f t="shared" si="6"/>
        <v>8689249176.7477894</v>
      </c>
      <c r="AF166" s="104"/>
      <c r="AG166" s="104"/>
      <c r="AH166" s="104"/>
      <c r="AI166" s="104"/>
      <c r="AJ166" s="104"/>
    </row>
    <row r="167" spans="25:36" s="132" customFormat="1" ht="12.95" hidden="1" customHeight="1">
      <c r="Y167" s="152">
        <v>129</v>
      </c>
      <c r="Z167" s="153">
        <f t="shared" si="4"/>
        <v>23983967.944001697</v>
      </c>
      <c r="AA167" s="154">
        <f t="shared" si="5"/>
        <v>9501885.9827553872</v>
      </c>
      <c r="AB167" s="155">
        <f t="shared" si="7"/>
        <v>14482081.96124631</v>
      </c>
      <c r="AC167" s="155">
        <f t="shared" si="6"/>
        <v>8679747290.7650337</v>
      </c>
      <c r="AF167" s="104"/>
      <c r="AG167" s="104"/>
      <c r="AH167" s="104"/>
      <c r="AI167" s="104"/>
      <c r="AJ167" s="104"/>
    </row>
    <row r="168" spans="25:36" s="132" customFormat="1" ht="12.95" hidden="1" customHeight="1">
      <c r="Y168" s="152">
        <v>130</v>
      </c>
      <c r="Z168" s="153">
        <f t="shared" ref="Z168:Z231" si="8">IF(Y168&lt;=$AB$32, PMT($AB$31/12,$AB$32,-$AB$30,0,1), 0)</f>
        <v>23983967.944001697</v>
      </c>
      <c r="AA168" s="154">
        <f t="shared" ref="AA168:AA231" si="9">IF(Y168&lt;=$AB$32,-PPMT($AB$31/12,Y168,$AB$32,$AB$30,,1),0)</f>
        <v>9517722.4593933132</v>
      </c>
      <c r="AB168" s="155">
        <f t="shared" si="7"/>
        <v>14466245.484608386</v>
      </c>
      <c r="AC168" s="155">
        <f t="shared" ref="AC168:AC231" si="10">AC167-AA168</f>
        <v>8670229568.3056412</v>
      </c>
      <c r="AF168" s="104"/>
      <c r="AG168" s="104"/>
      <c r="AH168" s="104"/>
      <c r="AI168" s="104"/>
      <c r="AJ168" s="104"/>
    </row>
    <row r="169" spans="25:36" s="132" customFormat="1" ht="12.95" hidden="1" customHeight="1">
      <c r="Y169" s="152">
        <v>131</v>
      </c>
      <c r="Z169" s="153">
        <f t="shared" si="8"/>
        <v>23983967.944001697</v>
      </c>
      <c r="AA169" s="154">
        <f t="shared" si="9"/>
        <v>9533585.3301589694</v>
      </c>
      <c r="AB169" s="155">
        <f t="shared" ref="AB169:AB232" si="11">IF(Y169&lt;=$AB$32,-IPMT($AB$31/12,Y169,$AB$32,$AB$30,,1),0)</f>
        <v>14450382.613842731</v>
      </c>
      <c r="AC169" s="155">
        <f t="shared" si="10"/>
        <v>8660695982.9754829</v>
      </c>
      <c r="AF169" s="104"/>
      <c r="AG169" s="104"/>
      <c r="AH169" s="104"/>
      <c r="AI169" s="104"/>
      <c r="AJ169" s="104"/>
    </row>
    <row r="170" spans="25:36" s="132" customFormat="1" ht="12.95" hidden="1" customHeight="1">
      <c r="Y170" s="152">
        <v>132</v>
      </c>
      <c r="Z170" s="153">
        <f t="shared" si="8"/>
        <v>23983967.944001697</v>
      </c>
      <c r="AA170" s="154">
        <f t="shared" si="9"/>
        <v>9549474.6390425675</v>
      </c>
      <c r="AB170" s="155">
        <f t="shared" si="11"/>
        <v>14434493.304959131</v>
      </c>
      <c r="AC170" s="155">
        <f t="shared" si="10"/>
        <v>8651146508.336441</v>
      </c>
      <c r="AF170" s="104"/>
      <c r="AG170" s="104"/>
      <c r="AH170" s="104"/>
      <c r="AI170" s="104"/>
      <c r="AJ170" s="104"/>
    </row>
    <row r="171" spans="25:36" s="132" customFormat="1" ht="12.95" hidden="1" customHeight="1">
      <c r="Y171" s="152">
        <v>133</v>
      </c>
      <c r="Z171" s="153">
        <f t="shared" si="8"/>
        <v>23983967.944001697</v>
      </c>
      <c r="AA171" s="154">
        <f t="shared" si="9"/>
        <v>9565390.4301076382</v>
      </c>
      <c r="AB171" s="155">
        <f t="shared" si="11"/>
        <v>14418577.513894061</v>
      </c>
      <c r="AC171" s="155">
        <f t="shared" si="10"/>
        <v>8641581117.9063339</v>
      </c>
      <c r="AF171" s="104"/>
      <c r="AG171" s="104"/>
      <c r="AH171" s="104"/>
      <c r="AI171" s="104"/>
      <c r="AJ171" s="104"/>
    </row>
    <row r="172" spans="25:36" s="132" customFormat="1" ht="12.95" hidden="1" customHeight="1">
      <c r="Y172" s="152">
        <v>134</v>
      </c>
      <c r="Z172" s="153">
        <f t="shared" si="8"/>
        <v>23983967.944001697</v>
      </c>
      <c r="AA172" s="154">
        <f t="shared" si="9"/>
        <v>9581332.7474911511</v>
      </c>
      <c r="AB172" s="155">
        <f t="shared" si="11"/>
        <v>14402635.196510548</v>
      </c>
      <c r="AC172" s="155">
        <f t="shared" si="10"/>
        <v>8631999785.1588421</v>
      </c>
      <c r="AF172" s="104"/>
      <c r="AG172" s="104"/>
      <c r="AH172" s="104"/>
      <c r="AI172" s="104"/>
      <c r="AJ172" s="104"/>
    </row>
    <row r="173" spans="25:36" s="132" customFormat="1" ht="12.95" hidden="1" customHeight="1">
      <c r="Y173" s="152">
        <v>135</v>
      </c>
      <c r="Z173" s="153">
        <f t="shared" si="8"/>
        <v>23983967.944001697</v>
      </c>
      <c r="AA173" s="154">
        <f t="shared" si="9"/>
        <v>9597301.6354036368</v>
      </c>
      <c r="AB173" s="155">
        <f t="shared" si="11"/>
        <v>14386666.308598064</v>
      </c>
      <c r="AC173" s="155">
        <f t="shared" si="10"/>
        <v>8622402483.5234375</v>
      </c>
      <c r="AF173" s="104"/>
      <c r="AG173" s="104"/>
      <c r="AH173" s="104"/>
      <c r="AI173" s="104"/>
      <c r="AJ173" s="104"/>
    </row>
    <row r="174" spans="25:36" s="132" customFormat="1" ht="12.95" hidden="1" customHeight="1">
      <c r="Y174" s="152">
        <v>136</v>
      </c>
      <c r="Z174" s="153">
        <f t="shared" si="8"/>
        <v>23983967.944001697</v>
      </c>
      <c r="AA174" s="154">
        <f t="shared" si="9"/>
        <v>9613297.1381293088</v>
      </c>
      <c r="AB174" s="155">
        <f t="shared" si="11"/>
        <v>14370670.805872392</v>
      </c>
      <c r="AC174" s="155">
        <f t="shared" si="10"/>
        <v>8612789186.3853073</v>
      </c>
      <c r="AF174" s="104"/>
      <c r="AG174" s="104"/>
      <c r="AH174" s="104"/>
      <c r="AI174" s="104"/>
      <c r="AJ174" s="104"/>
    </row>
    <row r="175" spans="25:36" s="132" customFormat="1" ht="12.95" hidden="1" customHeight="1">
      <c r="Y175" s="152">
        <v>137</v>
      </c>
      <c r="Z175" s="153">
        <f t="shared" si="8"/>
        <v>23983967.944001697</v>
      </c>
      <c r="AA175" s="154">
        <f t="shared" si="9"/>
        <v>9629319.3000261914</v>
      </c>
      <c r="AB175" s="155">
        <f t="shared" si="11"/>
        <v>14354648.643975507</v>
      </c>
      <c r="AC175" s="155">
        <f t="shared" si="10"/>
        <v>8603159867.0852814</v>
      </c>
      <c r="AF175" s="104"/>
      <c r="AG175" s="104"/>
      <c r="AH175" s="104"/>
      <c r="AI175" s="104"/>
      <c r="AJ175" s="104"/>
    </row>
    <row r="176" spans="25:36" s="132" customFormat="1" ht="12.95" hidden="1" customHeight="1">
      <c r="Y176" s="152">
        <v>138</v>
      </c>
      <c r="Z176" s="153">
        <f t="shared" si="8"/>
        <v>23983967.944001697</v>
      </c>
      <c r="AA176" s="154">
        <f t="shared" si="9"/>
        <v>9645368.1655262355</v>
      </c>
      <c r="AB176" s="155">
        <f t="shared" si="11"/>
        <v>14338599.778475465</v>
      </c>
      <c r="AC176" s="155">
        <f t="shared" si="10"/>
        <v>8593514498.9197559</v>
      </c>
      <c r="AF176" s="104"/>
      <c r="AG176" s="104"/>
      <c r="AH176" s="104"/>
      <c r="AI176" s="104"/>
      <c r="AJ176" s="104"/>
    </row>
    <row r="177" spans="25:36" s="132" customFormat="1" ht="12.95" hidden="1" customHeight="1">
      <c r="Y177" s="152">
        <v>139</v>
      </c>
      <c r="Z177" s="153">
        <f t="shared" si="8"/>
        <v>23983967.944001697</v>
      </c>
      <c r="AA177" s="154">
        <f t="shared" si="9"/>
        <v>9661443.7791354433</v>
      </c>
      <c r="AB177" s="155">
        <f t="shared" si="11"/>
        <v>14322524.164866252</v>
      </c>
      <c r="AC177" s="155">
        <f t="shared" si="10"/>
        <v>8583853055.1406202</v>
      </c>
      <c r="AF177" s="104"/>
      <c r="AG177" s="104"/>
      <c r="AH177" s="104"/>
      <c r="AI177" s="104"/>
      <c r="AJ177" s="104"/>
    </row>
    <row r="178" spans="25:36" s="132" customFormat="1" ht="12.95" hidden="1" customHeight="1">
      <c r="Y178" s="152">
        <v>140</v>
      </c>
      <c r="Z178" s="153">
        <f t="shared" si="8"/>
        <v>23983967.944001697</v>
      </c>
      <c r="AA178" s="154">
        <f t="shared" si="9"/>
        <v>9677546.1854340043</v>
      </c>
      <c r="AB178" s="155">
        <f t="shared" si="11"/>
        <v>14306421.758567696</v>
      </c>
      <c r="AC178" s="155">
        <f t="shared" si="10"/>
        <v>8574175508.9551859</v>
      </c>
      <c r="AF178" s="104"/>
      <c r="AG178" s="104"/>
      <c r="AH178" s="104"/>
      <c r="AI178" s="104"/>
      <c r="AJ178" s="104"/>
    </row>
    <row r="179" spans="25:36" s="132" customFormat="1" ht="12.95" hidden="1" customHeight="1">
      <c r="Y179" s="152">
        <v>141</v>
      </c>
      <c r="Z179" s="153">
        <f t="shared" si="8"/>
        <v>23983967.944001697</v>
      </c>
      <c r="AA179" s="154">
        <f t="shared" si="9"/>
        <v>9693675.4290763941</v>
      </c>
      <c r="AB179" s="155">
        <f t="shared" si="11"/>
        <v>14290292.514925305</v>
      </c>
      <c r="AC179" s="155">
        <f t="shared" si="10"/>
        <v>8564481833.5261097</v>
      </c>
      <c r="AF179" s="104"/>
      <c r="AG179" s="104"/>
      <c r="AH179" s="104"/>
      <c r="AI179" s="104"/>
      <c r="AJ179" s="104"/>
    </row>
    <row r="180" spans="25:36" s="132" customFormat="1" ht="12.95" hidden="1" customHeight="1">
      <c r="Y180" s="152">
        <v>142</v>
      </c>
      <c r="Z180" s="153">
        <f t="shared" si="8"/>
        <v>23983967.944001697</v>
      </c>
      <c r="AA180" s="154">
        <f t="shared" si="9"/>
        <v>9709831.5547915213</v>
      </c>
      <c r="AB180" s="155">
        <f t="shared" si="11"/>
        <v>14274136.389210179</v>
      </c>
      <c r="AC180" s="155">
        <f t="shared" si="10"/>
        <v>8554772001.9713182</v>
      </c>
      <c r="AF180" s="104"/>
      <c r="AG180" s="104"/>
      <c r="AH180" s="104"/>
      <c r="AI180" s="104"/>
      <c r="AJ180" s="104"/>
    </row>
    <row r="181" spans="25:36" s="132" customFormat="1" ht="12.95" hidden="1" customHeight="1">
      <c r="Y181" s="152">
        <v>143</v>
      </c>
      <c r="Z181" s="153">
        <f t="shared" si="8"/>
        <v>23983967.944001697</v>
      </c>
      <c r="AA181" s="154">
        <f t="shared" si="9"/>
        <v>9726014.6073828395</v>
      </c>
      <c r="AB181" s="155">
        <f t="shared" si="11"/>
        <v>14257953.336618859</v>
      </c>
      <c r="AC181" s="155">
        <f t="shared" si="10"/>
        <v>8545045987.3639355</v>
      </c>
      <c r="AF181" s="104"/>
      <c r="AG181" s="104"/>
      <c r="AH181" s="104"/>
      <c r="AI181" s="104"/>
      <c r="AJ181" s="104"/>
    </row>
    <row r="182" spans="25:36" s="132" customFormat="1" ht="12.95" hidden="1" customHeight="1">
      <c r="Y182" s="152">
        <v>144</v>
      </c>
      <c r="Z182" s="153">
        <f t="shared" si="8"/>
        <v>23983967.944001697</v>
      </c>
      <c r="AA182" s="154">
        <f t="shared" si="9"/>
        <v>9742224.6317284796</v>
      </c>
      <c r="AB182" s="155">
        <f t="shared" si="11"/>
        <v>14241743.312273217</v>
      </c>
      <c r="AC182" s="155">
        <f t="shared" si="10"/>
        <v>8535303762.7322073</v>
      </c>
      <c r="AF182" s="104"/>
      <c r="AG182" s="104"/>
      <c r="AH182" s="104"/>
      <c r="AI182" s="104"/>
      <c r="AJ182" s="104"/>
    </row>
    <row r="183" spans="25:36" s="132" customFormat="1" ht="12.95" hidden="1" customHeight="1">
      <c r="Y183" s="152">
        <v>145</v>
      </c>
      <c r="Z183" s="153">
        <f t="shared" si="8"/>
        <v>23983967.944001697</v>
      </c>
      <c r="AA183" s="154">
        <f t="shared" si="9"/>
        <v>9758461.6727813613</v>
      </c>
      <c r="AB183" s="155">
        <f t="shared" si="11"/>
        <v>14225506.271220338</v>
      </c>
      <c r="AC183" s="155">
        <f t="shared" si="10"/>
        <v>8525545301.0594263</v>
      </c>
      <c r="AF183" s="104"/>
      <c r="AG183" s="104"/>
      <c r="AH183" s="104"/>
      <c r="AI183" s="104"/>
      <c r="AJ183" s="104"/>
    </row>
    <row r="184" spans="25:36" s="132" customFormat="1" ht="12.95" hidden="1" customHeight="1">
      <c r="Y184" s="152">
        <v>146</v>
      </c>
      <c r="Z184" s="153">
        <f t="shared" si="8"/>
        <v>23983967.944001697</v>
      </c>
      <c r="AA184" s="154">
        <f t="shared" si="9"/>
        <v>9774725.775569329</v>
      </c>
      <c r="AB184" s="155">
        <f t="shared" si="11"/>
        <v>14209242.168432372</v>
      </c>
      <c r="AC184" s="155">
        <f t="shared" si="10"/>
        <v>8515770575.2838573</v>
      </c>
      <c r="AF184" s="104"/>
      <c r="AG184" s="104"/>
      <c r="AH184" s="104"/>
      <c r="AI184" s="104"/>
      <c r="AJ184" s="104"/>
    </row>
    <row r="185" spans="25:36" s="132" customFormat="1" ht="12.95" hidden="1" customHeight="1">
      <c r="Y185" s="152">
        <v>147</v>
      </c>
      <c r="Z185" s="153">
        <f t="shared" si="8"/>
        <v>23983967.944001697</v>
      </c>
      <c r="AA185" s="154">
        <f t="shared" si="9"/>
        <v>9791016.9851952754</v>
      </c>
      <c r="AB185" s="155">
        <f t="shared" si="11"/>
        <v>14192950.958806422</v>
      </c>
      <c r="AC185" s="155">
        <f t="shared" si="10"/>
        <v>8505979558.2986622</v>
      </c>
      <c r="AF185" s="104"/>
      <c r="AG185" s="104"/>
      <c r="AH185" s="104"/>
      <c r="AI185" s="104"/>
      <c r="AJ185" s="104"/>
    </row>
    <row r="186" spans="25:36" s="132" customFormat="1" ht="12.95" hidden="1" customHeight="1">
      <c r="Y186" s="152">
        <v>148</v>
      </c>
      <c r="Z186" s="153">
        <f t="shared" si="8"/>
        <v>23983967.944001697</v>
      </c>
      <c r="AA186" s="154">
        <f t="shared" si="9"/>
        <v>9807335.3468372691</v>
      </c>
      <c r="AB186" s="155">
        <f t="shared" si="11"/>
        <v>14176632.59716443</v>
      </c>
      <c r="AC186" s="155">
        <f t="shared" si="10"/>
        <v>8496172222.9518251</v>
      </c>
      <c r="AF186" s="104"/>
      <c r="AG186" s="104"/>
      <c r="AH186" s="104"/>
      <c r="AI186" s="104"/>
      <c r="AJ186" s="104"/>
    </row>
    <row r="187" spans="25:36" s="132" customFormat="1" ht="12.95" hidden="1" customHeight="1">
      <c r="Y187" s="152">
        <v>149</v>
      </c>
      <c r="Z187" s="153">
        <f t="shared" si="8"/>
        <v>23983967.944001697</v>
      </c>
      <c r="AA187" s="154">
        <f t="shared" si="9"/>
        <v>9823680.9057486653</v>
      </c>
      <c r="AB187" s="155">
        <f t="shared" si="11"/>
        <v>14160287.038253032</v>
      </c>
      <c r="AC187" s="155">
        <f t="shared" si="10"/>
        <v>8486348542.0460768</v>
      </c>
      <c r="AF187" s="104"/>
      <c r="AG187" s="104"/>
      <c r="AH187" s="104"/>
      <c r="AI187" s="104"/>
      <c r="AJ187" s="104"/>
    </row>
    <row r="188" spans="25:36" s="132" customFormat="1" ht="12.95" hidden="1" customHeight="1">
      <c r="Y188" s="152">
        <v>150</v>
      </c>
      <c r="Z188" s="153">
        <f t="shared" si="8"/>
        <v>23983967.944001697</v>
      </c>
      <c r="AA188" s="154">
        <f t="shared" si="9"/>
        <v>9840053.707258245</v>
      </c>
      <c r="AB188" s="155">
        <f t="shared" si="11"/>
        <v>14143914.236743454</v>
      </c>
      <c r="AC188" s="155">
        <f t="shared" si="10"/>
        <v>8476508488.3388186</v>
      </c>
      <c r="AF188" s="104"/>
      <c r="AG188" s="104"/>
      <c r="AH188" s="104"/>
      <c r="AI188" s="104"/>
      <c r="AJ188" s="104"/>
    </row>
    <row r="189" spans="25:36" s="132" customFormat="1" ht="12.95" hidden="1" customHeight="1">
      <c r="Y189" s="152">
        <v>151</v>
      </c>
      <c r="Z189" s="153">
        <f t="shared" si="8"/>
        <v>23983967.944001697</v>
      </c>
      <c r="AA189" s="154">
        <f t="shared" si="9"/>
        <v>9856453.7967703417</v>
      </c>
      <c r="AB189" s="155">
        <f t="shared" si="11"/>
        <v>14127514.147231353</v>
      </c>
      <c r="AC189" s="155">
        <f t="shared" si="10"/>
        <v>8466652034.5420485</v>
      </c>
      <c r="AF189" s="104"/>
      <c r="AG189" s="104"/>
      <c r="AH189" s="104"/>
      <c r="AI189" s="104"/>
      <c r="AJ189" s="104"/>
    </row>
    <row r="190" spans="25:36" s="132" customFormat="1" ht="12.95" hidden="1" customHeight="1">
      <c r="Y190" s="152">
        <v>152</v>
      </c>
      <c r="Z190" s="153">
        <f t="shared" si="8"/>
        <v>23983967.944001697</v>
      </c>
      <c r="AA190" s="154">
        <f t="shared" si="9"/>
        <v>9872881.2197649609</v>
      </c>
      <c r="AB190" s="155">
        <f t="shared" si="11"/>
        <v>14111086.72423674</v>
      </c>
      <c r="AC190" s="155">
        <f t="shared" si="10"/>
        <v>8456779153.3222837</v>
      </c>
      <c r="AF190" s="104"/>
      <c r="AG190" s="104"/>
      <c r="AH190" s="104"/>
      <c r="AI190" s="104"/>
      <c r="AJ190" s="104"/>
    </row>
    <row r="191" spans="25:36" s="132" customFormat="1" ht="12.95" hidden="1" customHeight="1">
      <c r="Y191" s="152">
        <v>153</v>
      </c>
      <c r="Z191" s="153">
        <f t="shared" si="8"/>
        <v>23983967.944001697</v>
      </c>
      <c r="AA191" s="154">
        <f t="shared" si="9"/>
        <v>9889336.021797901</v>
      </c>
      <c r="AB191" s="155">
        <f t="shared" si="11"/>
        <v>14094631.922203796</v>
      </c>
      <c r="AC191" s="155">
        <f t="shared" si="10"/>
        <v>8446889817.3004856</v>
      </c>
      <c r="AF191" s="104"/>
      <c r="AG191" s="104"/>
      <c r="AH191" s="104"/>
      <c r="AI191" s="104"/>
      <c r="AJ191" s="104"/>
    </row>
    <row r="192" spans="25:36" s="132" customFormat="1" ht="12.95" hidden="1" customHeight="1">
      <c r="Y192" s="152">
        <v>154</v>
      </c>
      <c r="Z192" s="153">
        <f t="shared" si="8"/>
        <v>23983967.944001697</v>
      </c>
      <c r="AA192" s="154">
        <f t="shared" si="9"/>
        <v>9905818.2485008985</v>
      </c>
      <c r="AB192" s="155">
        <f t="shared" si="11"/>
        <v>14078149.6955008</v>
      </c>
      <c r="AC192" s="155">
        <f t="shared" si="10"/>
        <v>8436983999.0519848</v>
      </c>
      <c r="AF192" s="104"/>
      <c r="AG192" s="104"/>
      <c r="AH192" s="104"/>
      <c r="AI192" s="104"/>
      <c r="AJ192" s="104"/>
    </row>
    <row r="193" spans="25:36" s="132" customFormat="1" ht="12.95" hidden="1" customHeight="1">
      <c r="Y193" s="152">
        <v>155</v>
      </c>
      <c r="Z193" s="153">
        <f t="shared" si="8"/>
        <v>23983967.944001697</v>
      </c>
      <c r="AA193" s="154">
        <f t="shared" si="9"/>
        <v>9922327.9455817323</v>
      </c>
      <c r="AB193" s="155">
        <f t="shared" si="11"/>
        <v>14061639.998419967</v>
      </c>
      <c r="AC193" s="155">
        <f t="shared" si="10"/>
        <v>8427061671.1064034</v>
      </c>
      <c r="AF193" s="104"/>
      <c r="AG193" s="104"/>
      <c r="AH193" s="104"/>
      <c r="AI193" s="104"/>
      <c r="AJ193" s="104"/>
    </row>
    <row r="194" spans="25:36" s="132" customFormat="1" ht="12.95" hidden="1" customHeight="1">
      <c r="Y194" s="152">
        <v>156</v>
      </c>
      <c r="Z194" s="153">
        <f t="shared" si="8"/>
        <v>23983967.944001697</v>
      </c>
      <c r="AA194" s="154">
        <f t="shared" si="9"/>
        <v>9938865.1588243712</v>
      </c>
      <c r="AB194" s="155">
        <f t="shared" si="11"/>
        <v>14045102.78517733</v>
      </c>
      <c r="AC194" s="155">
        <f t="shared" si="10"/>
        <v>8417122805.9475794</v>
      </c>
      <c r="AF194" s="104"/>
      <c r="AG194" s="104"/>
      <c r="AH194" s="104"/>
      <c r="AI194" s="104"/>
      <c r="AJ194" s="104"/>
    </row>
    <row r="195" spans="25:36" s="132" customFormat="1" ht="12.95" hidden="1" customHeight="1">
      <c r="Y195" s="152">
        <v>157</v>
      </c>
      <c r="Z195" s="153">
        <f t="shared" si="8"/>
        <v>23983967.944001697</v>
      </c>
      <c r="AA195" s="154">
        <f t="shared" si="9"/>
        <v>9955429.9340890758</v>
      </c>
      <c r="AB195" s="155">
        <f t="shared" si="11"/>
        <v>14028538.009912619</v>
      </c>
      <c r="AC195" s="155">
        <f t="shared" si="10"/>
        <v>8407167376.0134907</v>
      </c>
      <c r="AF195" s="104"/>
      <c r="AG195" s="104"/>
      <c r="AH195" s="104"/>
      <c r="AI195" s="104"/>
      <c r="AJ195" s="104"/>
    </row>
    <row r="196" spans="25:36" s="132" customFormat="1" ht="12.95" hidden="1" customHeight="1">
      <c r="Y196" s="152">
        <v>158</v>
      </c>
      <c r="Z196" s="153">
        <f t="shared" si="8"/>
        <v>23983967.944001697</v>
      </c>
      <c r="AA196" s="154">
        <f t="shared" si="9"/>
        <v>9972022.3173125591</v>
      </c>
      <c r="AB196" s="155">
        <f t="shared" si="11"/>
        <v>14011945.62668914</v>
      </c>
      <c r="AC196" s="155">
        <f t="shared" si="10"/>
        <v>8397195353.6961784</v>
      </c>
      <c r="AF196" s="104"/>
      <c r="AG196" s="104"/>
      <c r="AH196" s="104"/>
      <c r="AI196" s="104"/>
      <c r="AJ196" s="104"/>
    </row>
    <row r="197" spans="25:36" s="132" customFormat="1" ht="12.95" hidden="1" customHeight="1">
      <c r="Y197" s="152">
        <v>159</v>
      </c>
      <c r="Z197" s="153">
        <f t="shared" si="8"/>
        <v>23983967.944001697</v>
      </c>
      <c r="AA197" s="154">
        <f t="shared" si="9"/>
        <v>9988642.3545080796</v>
      </c>
      <c r="AB197" s="155">
        <f t="shared" si="11"/>
        <v>13995325.589493619</v>
      </c>
      <c r="AC197" s="155">
        <f t="shared" si="10"/>
        <v>8387206711.34167</v>
      </c>
      <c r="AF197" s="104"/>
      <c r="AG197" s="104"/>
      <c r="AH197" s="104"/>
      <c r="AI197" s="104"/>
      <c r="AJ197" s="104"/>
    </row>
    <row r="198" spans="25:36" s="132" customFormat="1" ht="12.95" hidden="1" customHeight="1">
      <c r="Y198" s="152">
        <v>160</v>
      </c>
      <c r="Z198" s="153">
        <f t="shared" si="8"/>
        <v>23983967.944001697</v>
      </c>
      <c r="AA198" s="154">
        <f t="shared" si="9"/>
        <v>10005290.091765594</v>
      </c>
      <c r="AB198" s="155">
        <f t="shared" si="11"/>
        <v>13978677.852236103</v>
      </c>
      <c r="AC198" s="155">
        <f t="shared" si="10"/>
        <v>8377201421.2499046</v>
      </c>
      <c r="AF198" s="104"/>
      <c r="AG198" s="104"/>
      <c r="AH198" s="104"/>
      <c r="AI198" s="104"/>
      <c r="AJ198" s="104"/>
    </row>
    <row r="199" spans="25:36" s="132" customFormat="1" ht="12.95" hidden="1" customHeight="1">
      <c r="Y199" s="152">
        <v>161</v>
      </c>
      <c r="Z199" s="153">
        <f t="shared" si="8"/>
        <v>23983967.944001697</v>
      </c>
      <c r="AA199" s="154">
        <f t="shared" si="9"/>
        <v>10021965.575251868</v>
      </c>
      <c r="AB199" s="155">
        <f t="shared" si="11"/>
        <v>13962002.368749829</v>
      </c>
      <c r="AC199" s="155">
        <f t="shared" si="10"/>
        <v>8367179455.6746531</v>
      </c>
      <c r="AF199" s="104"/>
      <c r="AG199" s="104"/>
      <c r="AH199" s="104"/>
      <c r="AI199" s="104"/>
      <c r="AJ199" s="104"/>
    </row>
    <row r="200" spans="25:36" s="132" customFormat="1" ht="12.95" hidden="1" customHeight="1">
      <c r="Y200" s="152">
        <v>162</v>
      </c>
      <c r="Z200" s="153">
        <f t="shared" si="8"/>
        <v>23983967.944001697</v>
      </c>
      <c r="AA200" s="154">
        <f t="shared" si="9"/>
        <v>10038668.851210622</v>
      </c>
      <c r="AB200" s="155">
        <f t="shared" si="11"/>
        <v>13945299.092791073</v>
      </c>
      <c r="AC200" s="155">
        <f t="shared" si="10"/>
        <v>8357140786.8234425</v>
      </c>
      <c r="AF200" s="104"/>
      <c r="AG200" s="104"/>
      <c r="AH200" s="104"/>
      <c r="AI200" s="104"/>
      <c r="AJ200" s="104"/>
    </row>
    <row r="201" spans="25:36" s="132" customFormat="1" ht="12.95" hidden="1" customHeight="1">
      <c r="Y201" s="152">
        <v>163</v>
      </c>
      <c r="Z201" s="153">
        <f t="shared" si="8"/>
        <v>23983967.944001697</v>
      </c>
      <c r="AA201" s="154">
        <f t="shared" si="9"/>
        <v>10055399.965962639</v>
      </c>
      <c r="AB201" s="155">
        <f t="shared" si="11"/>
        <v>13928567.978039056</v>
      </c>
      <c r="AC201" s="155">
        <f t="shared" si="10"/>
        <v>8347085386.85748</v>
      </c>
      <c r="AF201" s="104"/>
      <c r="AG201" s="104"/>
      <c r="AH201" s="104"/>
      <c r="AI201" s="104"/>
      <c r="AJ201" s="104"/>
    </row>
    <row r="202" spans="25:36" s="132" customFormat="1" ht="12.95" hidden="1" customHeight="1">
      <c r="Y202" s="152">
        <v>164</v>
      </c>
      <c r="Z202" s="153">
        <f t="shared" si="8"/>
        <v>23983967.944001697</v>
      </c>
      <c r="AA202" s="154">
        <f t="shared" si="9"/>
        <v>10072158.96590591</v>
      </c>
      <c r="AB202" s="155">
        <f t="shared" si="11"/>
        <v>13911808.978095789</v>
      </c>
      <c r="AC202" s="155">
        <f t="shared" si="10"/>
        <v>8337013227.8915739</v>
      </c>
      <c r="AF202" s="104"/>
      <c r="AG202" s="104"/>
      <c r="AH202" s="104"/>
      <c r="AI202" s="104"/>
      <c r="AJ202" s="104"/>
    </row>
    <row r="203" spans="25:36" s="132" customFormat="1" ht="12.95" hidden="1" customHeight="1">
      <c r="Y203" s="152">
        <v>165</v>
      </c>
      <c r="Z203" s="153">
        <f t="shared" si="8"/>
        <v>23983967.944001697</v>
      </c>
      <c r="AA203" s="154">
        <f t="shared" si="9"/>
        <v>10088945.897515753</v>
      </c>
      <c r="AB203" s="155">
        <f t="shared" si="11"/>
        <v>13895022.046485944</v>
      </c>
      <c r="AC203" s="155">
        <f t="shared" si="10"/>
        <v>8326924281.9940586</v>
      </c>
      <c r="AF203" s="104"/>
      <c r="AG203" s="104"/>
      <c r="AH203" s="104"/>
      <c r="AI203" s="104"/>
      <c r="AJ203" s="104"/>
    </row>
    <row r="204" spans="25:36" s="132" customFormat="1" ht="12.95" hidden="1" customHeight="1">
      <c r="Y204" s="152">
        <v>166</v>
      </c>
      <c r="Z204" s="153">
        <f t="shared" si="8"/>
        <v>23983967.944001697</v>
      </c>
      <c r="AA204" s="154">
        <f t="shared" si="9"/>
        <v>10105760.807344947</v>
      </c>
      <c r="AB204" s="155">
        <f t="shared" si="11"/>
        <v>13878207.13665675</v>
      </c>
      <c r="AC204" s="155">
        <f t="shared" si="10"/>
        <v>8316818521.1867132</v>
      </c>
      <c r="AF204" s="104"/>
      <c r="AG204" s="104"/>
      <c r="AH204" s="104"/>
      <c r="AI204" s="104"/>
      <c r="AJ204" s="104"/>
    </row>
    <row r="205" spans="25:36" s="132" customFormat="1" ht="12.95" hidden="1" customHeight="1">
      <c r="Y205" s="152">
        <v>167</v>
      </c>
      <c r="Z205" s="153">
        <f t="shared" si="8"/>
        <v>23983967.944001697</v>
      </c>
      <c r="AA205" s="154">
        <f t="shared" si="9"/>
        <v>10122603.742023855</v>
      </c>
      <c r="AB205" s="155">
        <f t="shared" si="11"/>
        <v>13861364.201977842</v>
      </c>
      <c r="AC205" s="155">
        <f t="shared" si="10"/>
        <v>8306695917.4446898</v>
      </c>
      <c r="AF205" s="104"/>
      <c r="AG205" s="104"/>
      <c r="AH205" s="104"/>
      <c r="AI205" s="104"/>
      <c r="AJ205" s="104"/>
    </row>
    <row r="206" spans="25:36" s="132" customFormat="1" ht="12.95" hidden="1" customHeight="1">
      <c r="Y206" s="152">
        <v>168</v>
      </c>
      <c r="Z206" s="153">
        <f t="shared" si="8"/>
        <v>23983967.944001697</v>
      </c>
      <c r="AA206" s="154">
        <f t="shared" si="9"/>
        <v>10139474.748260561</v>
      </c>
      <c r="AB206" s="155">
        <f t="shared" si="11"/>
        <v>13844493.195741136</v>
      </c>
      <c r="AC206" s="155">
        <f t="shared" si="10"/>
        <v>8296556442.6964293</v>
      </c>
      <c r="AF206" s="104"/>
      <c r="AG206" s="104"/>
      <c r="AH206" s="104"/>
      <c r="AI206" s="104"/>
      <c r="AJ206" s="104"/>
    </row>
    <row r="207" spans="25:36" s="132" customFormat="1" ht="12.95" hidden="1" customHeight="1">
      <c r="Y207" s="152">
        <v>169</v>
      </c>
      <c r="Z207" s="153">
        <f t="shared" si="8"/>
        <v>23983967.944001697</v>
      </c>
      <c r="AA207" s="154">
        <f t="shared" si="9"/>
        <v>10156373.872840995</v>
      </c>
      <c r="AB207" s="155">
        <f t="shared" si="11"/>
        <v>13827594.071160702</v>
      </c>
      <c r="AC207" s="155">
        <f t="shared" si="10"/>
        <v>8286400068.8235884</v>
      </c>
      <c r="AF207" s="104"/>
      <c r="AG207" s="104"/>
      <c r="AH207" s="104"/>
      <c r="AI207" s="104"/>
      <c r="AJ207" s="104"/>
    </row>
    <row r="208" spans="25:36" s="132" customFormat="1" ht="12.95" hidden="1" customHeight="1">
      <c r="Y208" s="152">
        <v>170</v>
      </c>
      <c r="Z208" s="153">
        <f t="shared" si="8"/>
        <v>23983967.944001697</v>
      </c>
      <c r="AA208" s="154">
        <f t="shared" si="9"/>
        <v>10173301.162629064</v>
      </c>
      <c r="AB208" s="155">
        <f t="shared" si="11"/>
        <v>13810666.781372635</v>
      </c>
      <c r="AC208" s="155">
        <f t="shared" si="10"/>
        <v>8276226767.6609592</v>
      </c>
      <c r="AF208" s="104"/>
      <c r="AG208" s="104"/>
      <c r="AH208" s="104"/>
      <c r="AI208" s="104"/>
      <c r="AJ208" s="104"/>
    </row>
    <row r="209" spans="25:36" s="132" customFormat="1" ht="12.95" hidden="1" customHeight="1">
      <c r="Y209" s="152">
        <v>171</v>
      </c>
      <c r="Z209" s="153">
        <f t="shared" si="8"/>
        <v>23983967.944001697</v>
      </c>
      <c r="AA209" s="154">
        <f t="shared" si="9"/>
        <v>10190256.66456678</v>
      </c>
      <c r="AB209" s="155">
        <f t="shared" si="11"/>
        <v>13793711.279434919</v>
      </c>
      <c r="AC209" s="155">
        <f t="shared" si="10"/>
        <v>8266036510.9963923</v>
      </c>
      <c r="AF209" s="104"/>
      <c r="AG209" s="104"/>
      <c r="AH209" s="104"/>
      <c r="AI209" s="104"/>
      <c r="AJ209" s="104"/>
    </row>
    <row r="210" spans="25:36" s="132" customFormat="1" ht="12.95" hidden="1" customHeight="1">
      <c r="Y210" s="152">
        <v>172</v>
      </c>
      <c r="Z210" s="153">
        <f t="shared" si="8"/>
        <v>23983967.944001697</v>
      </c>
      <c r="AA210" s="154">
        <f t="shared" si="9"/>
        <v>10207240.42567439</v>
      </c>
      <c r="AB210" s="155">
        <f t="shared" si="11"/>
        <v>13776727.518327307</v>
      </c>
      <c r="AC210" s="155">
        <f t="shared" si="10"/>
        <v>8255829270.5707178</v>
      </c>
      <c r="AF210" s="104"/>
      <c r="AG210" s="104"/>
      <c r="AH210" s="104"/>
      <c r="AI210" s="104"/>
      <c r="AJ210" s="104"/>
    </row>
    <row r="211" spans="25:36" s="132" customFormat="1" ht="12.95" hidden="1" customHeight="1">
      <c r="Y211" s="152">
        <v>173</v>
      </c>
      <c r="Z211" s="153">
        <f t="shared" si="8"/>
        <v>23983967.944001697</v>
      </c>
      <c r="AA211" s="154">
        <f t="shared" si="9"/>
        <v>10224252.493050516</v>
      </c>
      <c r="AB211" s="155">
        <f t="shared" si="11"/>
        <v>13759715.450951183</v>
      </c>
      <c r="AC211" s="155">
        <f t="shared" si="10"/>
        <v>8245605018.0776672</v>
      </c>
      <c r="AF211" s="104"/>
      <c r="AG211" s="104"/>
      <c r="AH211" s="104"/>
      <c r="AI211" s="104"/>
      <c r="AJ211" s="104"/>
    </row>
    <row r="212" spans="25:36" s="132" customFormat="1" ht="12.95" hidden="1" customHeight="1">
      <c r="Y212" s="152">
        <v>174</v>
      </c>
      <c r="Z212" s="153">
        <f t="shared" si="8"/>
        <v>23983967.944001697</v>
      </c>
      <c r="AA212" s="154">
        <f t="shared" si="9"/>
        <v>10241292.913872264</v>
      </c>
      <c r="AB212" s="155">
        <f t="shared" si="11"/>
        <v>13742675.030129435</v>
      </c>
      <c r="AC212" s="155">
        <f t="shared" si="10"/>
        <v>8235363725.1637945</v>
      </c>
      <c r="AF212" s="104"/>
      <c r="AG212" s="104"/>
      <c r="AH212" s="104"/>
      <c r="AI212" s="104"/>
      <c r="AJ212" s="104"/>
    </row>
    <row r="213" spans="25:36" s="132" customFormat="1" ht="12.95" hidden="1" customHeight="1">
      <c r="Y213" s="152">
        <v>175</v>
      </c>
      <c r="Z213" s="153">
        <f t="shared" si="8"/>
        <v>23983967.944001697</v>
      </c>
      <c r="AA213" s="154">
        <f t="shared" si="9"/>
        <v>10258361.735395385</v>
      </c>
      <c r="AB213" s="155">
        <f t="shared" si="11"/>
        <v>13725606.208606312</v>
      </c>
      <c r="AC213" s="155">
        <f t="shared" si="10"/>
        <v>8225105363.4283991</v>
      </c>
      <c r="AF213" s="104"/>
      <c r="AG213" s="104"/>
      <c r="AH213" s="104"/>
      <c r="AI213" s="104"/>
      <c r="AJ213" s="104"/>
    </row>
    <row r="214" spans="25:36" s="132" customFormat="1" ht="12.95" hidden="1" customHeight="1">
      <c r="Y214" s="152">
        <v>176</v>
      </c>
      <c r="Z214" s="153">
        <f t="shared" si="8"/>
        <v>23983967.944001697</v>
      </c>
      <c r="AA214" s="154">
        <f t="shared" si="9"/>
        <v>10275459.004954377</v>
      </c>
      <c r="AB214" s="155">
        <f t="shared" si="11"/>
        <v>13708508.93904732</v>
      </c>
      <c r="AC214" s="155">
        <f t="shared" si="10"/>
        <v>8214829904.4234447</v>
      </c>
      <c r="AF214" s="104"/>
      <c r="AG214" s="104"/>
      <c r="AH214" s="104"/>
      <c r="AI214" s="104"/>
      <c r="AJ214" s="104"/>
    </row>
    <row r="215" spans="25:36" s="132" customFormat="1" ht="12.95" hidden="1" customHeight="1">
      <c r="Y215" s="152">
        <v>177</v>
      </c>
      <c r="Z215" s="153">
        <f t="shared" si="8"/>
        <v>23983967.944001697</v>
      </c>
      <c r="AA215" s="154">
        <f t="shared" si="9"/>
        <v>10292584.769962635</v>
      </c>
      <c r="AB215" s="155">
        <f t="shared" si="11"/>
        <v>13691383.174039064</v>
      </c>
      <c r="AC215" s="155">
        <f t="shared" si="10"/>
        <v>8204537319.6534824</v>
      </c>
      <c r="AF215" s="104"/>
      <c r="AG215" s="104"/>
      <c r="AH215" s="104"/>
      <c r="AI215" s="104"/>
      <c r="AJ215" s="104"/>
    </row>
    <row r="216" spans="25:36" s="132" customFormat="1" ht="12.95" hidden="1" customHeight="1">
      <c r="Y216" s="152">
        <v>178</v>
      </c>
      <c r="Z216" s="153">
        <f t="shared" si="8"/>
        <v>23983967.944001697</v>
      </c>
      <c r="AA216" s="154">
        <f t="shared" si="9"/>
        <v>10309739.077912573</v>
      </c>
      <c r="AB216" s="155">
        <f t="shared" si="11"/>
        <v>13674228.866089124</v>
      </c>
      <c r="AC216" s="155">
        <f t="shared" si="10"/>
        <v>8194227580.5755701</v>
      </c>
      <c r="AF216" s="104"/>
      <c r="AG216" s="104"/>
      <c r="AH216" s="104"/>
      <c r="AI216" s="104"/>
      <c r="AJ216" s="104"/>
    </row>
    <row r="217" spans="25:36" s="132" customFormat="1" ht="12.95" hidden="1" customHeight="1">
      <c r="Y217" s="152">
        <v>179</v>
      </c>
      <c r="Z217" s="153">
        <f t="shared" si="8"/>
        <v>23983967.944001697</v>
      </c>
      <c r="AA217" s="154">
        <f t="shared" si="9"/>
        <v>10326921.976375761</v>
      </c>
      <c r="AB217" s="155">
        <f t="shared" si="11"/>
        <v>13657045.967625938</v>
      </c>
      <c r="AC217" s="155">
        <f t="shared" si="10"/>
        <v>8183900658.5991945</v>
      </c>
      <c r="AF217" s="104"/>
      <c r="AG217" s="104"/>
      <c r="AH217" s="104"/>
      <c r="AI217" s="104"/>
      <c r="AJ217" s="104"/>
    </row>
    <row r="218" spans="25:36" s="132" customFormat="1" ht="12.95" hidden="1" customHeight="1">
      <c r="Y218" s="152">
        <v>180</v>
      </c>
      <c r="Z218" s="153">
        <f t="shared" si="8"/>
        <v>23983967.944001697</v>
      </c>
      <c r="AA218" s="154">
        <f t="shared" si="9"/>
        <v>10344133.513003053</v>
      </c>
      <c r="AB218" s="155">
        <f t="shared" si="11"/>
        <v>13639834.430998644</v>
      </c>
      <c r="AC218" s="155">
        <f t="shared" si="10"/>
        <v>8173556525.0861912</v>
      </c>
      <c r="AF218" s="104"/>
      <c r="AG218" s="104"/>
      <c r="AH218" s="104"/>
      <c r="AI218" s="104"/>
      <c r="AJ218" s="104"/>
    </row>
    <row r="219" spans="25:36" s="132" customFormat="1" ht="12.95" hidden="1" customHeight="1">
      <c r="Y219" s="152">
        <v>181</v>
      </c>
      <c r="Z219" s="153">
        <f t="shared" si="8"/>
        <v>23983967.944001697</v>
      </c>
      <c r="AA219" s="154">
        <f t="shared" si="9"/>
        <v>10361373.735524725</v>
      </c>
      <c r="AB219" s="155">
        <f t="shared" si="11"/>
        <v>13622594.208476972</v>
      </c>
      <c r="AC219" s="155">
        <f t="shared" si="10"/>
        <v>8163195151.350666</v>
      </c>
      <c r="AF219" s="104"/>
      <c r="AG219" s="104"/>
      <c r="AH219" s="104"/>
      <c r="AI219" s="104"/>
      <c r="AJ219" s="104"/>
    </row>
    <row r="220" spans="25:36" s="132" customFormat="1" ht="12.95" hidden="1" customHeight="1">
      <c r="Y220" s="152">
        <v>182</v>
      </c>
      <c r="Z220" s="153">
        <f t="shared" si="8"/>
        <v>23983967.944001697</v>
      </c>
      <c r="AA220" s="154">
        <f t="shared" si="9"/>
        <v>10378642.691750601</v>
      </c>
      <c r="AB220" s="155">
        <f t="shared" si="11"/>
        <v>13605325.252251098</v>
      </c>
      <c r="AC220" s="155">
        <f t="shared" si="10"/>
        <v>8152816508.6589155</v>
      </c>
      <c r="AF220" s="104"/>
      <c r="AG220" s="104"/>
      <c r="AH220" s="104"/>
      <c r="AI220" s="104"/>
      <c r="AJ220" s="104"/>
    </row>
    <row r="221" spans="25:36" s="132" customFormat="1" ht="12.95" hidden="1" customHeight="1">
      <c r="Y221" s="152">
        <v>183</v>
      </c>
      <c r="Z221" s="153">
        <f t="shared" si="8"/>
        <v>23983967.944001697</v>
      </c>
      <c r="AA221" s="154">
        <f t="shared" si="9"/>
        <v>10395940.429570183</v>
      </c>
      <c r="AB221" s="155">
        <f t="shared" si="11"/>
        <v>13588027.514431512</v>
      </c>
      <c r="AC221" s="155">
        <f t="shared" si="10"/>
        <v>8142420568.2293453</v>
      </c>
      <c r="AF221" s="104"/>
      <c r="AG221" s="104"/>
      <c r="AH221" s="104"/>
      <c r="AI221" s="104"/>
      <c r="AJ221" s="104"/>
    </row>
    <row r="222" spans="25:36" s="132" customFormat="1" ht="12.95" hidden="1" customHeight="1">
      <c r="Y222" s="152">
        <v>184</v>
      </c>
      <c r="Z222" s="153">
        <f t="shared" si="8"/>
        <v>23983967.944001697</v>
      </c>
      <c r="AA222" s="154">
        <f t="shared" si="9"/>
        <v>10413266.996952802</v>
      </c>
      <c r="AB222" s="155">
        <f t="shared" si="11"/>
        <v>13570700.947048899</v>
      </c>
      <c r="AC222" s="155">
        <f t="shared" si="10"/>
        <v>8132007301.2323923</v>
      </c>
      <c r="AF222" s="104"/>
      <c r="AG222" s="104"/>
      <c r="AH222" s="104"/>
      <c r="AI222" s="104"/>
      <c r="AJ222" s="104"/>
    </row>
    <row r="223" spans="25:36" s="132" customFormat="1" ht="12.95" hidden="1" customHeight="1">
      <c r="Y223" s="152">
        <v>185</v>
      </c>
      <c r="Z223" s="153">
        <f t="shared" si="8"/>
        <v>23983967.944001697</v>
      </c>
      <c r="AA223" s="154">
        <f t="shared" si="9"/>
        <v>10430622.441947723</v>
      </c>
      <c r="AB223" s="155">
        <f t="shared" si="11"/>
        <v>13553345.502053976</v>
      </c>
      <c r="AC223" s="155">
        <f t="shared" si="10"/>
        <v>8121576678.7904444</v>
      </c>
      <c r="AF223" s="104"/>
      <c r="AG223" s="104"/>
      <c r="AH223" s="104"/>
      <c r="AI223" s="104"/>
      <c r="AJ223" s="104"/>
    </row>
    <row r="224" spans="25:36" s="132" customFormat="1" ht="12.95" hidden="1" customHeight="1">
      <c r="Y224" s="152">
        <v>186</v>
      </c>
      <c r="Z224" s="153">
        <f t="shared" si="8"/>
        <v>23983967.944001697</v>
      </c>
      <c r="AA224" s="154">
        <f t="shared" si="9"/>
        <v>10448006.812684301</v>
      </c>
      <c r="AB224" s="155">
        <f t="shared" si="11"/>
        <v>13535961.131317396</v>
      </c>
      <c r="AC224" s="155">
        <f t="shared" si="10"/>
        <v>8111128671.9777603</v>
      </c>
      <c r="AF224" s="104"/>
      <c r="AG224" s="104"/>
      <c r="AH224" s="104"/>
      <c r="AI224" s="104"/>
      <c r="AJ224" s="104"/>
    </row>
    <row r="225" spans="25:36" s="132" customFormat="1" ht="12.95" hidden="1" customHeight="1">
      <c r="Y225" s="152">
        <v>187</v>
      </c>
      <c r="Z225" s="153">
        <f t="shared" si="8"/>
        <v>23983967.944001697</v>
      </c>
      <c r="AA225" s="154">
        <f t="shared" si="9"/>
        <v>10465420.157372108</v>
      </c>
      <c r="AB225" s="155">
        <f t="shared" si="11"/>
        <v>13518547.786629587</v>
      </c>
      <c r="AC225" s="155">
        <f t="shared" si="10"/>
        <v>8100663251.8203878</v>
      </c>
      <c r="AF225" s="104"/>
      <c r="AG225" s="104"/>
      <c r="AH225" s="104"/>
      <c r="AI225" s="104"/>
      <c r="AJ225" s="104"/>
    </row>
    <row r="226" spans="25:36" s="132" customFormat="1" ht="12.95" hidden="1" customHeight="1">
      <c r="Y226" s="152">
        <v>188</v>
      </c>
      <c r="Z226" s="153">
        <f t="shared" si="8"/>
        <v>23983967.944001697</v>
      </c>
      <c r="AA226" s="154">
        <f t="shared" si="9"/>
        <v>10482862.524301063</v>
      </c>
      <c r="AB226" s="155">
        <f t="shared" si="11"/>
        <v>13501105.419700636</v>
      </c>
      <c r="AC226" s="155">
        <f t="shared" si="10"/>
        <v>8090180389.2960863</v>
      </c>
      <c r="AF226" s="104"/>
      <c r="AG226" s="104"/>
      <c r="AH226" s="104"/>
      <c r="AI226" s="104"/>
      <c r="AJ226" s="104"/>
    </row>
    <row r="227" spans="25:36" s="132" customFormat="1" ht="12.95" hidden="1" customHeight="1">
      <c r="Y227" s="152">
        <v>189</v>
      </c>
      <c r="Z227" s="153">
        <f t="shared" si="8"/>
        <v>23983967.944001697</v>
      </c>
      <c r="AA227" s="154">
        <f t="shared" si="9"/>
        <v>10500333.961841565</v>
      </c>
      <c r="AB227" s="155">
        <f t="shared" si="11"/>
        <v>13483633.982160134</v>
      </c>
      <c r="AC227" s="155">
        <f t="shared" si="10"/>
        <v>8079680055.3342447</v>
      </c>
      <c r="AF227" s="104"/>
      <c r="AG227" s="104"/>
      <c r="AH227" s="104"/>
      <c r="AI227" s="104"/>
      <c r="AJ227" s="104"/>
    </row>
    <row r="228" spans="25:36" s="132" customFormat="1" ht="12.95" hidden="1" customHeight="1">
      <c r="Y228" s="152">
        <v>190</v>
      </c>
      <c r="Z228" s="153">
        <f t="shared" si="8"/>
        <v>23983967.944001697</v>
      </c>
      <c r="AA228" s="154">
        <f t="shared" si="9"/>
        <v>10517834.518444635</v>
      </c>
      <c r="AB228" s="155">
        <f t="shared" si="11"/>
        <v>13466133.425557064</v>
      </c>
      <c r="AC228" s="155">
        <f t="shared" si="10"/>
        <v>8069162220.8157997</v>
      </c>
      <c r="AF228" s="104"/>
      <c r="AG228" s="104"/>
      <c r="AH228" s="104"/>
      <c r="AI228" s="104"/>
      <c r="AJ228" s="104"/>
    </row>
    <row r="229" spans="25:36" s="132" customFormat="1" ht="12.95" hidden="1" customHeight="1">
      <c r="Y229" s="152">
        <v>191</v>
      </c>
      <c r="Z229" s="153">
        <f t="shared" si="8"/>
        <v>23983967.944001697</v>
      </c>
      <c r="AA229" s="154">
        <f t="shared" si="9"/>
        <v>10535364.242642041</v>
      </c>
      <c r="AB229" s="155">
        <f t="shared" si="11"/>
        <v>13448603.701359658</v>
      </c>
      <c r="AC229" s="155">
        <f t="shared" si="10"/>
        <v>8058626856.5731573</v>
      </c>
      <c r="AF229" s="104"/>
      <c r="AG229" s="104"/>
      <c r="AH229" s="104"/>
      <c r="AI229" s="104"/>
      <c r="AJ229" s="104"/>
    </row>
    <row r="230" spans="25:36" s="132" customFormat="1" ht="12.95" hidden="1" customHeight="1">
      <c r="Y230" s="152">
        <v>192</v>
      </c>
      <c r="Z230" s="153">
        <f t="shared" si="8"/>
        <v>23983967.944001697</v>
      </c>
      <c r="AA230" s="154">
        <f t="shared" si="9"/>
        <v>10552923.183046445</v>
      </c>
      <c r="AB230" s="155">
        <f t="shared" si="11"/>
        <v>13431044.760955254</v>
      </c>
      <c r="AC230" s="155">
        <f t="shared" si="10"/>
        <v>8048073933.390111</v>
      </c>
      <c r="AF230" s="104"/>
      <c r="AG230" s="104"/>
      <c r="AH230" s="104"/>
      <c r="AI230" s="104"/>
      <c r="AJ230" s="104"/>
    </row>
    <row r="231" spans="25:36" s="132" customFormat="1" ht="12.95" hidden="1" customHeight="1">
      <c r="Y231" s="152">
        <v>193</v>
      </c>
      <c r="Z231" s="153">
        <f t="shared" si="8"/>
        <v>23983967.944001697</v>
      </c>
      <c r="AA231" s="154">
        <f t="shared" si="9"/>
        <v>10570511.388351522</v>
      </c>
      <c r="AB231" s="155">
        <f t="shared" si="11"/>
        <v>13413456.555650176</v>
      </c>
      <c r="AC231" s="155">
        <f t="shared" si="10"/>
        <v>8037503422.0017595</v>
      </c>
      <c r="AF231" s="104"/>
      <c r="AG231" s="104"/>
      <c r="AH231" s="104"/>
      <c r="AI231" s="104"/>
      <c r="AJ231" s="104"/>
    </row>
    <row r="232" spans="25:36" s="132" customFormat="1" ht="12.95" hidden="1" customHeight="1">
      <c r="Y232" s="152">
        <v>194</v>
      </c>
      <c r="Z232" s="153">
        <f t="shared" ref="Z232:Z295" si="12">IF(Y232&lt;=$AB$32, PMT($AB$31/12,$AB$32,-$AB$30,0,1), 0)</f>
        <v>23983967.944001697</v>
      </c>
      <c r="AA232" s="154">
        <f t="shared" ref="AA232:AA295" si="13">IF(Y232&lt;=$AB$32,-PPMT($AB$31/12,Y232,$AB$32,$AB$30,,1),0)</f>
        <v>10588128.907332107</v>
      </c>
      <c r="AB232" s="155">
        <f t="shared" si="11"/>
        <v>13395839.03666959</v>
      </c>
      <c r="AC232" s="155">
        <f t="shared" ref="AC232:AC295" si="14">AC231-AA232</f>
        <v>8026915293.0944271</v>
      </c>
      <c r="AF232" s="104"/>
      <c r="AG232" s="104"/>
      <c r="AH232" s="104"/>
      <c r="AI232" s="104"/>
      <c r="AJ232" s="104"/>
    </row>
    <row r="233" spans="25:36" s="132" customFormat="1" ht="12.95" hidden="1" customHeight="1">
      <c r="Y233" s="152">
        <v>195</v>
      </c>
      <c r="Z233" s="153">
        <f t="shared" si="12"/>
        <v>23983967.944001697</v>
      </c>
      <c r="AA233" s="154">
        <f t="shared" si="13"/>
        <v>10605775.78884433</v>
      </c>
      <c r="AB233" s="155">
        <f t="shared" ref="AB233:AB296" si="15">IF(Y233&lt;=$AB$32,-IPMT($AB$31/12,Y233,$AB$32,$AB$30,,1),0)</f>
        <v>13378192.155157367</v>
      </c>
      <c r="AC233" s="155">
        <f t="shared" si="14"/>
        <v>8016309517.305583</v>
      </c>
      <c r="AF233" s="104"/>
      <c r="AG233" s="104"/>
      <c r="AH233" s="104"/>
      <c r="AI233" s="104"/>
      <c r="AJ233" s="104"/>
    </row>
    <row r="234" spans="25:36" s="132" customFormat="1" ht="12.95" hidden="1" customHeight="1">
      <c r="Y234" s="152">
        <v>196</v>
      </c>
      <c r="Z234" s="153">
        <f t="shared" si="12"/>
        <v>23983967.944001697</v>
      </c>
      <c r="AA234" s="154">
        <f t="shared" si="13"/>
        <v>10623452.081825735</v>
      </c>
      <c r="AB234" s="155">
        <f t="shared" si="15"/>
        <v>13360515.862175964</v>
      </c>
      <c r="AC234" s="155">
        <f t="shared" si="14"/>
        <v>8005686065.2237568</v>
      </c>
      <c r="AF234" s="104"/>
      <c r="AG234" s="104"/>
      <c r="AH234" s="104"/>
      <c r="AI234" s="104"/>
      <c r="AJ234" s="104"/>
    </row>
    <row r="235" spans="25:36" s="132" customFormat="1" ht="12.95" hidden="1" customHeight="1">
      <c r="Y235" s="152">
        <v>197</v>
      </c>
      <c r="Z235" s="153">
        <f t="shared" si="12"/>
        <v>23983967.944001697</v>
      </c>
      <c r="AA235" s="154">
        <f t="shared" si="13"/>
        <v>10641157.835295444</v>
      </c>
      <c r="AB235" s="155">
        <f t="shared" si="15"/>
        <v>13342810.108706256</v>
      </c>
      <c r="AC235" s="155">
        <f t="shared" si="14"/>
        <v>7995044907.3884611</v>
      </c>
      <c r="AF235" s="104"/>
      <c r="AG235" s="104"/>
      <c r="AH235" s="104"/>
      <c r="AI235" s="104"/>
      <c r="AJ235" s="104"/>
    </row>
    <row r="236" spans="25:36" s="132" customFormat="1" ht="12.95" hidden="1" customHeight="1">
      <c r="Y236" s="152">
        <v>198</v>
      </c>
      <c r="Z236" s="153">
        <f t="shared" si="12"/>
        <v>23983967.944001697</v>
      </c>
      <c r="AA236" s="154">
        <f t="shared" si="13"/>
        <v>10658893.098354273</v>
      </c>
      <c r="AB236" s="155">
        <f t="shared" si="15"/>
        <v>13325074.845647428</v>
      </c>
      <c r="AC236" s="155">
        <f t="shared" si="14"/>
        <v>7984386014.2901068</v>
      </c>
      <c r="AF236" s="104"/>
      <c r="AG236" s="104"/>
      <c r="AH236" s="104"/>
      <c r="AI236" s="104"/>
      <c r="AJ236" s="104"/>
    </row>
    <row r="237" spans="25:36" s="132" customFormat="1" ht="12.95" hidden="1" customHeight="1">
      <c r="Y237" s="152">
        <v>199</v>
      </c>
      <c r="Z237" s="153">
        <f t="shared" si="12"/>
        <v>23983967.944001697</v>
      </c>
      <c r="AA237" s="154">
        <f t="shared" si="13"/>
        <v>10676657.920184862</v>
      </c>
      <c r="AB237" s="155">
        <f t="shared" si="15"/>
        <v>13307310.023816837</v>
      </c>
      <c r="AC237" s="155">
        <f t="shared" si="14"/>
        <v>7973709356.3699217</v>
      </c>
      <c r="AF237" s="104"/>
      <c r="AG237" s="104"/>
      <c r="AH237" s="104"/>
      <c r="AI237" s="104"/>
      <c r="AJ237" s="104"/>
    </row>
    <row r="238" spans="25:36" s="132" customFormat="1" ht="12.95" hidden="1" customHeight="1">
      <c r="Y238" s="152">
        <v>200</v>
      </c>
      <c r="Z238" s="153">
        <f t="shared" si="12"/>
        <v>23983967.944001697</v>
      </c>
      <c r="AA238" s="154">
        <f t="shared" si="13"/>
        <v>10694452.350051837</v>
      </c>
      <c r="AB238" s="155">
        <f t="shared" si="15"/>
        <v>13289515.59394986</v>
      </c>
      <c r="AC238" s="155">
        <f t="shared" si="14"/>
        <v>7963014904.0198698</v>
      </c>
      <c r="AF238" s="104"/>
      <c r="AG238" s="104"/>
      <c r="AH238" s="104"/>
      <c r="AI238" s="104"/>
      <c r="AJ238" s="104"/>
    </row>
    <row r="239" spans="25:36" s="132" customFormat="1" ht="12.95" hidden="1" customHeight="1">
      <c r="Y239" s="152">
        <v>201</v>
      </c>
      <c r="Z239" s="153">
        <f t="shared" si="12"/>
        <v>23983967.944001697</v>
      </c>
      <c r="AA239" s="154">
        <f t="shared" si="13"/>
        <v>10712276.437301921</v>
      </c>
      <c r="AB239" s="155">
        <f t="shared" si="15"/>
        <v>13271691.506699776</v>
      </c>
      <c r="AC239" s="155">
        <f t="shared" si="14"/>
        <v>7952302627.5825682</v>
      </c>
      <c r="AF239" s="104"/>
      <c r="AG239" s="104"/>
      <c r="AH239" s="104"/>
      <c r="AI239" s="104"/>
      <c r="AJ239" s="104"/>
    </row>
    <row r="240" spans="25:36" s="132" customFormat="1" ht="12.95" hidden="1" customHeight="1">
      <c r="Y240" s="152">
        <v>202</v>
      </c>
      <c r="Z240" s="153">
        <f t="shared" si="12"/>
        <v>23983967.944001697</v>
      </c>
      <c r="AA240" s="154">
        <f t="shared" si="13"/>
        <v>10730130.231364092</v>
      </c>
      <c r="AB240" s="155">
        <f t="shared" si="15"/>
        <v>13253837.712637607</v>
      </c>
      <c r="AC240" s="155">
        <f t="shared" si="14"/>
        <v>7941572497.3512039</v>
      </c>
      <c r="AF240" s="104"/>
      <c r="AG240" s="104"/>
      <c r="AH240" s="104"/>
      <c r="AI240" s="104"/>
      <c r="AJ240" s="104"/>
    </row>
    <row r="241" spans="25:36" s="132" customFormat="1" ht="12.95" hidden="1" customHeight="1">
      <c r="Y241" s="152">
        <v>203</v>
      </c>
      <c r="Z241" s="153">
        <f t="shared" si="12"/>
        <v>23983967.944001697</v>
      </c>
      <c r="AA241" s="154">
        <f t="shared" si="13"/>
        <v>10748013.781749701</v>
      </c>
      <c r="AB241" s="155">
        <f t="shared" si="15"/>
        <v>13235954.162252</v>
      </c>
      <c r="AC241" s="155">
        <f t="shared" si="14"/>
        <v>7930824483.5694542</v>
      </c>
      <c r="AF241" s="104"/>
      <c r="AG241" s="104"/>
      <c r="AH241" s="104"/>
      <c r="AI241" s="104"/>
      <c r="AJ241" s="104"/>
    </row>
    <row r="242" spans="25:36" s="132" customFormat="1" ht="12.95" hidden="1" customHeight="1">
      <c r="Y242" s="152">
        <v>204</v>
      </c>
      <c r="Z242" s="153">
        <f t="shared" si="12"/>
        <v>23983967.944001697</v>
      </c>
      <c r="AA242" s="154">
        <f t="shared" si="13"/>
        <v>10765927.138052614</v>
      </c>
      <c r="AB242" s="155">
        <f t="shared" si="15"/>
        <v>13218040.805949081</v>
      </c>
      <c r="AC242" s="155">
        <f t="shared" si="14"/>
        <v>7920058556.4314013</v>
      </c>
      <c r="AF242" s="104"/>
      <c r="AG242" s="104"/>
      <c r="AH242" s="104"/>
      <c r="AI242" s="104"/>
      <c r="AJ242" s="104"/>
    </row>
    <row r="243" spans="25:36" s="132" customFormat="1" ht="12.95" hidden="1" customHeight="1">
      <c r="Y243" s="152">
        <v>205</v>
      </c>
      <c r="Z243" s="153">
        <f t="shared" si="12"/>
        <v>23983967.944001697</v>
      </c>
      <c r="AA243" s="154">
        <f t="shared" si="13"/>
        <v>10783870.349949371</v>
      </c>
      <c r="AB243" s="155">
        <f t="shared" si="15"/>
        <v>13200097.594052328</v>
      </c>
      <c r="AC243" s="155">
        <f t="shared" si="14"/>
        <v>7909274686.0814514</v>
      </c>
      <c r="AF243" s="104"/>
      <c r="AG243" s="104"/>
      <c r="AH243" s="104"/>
      <c r="AI243" s="104"/>
      <c r="AJ243" s="104"/>
    </row>
    <row r="244" spans="25:36" s="132" customFormat="1" ht="12.95" hidden="1" customHeight="1">
      <c r="Y244" s="152">
        <v>206</v>
      </c>
      <c r="Z244" s="153">
        <f t="shared" si="12"/>
        <v>23983967.944001697</v>
      </c>
      <c r="AA244" s="154">
        <f t="shared" si="13"/>
        <v>10801843.467199286</v>
      </c>
      <c r="AB244" s="155">
        <f t="shared" si="15"/>
        <v>13182124.476802411</v>
      </c>
      <c r="AC244" s="155">
        <f t="shared" si="14"/>
        <v>7898472842.6142521</v>
      </c>
      <c r="AF244" s="104"/>
      <c r="AG244" s="104"/>
      <c r="AH244" s="104"/>
      <c r="AI244" s="104"/>
      <c r="AJ244" s="104"/>
    </row>
    <row r="245" spans="25:36" s="132" customFormat="1" ht="12.95" hidden="1" customHeight="1">
      <c r="Y245" s="152">
        <v>207</v>
      </c>
      <c r="Z245" s="153">
        <f t="shared" si="12"/>
        <v>23983967.944001697</v>
      </c>
      <c r="AA245" s="154">
        <f t="shared" si="13"/>
        <v>10819846.539644618</v>
      </c>
      <c r="AB245" s="155">
        <f t="shared" si="15"/>
        <v>13164121.404357081</v>
      </c>
      <c r="AC245" s="155">
        <f t="shared" si="14"/>
        <v>7887652996.0746078</v>
      </c>
      <c r="AF245" s="104"/>
      <c r="AG245" s="104"/>
      <c r="AH245" s="104"/>
      <c r="AI245" s="104"/>
      <c r="AJ245" s="104"/>
    </row>
    <row r="246" spans="25:36" s="132" customFormat="1" ht="12.95" hidden="1" customHeight="1">
      <c r="Y246" s="152">
        <v>208</v>
      </c>
      <c r="Z246" s="153">
        <f t="shared" si="12"/>
        <v>23983967.944001697</v>
      </c>
      <c r="AA246" s="154">
        <f t="shared" si="13"/>
        <v>10837879.617210692</v>
      </c>
      <c r="AB246" s="155">
        <f t="shared" si="15"/>
        <v>13146088.326791009</v>
      </c>
      <c r="AC246" s="155">
        <f t="shared" si="14"/>
        <v>7876815116.4573975</v>
      </c>
      <c r="AF246" s="104"/>
      <c r="AG246" s="104"/>
      <c r="AH246" s="104"/>
      <c r="AI246" s="104"/>
      <c r="AJ246" s="104"/>
    </row>
    <row r="247" spans="25:36" s="132" customFormat="1" ht="12.95" hidden="1" customHeight="1">
      <c r="Y247" s="152">
        <v>209</v>
      </c>
      <c r="Z247" s="153">
        <f t="shared" si="12"/>
        <v>23983967.944001697</v>
      </c>
      <c r="AA247" s="154">
        <f t="shared" si="13"/>
        <v>10855942.749906043</v>
      </c>
      <c r="AB247" s="155">
        <f t="shared" si="15"/>
        <v>13128025.194095653</v>
      </c>
      <c r="AC247" s="155">
        <f t="shared" si="14"/>
        <v>7865959173.7074919</v>
      </c>
      <c r="AF247" s="104"/>
      <c r="AG247" s="104"/>
      <c r="AH247" s="104"/>
      <c r="AI247" s="104"/>
      <c r="AJ247" s="104"/>
    </row>
    <row r="248" spans="25:36" s="132" customFormat="1" ht="12.95" hidden="1" customHeight="1">
      <c r="Y248" s="152">
        <v>210</v>
      </c>
      <c r="Z248" s="153">
        <f t="shared" si="12"/>
        <v>23983967.944001697</v>
      </c>
      <c r="AA248" s="154">
        <f t="shared" si="13"/>
        <v>10874035.987822553</v>
      </c>
      <c r="AB248" s="155">
        <f t="shared" si="15"/>
        <v>13109931.956179144</v>
      </c>
      <c r="AC248" s="155">
        <f t="shared" si="14"/>
        <v>7855085137.7196693</v>
      </c>
      <c r="AF248" s="104"/>
      <c r="AG248" s="104"/>
      <c r="AH248" s="104"/>
      <c r="AI248" s="104"/>
      <c r="AJ248" s="104"/>
    </row>
    <row r="249" spans="25:36" s="132" customFormat="1" ht="12.95" hidden="1" customHeight="1">
      <c r="Y249" s="152">
        <v>211</v>
      </c>
      <c r="Z249" s="153">
        <f t="shared" si="12"/>
        <v>23983967.944001697</v>
      </c>
      <c r="AA249" s="154">
        <f t="shared" si="13"/>
        <v>10892159.38113559</v>
      </c>
      <c r="AB249" s="155">
        <f t="shared" si="15"/>
        <v>13091808.562866107</v>
      </c>
      <c r="AC249" s="155">
        <f t="shared" si="14"/>
        <v>7844192978.3385334</v>
      </c>
      <c r="AF249" s="104"/>
      <c r="AG249" s="104"/>
      <c r="AH249" s="104"/>
      <c r="AI249" s="104"/>
      <c r="AJ249" s="104"/>
    </row>
    <row r="250" spans="25:36" s="132" customFormat="1" ht="12.95" hidden="1" customHeight="1">
      <c r="Y250" s="152">
        <v>212</v>
      </c>
      <c r="Z250" s="153">
        <f t="shared" si="12"/>
        <v>23983967.944001697</v>
      </c>
      <c r="AA250" s="154">
        <f t="shared" si="13"/>
        <v>10910312.98010415</v>
      </c>
      <c r="AB250" s="155">
        <f t="shared" si="15"/>
        <v>13073654.96389755</v>
      </c>
      <c r="AC250" s="155">
        <f t="shared" si="14"/>
        <v>7833282665.358429</v>
      </c>
      <c r="AF250" s="104"/>
      <c r="AG250" s="104"/>
      <c r="AH250" s="104"/>
      <c r="AI250" s="104"/>
      <c r="AJ250" s="104"/>
    </row>
    <row r="251" spans="25:36" s="132" customFormat="1" ht="12.95" hidden="1" customHeight="1">
      <c r="Y251" s="152">
        <v>213</v>
      </c>
      <c r="Z251" s="153">
        <f t="shared" si="12"/>
        <v>23983967.944001697</v>
      </c>
      <c r="AA251" s="154">
        <f t="shared" si="13"/>
        <v>10928496.83507099</v>
      </c>
      <c r="AB251" s="155">
        <f t="shared" si="15"/>
        <v>13055471.108930705</v>
      </c>
      <c r="AC251" s="155">
        <f t="shared" si="14"/>
        <v>7822354168.5233583</v>
      </c>
      <c r="AF251" s="104"/>
      <c r="AG251" s="104"/>
      <c r="AH251" s="104"/>
      <c r="AI251" s="104"/>
      <c r="AJ251" s="104"/>
    </row>
    <row r="252" spans="25:36" s="132" customFormat="1" ht="12.95" hidden="1" customHeight="1">
      <c r="Y252" s="152">
        <v>214</v>
      </c>
      <c r="Z252" s="153">
        <f t="shared" si="12"/>
        <v>23983967.944001697</v>
      </c>
      <c r="AA252" s="154">
        <f t="shared" si="13"/>
        <v>10946710.996462775</v>
      </c>
      <c r="AB252" s="155">
        <f t="shared" si="15"/>
        <v>13037256.947538922</v>
      </c>
      <c r="AC252" s="155">
        <f t="shared" si="14"/>
        <v>7811407457.5268955</v>
      </c>
      <c r="AF252" s="104"/>
      <c r="AG252" s="104"/>
      <c r="AH252" s="104"/>
      <c r="AI252" s="104"/>
      <c r="AJ252" s="104"/>
    </row>
    <row r="253" spans="25:36" s="132" customFormat="1" ht="12.95" hidden="1" customHeight="1">
      <c r="Y253" s="152">
        <v>215</v>
      </c>
      <c r="Z253" s="153">
        <f t="shared" si="12"/>
        <v>23983967.944001697</v>
      </c>
      <c r="AA253" s="154">
        <f t="shared" si="13"/>
        <v>10964955.514790213</v>
      </c>
      <c r="AB253" s="155">
        <f t="shared" si="15"/>
        <v>13019012.429211486</v>
      </c>
      <c r="AC253" s="155">
        <f t="shared" si="14"/>
        <v>7800442502.012105</v>
      </c>
      <c r="AF253" s="104"/>
      <c r="AG253" s="104"/>
      <c r="AH253" s="104"/>
      <c r="AI253" s="104"/>
      <c r="AJ253" s="104"/>
    </row>
    <row r="254" spans="25:36" s="132" customFormat="1" ht="12.95" hidden="1" customHeight="1">
      <c r="Y254" s="152">
        <v>216</v>
      </c>
      <c r="Z254" s="153">
        <f t="shared" si="12"/>
        <v>23983967.944001697</v>
      </c>
      <c r="AA254" s="154">
        <f t="shared" si="13"/>
        <v>10983230.440648196</v>
      </c>
      <c r="AB254" s="155">
        <f t="shared" si="15"/>
        <v>13000737.503353503</v>
      </c>
      <c r="AC254" s="155">
        <f t="shared" si="14"/>
        <v>7789459271.5714569</v>
      </c>
      <c r="AF254" s="104"/>
      <c r="AG254" s="104"/>
      <c r="AH254" s="104"/>
      <c r="AI254" s="104"/>
      <c r="AJ254" s="104"/>
    </row>
    <row r="255" spans="25:36" s="132" customFormat="1" ht="12.95" hidden="1" customHeight="1">
      <c r="Y255" s="152">
        <v>217</v>
      </c>
      <c r="Z255" s="153">
        <f t="shared" si="12"/>
        <v>23983967.944001697</v>
      </c>
      <c r="AA255" s="154">
        <f t="shared" si="13"/>
        <v>11001535.824715944</v>
      </c>
      <c r="AB255" s="155">
        <f t="shared" si="15"/>
        <v>12982432.119285755</v>
      </c>
      <c r="AC255" s="155">
        <f t="shared" si="14"/>
        <v>7778457735.7467413</v>
      </c>
      <c r="AF255" s="104"/>
      <c r="AG255" s="104"/>
      <c r="AH255" s="104"/>
      <c r="AI255" s="104"/>
      <c r="AJ255" s="104"/>
    </row>
    <row r="256" spans="25:36" s="132" customFormat="1" ht="12.95" hidden="1" customHeight="1">
      <c r="Y256" s="152">
        <v>218</v>
      </c>
      <c r="Z256" s="153">
        <f t="shared" si="12"/>
        <v>23983967.944001697</v>
      </c>
      <c r="AA256" s="154">
        <f t="shared" si="13"/>
        <v>11019871.717757137</v>
      </c>
      <c r="AB256" s="155">
        <f t="shared" si="15"/>
        <v>12964096.226244561</v>
      </c>
      <c r="AC256" s="155">
        <f t="shared" si="14"/>
        <v>7767437864.0289841</v>
      </c>
      <c r="AF256" s="104"/>
      <c r="AG256" s="104"/>
      <c r="AH256" s="104"/>
      <c r="AI256" s="104"/>
      <c r="AJ256" s="104"/>
    </row>
    <row r="257" spans="25:36" s="132" customFormat="1" ht="12.95" hidden="1" customHeight="1">
      <c r="Y257" s="152">
        <v>219</v>
      </c>
      <c r="Z257" s="153">
        <f t="shared" si="12"/>
        <v>23983967.944001697</v>
      </c>
      <c r="AA257" s="154">
        <f t="shared" si="13"/>
        <v>11038238.170620067</v>
      </c>
      <c r="AB257" s="155">
        <f t="shared" si="15"/>
        <v>12945729.773381632</v>
      </c>
      <c r="AC257" s="155">
        <f t="shared" si="14"/>
        <v>7756399625.8583641</v>
      </c>
      <c r="AF257" s="104"/>
      <c r="AG257" s="104"/>
      <c r="AH257" s="104"/>
      <c r="AI257" s="104"/>
      <c r="AJ257" s="104"/>
    </row>
    <row r="258" spans="25:36" s="132" customFormat="1" ht="12.95" hidden="1" customHeight="1">
      <c r="Y258" s="152">
        <v>220</v>
      </c>
      <c r="Z258" s="153">
        <f t="shared" si="12"/>
        <v>23983967.944001697</v>
      </c>
      <c r="AA258" s="154">
        <f t="shared" si="13"/>
        <v>11056635.234237766</v>
      </c>
      <c r="AB258" s="155">
        <f t="shared" si="15"/>
        <v>12927332.709763931</v>
      </c>
      <c r="AC258" s="155">
        <f t="shared" si="14"/>
        <v>7745342990.6241264</v>
      </c>
      <c r="AF258" s="104"/>
      <c r="AG258" s="104"/>
      <c r="AH258" s="104"/>
      <c r="AI258" s="104"/>
      <c r="AJ258" s="104"/>
    </row>
    <row r="259" spans="25:36" s="132" customFormat="1" ht="12.95" hidden="1" customHeight="1">
      <c r="Y259" s="152">
        <v>221</v>
      </c>
      <c r="Z259" s="153">
        <f t="shared" si="12"/>
        <v>23983967.944001697</v>
      </c>
      <c r="AA259" s="154">
        <f t="shared" si="13"/>
        <v>11075062.959628163</v>
      </c>
      <c r="AB259" s="155">
        <f t="shared" si="15"/>
        <v>12908904.984373536</v>
      </c>
      <c r="AC259" s="155">
        <f t="shared" si="14"/>
        <v>7734267927.6644983</v>
      </c>
      <c r="AF259" s="104"/>
      <c r="AG259" s="104"/>
      <c r="AH259" s="104"/>
      <c r="AI259" s="104"/>
      <c r="AJ259" s="104"/>
    </row>
    <row r="260" spans="25:36" s="132" customFormat="1" ht="12.95" hidden="1" customHeight="1">
      <c r="Y260" s="152">
        <v>222</v>
      </c>
      <c r="Z260" s="153">
        <f t="shared" si="12"/>
        <v>23983967.944001697</v>
      </c>
      <c r="AA260" s="154">
        <f t="shared" si="13"/>
        <v>11093521.397894207</v>
      </c>
      <c r="AB260" s="155">
        <f t="shared" si="15"/>
        <v>12890446.54610749</v>
      </c>
      <c r="AC260" s="155">
        <f t="shared" si="14"/>
        <v>7723174406.2666044</v>
      </c>
      <c r="AF260" s="104"/>
      <c r="AG260" s="104"/>
      <c r="AH260" s="104"/>
      <c r="AI260" s="104"/>
      <c r="AJ260" s="104"/>
    </row>
    <row r="261" spans="25:36" s="132" customFormat="1" ht="12.95" hidden="1" customHeight="1">
      <c r="Y261" s="152">
        <v>223</v>
      </c>
      <c r="Z261" s="153">
        <f t="shared" si="12"/>
        <v>23983967.944001697</v>
      </c>
      <c r="AA261" s="154">
        <f t="shared" si="13"/>
        <v>11112010.600224031</v>
      </c>
      <c r="AB261" s="155">
        <f t="shared" si="15"/>
        <v>12871957.343777668</v>
      </c>
      <c r="AC261" s="155">
        <f t="shared" si="14"/>
        <v>7712062395.6663799</v>
      </c>
      <c r="AF261" s="104"/>
      <c r="AG261" s="104"/>
      <c r="AH261" s="104"/>
      <c r="AI261" s="104"/>
      <c r="AJ261" s="104"/>
    </row>
    <row r="262" spans="25:36" s="132" customFormat="1" ht="12.95" hidden="1" customHeight="1">
      <c r="Y262" s="152">
        <v>224</v>
      </c>
      <c r="Z262" s="153">
        <f t="shared" si="12"/>
        <v>23983967.944001697</v>
      </c>
      <c r="AA262" s="154">
        <f t="shared" si="13"/>
        <v>11130530.617891073</v>
      </c>
      <c r="AB262" s="155">
        <f t="shared" si="15"/>
        <v>12853437.326110624</v>
      </c>
      <c r="AC262" s="155">
        <f t="shared" si="14"/>
        <v>7700931865.0484886</v>
      </c>
      <c r="AF262" s="104"/>
      <c r="AG262" s="104"/>
      <c r="AH262" s="104"/>
      <c r="AI262" s="104"/>
      <c r="AJ262" s="104"/>
    </row>
    <row r="263" spans="25:36" s="132" customFormat="1" ht="12.95" hidden="1" customHeight="1">
      <c r="Y263" s="152">
        <v>225</v>
      </c>
      <c r="Z263" s="153">
        <f t="shared" si="12"/>
        <v>23983967.944001697</v>
      </c>
      <c r="AA263" s="154">
        <f t="shared" si="13"/>
        <v>11149081.502254225</v>
      </c>
      <c r="AB263" s="155">
        <f t="shared" si="15"/>
        <v>12834886.441747474</v>
      </c>
      <c r="AC263" s="155">
        <f t="shared" si="14"/>
        <v>7689782783.5462341</v>
      </c>
      <c r="AF263" s="104"/>
      <c r="AG263" s="104"/>
      <c r="AH263" s="104"/>
      <c r="AI263" s="104"/>
      <c r="AJ263" s="104"/>
    </row>
    <row r="264" spans="25:36" s="132" customFormat="1" ht="12.95" hidden="1" customHeight="1">
      <c r="Y264" s="152">
        <v>226</v>
      </c>
      <c r="Z264" s="153">
        <f t="shared" si="12"/>
        <v>23983967.944001697</v>
      </c>
      <c r="AA264" s="154">
        <f t="shared" si="13"/>
        <v>11167663.304757981</v>
      </c>
      <c r="AB264" s="155">
        <f t="shared" si="15"/>
        <v>12816304.639243718</v>
      </c>
      <c r="AC264" s="155">
        <f t="shared" si="14"/>
        <v>7678615120.2414761</v>
      </c>
      <c r="AF264" s="104"/>
      <c r="AG264" s="104"/>
      <c r="AH264" s="104"/>
      <c r="AI264" s="104"/>
      <c r="AJ264" s="104"/>
    </row>
    <row r="265" spans="25:36" s="132" customFormat="1" ht="12.95" hidden="1" customHeight="1">
      <c r="Y265" s="152">
        <v>227</v>
      </c>
      <c r="Z265" s="153">
        <f t="shared" si="12"/>
        <v>23983967.944001697</v>
      </c>
      <c r="AA265" s="154">
        <f t="shared" si="13"/>
        <v>11186276.076932579</v>
      </c>
      <c r="AB265" s="155">
        <f t="shared" si="15"/>
        <v>12797691.867069118</v>
      </c>
      <c r="AC265" s="155">
        <f t="shared" si="14"/>
        <v>7667428844.1645432</v>
      </c>
      <c r="AF265" s="104"/>
      <c r="AG265" s="104"/>
      <c r="AH265" s="104"/>
      <c r="AI265" s="104"/>
      <c r="AJ265" s="104"/>
    </row>
    <row r="266" spans="25:36" s="132" customFormat="1" ht="12.95" hidden="1" customHeight="1">
      <c r="Y266" s="152">
        <v>228</v>
      </c>
      <c r="Z266" s="153">
        <f t="shared" si="12"/>
        <v>23983967.944001697</v>
      </c>
      <c r="AA266" s="154">
        <f t="shared" si="13"/>
        <v>11204919.870394133</v>
      </c>
      <c r="AB266" s="155">
        <f t="shared" si="15"/>
        <v>12779048.073607564</v>
      </c>
      <c r="AC266" s="155">
        <f t="shared" si="14"/>
        <v>7656223924.2941494</v>
      </c>
      <c r="AF266" s="104"/>
      <c r="AG266" s="104"/>
      <c r="AH266" s="104"/>
      <c r="AI266" s="104"/>
      <c r="AJ266" s="104"/>
    </row>
    <row r="267" spans="25:36" s="132" customFormat="1" ht="12.95" hidden="1" customHeight="1">
      <c r="Y267" s="152">
        <v>229</v>
      </c>
      <c r="Z267" s="153">
        <f t="shared" si="12"/>
        <v>23983967.944001697</v>
      </c>
      <c r="AA267" s="154">
        <f t="shared" si="13"/>
        <v>11223594.736844789</v>
      </c>
      <c r="AB267" s="155">
        <f t="shared" si="15"/>
        <v>12760373.207156908</v>
      </c>
      <c r="AC267" s="155">
        <f t="shared" si="14"/>
        <v>7645000329.5573044</v>
      </c>
      <c r="AF267" s="104"/>
      <c r="AG267" s="104"/>
      <c r="AH267" s="104"/>
      <c r="AI267" s="104"/>
      <c r="AJ267" s="104"/>
    </row>
    <row r="268" spans="25:36" s="132" customFormat="1" ht="12.95" hidden="1" customHeight="1">
      <c r="Y268" s="152">
        <v>230</v>
      </c>
      <c r="Z268" s="153">
        <f t="shared" si="12"/>
        <v>23983967.944001697</v>
      </c>
      <c r="AA268" s="154">
        <f t="shared" si="13"/>
        <v>11242300.728072863</v>
      </c>
      <c r="AB268" s="155">
        <f t="shared" si="15"/>
        <v>12741667.215928836</v>
      </c>
      <c r="AC268" s="155">
        <f t="shared" si="14"/>
        <v>7633758028.8292313</v>
      </c>
      <c r="AF268" s="104"/>
      <c r="AG268" s="104"/>
      <c r="AH268" s="104"/>
      <c r="AI268" s="104"/>
      <c r="AJ268" s="104"/>
    </row>
    <row r="269" spans="25:36" s="132" customFormat="1" ht="12.95" hidden="1" customHeight="1">
      <c r="Y269" s="152">
        <v>231</v>
      </c>
      <c r="Z269" s="153">
        <f t="shared" si="12"/>
        <v>23983967.944001697</v>
      </c>
      <c r="AA269" s="154">
        <f t="shared" si="13"/>
        <v>11261037.895952987</v>
      </c>
      <c r="AB269" s="155">
        <f t="shared" si="15"/>
        <v>12722930.04804871</v>
      </c>
      <c r="AC269" s="155">
        <f t="shared" si="14"/>
        <v>7622496990.9332781</v>
      </c>
      <c r="AF269" s="104"/>
      <c r="AG269" s="104"/>
      <c r="AH269" s="104"/>
      <c r="AI269" s="104"/>
      <c r="AJ269" s="104"/>
    </row>
    <row r="270" spans="25:36" s="132" customFormat="1" ht="12.95" hidden="1" customHeight="1">
      <c r="Y270" s="152">
        <v>232</v>
      </c>
      <c r="Z270" s="153">
        <f t="shared" si="12"/>
        <v>23983967.944001697</v>
      </c>
      <c r="AA270" s="154">
        <f t="shared" si="13"/>
        <v>11279806.292446241</v>
      </c>
      <c r="AB270" s="155">
        <f t="shared" si="15"/>
        <v>12704161.651555456</v>
      </c>
      <c r="AC270" s="155">
        <f t="shared" si="14"/>
        <v>7611217184.6408319</v>
      </c>
      <c r="AF270" s="104"/>
      <c r="AG270" s="104"/>
      <c r="AH270" s="104"/>
      <c r="AI270" s="104"/>
      <c r="AJ270" s="104"/>
    </row>
    <row r="271" spans="25:36" s="132" customFormat="1" ht="12.95" hidden="1" customHeight="1">
      <c r="Y271" s="152">
        <v>233</v>
      </c>
      <c r="Z271" s="153">
        <f t="shared" si="12"/>
        <v>23983967.944001697</v>
      </c>
      <c r="AA271" s="154">
        <f t="shared" si="13"/>
        <v>11298605.969600318</v>
      </c>
      <c r="AB271" s="155">
        <f t="shared" si="15"/>
        <v>12685361.974401383</v>
      </c>
      <c r="AC271" s="155">
        <f t="shared" si="14"/>
        <v>7599918578.6712313</v>
      </c>
      <c r="AF271" s="104"/>
      <c r="AG271" s="104"/>
      <c r="AH271" s="104"/>
      <c r="AI271" s="104"/>
      <c r="AJ271" s="104"/>
    </row>
    <row r="272" spans="25:36" s="132" customFormat="1" ht="12.95" hidden="1" customHeight="1">
      <c r="Y272" s="152">
        <v>234</v>
      </c>
      <c r="Z272" s="153">
        <f t="shared" si="12"/>
        <v>23983967.944001697</v>
      </c>
      <c r="AA272" s="154">
        <f t="shared" si="13"/>
        <v>11317436.979549652</v>
      </c>
      <c r="AB272" s="155">
        <f t="shared" si="15"/>
        <v>12666530.964452045</v>
      </c>
      <c r="AC272" s="155">
        <f t="shared" si="14"/>
        <v>7588601141.6916819</v>
      </c>
      <c r="AF272" s="104"/>
      <c r="AG272" s="104"/>
      <c r="AH272" s="104"/>
      <c r="AI272" s="104"/>
      <c r="AJ272" s="104"/>
    </row>
    <row r="273" spans="25:36" s="132" customFormat="1" ht="12.95" hidden="1" customHeight="1">
      <c r="Y273" s="152">
        <v>235</v>
      </c>
      <c r="Z273" s="153">
        <f t="shared" si="12"/>
        <v>23983967.944001697</v>
      </c>
      <c r="AA273" s="154">
        <f t="shared" si="13"/>
        <v>11336299.374515569</v>
      </c>
      <c r="AB273" s="155">
        <f t="shared" si="15"/>
        <v>12647668.569486128</v>
      </c>
      <c r="AC273" s="155">
        <f t="shared" si="14"/>
        <v>7577264842.3171663</v>
      </c>
      <c r="AF273" s="104"/>
      <c r="AG273" s="104"/>
      <c r="AH273" s="104"/>
      <c r="AI273" s="104"/>
      <c r="AJ273" s="104"/>
    </row>
    <row r="274" spans="25:36" s="132" customFormat="1" ht="12.95" hidden="1" customHeight="1">
      <c r="Y274" s="152">
        <v>236</v>
      </c>
      <c r="Z274" s="153">
        <f t="shared" si="12"/>
        <v>23983967.944001697</v>
      </c>
      <c r="AA274" s="154">
        <f t="shared" si="13"/>
        <v>11355193.206806427</v>
      </c>
      <c r="AB274" s="155">
        <f t="shared" si="15"/>
        <v>12628774.737195268</v>
      </c>
      <c r="AC274" s="155">
        <f t="shared" si="14"/>
        <v>7565909649.1103601</v>
      </c>
      <c r="AF274" s="104"/>
      <c r="AG274" s="104"/>
      <c r="AH274" s="104"/>
      <c r="AI274" s="104"/>
      <c r="AJ274" s="104"/>
    </row>
    <row r="275" spans="25:36" s="132" customFormat="1" ht="12.95" hidden="1" customHeight="1">
      <c r="Y275" s="152">
        <v>237</v>
      </c>
      <c r="Z275" s="153">
        <f t="shared" si="12"/>
        <v>23983967.944001697</v>
      </c>
      <c r="AA275" s="154">
        <f t="shared" si="13"/>
        <v>11374118.528817771</v>
      </c>
      <c r="AB275" s="155">
        <f t="shared" si="15"/>
        <v>12609849.415183928</v>
      </c>
      <c r="AC275" s="155">
        <f t="shared" si="14"/>
        <v>7554535530.581542</v>
      </c>
      <c r="AF275" s="104"/>
      <c r="AG275" s="104"/>
      <c r="AH275" s="104"/>
      <c r="AI275" s="104"/>
      <c r="AJ275" s="104"/>
    </row>
    <row r="276" spans="25:36" s="132" customFormat="1" ht="12.95" hidden="1" customHeight="1">
      <c r="Y276" s="152">
        <v>238</v>
      </c>
      <c r="Z276" s="153">
        <f t="shared" si="12"/>
        <v>23983967.944001697</v>
      </c>
      <c r="AA276" s="154">
        <f t="shared" si="13"/>
        <v>11393075.393032467</v>
      </c>
      <c r="AB276" s="155">
        <f t="shared" si="15"/>
        <v>12590892.55096923</v>
      </c>
      <c r="AC276" s="155">
        <f t="shared" si="14"/>
        <v>7543142455.1885099</v>
      </c>
      <c r="AF276" s="104"/>
      <c r="AG276" s="104"/>
      <c r="AH276" s="104"/>
      <c r="AI276" s="104"/>
      <c r="AJ276" s="104"/>
    </row>
    <row r="277" spans="25:36" s="132" customFormat="1" ht="12.95" hidden="1" customHeight="1">
      <c r="Y277" s="152">
        <v>239</v>
      </c>
      <c r="Z277" s="153">
        <f t="shared" si="12"/>
        <v>23983967.944001697</v>
      </c>
      <c r="AA277" s="154">
        <f t="shared" si="13"/>
        <v>11412063.852020854</v>
      </c>
      <c r="AB277" s="155">
        <f t="shared" si="15"/>
        <v>12571904.091980845</v>
      </c>
      <c r="AC277" s="155">
        <f t="shared" si="14"/>
        <v>7531730391.3364887</v>
      </c>
      <c r="AF277" s="104"/>
      <c r="AG277" s="104"/>
      <c r="AH277" s="104"/>
      <c r="AI277" s="104"/>
      <c r="AJ277" s="104"/>
    </row>
    <row r="278" spans="25:36" s="132" customFormat="1" ht="12.95" hidden="1" customHeight="1">
      <c r="Y278" s="152">
        <v>240</v>
      </c>
      <c r="Z278" s="153">
        <f t="shared" si="12"/>
        <v>23983967.944001697</v>
      </c>
      <c r="AA278" s="154">
        <f t="shared" si="13"/>
        <v>11431083.958440889</v>
      </c>
      <c r="AB278" s="155">
        <f t="shared" si="15"/>
        <v>12552883.98556081</v>
      </c>
      <c r="AC278" s="155">
        <f t="shared" si="14"/>
        <v>7520299307.3780479</v>
      </c>
      <c r="AF278" s="104"/>
      <c r="AG278" s="104"/>
      <c r="AH278" s="104"/>
      <c r="AI278" s="104"/>
      <c r="AJ278" s="104"/>
    </row>
    <row r="279" spans="25:36" s="132" customFormat="1" ht="12.95" hidden="1" customHeight="1">
      <c r="Y279" s="152">
        <v>241</v>
      </c>
      <c r="Z279" s="153">
        <f t="shared" si="12"/>
        <v>23983967.944001697</v>
      </c>
      <c r="AA279" s="154">
        <f t="shared" si="13"/>
        <v>11450135.765038291</v>
      </c>
      <c r="AB279" s="155">
        <f t="shared" si="15"/>
        <v>12533832.17896341</v>
      </c>
      <c r="AC279" s="155">
        <f t="shared" si="14"/>
        <v>7508849171.6130095</v>
      </c>
      <c r="AF279" s="104"/>
      <c r="AG279" s="104"/>
      <c r="AH279" s="104"/>
      <c r="AI279" s="104"/>
      <c r="AJ279" s="104"/>
    </row>
    <row r="280" spans="25:36" s="132" customFormat="1" ht="12.95" hidden="1" customHeight="1">
      <c r="Y280" s="152">
        <v>242</v>
      </c>
      <c r="Z280" s="153">
        <f t="shared" si="12"/>
        <v>23983967.944001697</v>
      </c>
      <c r="AA280" s="154">
        <f t="shared" si="13"/>
        <v>11469219.324646689</v>
      </c>
      <c r="AB280" s="155">
        <f t="shared" si="15"/>
        <v>12514748.619355012</v>
      </c>
      <c r="AC280" s="155">
        <f t="shared" si="14"/>
        <v>7497379952.2883625</v>
      </c>
      <c r="AF280" s="104"/>
      <c r="AG280" s="104"/>
      <c r="AH280" s="104"/>
      <c r="AI280" s="104"/>
      <c r="AJ280" s="104"/>
    </row>
    <row r="281" spans="25:36" s="132" customFormat="1" ht="12.95" hidden="1" customHeight="1">
      <c r="Y281" s="152">
        <v>243</v>
      </c>
      <c r="Z281" s="153">
        <f t="shared" si="12"/>
        <v>23983967.944001697</v>
      </c>
      <c r="AA281" s="154">
        <f t="shared" si="13"/>
        <v>11488334.690187765</v>
      </c>
      <c r="AB281" s="155">
        <f t="shared" si="15"/>
        <v>12495633.253813934</v>
      </c>
      <c r="AC281" s="155">
        <f t="shared" si="14"/>
        <v>7485891617.598175</v>
      </c>
      <c r="AF281" s="104"/>
      <c r="AG281" s="104"/>
      <c r="AH281" s="104"/>
      <c r="AI281" s="104"/>
      <c r="AJ281" s="104"/>
    </row>
    <row r="282" spans="25:36" s="132" customFormat="1" ht="12.95" hidden="1" customHeight="1">
      <c r="Y282" s="152">
        <v>244</v>
      </c>
      <c r="Z282" s="153">
        <f t="shared" si="12"/>
        <v>23983967.944001697</v>
      </c>
      <c r="AA282" s="154">
        <f t="shared" si="13"/>
        <v>11507481.914671412</v>
      </c>
      <c r="AB282" s="155">
        <f t="shared" si="15"/>
        <v>12476486.029330285</v>
      </c>
      <c r="AC282" s="155">
        <f t="shared" si="14"/>
        <v>7474384135.6835041</v>
      </c>
      <c r="AF282" s="104"/>
      <c r="AG282" s="104"/>
      <c r="AH282" s="104"/>
      <c r="AI282" s="104"/>
      <c r="AJ282" s="104"/>
    </row>
    <row r="283" spans="25:36" s="132" customFormat="1" ht="12.95" hidden="1" customHeight="1">
      <c r="Y283" s="152">
        <v>245</v>
      </c>
      <c r="Z283" s="153">
        <f t="shared" si="12"/>
        <v>23983967.944001697</v>
      </c>
      <c r="AA283" s="154">
        <f t="shared" si="13"/>
        <v>11526661.051195864</v>
      </c>
      <c r="AB283" s="155">
        <f t="shared" si="15"/>
        <v>12457306.892805835</v>
      </c>
      <c r="AC283" s="155">
        <f t="shared" si="14"/>
        <v>7462857474.632308</v>
      </c>
      <c r="AF283" s="104"/>
      <c r="AG283" s="104"/>
      <c r="AH283" s="104"/>
      <c r="AI283" s="104"/>
      <c r="AJ283" s="104"/>
    </row>
    <row r="284" spans="25:36" s="132" customFormat="1" ht="12.95" hidden="1" customHeight="1">
      <c r="Y284" s="152">
        <v>246</v>
      </c>
      <c r="Z284" s="153">
        <f t="shared" si="12"/>
        <v>23983967.944001697</v>
      </c>
      <c r="AA284" s="154">
        <f t="shared" si="13"/>
        <v>11545872.152947858</v>
      </c>
      <c r="AB284" s="155">
        <f t="shared" si="15"/>
        <v>12438095.791053841</v>
      </c>
      <c r="AC284" s="155">
        <f t="shared" si="14"/>
        <v>7451311602.4793606</v>
      </c>
      <c r="AF284" s="104"/>
      <c r="AG284" s="104"/>
      <c r="AH284" s="104"/>
      <c r="AI284" s="104"/>
      <c r="AJ284" s="104"/>
    </row>
    <row r="285" spans="25:36" s="132" customFormat="1" ht="12.95" hidden="1" customHeight="1">
      <c r="Y285" s="152">
        <v>247</v>
      </c>
      <c r="Z285" s="153">
        <f t="shared" si="12"/>
        <v>23983967.944001697</v>
      </c>
      <c r="AA285" s="154">
        <f t="shared" si="13"/>
        <v>11565115.273202769</v>
      </c>
      <c r="AB285" s="155">
        <f t="shared" si="15"/>
        <v>12418852.670798928</v>
      </c>
      <c r="AC285" s="155">
        <f t="shared" si="14"/>
        <v>7439746487.2061577</v>
      </c>
      <c r="AF285" s="104"/>
      <c r="AG285" s="104"/>
      <c r="AH285" s="104"/>
      <c r="AI285" s="104"/>
      <c r="AJ285" s="104"/>
    </row>
    <row r="286" spans="25:36" s="132" customFormat="1" ht="12.95" hidden="1" customHeight="1">
      <c r="Y286" s="152">
        <v>248</v>
      </c>
      <c r="Z286" s="153">
        <f t="shared" si="12"/>
        <v>23983967.944001697</v>
      </c>
      <c r="AA286" s="154">
        <f t="shared" si="13"/>
        <v>11584390.465324774</v>
      </c>
      <c r="AB286" s="155">
        <f t="shared" si="15"/>
        <v>12399577.478676924</v>
      </c>
      <c r="AC286" s="155">
        <f t="shared" si="14"/>
        <v>7428162096.7408333</v>
      </c>
      <c r="AF286" s="104"/>
      <c r="AG286" s="104"/>
      <c r="AH286" s="104"/>
      <c r="AI286" s="104"/>
      <c r="AJ286" s="104"/>
    </row>
    <row r="287" spans="25:36" s="132" customFormat="1" ht="12.95" hidden="1" customHeight="1">
      <c r="Y287" s="152">
        <v>249</v>
      </c>
      <c r="Z287" s="153">
        <f t="shared" si="12"/>
        <v>23983967.944001697</v>
      </c>
      <c r="AA287" s="154">
        <f t="shared" si="13"/>
        <v>11603697.782766983</v>
      </c>
      <c r="AB287" s="155">
        <f t="shared" si="15"/>
        <v>12380270.161234716</v>
      </c>
      <c r="AC287" s="155">
        <f t="shared" si="14"/>
        <v>7416558398.958066</v>
      </c>
      <c r="AF287" s="104"/>
      <c r="AG287" s="104"/>
      <c r="AH287" s="104"/>
      <c r="AI287" s="104"/>
      <c r="AJ287" s="104"/>
    </row>
    <row r="288" spans="25:36" s="132" customFormat="1" ht="12.95" hidden="1" customHeight="1">
      <c r="Y288" s="152">
        <v>250</v>
      </c>
      <c r="Z288" s="153">
        <f t="shared" si="12"/>
        <v>23983967.944001697</v>
      </c>
      <c r="AA288" s="154">
        <f t="shared" si="13"/>
        <v>11623037.279071596</v>
      </c>
      <c r="AB288" s="155">
        <f t="shared" si="15"/>
        <v>12360930.664930101</v>
      </c>
      <c r="AC288" s="155">
        <f t="shared" si="14"/>
        <v>7404935361.6789942</v>
      </c>
      <c r="AF288" s="104"/>
      <c r="AG288" s="104"/>
      <c r="AH288" s="104"/>
      <c r="AI288" s="104"/>
      <c r="AJ288" s="104"/>
    </row>
    <row r="289" spans="25:36" s="132" customFormat="1" ht="12.95" hidden="1" customHeight="1">
      <c r="Y289" s="152">
        <v>251</v>
      </c>
      <c r="Z289" s="153">
        <f t="shared" si="12"/>
        <v>23983967.944001697</v>
      </c>
      <c r="AA289" s="154">
        <f t="shared" si="13"/>
        <v>11642409.007870048</v>
      </c>
      <c r="AB289" s="155">
        <f t="shared" si="15"/>
        <v>12341558.936131651</v>
      </c>
      <c r="AC289" s="155">
        <f t="shared" si="14"/>
        <v>7393292952.6711245</v>
      </c>
      <c r="AF289" s="104"/>
      <c r="AG289" s="104"/>
      <c r="AH289" s="104"/>
      <c r="AI289" s="104"/>
      <c r="AJ289" s="104"/>
    </row>
    <row r="290" spans="25:36" s="132" customFormat="1" ht="12.95" hidden="1" customHeight="1">
      <c r="Y290" s="152">
        <v>252</v>
      </c>
      <c r="Z290" s="153">
        <f t="shared" si="12"/>
        <v>23983967.944001697</v>
      </c>
      <c r="AA290" s="154">
        <f t="shared" si="13"/>
        <v>11661813.022883164</v>
      </c>
      <c r="AB290" s="155">
        <f t="shared" si="15"/>
        <v>12322154.921118535</v>
      </c>
      <c r="AC290" s="155">
        <f t="shared" si="14"/>
        <v>7381631139.648241</v>
      </c>
      <c r="AF290" s="104"/>
      <c r="AG290" s="104"/>
      <c r="AH290" s="104"/>
      <c r="AI290" s="104"/>
      <c r="AJ290" s="104"/>
    </row>
    <row r="291" spans="25:36" s="132" customFormat="1" ht="12.95" hidden="1" customHeight="1">
      <c r="Y291" s="152">
        <v>253</v>
      </c>
      <c r="Z291" s="153">
        <f t="shared" si="12"/>
        <v>23983967.944001697</v>
      </c>
      <c r="AA291" s="154">
        <f t="shared" si="13"/>
        <v>11681249.377921304</v>
      </c>
      <c r="AB291" s="155">
        <f t="shared" si="15"/>
        <v>12302718.566080393</v>
      </c>
      <c r="AC291" s="155">
        <f t="shared" si="14"/>
        <v>7369949890.2703199</v>
      </c>
      <c r="AF291" s="104"/>
      <c r="AG291" s="104"/>
      <c r="AH291" s="104"/>
      <c r="AI291" s="104"/>
      <c r="AJ291" s="104"/>
    </row>
    <row r="292" spans="25:36" s="132" customFormat="1" ht="12.95" hidden="1" customHeight="1">
      <c r="Y292" s="152">
        <v>254</v>
      </c>
      <c r="Z292" s="153">
        <f t="shared" si="12"/>
        <v>23983967.944001697</v>
      </c>
      <c r="AA292" s="154">
        <f t="shared" si="13"/>
        <v>11700718.126884505</v>
      </c>
      <c r="AB292" s="155">
        <f t="shared" si="15"/>
        <v>12283249.817117192</v>
      </c>
      <c r="AC292" s="155">
        <f t="shared" si="14"/>
        <v>7358249172.1434355</v>
      </c>
      <c r="AF292" s="104"/>
      <c r="AG292" s="104"/>
      <c r="AH292" s="104"/>
      <c r="AI292" s="104"/>
      <c r="AJ292" s="104"/>
    </row>
    <row r="293" spans="25:36" s="132" customFormat="1" ht="12.95" hidden="1" customHeight="1">
      <c r="Y293" s="152">
        <v>255</v>
      </c>
      <c r="Z293" s="153">
        <f t="shared" si="12"/>
        <v>23983967.944001697</v>
      </c>
      <c r="AA293" s="154">
        <f t="shared" si="13"/>
        <v>11720219.323762646</v>
      </c>
      <c r="AB293" s="155">
        <f t="shared" si="15"/>
        <v>12263748.620239051</v>
      </c>
      <c r="AC293" s="155">
        <f t="shared" si="14"/>
        <v>7346528952.8196726</v>
      </c>
      <c r="AF293" s="104"/>
      <c r="AG293" s="104"/>
      <c r="AH293" s="104"/>
      <c r="AI293" s="104"/>
      <c r="AJ293" s="104"/>
    </row>
    <row r="294" spans="25:36" s="132" customFormat="1" ht="12.95" hidden="1" customHeight="1">
      <c r="Y294" s="152">
        <v>256</v>
      </c>
      <c r="Z294" s="153">
        <f t="shared" si="12"/>
        <v>23983967.944001697</v>
      </c>
      <c r="AA294" s="154">
        <f t="shared" si="13"/>
        <v>11739753.022635585</v>
      </c>
      <c r="AB294" s="155">
        <f t="shared" si="15"/>
        <v>12244214.921366116</v>
      </c>
      <c r="AC294" s="155">
        <f t="shared" si="14"/>
        <v>7334789199.7970371</v>
      </c>
      <c r="AF294" s="104"/>
      <c r="AG294" s="104"/>
      <c r="AH294" s="104"/>
      <c r="AI294" s="104"/>
      <c r="AJ294" s="104"/>
    </row>
    <row r="295" spans="25:36" s="132" customFormat="1" ht="12.95" hidden="1" customHeight="1">
      <c r="Y295" s="152">
        <v>257</v>
      </c>
      <c r="Z295" s="153">
        <f t="shared" si="12"/>
        <v>23983967.944001697</v>
      </c>
      <c r="AA295" s="154">
        <f t="shared" si="13"/>
        <v>11759319.277673312</v>
      </c>
      <c r="AB295" s="155">
        <f t="shared" si="15"/>
        <v>12224648.666328387</v>
      </c>
      <c r="AC295" s="155">
        <f t="shared" si="14"/>
        <v>7323029880.5193634</v>
      </c>
      <c r="AF295" s="104"/>
      <c r="AG295" s="104"/>
      <c r="AH295" s="104"/>
      <c r="AI295" s="104"/>
      <c r="AJ295" s="104"/>
    </row>
    <row r="296" spans="25:36" s="132" customFormat="1" ht="12.95" hidden="1" customHeight="1">
      <c r="Y296" s="152">
        <v>258</v>
      </c>
      <c r="Z296" s="153">
        <f t="shared" ref="Z296:Z359" si="16">IF(Y296&lt;=$AB$32, PMT($AB$31/12,$AB$32,-$AB$30,0,1), 0)</f>
        <v>23983967.944001697</v>
      </c>
      <c r="AA296" s="154">
        <f t="shared" ref="AA296:AA359" si="17">IF(Y296&lt;=$AB$32,-PPMT($AB$31/12,Y296,$AB$32,$AB$30,,1),0)</f>
        <v>11778918.143136097</v>
      </c>
      <c r="AB296" s="155">
        <f t="shared" si="15"/>
        <v>12205049.8008656</v>
      </c>
      <c r="AC296" s="155">
        <f t="shared" ref="AC296:AC359" si="18">AC295-AA296</f>
        <v>7311250962.3762274</v>
      </c>
      <c r="AF296" s="104"/>
      <c r="AG296" s="104"/>
      <c r="AH296" s="104"/>
      <c r="AI296" s="104"/>
      <c r="AJ296" s="104"/>
    </row>
    <row r="297" spans="25:36" s="132" customFormat="1" ht="12.95" hidden="1" customHeight="1">
      <c r="Y297" s="152">
        <v>259</v>
      </c>
      <c r="Z297" s="153">
        <f t="shared" si="16"/>
        <v>23983967.944001697</v>
      </c>
      <c r="AA297" s="154">
        <f t="shared" si="17"/>
        <v>11798549.673374658</v>
      </c>
      <c r="AB297" s="155">
        <f t="shared" ref="AB297:AB360" si="19">IF(Y297&lt;=$AB$32,-IPMT($AB$31/12,Y297,$AB$32,$AB$30,,1),0)</f>
        <v>12185418.27062704</v>
      </c>
      <c r="AC297" s="155">
        <f t="shared" si="18"/>
        <v>7299452412.7028522</v>
      </c>
      <c r="AF297" s="104"/>
      <c r="AG297" s="104"/>
      <c r="AH297" s="104"/>
      <c r="AI297" s="104"/>
      <c r="AJ297" s="104"/>
    </row>
    <row r="298" spans="25:36" s="132" customFormat="1" ht="12.95" hidden="1" customHeight="1">
      <c r="Y298" s="152">
        <v>260</v>
      </c>
      <c r="Z298" s="153">
        <f t="shared" si="16"/>
        <v>23983967.944001697</v>
      </c>
      <c r="AA298" s="154">
        <f t="shared" si="17"/>
        <v>11818213.922830284</v>
      </c>
      <c r="AB298" s="155">
        <f t="shared" si="19"/>
        <v>12165754.021171417</v>
      </c>
      <c r="AC298" s="155">
        <f t="shared" si="18"/>
        <v>7287634198.7800217</v>
      </c>
      <c r="AF298" s="104"/>
      <c r="AG298" s="104"/>
      <c r="AH298" s="104"/>
      <c r="AI298" s="104"/>
      <c r="AJ298" s="104"/>
    </row>
    <row r="299" spans="25:36" s="132" customFormat="1" ht="12.95" hidden="1" customHeight="1">
      <c r="Y299" s="152">
        <v>261</v>
      </c>
      <c r="Z299" s="153">
        <f t="shared" si="16"/>
        <v>23983967.944001697</v>
      </c>
      <c r="AA299" s="154">
        <f t="shared" si="17"/>
        <v>11837910.946035001</v>
      </c>
      <c r="AB299" s="155">
        <f t="shared" si="19"/>
        <v>12146056.997966697</v>
      </c>
      <c r="AC299" s="155">
        <f t="shared" si="18"/>
        <v>7275796287.8339863</v>
      </c>
      <c r="AF299" s="104"/>
      <c r="AG299" s="104"/>
      <c r="AH299" s="104"/>
      <c r="AI299" s="104"/>
      <c r="AJ299" s="104"/>
    </row>
    <row r="300" spans="25:36" s="132" customFormat="1" ht="12.95" hidden="1" customHeight="1">
      <c r="Y300" s="152">
        <v>262</v>
      </c>
      <c r="Z300" s="153">
        <f t="shared" si="16"/>
        <v>23983967.944001697</v>
      </c>
      <c r="AA300" s="154">
        <f t="shared" si="17"/>
        <v>11857640.797611725</v>
      </c>
      <c r="AB300" s="155">
        <f t="shared" si="19"/>
        <v>12126327.146389972</v>
      </c>
      <c r="AC300" s="155">
        <f t="shared" si="18"/>
        <v>7263938647.0363741</v>
      </c>
      <c r="AF300" s="104"/>
      <c r="AG300" s="104"/>
      <c r="AH300" s="104"/>
      <c r="AI300" s="104"/>
      <c r="AJ300" s="104"/>
    </row>
    <row r="301" spans="25:36" s="132" customFormat="1" ht="12.95" hidden="1" customHeight="1">
      <c r="Y301" s="152">
        <v>263</v>
      </c>
      <c r="Z301" s="153">
        <f t="shared" si="16"/>
        <v>23983967.944001697</v>
      </c>
      <c r="AA301" s="154">
        <f t="shared" si="17"/>
        <v>11877403.532274412</v>
      </c>
      <c r="AB301" s="155">
        <f t="shared" si="19"/>
        <v>12106564.411727285</v>
      </c>
      <c r="AC301" s="155">
        <f t="shared" si="18"/>
        <v>7252061243.5040998</v>
      </c>
      <c r="AF301" s="104"/>
      <c r="AG301" s="104"/>
      <c r="AH301" s="104"/>
      <c r="AI301" s="104"/>
      <c r="AJ301" s="104"/>
    </row>
    <row r="302" spans="25:36" s="132" customFormat="1" ht="12.95" hidden="1" customHeight="1">
      <c r="Y302" s="152">
        <v>264</v>
      </c>
      <c r="Z302" s="153">
        <f t="shared" si="16"/>
        <v>23983967.944001697</v>
      </c>
      <c r="AA302" s="154">
        <f t="shared" si="17"/>
        <v>11897199.204828203</v>
      </c>
      <c r="AB302" s="155">
        <f t="shared" si="19"/>
        <v>12086768.739173496</v>
      </c>
      <c r="AC302" s="155">
        <f t="shared" si="18"/>
        <v>7240164044.2992716</v>
      </c>
      <c r="AF302" s="104"/>
      <c r="AG302" s="104"/>
      <c r="AH302" s="104"/>
      <c r="AI302" s="104"/>
      <c r="AJ302" s="104"/>
    </row>
    <row r="303" spans="25:36" s="132" customFormat="1" ht="12.95" hidden="1" customHeight="1">
      <c r="Y303" s="152">
        <v>265</v>
      </c>
      <c r="Z303" s="153">
        <f t="shared" si="16"/>
        <v>23983967.944001697</v>
      </c>
      <c r="AA303" s="154">
        <f t="shared" si="17"/>
        <v>11917027.870169582</v>
      </c>
      <c r="AB303" s="155">
        <f t="shared" si="19"/>
        <v>12066940.073832115</v>
      </c>
      <c r="AC303" s="155">
        <f t="shared" si="18"/>
        <v>7228247016.4291019</v>
      </c>
      <c r="AF303" s="104"/>
      <c r="AG303" s="104"/>
      <c r="AH303" s="104"/>
      <c r="AI303" s="104"/>
      <c r="AJ303" s="104"/>
    </row>
    <row r="304" spans="25:36" s="132" customFormat="1" ht="12.95" hidden="1" customHeight="1">
      <c r="Y304" s="152">
        <v>266</v>
      </c>
      <c r="Z304" s="153">
        <f t="shared" si="16"/>
        <v>23983967.944001697</v>
      </c>
      <c r="AA304" s="154">
        <f t="shared" si="17"/>
        <v>11936889.583286531</v>
      </c>
      <c r="AB304" s="155">
        <f t="shared" si="19"/>
        <v>12047078.360715166</v>
      </c>
      <c r="AC304" s="155">
        <f t="shared" si="18"/>
        <v>7216310126.8458157</v>
      </c>
      <c r="AF304" s="104"/>
      <c r="AG304" s="104"/>
      <c r="AH304" s="104"/>
      <c r="AI304" s="104"/>
      <c r="AJ304" s="104"/>
    </row>
    <row r="305" spans="25:36" s="132" customFormat="1" ht="12.95" hidden="1" customHeight="1">
      <c r="Y305" s="152">
        <v>267</v>
      </c>
      <c r="Z305" s="153">
        <f t="shared" si="16"/>
        <v>23983967.944001697</v>
      </c>
      <c r="AA305" s="154">
        <f t="shared" si="17"/>
        <v>11956784.399258677</v>
      </c>
      <c r="AB305" s="155">
        <f t="shared" si="19"/>
        <v>12027183.54474302</v>
      </c>
      <c r="AC305" s="155">
        <f t="shared" si="18"/>
        <v>7204353342.446557</v>
      </c>
      <c r="AF305" s="104"/>
      <c r="AG305" s="104"/>
      <c r="AH305" s="104"/>
      <c r="AI305" s="104"/>
      <c r="AJ305" s="104"/>
    </row>
    <row r="306" spans="25:36" s="132" customFormat="1" ht="12.95" hidden="1" customHeight="1">
      <c r="Y306" s="152">
        <v>268</v>
      </c>
      <c r="Z306" s="153">
        <f t="shared" si="16"/>
        <v>23983967.944001697</v>
      </c>
      <c r="AA306" s="154">
        <f t="shared" si="17"/>
        <v>11976712.373257441</v>
      </c>
      <c r="AB306" s="155">
        <f t="shared" si="19"/>
        <v>12007255.570744259</v>
      </c>
      <c r="AC306" s="155">
        <f t="shared" si="18"/>
        <v>7192376630.0732994</v>
      </c>
      <c r="AF306" s="104"/>
      <c r="AG306" s="104"/>
      <c r="AH306" s="104"/>
      <c r="AI306" s="104"/>
      <c r="AJ306" s="104"/>
    </row>
    <row r="307" spans="25:36" s="132" customFormat="1" ht="12.95" hidden="1" customHeight="1">
      <c r="Y307" s="152">
        <v>269</v>
      </c>
      <c r="Z307" s="153">
        <f t="shared" si="16"/>
        <v>23983967.944001697</v>
      </c>
      <c r="AA307" s="154">
        <f t="shared" si="17"/>
        <v>11996673.560546203</v>
      </c>
      <c r="AB307" s="155">
        <f t="shared" si="19"/>
        <v>11987294.383455496</v>
      </c>
      <c r="AC307" s="155">
        <f t="shared" si="18"/>
        <v>7180379956.5127535</v>
      </c>
      <c r="AF307" s="104"/>
      <c r="AG307" s="104"/>
      <c r="AH307" s="104"/>
      <c r="AI307" s="104"/>
      <c r="AJ307" s="104"/>
    </row>
    <row r="308" spans="25:36" s="132" customFormat="1" ht="12.95" hidden="1" customHeight="1">
      <c r="Y308" s="152">
        <v>270</v>
      </c>
      <c r="Z308" s="153">
        <f t="shared" si="16"/>
        <v>23983967.944001697</v>
      </c>
      <c r="AA308" s="154">
        <f t="shared" si="17"/>
        <v>12016668.016480444</v>
      </c>
      <c r="AB308" s="155">
        <f t="shared" si="19"/>
        <v>11967299.927521253</v>
      </c>
      <c r="AC308" s="155">
        <f t="shared" si="18"/>
        <v>7168363288.496273</v>
      </c>
      <c r="AF308" s="104"/>
      <c r="AG308" s="104"/>
      <c r="AH308" s="104"/>
      <c r="AI308" s="104"/>
      <c r="AJ308" s="104"/>
    </row>
    <row r="309" spans="25:36" s="132" customFormat="1" ht="12.95" hidden="1" customHeight="1">
      <c r="Y309" s="152">
        <v>271</v>
      </c>
      <c r="Z309" s="153">
        <f t="shared" si="16"/>
        <v>23983967.944001697</v>
      </c>
      <c r="AA309" s="154">
        <f t="shared" si="17"/>
        <v>12036695.796507914</v>
      </c>
      <c r="AB309" s="155">
        <f t="shared" si="19"/>
        <v>11947272.147493783</v>
      </c>
      <c r="AC309" s="155">
        <f t="shared" si="18"/>
        <v>7156326592.6997652</v>
      </c>
      <c r="AF309" s="104"/>
      <c r="AG309" s="104"/>
      <c r="AH309" s="104"/>
      <c r="AI309" s="104"/>
      <c r="AJ309" s="104"/>
    </row>
    <row r="310" spans="25:36" s="132" customFormat="1" ht="12.95" hidden="1" customHeight="1">
      <c r="Y310" s="152">
        <v>272</v>
      </c>
      <c r="Z310" s="153">
        <f t="shared" si="16"/>
        <v>23983967.944001697</v>
      </c>
      <c r="AA310" s="154">
        <f t="shared" si="17"/>
        <v>12056756.956168761</v>
      </c>
      <c r="AB310" s="155">
        <f t="shared" si="19"/>
        <v>11927210.987832936</v>
      </c>
      <c r="AC310" s="155">
        <f t="shared" si="18"/>
        <v>7144269835.7435961</v>
      </c>
      <c r="AF310" s="104"/>
      <c r="AG310" s="104"/>
      <c r="AH310" s="104"/>
      <c r="AI310" s="104"/>
      <c r="AJ310" s="104"/>
    </row>
    <row r="311" spans="25:36" s="132" customFormat="1" ht="12.95" hidden="1" customHeight="1">
      <c r="Y311" s="152">
        <v>273</v>
      </c>
      <c r="Z311" s="153">
        <f t="shared" si="16"/>
        <v>23983967.944001697</v>
      </c>
      <c r="AA311" s="154">
        <f t="shared" si="17"/>
        <v>12076851.551095709</v>
      </c>
      <c r="AB311" s="155">
        <f t="shared" si="19"/>
        <v>11907116.392905993</v>
      </c>
      <c r="AC311" s="155">
        <f t="shared" si="18"/>
        <v>7132192984.1925001</v>
      </c>
      <c r="AF311" s="104"/>
      <c r="AG311" s="104"/>
      <c r="AH311" s="104"/>
      <c r="AI311" s="104"/>
      <c r="AJ311" s="104"/>
    </row>
    <row r="312" spans="25:36" s="132" customFormat="1" ht="12.95" hidden="1" customHeight="1">
      <c r="Y312" s="152">
        <v>274</v>
      </c>
      <c r="Z312" s="153">
        <f t="shared" si="16"/>
        <v>23983967.944001697</v>
      </c>
      <c r="AA312" s="154">
        <f t="shared" si="17"/>
        <v>12096979.637014203</v>
      </c>
      <c r="AB312" s="155">
        <f t="shared" si="19"/>
        <v>11886988.3069875</v>
      </c>
      <c r="AC312" s="155">
        <f t="shared" si="18"/>
        <v>7120096004.5554857</v>
      </c>
      <c r="AF312" s="104"/>
      <c r="AG312" s="104"/>
      <c r="AH312" s="104"/>
      <c r="AI312" s="104"/>
      <c r="AJ312" s="104"/>
    </row>
    <row r="313" spans="25:36" s="132" customFormat="1" ht="12.95" hidden="1" customHeight="1">
      <c r="Y313" s="152">
        <v>275</v>
      </c>
      <c r="Z313" s="153">
        <f t="shared" si="16"/>
        <v>23983967.944001697</v>
      </c>
      <c r="AA313" s="154">
        <f t="shared" si="17"/>
        <v>12117141.269742558</v>
      </c>
      <c r="AB313" s="155">
        <f t="shared" si="19"/>
        <v>11866826.674259139</v>
      </c>
      <c r="AC313" s="155">
        <f t="shared" si="18"/>
        <v>7107978863.2857428</v>
      </c>
      <c r="AF313" s="104"/>
      <c r="AG313" s="104"/>
      <c r="AH313" s="104"/>
      <c r="AI313" s="104"/>
      <c r="AJ313" s="104"/>
    </row>
    <row r="314" spans="25:36" s="132" customFormat="1" ht="12.95" hidden="1" customHeight="1">
      <c r="Y314" s="152">
        <v>276</v>
      </c>
      <c r="Z314" s="153">
        <f t="shared" si="16"/>
        <v>23983967.944001697</v>
      </c>
      <c r="AA314" s="154">
        <f t="shared" si="17"/>
        <v>12137336.505192129</v>
      </c>
      <c r="AB314" s="155">
        <f t="shared" si="19"/>
        <v>11846631.438809568</v>
      </c>
      <c r="AC314" s="155">
        <f t="shared" si="18"/>
        <v>7095841526.780551</v>
      </c>
      <c r="AF314" s="104"/>
      <c r="AG314" s="104"/>
      <c r="AH314" s="104"/>
      <c r="AI314" s="104"/>
      <c r="AJ314" s="104"/>
    </row>
    <row r="315" spans="25:36" s="132" customFormat="1" ht="12.95" hidden="1" customHeight="1">
      <c r="Y315" s="152">
        <v>277</v>
      </c>
      <c r="Z315" s="153">
        <f t="shared" si="16"/>
        <v>23983967.944001697</v>
      </c>
      <c r="AA315" s="154">
        <f t="shared" si="17"/>
        <v>12157565.399367448</v>
      </c>
      <c r="AB315" s="155">
        <f t="shared" si="19"/>
        <v>11826402.544634247</v>
      </c>
      <c r="AC315" s="155">
        <f t="shared" si="18"/>
        <v>7083683961.3811836</v>
      </c>
      <c r="AF315" s="104"/>
      <c r="AG315" s="104"/>
      <c r="AH315" s="104"/>
      <c r="AI315" s="104"/>
      <c r="AJ315" s="104"/>
    </row>
    <row r="316" spans="25:36" s="132" customFormat="1" ht="12.95" hidden="1" customHeight="1">
      <c r="Y316" s="152">
        <v>278</v>
      </c>
      <c r="Z316" s="153">
        <f t="shared" si="16"/>
        <v>23983967.944001697</v>
      </c>
      <c r="AA316" s="154">
        <f t="shared" si="17"/>
        <v>12177828.008366397</v>
      </c>
      <c r="AB316" s="155">
        <f t="shared" si="19"/>
        <v>11806139.935635302</v>
      </c>
      <c r="AC316" s="155">
        <f t="shared" si="18"/>
        <v>7071506133.372817</v>
      </c>
      <c r="AF316" s="104"/>
      <c r="AG316" s="104"/>
      <c r="AH316" s="104"/>
      <c r="AI316" s="104"/>
      <c r="AJ316" s="104"/>
    </row>
    <row r="317" spans="25:36" s="132" customFormat="1" ht="12.95" hidden="1" customHeight="1">
      <c r="Y317" s="152">
        <v>279</v>
      </c>
      <c r="Z317" s="153">
        <f t="shared" si="16"/>
        <v>23983967.944001697</v>
      </c>
      <c r="AA317" s="154">
        <f t="shared" si="17"/>
        <v>12198124.388380339</v>
      </c>
      <c r="AB317" s="155">
        <f t="shared" si="19"/>
        <v>11785843.555621359</v>
      </c>
      <c r="AC317" s="155">
        <f t="shared" si="18"/>
        <v>7059308008.984437</v>
      </c>
      <c r="AF317" s="104"/>
      <c r="AG317" s="104"/>
      <c r="AH317" s="104"/>
      <c r="AI317" s="104"/>
      <c r="AJ317" s="104"/>
    </row>
    <row r="318" spans="25:36" s="132" customFormat="1" ht="12.95" hidden="1" customHeight="1">
      <c r="Y318" s="152">
        <v>280</v>
      </c>
      <c r="Z318" s="153">
        <f t="shared" si="16"/>
        <v>23983967.944001697</v>
      </c>
      <c r="AA318" s="154">
        <f t="shared" si="17"/>
        <v>12218454.595694307</v>
      </c>
      <c r="AB318" s="155">
        <f t="shared" si="19"/>
        <v>11765513.348307393</v>
      </c>
      <c r="AC318" s="155">
        <f t="shared" si="18"/>
        <v>7047089554.3887424</v>
      </c>
      <c r="AF318" s="104"/>
      <c r="AG318" s="104"/>
      <c r="AH318" s="104"/>
      <c r="AI318" s="104"/>
      <c r="AJ318" s="104"/>
    </row>
    <row r="319" spans="25:36" s="132" customFormat="1" ht="12.95" hidden="1" customHeight="1">
      <c r="Y319" s="152">
        <v>281</v>
      </c>
      <c r="Z319" s="153">
        <f t="shared" si="16"/>
        <v>23983967.944001697</v>
      </c>
      <c r="AA319" s="154">
        <f t="shared" si="17"/>
        <v>12238818.68668713</v>
      </c>
      <c r="AB319" s="155">
        <f t="shared" si="19"/>
        <v>11745149.257314567</v>
      </c>
      <c r="AC319" s="155">
        <f t="shared" si="18"/>
        <v>7034850735.702055</v>
      </c>
      <c r="AF319" s="104"/>
      <c r="AG319" s="104"/>
      <c r="AH319" s="104"/>
      <c r="AI319" s="104"/>
      <c r="AJ319" s="104"/>
    </row>
    <row r="320" spans="25:36" s="132" customFormat="1" ht="12.95" hidden="1" customHeight="1">
      <c r="Y320" s="152">
        <v>282</v>
      </c>
      <c r="Z320" s="153">
        <f t="shared" si="16"/>
        <v>23983967.944001697</v>
      </c>
      <c r="AA320" s="154">
        <f t="shared" si="17"/>
        <v>12259216.71783161</v>
      </c>
      <c r="AB320" s="155">
        <f t="shared" si="19"/>
        <v>11724751.226170087</v>
      </c>
      <c r="AC320" s="155">
        <f t="shared" si="18"/>
        <v>7022591518.9842234</v>
      </c>
      <c r="AF320" s="104"/>
      <c r="AG320" s="104"/>
      <c r="AH320" s="104"/>
      <c r="AI320" s="104"/>
      <c r="AJ320" s="104"/>
    </row>
    <row r="321" spans="25:36" s="132" customFormat="1" ht="12.95" hidden="1" customHeight="1">
      <c r="Y321" s="152">
        <v>283</v>
      </c>
      <c r="Z321" s="153">
        <f t="shared" si="16"/>
        <v>23983967.944001697</v>
      </c>
      <c r="AA321" s="154">
        <f t="shared" si="17"/>
        <v>12279648.74569466</v>
      </c>
      <c r="AB321" s="155">
        <f t="shared" si="19"/>
        <v>11704319.198307035</v>
      </c>
      <c r="AC321" s="155">
        <f t="shared" si="18"/>
        <v>7010311870.2385283</v>
      </c>
      <c r="AF321" s="104"/>
      <c r="AG321" s="104"/>
      <c r="AH321" s="104"/>
      <c r="AI321" s="104"/>
      <c r="AJ321" s="104"/>
    </row>
    <row r="322" spans="25:36" s="132" customFormat="1" ht="12.95" hidden="1" customHeight="1">
      <c r="Y322" s="152">
        <v>284</v>
      </c>
      <c r="Z322" s="153">
        <f t="shared" si="16"/>
        <v>23983967.944001697</v>
      </c>
      <c r="AA322" s="154">
        <f t="shared" si="17"/>
        <v>12300114.826937485</v>
      </c>
      <c r="AB322" s="155">
        <f t="shared" si="19"/>
        <v>11683853.117064213</v>
      </c>
      <c r="AC322" s="155">
        <f t="shared" si="18"/>
        <v>6998011755.4115906</v>
      </c>
      <c r="AF322" s="104"/>
      <c r="AG322" s="104"/>
      <c r="AH322" s="104"/>
      <c r="AI322" s="104"/>
      <c r="AJ322" s="104"/>
    </row>
    <row r="323" spans="25:36" s="132" customFormat="1" ht="12.95" hidden="1" customHeight="1">
      <c r="Y323" s="152">
        <v>285</v>
      </c>
      <c r="Z323" s="153">
        <f t="shared" si="16"/>
        <v>23983967.944001697</v>
      </c>
      <c r="AA323" s="154">
        <f t="shared" si="17"/>
        <v>12320615.018315714</v>
      </c>
      <c r="AB323" s="155">
        <f t="shared" si="19"/>
        <v>11663352.925685985</v>
      </c>
      <c r="AC323" s="155">
        <f t="shared" si="18"/>
        <v>6985691140.3932753</v>
      </c>
      <c r="AF323" s="104"/>
      <c r="AG323" s="104"/>
      <c r="AH323" s="104"/>
      <c r="AI323" s="104"/>
      <c r="AJ323" s="104"/>
    </row>
    <row r="324" spans="25:36" s="132" customFormat="1" ht="12.95" hidden="1" customHeight="1">
      <c r="Y324" s="152">
        <v>286</v>
      </c>
      <c r="Z324" s="153">
        <f t="shared" si="16"/>
        <v>23983967.944001697</v>
      </c>
      <c r="AA324" s="154">
        <f t="shared" si="17"/>
        <v>12341149.376679575</v>
      </c>
      <c r="AB324" s="155">
        <f t="shared" si="19"/>
        <v>11642818.567322124</v>
      </c>
      <c r="AC324" s="155">
        <f t="shared" si="18"/>
        <v>6973349991.0165958</v>
      </c>
      <c r="AF324" s="104"/>
      <c r="AG324" s="104"/>
      <c r="AH324" s="104"/>
      <c r="AI324" s="104"/>
      <c r="AJ324" s="104"/>
    </row>
    <row r="325" spans="25:36" s="132" customFormat="1" ht="12.95" hidden="1" customHeight="1">
      <c r="Y325" s="152">
        <v>287</v>
      </c>
      <c r="Z325" s="153">
        <f t="shared" si="16"/>
        <v>23983967.944001697</v>
      </c>
      <c r="AA325" s="154">
        <f t="shared" si="17"/>
        <v>12361717.958974041</v>
      </c>
      <c r="AB325" s="155">
        <f t="shared" si="19"/>
        <v>11622249.985027658</v>
      </c>
      <c r="AC325" s="155">
        <f t="shared" si="18"/>
        <v>6960988273.057622</v>
      </c>
      <c r="AF325" s="104"/>
      <c r="AG325" s="104"/>
      <c r="AH325" s="104"/>
      <c r="AI325" s="104"/>
      <c r="AJ325" s="104"/>
    </row>
    <row r="326" spans="25:36" s="132" customFormat="1" ht="12.95" hidden="1" customHeight="1">
      <c r="Y326" s="152">
        <v>288</v>
      </c>
      <c r="Z326" s="153">
        <f t="shared" si="16"/>
        <v>23983967.944001697</v>
      </c>
      <c r="AA326" s="154">
        <f t="shared" si="17"/>
        <v>12382320.822238995</v>
      </c>
      <c r="AB326" s="155">
        <f t="shared" si="19"/>
        <v>11601647.1217627</v>
      </c>
      <c r="AC326" s="155">
        <f t="shared" si="18"/>
        <v>6948605952.235383</v>
      </c>
      <c r="AF326" s="104"/>
      <c r="AG326" s="104"/>
      <c r="AH326" s="104"/>
      <c r="AI326" s="104"/>
      <c r="AJ326" s="104"/>
    </row>
    <row r="327" spans="25:36" s="132" customFormat="1" ht="12.95" hidden="1" customHeight="1">
      <c r="Y327" s="152">
        <v>289</v>
      </c>
      <c r="Z327" s="153">
        <f t="shared" si="16"/>
        <v>23983967.944001697</v>
      </c>
      <c r="AA327" s="154">
        <f t="shared" si="17"/>
        <v>12402958.023609394</v>
      </c>
      <c r="AB327" s="155">
        <f t="shared" si="19"/>
        <v>11581009.920392303</v>
      </c>
      <c r="AC327" s="155">
        <f t="shared" si="18"/>
        <v>6936202994.2117739</v>
      </c>
      <c r="AF327" s="104"/>
      <c r="AG327" s="104"/>
      <c r="AH327" s="104"/>
      <c r="AI327" s="104"/>
      <c r="AJ327" s="104"/>
    </row>
    <row r="328" spans="25:36" s="132" customFormat="1" ht="12.95" hidden="1" customHeight="1">
      <c r="Y328" s="152">
        <v>290</v>
      </c>
      <c r="Z328" s="153">
        <f t="shared" si="16"/>
        <v>23983967.944001697</v>
      </c>
      <c r="AA328" s="154">
        <f t="shared" si="17"/>
        <v>12423629.620315412</v>
      </c>
      <c r="AB328" s="155">
        <f t="shared" si="19"/>
        <v>11560338.323686285</v>
      </c>
      <c r="AC328" s="155">
        <f t="shared" si="18"/>
        <v>6923779364.5914583</v>
      </c>
      <c r="AF328" s="104"/>
      <c r="AG328" s="104"/>
      <c r="AH328" s="104"/>
      <c r="AI328" s="104"/>
      <c r="AJ328" s="104"/>
    </row>
    <row r="329" spans="25:36" s="132" customFormat="1" ht="12.95" hidden="1" customHeight="1">
      <c r="Y329" s="152">
        <v>291</v>
      </c>
      <c r="Z329" s="153">
        <f t="shared" si="16"/>
        <v>23983967.944001697</v>
      </c>
      <c r="AA329" s="154">
        <f t="shared" si="17"/>
        <v>12444335.669682603</v>
      </c>
      <c r="AB329" s="155">
        <f t="shared" si="19"/>
        <v>11539632.274319096</v>
      </c>
      <c r="AC329" s="155">
        <f t="shared" si="18"/>
        <v>6911335028.9217758</v>
      </c>
      <c r="AF329" s="104"/>
      <c r="AG329" s="104"/>
      <c r="AH329" s="104"/>
      <c r="AI329" s="104"/>
      <c r="AJ329" s="104"/>
    </row>
    <row r="330" spans="25:36" s="132" customFormat="1" ht="12.95" hidden="1" customHeight="1">
      <c r="Y330" s="152">
        <v>292</v>
      </c>
      <c r="Z330" s="153">
        <f t="shared" si="16"/>
        <v>23983967.944001697</v>
      </c>
      <c r="AA330" s="154">
        <f t="shared" si="17"/>
        <v>12465076.229132075</v>
      </c>
      <c r="AB330" s="155">
        <f t="shared" si="19"/>
        <v>11518891.714869624</v>
      </c>
      <c r="AC330" s="155">
        <f t="shared" si="18"/>
        <v>6898869952.6926441</v>
      </c>
      <c r="AF330" s="104"/>
      <c r="AG330" s="104"/>
      <c r="AH330" s="104"/>
      <c r="AI330" s="104"/>
      <c r="AJ330" s="104"/>
    </row>
    <row r="331" spans="25:36" s="132" customFormat="1" ht="12.95" hidden="1" customHeight="1">
      <c r="Y331" s="152">
        <v>293</v>
      </c>
      <c r="Z331" s="153">
        <f t="shared" si="16"/>
        <v>23983967.944001697</v>
      </c>
      <c r="AA331" s="154">
        <f t="shared" si="17"/>
        <v>12485851.356180629</v>
      </c>
      <c r="AB331" s="155">
        <f t="shared" si="19"/>
        <v>11498116.58782107</v>
      </c>
      <c r="AC331" s="155">
        <f t="shared" si="18"/>
        <v>6886384101.3364639</v>
      </c>
      <c r="AF331" s="104"/>
      <c r="AG331" s="104"/>
      <c r="AH331" s="104"/>
      <c r="AI331" s="104"/>
      <c r="AJ331" s="104"/>
    </row>
    <row r="332" spans="25:36" s="132" customFormat="1" ht="12.95" hidden="1" customHeight="1">
      <c r="Y332" s="152">
        <v>294</v>
      </c>
      <c r="Z332" s="153">
        <f t="shared" si="16"/>
        <v>23983967.944001697</v>
      </c>
      <c r="AA332" s="154">
        <f t="shared" si="17"/>
        <v>12506661.108440928</v>
      </c>
      <c r="AB332" s="155">
        <f t="shared" si="19"/>
        <v>11477306.835560769</v>
      </c>
      <c r="AC332" s="155">
        <f t="shared" si="18"/>
        <v>6873877440.2280226</v>
      </c>
      <c r="AF332" s="104"/>
      <c r="AG332" s="104"/>
      <c r="AH332" s="104"/>
      <c r="AI332" s="104"/>
      <c r="AJ332" s="104"/>
    </row>
    <row r="333" spans="25:36" s="132" customFormat="1" ht="12.95" hidden="1" customHeight="1">
      <c r="Y333" s="152">
        <v>295</v>
      </c>
      <c r="Z333" s="153">
        <f t="shared" si="16"/>
        <v>23983967.944001697</v>
      </c>
      <c r="AA333" s="154">
        <f t="shared" si="17"/>
        <v>12527505.543621663</v>
      </c>
      <c r="AB333" s="155">
        <f t="shared" si="19"/>
        <v>11456462.400380036</v>
      </c>
      <c r="AC333" s="155">
        <f t="shared" si="18"/>
        <v>6861349934.6844006</v>
      </c>
      <c r="AF333" s="104"/>
      <c r="AG333" s="104"/>
      <c r="AH333" s="104"/>
      <c r="AI333" s="104"/>
      <c r="AJ333" s="104"/>
    </row>
    <row r="334" spans="25:36" s="132" customFormat="1" ht="12.95" hidden="1" customHeight="1">
      <c r="Y334" s="152">
        <v>296</v>
      </c>
      <c r="Z334" s="153">
        <f t="shared" si="16"/>
        <v>23983967.944001697</v>
      </c>
      <c r="AA334" s="154">
        <f t="shared" si="17"/>
        <v>12548384.719527701</v>
      </c>
      <c r="AB334" s="155">
        <f t="shared" si="19"/>
        <v>11435583.224473998</v>
      </c>
      <c r="AC334" s="155">
        <f t="shared" si="18"/>
        <v>6848801549.9648733</v>
      </c>
      <c r="AF334" s="104"/>
      <c r="AG334" s="104"/>
      <c r="AH334" s="104"/>
      <c r="AI334" s="104"/>
      <c r="AJ334" s="104"/>
    </row>
    <row r="335" spans="25:36" s="132" customFormat="1" ht="12.95" hidden="1" customHeight="1">
      <c r="Y335" s="152">
        <v>297</v>
      </c>
      <c r="Z335" s="153">
        <f t="shared" si="16"/>
        <v>23983967.944001697</v>
      </c>
      <c r="AA335" s="154">
        <f t="shared" si="17"/>
        <v>12569298.694060247</v>
      </c>
      <c r="AB335" s="155">
        <f t="shared" si="19"/>
        <v>11414669.249941451</v>
      </c>
      <c r="AC335" s="155">
        <f t="shared" si="18"/>
        <v>6836232251.270813</v>
      </c>
      <c r="AF335" s="104"/>
      <c r="AG335" s="104"/>
      <c r="AH335" s="104"/>
      <c r="AI335" s="104"/>
      <c r="AJ335" s="104"/>
    </row>
    <row r="336" spans="25:36" s="132" customFormat="1" ht="12.95" hidden="1" customHeight="1">
      <c r="Y336" s="152">
        <v>298</v>
      </c>
      <c r="Z336" s="153">
        <f t="shared" si="16"/>
        <v>23983967.944001697</v>
      </c>
      <c r="AA336" s="154">
        <f t="shared" si="17"/>
        <v>12590247.525217013</v>
      </c>
      <c r="AB336" s="155">
        <f t="shared" si="19"/>
        <v>11393720.418784685</v>
      </c>
      <c r="AC336" s="155">
        <f t="shared" si="18"/>
        <v>6823642003.7455959</v>
      </c>
      <c r="AF336" s="104"/>
      <c r="AG336" s="104"/>
      <c r="AH336" s="104"/>
      <c r="AI336" s="104"/>
      <c r="AJ336" s="104"/>
    </row>
    <row r="337" spans="25:36" s="132" customFormat="1" ht="12.95" hidden="1" customHeight="1">
      <c r="Y337" s="152">
        <v>299</v>
      </c>
      <c r="Z337" s="153">
        <f t="shared" si="16"/>
        <v>23983967.944001697</v>
      </c>
      <c r="AA337" s="154">
        <f t="shared" si="17"/>
        <v>12611231.271092376</v>
      </c>
      <c r="AB337" s="155">
        <f t="shared" si="19"/>
        <v>11372736.672909323</v>
      </c>
      <c r="AC337" s="155">
        <f t="shared" si="18"/>
        <v>6811030772.4745035</v>
      </c>
      <c r="AF337" s="104"/>
      <c r="AG337" s="104"/>
      <c r="AH337" s="104"/>
      <c r="AI337" s="104"/>
      <c r="AJ337" s="104"/>
    </row>
    <row r="338" spans="25:36" s="132" customFormat="1" ht="12.95" hidden="1" customHeight="1">
      <c r="Y338" s="152">
        <v>300</v>
      </c>
      <c r="Z338" s="153">
        <f t="shared" si="16"/>
        <v>23983967.944001697</v>
      </c>
      <c r="AA338" s="154">
        <f t="shared" si="17"/>
        <v>12632249.989877529</v>
      </c>
      <c r="AB338" s="155">
        <f t="shared" si="19"/>
        <v>11351717.954124168</v>
      </c>
      <c r="AC338" s="155">
        <f t="shared" si="18"/>
        <v>6798398522.4846258</v>
      </c>
      <c r="AF338" s="104"/>
      <c r="AG338" s="104"/>
      <c r="AH338" s="104"/>
      <c r="AI338" s="104"/>
      <c r="AJ338" s="104"/>
    </row>
    <row r="339" spans="25:36" s="132" customFormat="1" ht="12.95" hidden="1" customHeight="1">
      <c r="Y339" s="152">
        <v>301</v>
      </c>
      <c r="Z339" s="153">
        <f t="shared" si="16"/>
        <v>23983967.944001697</v>
      </c>
      <c r="AA339" s="154">
        <f t="shared" si="17"/>
        <v>12653303.739860659</v>
      </c>
      <c r="AB339" s="155">
        <f t="shared" si="19"/>
        <v>11330664.204141043</v>
      </c>
      <c r="AC339" s="155">
        <f t="shared" si="18"/>
        <v>6785745218.7447653</v>
      </c>
      <c r="AF339" s="104"/>
      <c r="AG339" s="104"/>
      <c r="AH339" s="104"/>
      <c r="AI339" s="104"/>
      <c r="AJ339" s="104"/>
    </row>
    <row r="340" spans="25:36" s="132" customFormat="1" ht="12.95" hidden="1" customHeight="1">
      <c r="Y340" s="152">
        <v>302</v>
      </c>
      <c r="Z340" s="153">
        <f t="shared" si="16"/>
        <v>23983967.944001697</v>
      </c>
      <c r="AA340" s="154">
        <f t="shared" si="17"/>
        <v>12674392.579427093</v>
      </c>
      <c r="AB340" s="155">
        <f t="shared" si="19"/>
        <v>11309575.364574607</v>
      </c>
      <c r="AC340" s="155">
        <f t="shared" si="18"/>
        <v>6773070826.1653385</v>
      </c>
      <c r="AF340" s="104"/>
      <c r="AG340" s="104"/>
      <c r="AH340" s="104"/>
      <c r="AI340" s="104"/>
      <c r="AJ340" s="104"/>
    </row>
    <row r="341" spans="25:36" s="132" customFormat="1" ht="12.95" hidden="1" customHeight="1">
      <c r="Y341" s="152">
        <v>303</v>
      </c>
      <c r="Z341" s="153">
        <f t="shared" si="16"/>
        <v>23983967.944001697</v>
      </c>
      <c r="AA341" s="154">
        <f t="shared" si="17"/>
        <v>12695516.56705947</v>
      </c>
      <c r="AB341" s="155">
        <f t="shared" si="19"/>
        <v>11288451.376942227</v>
      </c>
      <c r="AC341" s="155">
        <f t="shared" si="18"/>
        <v>6760375309.598279</v>
      </c>
      <c r="AF341" s="104"/>
      <c r="AG341" s="104"/>
      <c r="AH341" s="104"/>
      <c r="AI341" s="104"/>
      <c r="AJ341" s="104"/>
    </row>
    <row r="342" spans="25:36" s="132" customFormat="1" ht="12.95" hidden="1" customHeight="1">
      <c r="Y342" s="152">
        <v>304</v>
      </c>
      <c r="Z342" s="153">
        <f t="shared" si="16"/>
        <v>23983967.944001697</v>
      </c>
      <c r="AA342" s="154">
        <f t="shared" si="17"/>
        <v>12716675.761337904</v>
      </c>
      <c r="AB342" s="155">
        <f t="shared" si="19"/>
        <v>11267292.182663795</v>
      </c>
      <c r="AC342" s="155">
        <f t="shared" si="18"/>
        <v>6747658633.8369408</v>
      </c>
      <c r="AF342" s="104"/>
      <c r="AG342" s="104"/>
      <c r="AH342" s="104"/>
      <c r="AI342" s="104"/>
      <c r="AJ342" s="104"/>
    </row>
    <row r="343" spans="25:36" s="132" customFormat="1" ht="12.95" hidden="1" customHeight="1">
      <c r="Y343" s="152">
        <v>305</v>
      </c>
      <c r="Z343" s="153">
        <f t="shared" si="16"/>
        <v>23983967.944001697</v>
      </c>
      <c r="AA343" s="154">
        <f t="shared" si="17"/>
        <v>12737870.220940134</v>
      </c>
      <c r="AB343" s="155">
        <f t="shared" si="19"/>
        <v>11246097.723061563</v>
      </c>
      <c r="AC343" s="155">
        <f t="shared" si="18"/>
        <v>6734920763.6160002</v>
      </c>
      <c r="AF343" s="104"/>
      <c r="AG343" s="104"/>
      <c r="AH343" s="104"/>
      <c r="AI343" s="104"/>
      <c r="AJ343" s="104"/>
    </row>
    <row r="344" spans="25:36" s="132" customFormat="1" ht="12.95" hidden="1" customHeight="1">
      <c r="Y344" s="152">
        <v>306</v>
      </c>
      <c r="Z344" s="153">
        <f t="shared" si="16"/>
        <v>23983967.944001697</v>
      </c>
      <c r="AA344" s="154">
        <f t="shared" si="17"/>
        <v>12759100.004641701</v>
      </c>
      <c r="AB344" s="155">
        <f t="shared" si="19"/>
        <v>11224867.939359996</v>
      </c>
      <c r="AC344" s="155">
        <f t="shared" si="18"/>
        <v>6722161663.6113586</v>
      </c>
      <c r="AF344" s="104"/>
      <c r="AG344" s="104"/>
      <c r="AH344" s="104"/>
      <c r="AI344" s="104"/>
      <c r="AJ344" s="104"/>
    </row>
    <row r="345" spans="25:36" s="132" customFormat="1" ht="12.95" hidden="1" customHeight="1">
      <c r="Y345" s="152">
        <v>307</v>
      </c>
      <c r="Z345" s="153">
        <f t="shared" si="16"/>
        <v>23983967.944001697</v>
      </c>
      <c r="AA345" s="154">
        <f t="shared" si="17"/>
        <v>12780365.171316102</v>
      </c>
      <c r="AB345" s="155">
        <f t="shared" si="19"/>
        <v>11203602.772685593</v>
      </c>
      <c r="AC345" s="155">
        <f t="shared" si="18"/>
        <v>6709381298.4400425</v>
      </c>
      <c r="AF345" s="104"/>
      <c r="AG345" s="104"/>
      <c r="AH345" s="104"/>
      <c r="AI345" s="104"/>
      <c r="AJ345" s="104"/>
    </row>
    <row r="346" spans="25:36" s="132" customFormat="1" ht="12.95" hidden="1" customHeight="1">
      <c r="Y346" s="152">
        <v>308</v>
      </c>
      <c r="Z346" s="153">
        <f t="shared" si="16"/>
        <v>23983967.944001697</v>
      </c>
      <c r="AA346" s="154">
        <f t="shared" si="17"/>
        <v>12801665.779934965</v>
      </c>
      <c r="AB346" s="155">
        <f t="shared" si="19"/>
        <v>11182302.164066736</v>
      </c>
      <c r="AC346" s="155">
        <f t="shared" si="18"/>
        <v>6696579632.6601076</v>
      </c>
      <c r="AF346" s="104"/>
      <c r="AG346" s="104"/>
      <c r="AH346" s="104"/>
      <c r="AI346" s="104"/>
      <c r="AJ346" s="104"/>
    </row>
    <row r="347" spans="25:36" s="132" customFormat="1" ht="12.95" hidden="1" customHeight="1">
      <c r="Y347" s="152">
        <v>309</v>
      </c>
      <c r="Z347" s="153">
        <f t="shared" si="16"/>
        <v>23983967.944001697</v>
      </c>
      <c r="AA347" s="154">
        <f t="shared" si="17"/>
        <v>12823001.889568187</v>
      </c>
      <c r="AB347" s="155">
        <f t="shared" si="19"/>
        <v>11160966.05443351</v>
      </c>
      <c r="AC347" s="155">
        <f t="shared" si="18"/>
        <v>6683756630.7705393</v>
      </c>
      <c r="AF347" s="104"/>
      <c r="AG347" s="104"/>
      <c r="AH347" s="104"/>
      <c r="AI347" s="104"/>
      <c r="AJ347" s="104"/>
    </row>
    <row r="348" spans="25:36" s="132" customFormat="1" ht="12.95" hidden="1" customHeight="1">
      <c r="Y348" s="152">
        <v>310</v>
      </c>
      <c r="Z348" s="153">
        <f t="shared" si="16"/>
        <v>23983967.944001697</v>
      </c>
      <c r="AA348" s="154">
        <f t="shared" si="17"/>
        <v>12844373.559384134</v>
      </c>
      <c r="AB348" s="155">
        <f t="shared" si="19"/>
        <v>11139594.384617563</v>
      </c>
      <c r="AC348" s="155">
        <f t="shared" si="18"/>
        <v>6670912257.2111549</v>
      </c>
      <c r="AF348" s="104"/>
      <c r="AG348" s="104"/>
      <c r="AH348" s="104"/>
      <c r="AI348" s="104"/>
      <c r="AJ348" s="104"/>
    </row>
    <row r="349" spans="25:36" s="132" customFormat="1" ht="12.95" hidden="1" customHeight="1">
      <c r="Y349" s="152">
        <v>311</v>
      </c>
      <c r="Z349" s="153">
        <f t="shared" si="16"/>
        <v>23983967.944001697</v>
      </c>
      <c r="AA349" s="154">
        <f t="shared" si="17"/>
        <v>12865780.848649776</v>
      </c>
      <c r="AB349" s="155">
        <f t="shared" si="19"/>
        <v>11118187.095351923</v>
      </c>
      <c r="AC349" s="155">
        <f t="shared" si="18"/>
        <v>6658046476.362505</v>
      </c>
      <c r="AF349" s="104"/>
      <c r="AG349" s="104"/>
      <c r="AH349" s="104"/>
      <c r="AI349" s="104"/>
      <c r="AJ349" s="104"/>
    </row>
    <row r="350" spans="25:36" s="132" customFormat="1" ht="12.95" hidden="1" customHeight="1">
      <c r="Y350" s="152">
        <v>312</v>
      </c>
      <c r="Z350" s="153">
        <f t="shared" si="16"/>
        <v>23983967.944001697</v>
      </c>
      <c r="AA350" s="154">
        <f t="shared" si="17"/>
        <v>12887223.816730859</v>
      </c>
      <c r="AB350" s="155">
        <f t="shared" si="19"/>
        <v>11096744.127270838</v>
      </c>
      <c r="AC350" s="155">
        <f t="shared" si="18"/>
        <v>6645159252.5457745</v>
      </c>
      <c r="AF350" s="104"/>
      <c r="AG350" s="104"/>
      <c r="AH350" s="104"/>
      <c r="AI350" s="104"/>
      <c r="AJ350" s="104"/>
    </row>
    <row r="351" spans="25:36" s="132" customFormat="1" ht="12.95" hidden="1" customHeight="1">
      <c r="Y351" s="152">
        <v>313</v>
      </c>
      <c r="Z351" s="153">
        <f t="shared" si="16"/>
        <v>23983967.944001697</v>
      </c>
      <c r="AA351" s="154">
        <f t="shared" si="17"/>
        <v>12908702.523092076</v>
      </c>
      <c r="AB351" s="155">
        <f t="shared" si="19"/>
        <v>11075265.420909621</v>
      </c>
      <c r="AC351" s="155">
        <f t="shared" si="18"/>
        <v>6632250550.0226822</v>
      </c>
      <c r="AF351" s="104"/>
      <c r="AG351" s="104"/>
      <c r="AH351" s="104"/>
      <c r="AI351" s="104"/>
      <c r="AJ351" s="104"/>
    </row>
    <row r="352" spans="25:36" s="132" customFormat="1" ht="12.95" hidden="1" customHeight="1">
      <c r="Y352" s="152">
        <v>314</v>
      </c>
      <c r="Z352" s="153">
        <f t="shared" si="16"/>
        <v>23983967.944001697</v>
      </c>
      <c r="AA352" s="154">
        <f t="shared" si="17"/>
        <v>12930217.02729723</v>
      </c>
      <c r="AB352" s="155">
        <f t="shared" si="19"/>
        <v>11053750.916704467</v>
      </c>
      <c r="AC352" s="155">
        <f t="shared" si="18"/>
        <v>6619320332.9953852</v>
      </c>
      <c r="AF352" s="104"/>
      <c r="AG352" s="104"/>
      <c r="AH352" s="104"/>
      <c r="AI352" s="104"/>
      <c r="AJ352" s="104"/>
    </row>
    <row r="353" spans="25:36" s="132" customFormat="1" ht="12.95" hidden="1" customHeight="1">
      <c r="Y353" s="152">
        <v>315</v>
      </c>
      <c r="Z353" s="153">
        <f t="shared" si="16"/>
        <v>23983967.944001697</v>
      </c>
      <c r="AA353" s="154">
        <f t="shared" si="17"/>
        <v>12951767.389009394</v>
      </c>
      <c r="AB353" s="155">
        <f t="shared" si="19"/>
        <v>11032200.554992307</v>
      </c>
      <c r="AC353" s="155">
        <f t="shared" si="18"/>
        <v>6606368565.6063757</v>
      </c>
      <c r="AF353" s="104"/>
      <c r="AG353" s="104"/>
      <c r="AH353" s="104"/>
      <c r="AI353" s="104"/>
      <c r="AJ353" s="104"/>
    </row>
    <row r="354" spans="25:36" s="132" customFormat="1" ht="12.95" hidden="1" customHeight="1">
      <c r="Y354" s="152">
        <v>316</v>
      </c>
      <c r="Z354" s="153">
        <f t="shared" si="16"/>
        <v>23983967.944001697</v>
      </c>
      <c r="AA354" s="154">
        <f t="shared" si="17"/>
        <v>12973353.667991074</v>
      </c>
      <c r="AB354" s="155">
        <f t="shared" si="19"/>
        <v>11010614.276010625</v>
      </c>
      <c r="AC354" s="155">
        <f t="shared" si="18"/>
        <v>6593395211.938385</v>
      </c>
      <c r="AF354" s="104"/>
      <c r="AG354" s="104"/>
      <c r="AH354" s="104"/>
      <c r="AI354" s="104"/>
      <c r="AJ354" s="104"/>
    </row>
    <row r="355" spans="25:36" s="132" customFormat="1" ht="12.95" hidden="1" customHeight="1">
      <c r="Y355" s="152">
        <v>317</v>
      </c>
      <c r="Z355" s="153">
        <f t="shared" si="16"/>
        <v>23983967.944001697</v>
      </c>
      <c r="AA355" s="154">
        <f t="shared" si="17"/>
        <v>12994975.924104393</v>
      </c>
      <c r="AB355" s="155">
        <f t="shared" si="19"/>
        <v>10988992.019897306</v>
      </c>
      <c r="AC355" s="155">
        <f t="shared" si="18"/>
        <v>6580400236.0142803</v>
      </c>
      <c r="AF355" s="104"/>
      <c r="AG355" s="104"/>
      <c r="AH355" s="104"/>
      <c r="AI355" s="104"/>
      <c r="AJ355" s="104"/>
    </row>
    <row r="356" spans="25:36" s="132" customFormat="1" ht="12.95" hidden="1" customHeight="1">
      <c r="Y356" s="152">
        <v>318</v>
      </c>
      <c r="Z356" s="153">
        <f t="shared" si="16"/>
        <v>23983967.944001697</v>
      </c>
      <c r="AA356" s="154">
        <f t="shared" si="17"/>
        <v>13016634.217311235</v>
      </c>
      <c r="AB356" s="155">
        <f t="shared" si="19"/>
        <v>10967333.726690466</v>
      </c>
      <c r="AC356" s="155">
        <f t="shared" si="18"/>
        <v>6567383601.7969694</v>
      </c>
      <c r="AF356" s="104"/>
      <c r="AG356" s="104"/>
      <c r="AH356" s="104"/>
      <c r="AI356" s="104"/>
      <c r="AJ356" s="104"/>
    </row>
    <row r="357" spans="25:36" s="132" customFormat="1" ht="12.95" hidden="1" customHeight="1">
      <c r="Y357" s="152">
        <v>319</v>
      </c>
      <c r="Z357" s="153">
        <f t="shared" si="16"/>
        <v>23983967.944001697</v>
      </c>
      <c r="AA357" s="154">
        <f t="shared" si="17"/>
        <v>13038328.607673422</v>
      </c>
      <c r="AB357" s="155">
        <f t="shared" si="19"/>
        <v>10945639.336328277</v>
      </c>
      <c r="AC357" s="155">
        <f t="shared" si="18"/>
        <v>6554345273.1892958</v>
      </c>
      <c r="AF357" s="104"/>
      <c r="AG357" s="104"/>
      <c r="AH357" s="104"/>
      <c r="AI357" s="104"/>
      <c r="AJ357" s="104"/>
    </row>
    <row r="358" spans="25:36" s="132" customFormat="1" ht="12.95" hidden="1" customHeight="1">
      <c r="Y358" s="152">
        <v>320</v>
      </c>
      <c r="Z358" s="153">
        <f t="shared" si="16"/>
        <v>23983967.944001697</v>
      </c>
      <c r="AA358" s="154">
        <f t="shared" si="17"/>
        <v>13060059.155352876</v>
      </c>
      <c r="AB358" s="155">
        <f t="shared" si="19"/>
        <v>10923908.788648825</v>
      </c>
      <c r="AC358" s="155">
        <f t="shared" si="18"/>
        <v>6541285214.0339432</v>
      </c>
      <c r="AF358" s="104"/>
      <c r="AG358" s="104"/>
      <c r="AH358" s="104"/>
      <c r="AI358" s="104"/>
      <c r="AJ358" s="104"/>
    </row>
    <row r="359" spans="25:36" s="132" customFormat="1" ht="12.95" hidden="1" customHeight="1">
      <c r="Y359" s="152">
        <v>321</v>
      </c>
      <c r="Z359" s="153">
        <f t="shared" si="16"/>
        <v>23983967.944001697</v>
      </c>
      <c r="AA359" s="154">
        <f t="shared" si="17"/>
        <v>13081825.920611797</v>
      </c>
      <c r="AB359" s="155">
        <f t="shared" si="19"/>
        <v>10902142.023389902</v>
      </c>
      <c r="AC359" s="155">
        <f t="shared" si="18"/>
        <v>6528203388.1133318</v>
      </c>
      <c r="AF359" s="104"/>
      <c r="AG359" s="104"/>
      <c r="AH359" s="104"/>
      <c r="AI359" s="104"/>
      <c r="AJ359" s="104"/>
    </row>
    <row r="360" spans="25:36" s="132" customFormat="1" ht="12.95" hidden="1" customHeight="1">
      <c r="Y360" s="152">
        <v>322</v>
      </c>
      <c r="Z360" s="153">
        <f t="shared" ref="Z360:Z423" si="20">IF(Y360&lt;=$AB$32, PMT($AB$31/12,$AB$32,-$AB$30,0,1), 0)</f>
        <v>23983967.944001697</v>
      </c>
      <c r="AA360" s="154">
        <f t="shared" ref="AA360:AA423" si="21">IF(Y360&lt;=$AB$32,-PPMT($AB$31/12,Y360,$AB$32,$AB$30,,1),0)</f>
        <v>13103628.963812817</v>
      </c>
      <c r="AB360" s="155">
        <f t="shared" si="19"/>
        <v>10880338.98018888</v>
      </c>
      <c r="AC360" s="155">
        <f t="shared" ref="AC360:AC423" si="22">AC359-AA360</f>
        <v>6515099759.149519</v>
      </c>
      <c r="AF360" s="104"/>
      <c r="AG360" s="104"/>
      <c r="AH360" s="104"/>
      <c r="AI360" s="104"/>
      <c r="AJ360" s="104"/>
    </row>
    <row r="361" spans="25:36" s="132" customFormat="1" ht="12.95" hidden="1" customHeight="1">
      <c r="Y361" s="152">
        <v>323</v>
      </c>
      <c r="Z361" s="153">
        <f t="shared" si="20"/>
        <v>23983967.944001697</v>
      </c>
      <c r="AA361" s="154">
        <f t="shared" si="21"/>
        <v>13125468.34541917</v>
      </c>
      <c r="AB361" s="155">
        <f t="shared" ref="AB361:AB424" si="23">IF(Y361&lt;=$AB$32,-IPMT($AB$31/12,Y361,$AB$32,$AB$30,,1),0)</f>
        <v>10858499.598582529</v>
      </c>
      <c r="AC361" s="155">
        <f t="shared" si="22"/>
        <v>6501974290.8041</v>
      </c>
      <c r="AF361" s="104"/>
      <c r="AG361" s="104"/>
      <c r="AH361" s="104"/>
      <c r="AI361" s="104"/>
      <c r="AJ361" s="104"/>
    </row>
    <row r="362" spans="25:36" s="132" customFormat="1" ht="12.95" hidden="1" customHeight="1">
      <c r="Y362" s="152">
        <v>324</v>
      </c>
      <c r="Z362" s="153">
        <f t="shared" si="20"/>
        <v>23983967.944001697</v>
      </c>
      <c r="AA362" s="154">
        <f t="shared" si="21"/>
        <v>13147344.12599487</v>
      </c>
      <c r="AB362" s="155">
        <f t="shared" si="23"/>
        <v>10836623.818006832</v>
      </c>
      <c r="AC362" s="155">
        <f t="shared" si="22"/>
        <v>6488826946.6781054</v>
      </c>
      <c r="AF362" s="104"/>
      <c r="AG362" s="104"/>
      <c r="AH362" s="104"/>
      <c r="AI362" s="104"/>
      <c r="AJ362" s="104"/>
    </row>
    <row r="363" spans="25:36" s="132" customFormat="1" ht="12.95" hidden="1" customHeight="1">
      <c r="Y363" s="152">
        <v>325</v>
      </c>
      <c r="Z363" s="153">
        <f t="shared" si="20"/>
        <v>23983967.944001697</v>
      </c>
      <c r="AA363" s="154">
        <f t="shared" si="21"/>
        <v>13169256.36620486</v>
      </c>
      <c r="AB363" s="155">
        <f t="shared" si="23"/>
        <v>10814711.577796839</v>
      </c>
      <c r="AC363" s="155">
        <f t="shared" si="22"/>
        <v>6475657690.3119001</v>
      </c>
      <c r="AF363" s="104"/>
      <c r="AG363" s="104"/>
      <c r="AH363" s="104"/>
      <c r="AI363" s="104"/>
      <c r="AJ363" s="104"/>
    </row>
    <row r="364" spans="25:36" s="132" customFormat="1" ht="12.95" hidden="1" customHeight="1">
      <c r="Y364" s="152">
        <v>326</v>
      </c>
      <c r="Z364" s="153">
        <f t="shared" si="20"/>
        <v>23983967.944001697</v>
      </c>
      <c r="AA364" s="154">
        <f t="shared" si="21"/>
        <v>13191205.126815204</v>
      </c>
      <c r="AB364" s="155">
        <f t="shared" si="23"/>
        <v>10792762.817186495</v>
      </c>
      <c r="AC364" s="155">
        <f t="shared" si="22"/>
        <v>6462466485.1850853</v>
      </c>
      <c r="AF364" s="104"/>
      <c r="AG364" s="104"/>
      <c r="AH364" s="104"/>
      <c r="AI364" s="104"/>
      <c r="AJ364" s="104"/>
    </row>
    <row r="365" spans="25:36" s="132" customFormat="1" ht="12.95" hidden="1" customHeight="1">
      <c r="Y365" s="152">
        <v>327</v>
      </c>
      <c r="Z365" s="153">
        <f t="shared" si="20"/>
        <v>23983967.944001697</v>
      </c>
      <c r="AA365" s="154">
        <f t="shared" si="21"/>
        <v>13213190.468693227</v>
      </c>
      <c r="AB365" s="155">
        <f t="shared" si="23"/>
        <v>10770777.47530847</v>
      </c>
      <c r="AC365" s="155">
        <f t="shared" si="22"/>
        <v>6449253294.7163925</v>
      </c>
      <c r="AF365" s="104"/>
      <c r="AG365" s="104"/>
      <c r="AH365" s="104"/>
      <c r="AI365" s="104"/>
      <c r="AJ365" s="104"/>
    </row>
    <row r="366" spans="25:36" s="132" customFormat="1" ht="12.95" hidden="1" customHeight="1">
      <c r="Y366" s="152">
        <v>328</v>
      </c>
      <c r="Z366" s="153">
        <f t="shared" si="20"/>
        <v>23983967.944001697</v>
      </c>
      <c r="AA366" s="154">
        <f t="shared" si="21"/>
        <v>13235212.452807715</v>
      </c>
      <c r="AB366" s="155">
        <f t="shared" si="23"/>
        <v>10748755.491193982</v>
      </c>
      <c r="AC366" s="155">
        <f t="shared" si="22"/>
        <v>6436018082.2635851</v>
      </c>
      <c r="AF366" s="104"/>
      <c r="AG366" s="104"/>
      <c r="AH366" s="104"/>
      <c r="AI366" s="104"/>
      <c r="AJ366" s="104"/>
    </row>
    <row r="367" spans="25:36" s="132" customFormat="1" ht="12.95" hidden="1" customHeight="1">
      <c r="Y367" s="152">
        <v>329</v>
      </c>
      <c r="Z367" s="153">
        <f t="shared" si="20"/>
        <v>23983967.944001697</v>
      </c>
      <c r="AA367" s="154">
        <f t="shared" si="21"/>
        <v>13257271.140229061</v>
      </c>
      <c r="AB367" s="155">
        <f t="shared" si="23"/>
        <v>10726696.803772636</v>
      </c>
      <c r="AC367" s="155">
        <f t="shared" si="22"/>
        <v>6422760811.1233559</v>
      </c>
      <c r="AF367" s="104"/>
      <c r="AG367" s="104"/>
      <c r="AH367" s="104"/>
      <c r="AI367" s="104"/>
      <c r="AJ367" s="104"/>
    </row>
    <row r="368" spans="25:36" s="132" customFormat="1" ht="12.95" hidden="1" customHeight="1">
      <c r="Y368" s="152">
        <v>330</v>
      </c>
      <c r="Z368" s="153">
        <f t="shared" si="20"/>
        <v>23983967.944001697</v>
      </c>
      <c r="AA368" s="154">
        <f t="shared" si="21"/>
        <v>13279366.592129445</v>
      </c>
      <c r="AB368" s="155">
        <f t="shared" si="23"/>
        <v>10704601.351872256</v>
      </c>
      <c r="AC368" s="155">
        <f t="shared" si="22"/>
        <v>6409481444.5312262</v>
      </c>
      <c r="AF368" s="104"/>
      <c r="AG368" s="104"/>
      <c r="AH368" s="104"/>
      <c r="AI368" s="104"/>
      <c r="AJ368" s="104"/>
    </row>
    <row r="369" spans="25:36" s="132" customFormat="1" ht="12.95" hidden="1" customHeight="1">
      <c r="Y369" s="152">
        <v>331</v>
      </c>
      <c r="Z369" s="153">
        <f t="shared" si="20"/>
        <v>23983967.944001697</v>
      </c>
      <c r="AA369" s="154">
        <f t="shared" si="21"/>
        <v>13301498.869782992</v>
      </c>
      <c r="AB369" s="155">
        <f t="shared" si="23"/>
        <v>10682469.074218707</v>
      </c>
      <c r="AC369" s="155">
        <f t="shared" si="22"/>
        <v>6396179945.6614428</v>
      </c>
      <c r="AF369" s="104"/>
      <c r="AG369" s="104"/>
      <c r="AH369" s="104"/>
      <c r="AI369" s="104"/>
      <c r="AJ369" s="104"/>
    </row>
    <row r="370" spans="25:36" s="132" customFormat="1" ht="12.95" hidden="1" customHeight="1">
      <c r="Y370" s="152">
        <v>332</v>
      </c>
      <c r="Z370" s="153">
        <f t="shared" si="20"/>
        <v>23983967.944001697</v>
      </c>
      <c r="AA370" s="154">
        <f t="shared" si="21"/>
        <v>13323668.034565965</v>
      </c>
      <c r="AB370" s="155">
        <f t="shared" si="23"/>
        <v>10660299.90943573</v>
      </c>
      <c r="AC370" s="155">
        <f t="shared" si="22"/>
        <v>6382856277.6268768</v>
      </c>
      <c r="AF370" s="104"/>
      <c r="AG370" s="104"/>
      <c r="AH370" s="104"/>
      <c r="AI370" s="104"/>
      <c r="AJ370" s="104"/>
    </row>
    <row r="371" spans="25:36" s="132" customFormat="1" ht="12.95" hidden="1" customHeight="1">
      <c r="Y371" s="152">
        <v>333</v>
      </c>
      <c r="Z371" s="153">
        <f t="shared" si="20"/>
        <v>23983967.944001697</v>
      </c>
      <c r="AA371" s="154">
        <f t="shared" si="21"/>
        <v>13345874.147956908</v>
      </c>
      <c r="AB371" s="155">
        <f t="shared" si="23"/>
        <v>10638093.796044789</v>
      </c>
      <c r="AC371" s="155">
        <f t="shared" si="22"/>
        <v>6369510403.47892</v>
      </c>
      <c r="AF371" s="104"/>
      <c r="AG371" s="104"/>
      <c r="AH371" s="104"/>
      <c r="AI371" s="104"/>
      <c r="AJ371" s="104"/>
    </row>
    <row r="372" spans="25:36" s="132" customFormat="1" ht="12.95" hidden="1" customHeight="1">
      <c r="Y372" s="152">
        <v>334</v>
      </c>
      <c r="Z372" s="153">
        <f t="shared" si="20"/>
        <v>23983967.944001697</v>
      </c>
      <c r="AA372" s="154">
        <f t="shared" si="21"/>
        <v>13368117.271536835</v>
      </c>
      <c r="AB372" s="155">
        <f t="shared" si="23"/>
        <v>10615850.672464861</v>
      </c>
      <c r="AC372" s="155">
        <f t="shared" si="22"/>
        <v>6356142286.2073832</v>
      </c>
      <c r="AF372" s="104"/>
      <c r="AG372" s="104"/>
      <c r="AH372" s="104"/>
      <c r="AI372" s="104"/>
      <c r="AJ372" s="104"/>
    </row>
    <row r="373" spans="25:36" s="132" customFormat="1" ht="12.95" hidden="1" customHeight="1">
      <c r="Y373" s="152">
        <v>335</v>
      </c>
      <c r="Z373" s="153">
        <f t="shared" si="20"/>
        <v>23983967.944001697</v>
      </c>
      <c r="AA373" s="154">
        <f t="shared" si="21"/>
        <v>13390397.466989398</v>
      </c>
      <c r="AB373" s="155">
        <f t="shared" si="23"/>
        <v>10593570.477012299</v>
      </c>
      <c r="AC373" s="155">
        <f t="shared" si="22"/>
        <v>6342751888.7403936</v>
      </c>
      <c r="AF373" s="104"/>
      <c r="AG373" s="104"/>
      <c r="AH373" s="104"/>
      <c r="AI373" s="104"/>
      <c r="AJ373" s="104"/>
    </row>
    <row r="374" spans="25:36" s="132" customFormat="1" ht="12.95" hidden="1" customHeight="1">
      <c r="Y374" s="152">
        <v>336</v>
      </c>
      <c r="Z374" s="153">
        <f t="shared" si="20"/>
        <v>23983967.944001697</v>
      </c>
      <c r="AA374" s="154">
        <f t="shared" si="21"/>
        <v>13412714.796101049</v>
      </c>
      <c r="AB374" s="155">
        <f t="shared" si="23"/>
        <v>10571253.147900652</v>
      </c>
      <c r="AC374" s="155">
        <f t="shared" si="22"/>
        <v>6329339173.944293</v>
      </c>
      <c r="AF374" s="104"/>
      <c r="AG374" s="104"/>
      <c r="AH374" s="104"/>
      <c r="AI374" s="104"/>
      <c r="AJ374" s="104"/>
    </row>
    <row r="375" spans="25:36" s="132" customFormat="1" ht="12.95" hidden="1" customHeight="1">
      <c r="Y375" s="152">
        <v>337</v>
      </c>
      <c r="Z375" s="153">
        <f t="shared" si="20"/>
        <v>23983967.944001697</v>
      </c>
      <c r="AA375" s="154">
        <f t="shared" si="21"/>
        <v>13435069.320761215</v>
      </c>
      <c r="AB375" s="155">
        <f t="shared" si="23"/>
        <v>10548898.62324048</v>
      </c>
      <c r="AC375" s="155">
        <f t="shared" si="22"/>
        <v>6315904104.6235313</v>
      </c>
      <c r="AF375" s="104"/>
      <c r="AG375" s="104"/>
      <c r="AH375" s="104"/>
      <c r="AI375" s="104"/>
      <c r="AJ375" s="104"/>
    </row>
    <row r="376" spans="25:36" s="132" customFormat="1" ht="12.95" hidden="1" customHeight="1">
      <c r="Y376" s="152">
        <v>338</v>
      </c>
      <c r="Z376" s="153">
        <f t="shared" si="20"/>
        <v>23983967.944001697</v>
      </c>
      <c r="AA376" s="154">
        <f t="shared" si="21"/>
        <v>13457461.102962483</v>
      </c>
      <c r="AB376" s="155">
        <f t="shared" si="23"/>
        <v>10526506.841039214</v>
      </c>
      <c r="AC376" s="155">
        <f t="shared" si="22"/>
        <v>6302446643.5205688</v>
      </c>
      <c r="AF376" s="104"/>
      <c r="AG376" s="104"/>
      <c r="AH376" s="104"/>
      <c r="AI376" s="104"/>
      <c r="AJ376" s="104"/>
    </row>
    <row r="377" spans="25:36" s="132" customFormat="1" ht="12.95" hidden="1" customHeight="1">
      <c r="Y377" s="152">
        <v>339</v>
      </c>
      <c r="Z377" s="153">
        <f t="shared" si="20"/>
        <v>23983967.944001697</v>
      </c>
      <c r="AA377" s="154">
        <f t="shared" si="21"/>
        <v>13479890.204800755</v>
      </c>
      <c r="AB377" s="155">
        <f t="shared" si="23"/>
        <v>10504077.739200944</v>
      </c>
      <c r="AC377" s="155">
        <f t="shared" si="22"/>
        <v>6288966753.3157682</v>
      </c>
      <c r="AF377" s="104"/>
      <c r="AG377" s="104"/>
      <c r="AH377" s="104"/>
      <c r="AI377" s="104"/>
      <c r="AJ377" s="104"/>
    </row>
    <row r="378" spans="25:36" s="132" customFormat="1" ht="12.95" hidden="1" customHeight="1">
      <c r="Y378" s="152">
        <v>340</v>
      </c>
      <c r="Z378" s="153">
        <f t="shared" si="20"/>
        <v>23983967.944001697</v>
      </c>
      <c r="AA378" s="154">
        <f t="shared" si="21"/>
        <v>13502356.688475423</v>
      </c>
      <c r="AB378" s="155">
        <f t="shared" si="23"/>
        <v>10481611.255526274</v>
      </c>
      <c r="AC378" s="155">
        <f t="shared" si="22"/>
        <v>6275464396.6272926</v>
      </c>
      <c r="AF378" s="104"/>
      <c r="AG378" s="104"/>
      <c r="AH378" s="104"/>
      <c r="AI378" s="104"/>
      <c r="AJ378" s="104"/>
    </row>
    <row r="379" spans="25:36" s="132" customFormat="1" ht="12.95" hidden="1" customHeight="1">
      <c r="Y379" s="152">
        <v>341</v>
      </c>
      <c r="Z379" s="153">
        <f t="shared" si="20"/>
        <v>23983967.944001697</v>
      </c>
      <c r="AA379" s="154">
        <f t="shared" si="21"/>
        <v>13524860.616289549</v>
      </c>
      <c r="AB379" s="155">
        <f t="shared" si="23"/>
        <v>10459107.32771215</v>
      </c>
      <c r="AC379" s="155">
        <f t="shared" si="22"/>
        <v>6261939536.0110035</v>
      </c>
      <c r="AF379" s="104"/>
      <c r="AG379" s="104"/>
      <c r="AH379" s="104"/>
      <c r="AI379" s="104"/>
      <c r="AJ379" s="104"/>
    </row>
    <row r="380" spans="25:36" s="132" customFormat="1" ht="12.95" hidden="1" customHeight="1">
      <c r="Y380" s="152">
        <v>342</v>
      </c>
      <c r="Z380" s="153">
        <f t="shared" si="20"/>
        <v>23983967.944001697</v>
      </c>
      <c r="AA380" s="154">
        <f t="shared" si="21"/>
        <v>13547402.050650032</v>
      </c>
      <c r="AB380" s="155">
        <f t="shared" si="23"/>
        <v>10436565.893351668</v>
      </c>
      <c r="AC380" s="155">
        <f t="shared" si="22"/>
        <v>6248392133.9603539</v>
      </c>
      <c r="AF380" s="104"/>
      <c r="AG380" s="104"/>
      <c r="AH380" s="104"/>
      <c r="AI380" s="104"/>
      <c r="AJ380" s="104"/>
    </row>
    <row r="381" spans="25:36" s="132" customFormat="1" ht="12.95" hidden="1" customHeight="1">
      <c r="Y381" s="152">
        <v>343</v>
      </c>
      <c r="Z381" s="153">
        <f t="shared" si="20"/>
        <v>23983967.944001697</v>
      </c>
      <c r="AA381" s="154">
        <f t="shared" si="21"/>
        <v>13569981.054067779</v>
      </c>
      <c r="AB381" s="155">
        <f t="shared" si="23"/>
        <v>10413986.889933918</v>
      </c>
      <c r="AC381" s="155">
        <f t="shared" si="22"/>
        <v>6234822152.9062862</v>
      </c>
      <c r="AF381" s="104"/>
      <c r="AG381" s="104"/>
      <c r="AH381" s="104"/>
      <c r="AI381" s="104"/>
      <c r="AJ381" s="104"/>
    </row>
    <row r="382" spans="25:36" s="132" customFormat="1" ht="12.95" hidden="1" customHeight="1">
      <c r="Y382" s="152">
        <v>344</v>
      </c>
      <c r="Z382" s="153">
        <f t="shared" si="20"/>
        <v>23983967.944001697</v>
      </c>
      <c r="AA382" s="154">
        <f t="shared" si="21"/>
        <v>13592597.689157892</v>
      </c>
      <c r="AB382" s="155">
        <f t="shared" si="23"/>
        <v>10391370.254843803</v>
      </c>
      <c r="AC382" s="155">
        <f t="shared" si="22"/>
        <v>6221229555.2171288</v>
      </c>
      <c r="AF382" s="104"/>
      <c r="AG382" s="104"/>
      <c r="AH382" s="104"/>
      <c r="AI382" s="104"/>
      <c r="AJ382" s="104"/>
    </row>
    <row r="383" spans="25:36" s="132" customFormat="1" ht="12.95" hidden="1" customHeight="1">
      <c r="Y383" s="152">
        <v>345</v>
      </c>
      <c r="Z383" s="153">
        <f t="shared" si="20"/>
        <v>23983967.944001697</v>
      </c>
      <c r="AA383" s="154">
        <f t="shared" si="21"/>
        <v>13615252.018639823</v>
      </c>
      <c r="AB383" s="155">
        <f t="shared" si="23"/>
        <v>10368715.925361875</v>
      </c>
      <c r="AC383" s="155">
        <f t="shared" si="22"/>
        <v>6207614303.1984892</v>
      </c>
      <c r="AF383" s="104"/>
      <c r="AG383" s="104"/>
      <c r="AH383" s="104"/>
      <c r="AI383" s="104"/>
      <c r="AJ383" s="104"/>
    </row>
    <row r="384" spans="25:36" s="132" customFormat="1" ht="12.95" hidden="1" customHeight="1">
      <c r="Y384" s="152">
        <v>346</v>
      </c>
      <c r="Z384" s="153">
        <f t="shared" si="20"/>
        <v>23983967.944001697</v>
      </c>
      <c r="AA384" s="154">
        <f t="shared" si="21"/>
        <v>13637944.105337556</v>
      </c>
      <c r="AB384" s="155">
        <f t="shared" si="23"/>
        <v>10346023.838664142</v>
      </c>
      <c r="AC384" s="155">
        <f t="shared" si="22"/>
        <v>6193976359.093152</v>
      </c>
      <c r="AF384" s="104"/>
      <c r="AG384" s="104"/>
      <c r="AH384" s="104"/>
      <c r="AI384" s="104"/>
      <c r="AJ384" s="104"/>
    </row>
    <row r="385" spans="25:36" s="132" customFormat="1" ht="12.95" hidden="1" customHeight="1">
      <c r="Y385" s="152">
        <v>347</v>
      </c>
      <c r="Z385" s="153">
        <f t="shared" si="20"/>
        <v>23983967.944001697</v>
      </c>
      <c r="AA385" s="154">
        <f t="shared" si="21"/>
        <v>13660674.012179786</v>
      </c>
      <c r="AB385" s="155">
        <f t="shared" si="23"/>
        <v>10323293.931821913</v>
      </c>
      <c r="AC385" s="155">
        <f t="shared" si="22"/>
        <v>6180315685.0809727</v>
      </c>
      <c r="AF385" s="104"/>
      <c r="AG385" s="104"/>
      <c r="AH385" s="104"/>
      <c r="AI385" s="104"/>
      <c r="AJ385" s="104"/>
    </row>
    <row r="386" spans="25:36" s="132" customFormat="1" ht="12.95" hidden="1" customHeight="1">
      <c r="Y386" s="152">
        <v>348</v>
      </c>
      <c r="Z386" s="153">
        <f t="shared" si="20"/>
        <v>23983967.944001697</v>
      </c>
      <c r="AA386" s="154">
        <f t="shared" si="21"/>
        <v>13683441.802200083</v>
      </c>
      <c r="AB386" s="155">
        <f t="shared" si="23"/>
        <v>10300526.141801612</v>
      </c>
      <c r="AC386" s="155">
        <f t="shared" si="22"/>
        <v>6166632243.2787724</v>
      </c>
      <c r="AF386" s="104"/>
      <c r="AG386" s="104"/>
      <c r="AH386" s="104"/>
      <c r="AI386" s="104"/>
      <c r="AJ386" s="104"/>
    </row>
    <row r="387" spans="25:36" s="132" customFormat="1" ht="12.95" hidden="1" customHeight="1">
      <c r="Y387" s="152">
        <v>349</v>
      </c>
      <c r="Z387" s="153">
        <f t="shared" si="20"/>
        <v>23983967.944001697</v>
      </c>
      <c r="AA387" s="154">
        <f t="shared" si="21"/>
        <v>13706247.538537085</v>
      </c>
      <c r="AB387" s="155">
        <f t="shared" si="23"/>
        <v>10277720.40546461</v>
      </c>
      <c r="AC387" s="155">
        <f t="shared" si="22"/>
        <v>6152925995.7402353</v>
      </c>
      <c r="AF387" s="104"/>
      <c r="AG387" s="104"/>
      <c r="AH387" s="104"/>
      <c r="AI387" s="104"/>
      <c r="AJ387" s="104"/>
    </row>
    <row r="388" spans="25:36" s="132" customFormat="1" ht="12.95" hidden="1" customHeight="1">
      <c r="Y388" s="152">
        <v>350</v>
      </c>
      <c r="Z388" s="153">
        <f t="shared" si="20"/>
        <v>23983967.944001697</v>
      </c>
      <c r="AA388" s="154">
        <f t="shared" si="21"/>
        <v>13729091.284434648</v>
      </c>
      <c r="AB388" s="155">
        <f t="shared" si="23"/>
        <v>10254876.659567051</v>
      </c>
      <c r="AC388" s="155">
        <f t="shared" si="22"/>
        <v>6139196904.455801</v>
      </c>
      <c r="AF388" s="104"/>
      <c r="AG388" s="104"/>
      <c r="AH388" s="104"/>
      <c r="AI388" s="104"/>
      <c r="AJ388" s="104"/>
    </row>
    <row r="389" spans="25:36" s="132" customFormat="1" ht="12.95" hidden="1" customHeight="1">
      <c r="Y389" s="152">
        <v>351</v>
      </c>
      <c r="Z389" s="153">
        <f t="shared" si="20"/>
        <v>23983967.944001697</v>
      </c>
      <c r="AA389" s="154">
        <f t="shared" si="21"/>
        <v>13751973.10324204</v>
      </c>
      <c r="AB389" s="155">
        <f t="shared" si="23"/>
        <v>10231994.840759659</v>
      </c>
      <c r="AC389" s="155">
        <f t="shared" si="22"/>
        <v>6125444931.3525591</v>
      </c>
      <c r="AF389" s="104"/>
      <c r="AG389" s="104"/>
      <c r="AH389" s="104"/>
      <c r="AI389" s="104"/>
      <c r="AJ389" s="104"/>
    </row>
    <row r="390" spans="25:36" s="132" customFormat="1" ht="12.95" hidden="1" customHeight="1">
      <c r="Y390" s="152">
        <v>352</v>
      </c>
      <c r="Z390" s="153">
        <f t="shared" si="20"/>
        <v>23983967.944001697</v>
      </c>
      <c r="AA390" s="154">
        <f t="shared" si="21"/>
        <v>13774893.058414109</v>
      </c>
      <c r="AB390" s="155">
        <f t="shared" si="23"/>
        <v>10209074.88558759</v>
      </c>
      <c r="AC390" s="155">
        <f t="shared" si="22"/>
        <v>6111670038.2941446</v>
      </c>
      <c r="AF390" s="104"/>
      <c r="AG390" s="104"/>
      <c r="AH390" s="104"/>
      <c r="AI390" s="104"/>
      <c r="AJ390" s="104"/>
    </row>
    <row r="391" spans="25:36" s="132" customFormat="1" ht="12.95" hidden="1" customHeight="1">
      <c r="Y391" s="152">
        <v>353</v>
      </c>
      <c r="Z391" s="153">
        <f t="shared" si="20"/>
        <v>23983967.944001697</v>
      </c>
      <c r="AA391" s="154">
        <f t="shared" si="21"/>
        <v>13797851.213511465</v>
      </c>
      <c r="AB391" s="155">
        <f t="shared" si="23"/>
        <v>10186116.730490234</v>
      </c>
      <c r="AC391" s="155">
        <f t="shared" si="22"/>
        <v>6097872187.0806332</v>
      </c>
      <c r="AF391" s="104"/>
      <c r="AG391" s="104"/>
      <c r="AH391" s="104"/>
      <c r="AI391" s="104"/>
      <c r="AJ391" s="104"/>
    </row>
    <row r="392" spans="25:36" s="132" customFormat="1" ht="12.95" hidden="1" customHeight="1">
      <c r="Y392" s="152">
        <v>354</v>
      </c>
      <c r="Z392" s="153">
        <f t="shared" si="20"/>
        <v>23983967.944001697</v>
      </c>
      <c r="AA392" s="154">
        <f t="shared" si="21"/>
        <v>13820847.632200651</v>
      </c>
      <c r="AB392" s="155">
        <f t="shared" si="23"/>
        <v>10163120.311801048</v>
      </c>
      <c r="AC392" s="155">
        <f t="shared" si="22"/>
        <v>6084051339.4484329</v>
      </c>
      <c r="AF392" s="104"/>
      <c r="AG392" s="104"/>
      <c r="AH392" s="104"/>
      <c r="AI392" s="104"/>
      <c r="AJ392" s="104"/>
    </row>
    <row r="393" spans="25:36" s="132" customFormat="1" ht="12.95" hidden="1" customHeight="1">
      <c r="Y393" s="152">
        <v>355</v>
      </c>
      <c r="Z393" s="153">
        <f t="shared" si="20"/>
        <v>23983967.944001697</v>
      </c>
      <c r="AA393" s="154">
        <f t="shared" si="21"/>
        <v>13843882.378254319</v>
      </c>
      <c r="AB393" s="155">
        <f t="shared" si="23"/>
        <v>10140085.565747378</v>
      </c>
      <c r="AC393" s="155">
        <f t="shared" si="22"/>
        <v>6070207457.070179</v>
      </c>
      <c r="AF393" s="104"/>
      <c r="AG393" s="104"/>
      <c r="AH393" s="104"/>
      <c r="AI393" s="104"/>
      <c r="AJ393" s="104"/>
    </row>
    <row r="394" spans="25:36" s="132" customFormat="1" ht="12.95" hidden="1" customHeight="1">
      <c r="Y394" s="152">
        <v>356</v>
      </c>
      <c r="Z394" s="153">
        <f t="shared" si="20"/>
        <v>23983967.944001697</v>
      </c>
      <c r="AA394" s="154">
        <f t="shared" si="21"/>
        <v>13866955.515551409</v>
      </c>
      <c r="AB394" s="155">
        <f t="shared" si="23"/>
        <v>10117012.428450288</v>
      </c>
      <c r="AC394" s="155">
        <f t="shared" si="22"/>
        <v>6056340501.5546274</v>
      </c>
      <c r="AF394" s="104"/>
      <c r="AG394" s="104"/>
      <c r="AH394" s="104"/>
      <c r="AI394" s="104"/>
      <c r="AJ394" s="104"/>
    </row>
    <row r="395" spans="25:36" s="132" customFormat="1" ht="12.95" hidden="1" customHeight="1">
      <c r="Y395" s="152">
        <v>357</v>
      </c>
      <c r="Z395" s="153">
        <f t="shared" si="20"/>
        <v>23983967.944001697</v>
      </c>
      <c r="AA395" s="154">
        <f t="shared" si="21"/>
        <v>13890067.108077329</v>
      </c>
      <c r="AB395" s="155">
        <f t="shared" si="23"/>
        <v>10093900.83592437</v>
      </c>
      <c r="AC395" s="155">
        <f t="shared" si="22"/>
        <v>6042450434.4465504</v>
      </c>
      <c r="AF395" s="104"/>
      <c r="AG395" s="104"/>
      <c r="AH395" s="104"/>
      <c r="AI395" s="104"/>
      <c r="AJ395" s="104"/>
    </row>
    <row r="396" spans="25:36" s="132" customFormat="1" ht="12.95" hidden="1" customHeight="1">
      <c r="Y396" s="152">
        <v>358</v>
      </c>
      <c r="Z396" s="153">
        <f t="shared" si="20"/>
        <v>23983967.944001697</v>
      </c>
      <c r="AA396" s="154">
        <f t="shared" si="21"/>
        <v>13913217.219924124</v>
      </c>
      <c r="AB396" s="155">
        <f t="shared" si="23"/>
        <v>10070750.724077573</v>
      </c>
      <c r="AC396" s="155">
        <f t="shared" si="22"/>
        <v>6028537217.2266264</v>
      </c>
      <c r="AF396" s="104"/>
      <c r="AG396" s="104"/>
      <c r="AH396" s="104"/>
      <c r="AI396" s="104"/>
      <c r="AJ396" s="104"/>
    </row>
    <row r="397" spans="25:36" s="132" customFormat="1" ht="12.95" hidden="1" customHeight="1">
      <c r="Y397" s="152">
        <v>359</v>
      </c>
      <c r="Z397" s="153">
        <f t="shared" si="20"/>
        <v>23983967.944001697</v>
      </c>
      <c r="AA397" s="154">
        <f t="shared" si="21"/>
        <v>13936405.915290663</v>
      </c>
      <c r="AB397" s="155">
        <f t="shared" si="23"/>
        <v>10047562.028711036</v>
      </c>
      <c r="AC397" s="155">
        <f t="shared" si="22"/>
        <v>6014600811.3113356</v>
      </c>
      <c r="AF397" s="104"/>
      <c r="AG397" s="104"/>
      <c r="AH397" s="104"/>
      <c r="AI397" s="104"/>
      <c r="AJ397" s="104"/>
    </row>
    <row r="398" spans="25:36" s="132" customFormat="1" ht="12.95" hidden="1" customHeight="1">
      <c r="Y398" s="152">
        <v>360</v>
      </c>
      <c r="Z398" s="153">
        <f t="shared" si="20"/>
        <v>23983967.944001697</v>
      </c>
      <c r="AA398" s="154">
        <f t="shared" si="21"/>
        <v>13959633.258482814</v>
      </c>
      <c r="AB398" s="155">
        <f t="shared" si="23"/>
        <v>10024334.685518883</v>
      </c>
      <c r="AC398" s="155">
        <f t="shared" si="22"/>
        <v>6000641178.0528526</v>
      </c>
      <c r="AF398" s="104"/>
      <c r="AG398" s="104"/>
      <c r="AH398" s="104"/>
      <c r="AI398" s="104"/>
      <c r="AJ398" s="104"/>
    </row>
    <row r="399" spans="25:36" s="156" customFormat="1" ht="12.95" hidden="1" customHeight="1">
      <c r="Y399" s="152">
        <v>361</v>
      </c>
      <c r="Z399" s="153">
        <f t="shared" si="20"/>
        <v>23983967.944001697</v>
      </c>
      <c r="AA399" s="154">
        <f t="shared" si="21"/>
        <v>13982899.313913621</v>
      </c>
      <c r="AB399" s="155">
        <f t="shared" si="23"/>
        <v>10001068.630088078</v>
      </c>
      <c r="AC399" s="155">
        <f t="shared" si="22"/>
        <v>5986658278.7389393</v>
      </c>
      <c r="AF399" s="104"/>
      <c r="AG399" s="104"/>
      <c r="AH399" s="104"/>
      <c r="AI399" s="104"/>
      <c r="AJ399" s="104"/>
    </row>
    <row r="400" spans="25:36" s="132" customFormat="1" ht="12.95" hidden="1" customHeight="1">
      <c r="Y400" s="152">
        <v>362</v>
      </c>
      <c r="Z400" s="153">
        <f t="shared" si="20"/>
        <v>23983967.944001697</v>
      </c>
      <c r="AA400" s="154">
        <f t="shared" si="21"/>
        <v>14006204.146103477</v>
      </c>
      <c r="AB400" s="155">
        <f t="shared" si="23"/>
        <v>9977763.7978982218</v>
      </c>
      <c r="AC400" s="155">
        <f t="shared" si="22"/>
        <v>5972652074.5928354</v>
      </c>
      <c r="AF400" s="104"/>
      <c r="AG400" s="104"/>
      <c r="AH400" s="104"/>
      <c r="AI400" s="104"/>
      <c r="AJ400" s="104"/>
    </row>
    <row r="401" spans="25:36" s="132" customFormat="1" hidden="1">
      <c r="Y401" s="152">
        <v>363</v>
      </c>
      <c r="Z401" s="153">
        <f t="shared" si="20"/>
        <v>23983967.944001697</v>
      </c>
      <c r="AA401" s="154">
        <f t="shared" si="21"/>
        <v>14029547.819680316</v>
      </c>
      <c r="AB401" s="155">
        <f t="shared" si="23"/>
        <v>9954420.1243213862</v>
      </c>
      <c r="AC401" s="155">
        <f t="shared" si="22"/>
        <v>5958622526.7731552</v>
      </c>
      <c r="AF401" s="104"/>
      <c r="AG401" s="104"/>
      <c r="AH401" s="104"/>
      <c r="AI401" s="104"/>
      <c r="AJ401" s="104"/>
    </row>
    <row r="402" spans="25:36" s="132" customFormat="1" hidden="1">
      <c r="Y402" s="152">
        <v>364</v>
      </c>
      <c r="Z402" s="153">
        <f t="shared" si="20"/>
        <v>23983967.944001697</v>
      </c>
      <c r="AA402" s="154">
        <f t="shared" si="21"/>
        <v>14052930.399379782</v>
      </c>
      <c r="AB402" s="155">
        <f t="shared" si="23"/>
        <v>9931037.5446219165</v>
      </c>
      <c r="AC402" s="155">
        <f t="shared" si="22"/>
        <v>5944569596.3737755</v>
      </c>
      <c r="AF402" s="104"/>
      <c r="AG402" s="104"/>
      <c r="AH402" s="104"/>
      <c r="AI402" s="104"/>
      <c r="AJ402" s="104"/>
    </row>
    <row r="403" spans="25:36" hidden="1">
      <c r="Y403" s="152">
        <v>365</v>
      </c>
      <c r="Z403" s="153">
        <f t="shared" si="20"/>
        <v>23983967.944001697</v>
      </c>
      <c r="AA403" s="154">
        <f t="shared" si="21"/>
        <v>14076351.950045416</v>
      </c>
      <c r="AB403" s="155">
        <f t="shared" si="23"/>
        <v>9907615.9939562827</v>
      </c>
      <c r="AC403" s="155">
        <f t="shared" si="22"/>
        <v>5930493244.4237299</v>
      </c>
    </row>
    <row r="404" spans="25:36" hidden="1">
      <c r="Y404" s="152">
        <v>366</v>
      </c>
      <c r="Z404" s="153">
        <f t="shared" si="20"/>
        <v>23983967.944001697</v>
      </c>
      <c r="AA404" s="154">
        <f t="shared" si="21"/>
        <v>14099812.536628824</v>
      </c>
      <c r="AB404" s="155">
        <f t="shared" si="23"/>
        <v>9884155.4073728733</v>
      </c>
      <c r="AC404" s="155">
        <f t="shared" si="22"/>
        <v>5916393431.8871012</v>
      </c>
    </row>
    <row r="405" spans="25:36" hidden="1">
      <c r="Y405" s="152">
        <v>367</v>
      </c>
      <c r="Z405" s="153">
        <f t="shared" si="20"/>
        <v>23983967.944001697</v>
      </c>
      <c r="AA405" s="154">
        <f t="shared" si="21"/>
        <v>14123312.224189872</v>
      </c>
      <c r="AB405" s="155">
        <f t="shared" si="23"/>
        <v>9860655.7198118269</v>
      </c>
      <c r="AC405" s="155">
        <f t="shared" si="22"/>
        <v>5902270119.6629114</v>
      </c>
    </row>
    <row r="406" spans="25:36" hidden="1">
      <c r="Y406" s="152">
        <v>368</v>
      </c>
      <c r="Z406" s="153">
        <f t="shared" si="20"/>
        <v>23983967.944001697</v>
      </c>
      <c r="AA406" s="154">
        <f t="shared" si="21"/>
        <v>14146851.077896856</v>
      </c>
      <c r="AB406" s="155">
        <f t="shared" si="23"/>
        <v>9837116.8661048431</v>
      </c>
      <c r="AC406" s="155">
        <f t="shared" si="22"/>
        <v>5888123268.5850143</v>
      </c>
    </row>
    <row r="407" spans="25:36" hidden="1">
      <c r="Y407" s="152">
        <v>369</v>
      </c>
      <c r="Z407" s="153">
        <f t="shared" si="20"/>
        <v>23983967.944001697</v>
      </c>
      <c r="AA407" s="154">
        <f t="shared" si="21"/>
        <v>14170429.163026685</v>
      </c>
      <c r="AB407" s="155">
        <f t="shared" si="23"/>
        <v>9813538.780975014</v>
      </c>
      <c r="AC407" s="155">
        <f t="shared" si="22"/>
        <v>5873952839.4219875</v>
      </c>
    </row>
    <row r="408" spans="25:36" hidden="1">
      <c r="Y408" s="152">
        <v>370</v>
      </c>
      <c r="Z408" s="153">
        <f t="shared" si="20"/>
        <v>23983967.944001697</v>
      </c>
      <c r="AA408" s="154">
        <f t="shared" si="21"/>
        <v>14194046.544965062</v>
      </c>
      <c r="AB408" s="155">
        <f t="shared" si="23"/>
        <v>9789921.3990366366</v>
      </c>
      <c r="AC408" s="155">
        <f t="shared" si="22"/>
        <v>5859758792.8770227</v>
      </c>
    </row>
    <row r="409" spans="25:36" hidden="1">
      <c r="Y409" s="152">
        <v>371</v>
      </c>
      <c r="Z409" s="153">
        <f t="shared" si="20"/>
        <v>23983967.944001697</v>
      </c>
      <c r="AA409" s="154">
        <f t="shared" si="21"/>
        <v>14217703.289206671</v>
      </c>
      <c r="AB409" s="155">
        <f t="shared" si="23"/>
        <v>9766264.6547950301</v>
      </c>
      <c r="AC409" s="155">
        <f t="shared" si="22"/>
        <v>5845541089.5878162</v>
      </c>
    </row>
    <row r="410" spans="25:36" hidden="1">
      <c r="Y410" s="152">
        <v>372</v>
      </c>
      <c r="Z410" s="153">
        <f t="shared" si="20"/>
        <v>23983967.944001697</v>
      </c>
      <c r="AA410" s="154">
        <f t="shared" si="21"/>
        <v>14241399.461355347</v>
      </c>
      <c r="AB410" s="155">
        <f t="shared" si="23"/>
        <v>9742568.4826463498</v>
      </c>
      <c r="AC410" s="155">
        <f t="shared" si="22"/>
        <v>5831299690.126461</v>
      </c>
    </row>
    <row r="411" spans="25:36" hidden="1">
      <c r="Y411" s="152">
        <v>373</v>
      </c>
      <c r="Z411" s="153">
        <f t="shared" si="20"/>
        <v>23983967.944001697</v>
      </c>
      <c r="AA411" s="154">
        <f t="shared" si="21"/>
        <v>14265135.127124274</v>
      </c>
      <c r="AB411" s="155">
        <f t="shared" si="23"/>
        <v>9718832.8168774247</v>
      </c>
      <c r="AC411" s="155">
        <f t="shared" si="22"/>
        <v>5817034554.9993372</v>
      </c>
    </row>
    <row r="412" spans="25:36" hidden="1">
      <c r="Y412" s="152">
        <v>374</v>
      </c>
      <c r="Z412" s="153">
        <f t="shared" si="20"/>
        <v>23983967.944001697</v>
      </c>
      <c r="AA412" s="154">
        <f t="shared" si="21"/>
        <v>14288910.352336148</v>
      </c>
      <c r="AB412" s="155">
        <f t="shared" si="23"/>
        <v>9695057.5916655511</v>
      </c>
      <c r="AC412" s="155">
        <f t="shared" si="22"/>
        <v>5802745644.6470013</v>
      </c>
    </row>
    <row r="413" spans="25:36" hidden="1">
      <c r="Y413" s="152">
        <v>375</v>
      </c>
      <c r="Z413" s="153">
        <f t="shared" si="20"/>
        <v>23983967.944001697</v>
      </c>
      <c r="AA413" s="154">
        <f t="shared" si="21"/>
        <v>14312725.202923374</v>
      </c>
      <c r="AB413" s="155">
        <f t="shared" si="23"/>
        <v>9671242.7410783265</v>
      </c>
      <c r="AC413" s="155">
        <f t="shared" si="22"/>
        <v>5788432919.4440775</v>
      </c>
    </row>
    <row r="414" spans="25:36" hidden="1">
      <c r="Y414" s="152">
        <v>376</v>
      </c>
      <c r="Z414" s="153">
        <f t="shared" si="20"/>
        <v>23983967.944001697</v>
      </c>
      <c r="AA414" s="154">
        <f t="shared" si="21"/>
        <v>14336579.744928246</v>
      </c>
      <c r="AB414" s="155">
        <f t="shared" si="23"/>
        <v>9647388.1990734506</v>
      </c>
      <c r="AC414" s="155">
        <f t="shared" si="22"/>
        <v>5774096339.6991491</v>
      </c>
    </row>
    <row r="415" spans="25:36" hidden="1">
      <c r="Y415" s="152">
        <v>377</v>
      </c>
      <c r="Z415" s="153">
        <f t="shared" si="20"/>
        <v>23983967.944001697</v>
      </c>
      <c r="AA415" s="154">
        <f t="shared" si="21"/>
        <v>14360474.044503124</v>
      </c>
      <c r="AB415" s="155">
        <f t="shared" si="23"/>
        <v>9623493.8994985726</v>
      </c>
      <c r="AC415" s="155">
        <f t="shared" si="22"/>
        <v>5759735865.6546459</v>
      </c>
    </row>
    <row r="416" spans="25:36" hidden="1">
      <c r="Y416" s="152">
        <v>378</v>
      </c>
      <c r="Z416" s="153">
        <f t="shared" si="20"/>
        <v>23983967.944001697</v>
      </c>
      <c r="AA416" s="154">
        <f t="shared" si="21"/>
        <v>14384408.167910632</v>
      </c>
      <c r="AB416" s="155">
        <f t="shared" si="23"/>
        <v>9599559.7760910671</v>
      </c>
      <c r="AC416" s="155">
        <f t="shared" si="22"/>
        <v>5745351457.4867353</v>
      </c>
    </row>
    <row r="417" spans="25:29" hidden="1">
      <c r="Y417" s="152">
        <v>379</v>
      </c>
      <c r="Z417" s="153">
        <f t="shared" si="20"/>
        <v>23983967.944001697</v>
      </c>
      <c r="AA417" s="154">
        <f t="shared" si="21"/>
        <v>14408382.181523817</v>
      </c>
      <c r="AB417" s="155">
        <f t="shared" si="23"/>
        <v>9575585.7624778803</v>
      </c>
      <c r="AC417" s="155">
        <f t="shared" si="22"/>
        <v>5730943075.3052111</v>
      </c>
    </row>
    <row r="418" spans="25:29" hidden="1">
      <c r="Y418" s="152">
        <v>380</v>
      </c>
      <c r="Z418" s="153">
        <f t="shared" si="20"/>
        <v>23983967.944001697</v>
      </c>
      <c r="AA418" s="154">
        <f t="shared" si="21"/>
        <v>14432396.151826357</v>
      </c>
      <c r="AB418" s="155">
        <f t="shared" si="23"/>
        <v>9551571.7921753414</v>
      </c>
      <c r="AC418" s="155">
        <f t="shared" si="22"/>
        <v>5716510679.1533852</v>
      </c>
    </row>
    <row r="419" spans="25:29" hidden="1">
      <c r="Y419" s="152">
        <v>381</v>
      </c>
      <c r="Z419" s="153">
        <f t="shared" si="20"/>
        <v>23983967.944001697</v>
      </c>
      <c r="AA419" s="154">
        <f t="shared" si="21"/>
        <v>14456450.145412734</v>
      </c>
      <c r="AB419" s="155">
        <f t="shared" si="23"/>
        <v>9527517.7985889651</v>
      </c>
      <c r="AC419" s="155">
        <f t="shared" si="22"/>
        <v>5702054229.0079727</v>
      </c>
    </row>
    <row r="420" spans="25:29" hidden="1">
      <c r="Y420" s="152">
        <v>382</v>
      </c>
      <c r="Z420" s="153">
        <f t="shared" si="20"/>
        <v>23983967.944001697</v>
      </c>
      <c r="AA420" s="154">
        <f t="shared" si="21"/>
        <v>14480544.228988422</v>
      </c>
      <c r="AB420" s="155">
        <f t="shared" si="23"/>
        <v>9503423.7150132768</v>
      </c>
      <c r="AC420" s="155">
        <f t="shared" si="22"/>
        <v>5687573684.7789841</v>
      </c>
    </row>
    <row r="421" spans="25:29" hidden="1">
      <c r="Y421" s="152">
        <v>383</v>
      </c>
      <c r="Z421" s="153">
        <f t="shared" si="20"/>
        <v>23983967.944001697</v>
      </c>
      <c r="AA421" s="154">
        <f t="shared" si="21"/>
        <v>14504678.469370069</v>
      </c>
      <c r="AB421" s="155">
        <f t="shared" si="23"/>
        <v>9479289.4746316299</v>
      </c>
      <c r="AC421" s="155">
        <f t="shared" si="22"/>
        <v>5673069006.3096142</v>
      </c>
    </row>
    <row r="422" spans="25:29" hidden="1">
      <c r="Y422" s="152">
        <v>384</v>
      </c>
      <c r="Z422" s="153">
        <f t="shared" si="20"/>
        <v>23983967.944001697</v>
      </c>
      <c r="AA422" s="154">
        <f t="shared" si="21"/>
        <v>14528852.933485685</v>
      </c>
      <c r="AB422" s="155">
        <f t="shared" si="23"/>
        <v>9455115.0105160121</v>
      </c>
      <c r="AC422" s="155">
        <f t="shared" si="22"/>
        <v>5658540153.3761282</v>
      </c>
    </row>
    <row r="423" spans="25:29" hidden="1">
      <c r="Y423" s="152">
        <v>385</v>
      </c>
      <c r="Z423" s="153">
        <f t="shared" si="20"/>
        <v>23983967.944001697</v>
      </c>
      <c r="AA423" s="154">
        <f t="shared" si="21"/>
        <v>14553067.688374827</v>
      </c>
      <c r="AB423" s="155">
        <f t="shared" si="23"/>
        <v>9430900.2556268703</v>
      </c>
      <c r="AC423" s="155">
        <f t="shared" si="22"/>
        <v>5643987085.6877537</v>
      </c>
    </row>
    <row r="424" spans="25:29" hidden="1">
      <c r="Y424" s="152">
        <v>386</v>
      </c>
      <c r="Z424" s="153">
        <f t="shared" ref="Z424:Z487" si="24">IF(Y424&lt;=$AB$32, PMT($AB$31/12,$AB$32,-$AB$30,0,1), 0)</f>
        <v>23983967.944001697</v>
      </c>
      <c r="AA424" s="154">
        <f t="shared" ref="AA424:AA487" si="25">IF(Y424&lt;=$AB$32,-PPMT($AB$31/12,Y424,$AB$32,$AB$30,,1),0)</f>
        <v>14577322.801188786</v>
      </c>
      <c r="AB424" s="155">
        <f t="shared" si="23"/>
        <v>9406645.1428129114</v>
      </c>
      <c r="AC424" s="155">
        <f t="shared" ref="AC424:AC487" si="26">AC423-AA424</f>
        <v>5629409762.8865652</v>
      </c>
    </row>
    <row r="425" spans="25:29" hidden="1">
      <c r="Y425" s="152">
        <v>387</v>
      </c>
      <c r="Z425" s="153">
        <f t="shared" si="24"/>
        <v>23983967.944001697</v>
      </c>
      <c r="AA425" s="154">
        <f t="shared" si="25"/>
        <v>14601618.339190768</v>
      </c>
      <c r="AB425" s="155">
        <f t="shared" ref="AB425:AB488" si="27">IF(Y425&lt;=$AB$32,-IPMT($AB$31/12,Y425,$AB$32,$AB$30,,1),0)</f>
        <v>9382349.6048109308</v>
      </c>
      <c r="AC425" s="155">
        <f t="shared" si="26"/>
        <v>5614808144.5473747</v>
      </c>
    </row>
    <row r="426" spans="25:29" hidden="1">
      <c r="Y426" s="152">
        <v>388</v>
      </c>
      <c r="Z426" s="153">
        <f t="shared" si="24"/>
        <v>23983967.944001697</v>
      </c>
      <c r="AA426" s="154">
        <f t="shared" si="25"/>
        <v>14625954.369756086</v>
      </c>
      <c r="AB426" s="155">
        <f t="shared" si="27"/>
        <v>9358013.5742456131</v>
      </c>
      <c r="AC426" s="155">
        <f t="shared" si="26"/>
        <v>5600182190.177619</v>
      </c>
    </row>
    <row r="427" spans="25:29" hidden="1">
      <c r="Y427" s="152">
        <v>389</v>
      </c>
      <c r="Z427" s="153">
        <f t="shared" si="24"/>
        <v>23983967.944001697</v>
      </c>
      <c r="AA427" s="154">
        <f t="shared" si="25"/>
        <v>14650330.960372344</v>
      </c>
      <c r="AB427" s="155">
        <f t="shared" si="27"/>
        <v>9333636.9836293515</v>
      </c>
      <c r="AC427" s="155">
        <f t="shared" si="26"/>
        <v>5585531859.217247</v>
      </c>
    </row>
    <row r="428" spans="25:29" hidden="1">
      <c r="Y428" s="152">
        <v>390</v>
      </c>
      <c r="Z428" s="153">
        <f t="shared" si="24"/>
        <v>23983967.944001697</v>
      </c>
      <c r="AA428" s="154">
        <f t="shared" si="25"/>
        <v>14674748.178639634</v>
      </c>
      <c r="AB428" s="155">
        <f t="shared" si="27"/>
        <v>9309219.7653620671</v>
      </c>
      <c r="AC428" s="155">
        <f t="shared" si="26"/>
        <v>5570857111.0386076</v>
      </c>
    </row>
    <row r="429" spans="25:29" hidden="1">
      <c r="Y429" s="152">
        <v>391</v>
      </c>
      <c r="Z429" s="153">
        <f t="shared" si="24"/>
        <v>23983967.944001697</v>
      </c>
      <c r="AA429" s="154">
        <f t="shared" si="25"/>
        <v>14699206.092270698</v>
      </c>
      <c r="AB429" s="155">
        <f t="shared" si="27"/>
        <v>9284761.8517309986</v>
      </c>
      <c r="AC429" s="155">
        <f t="shared" si="26"/>
        <v>5556157904.9463367</v>
      </c>
    </row>
    <row r="430" spans="25:29" hidden="1">
      <c r="Y430" s="152">
        <v>392</v>
      </c>
      <c r="Z430" s="153">
        <f t="shared" si="24"/>
        <v>23983967.944001697</v>
      </c>
      <c r="AA430" s="154">
        <f t="shared" si="25"/>
        <v>14723704.769091148</v>
      </c>
      <c r="AB430" s="155">
        <f t="shared" si="27"/>
        <v>9260263.1749105472</v>
      </c>
      <c r="AC430" s="155">
        <f t="shared" si="26"/>
        <v>5541434200.1772451</v>
      </c>
    </row>
    <row r="431" spans="25:29" hidden="1">
      <c r="Y431" s="152">
        <v>393</v>
      </c>
      <c r="Z431" s="153">
        <f t="shared" si="24"/>
        <v>23983967.944001697</v>
      </c>
      <c r="AA431" s="154">
        <f t="shared" si="25"/>
        <v>14748244.277039634</v>
      </c>
      <c r="AB431" s="155">
        <f t="shared" si="27"/>
        <v>9235723.6669620629</v>
      </c>
      <c r="AC431" s="155">
        <f t="shared" si="26"/>
        <v>5526685955.9002056</v>
      </c>
    </row>
    <row r="432" spans="25:29" hidden="1">
      <c r="Y432" s="152">
        <v>394</v>
      </c>
      <c r="Z432" s="153">
        <f t="shared" si="24"/>
        <v>23983967.944001697</v>
      </c>
      <c r="AA432" s="154">
        <f t="shared" si="25"/>
        <v>14772824.684168037</v>
      </c>
      <c r="AB432" s="155">
        <f t="shared" si="27"/>
        <v>9211143.2598336637</v>
      </c>
      <c r="AC432" s="155">
        <f t="shared" si="26"/>
        <v>5511913131.2160378</v>
      </c>
    </row>
    <row r="433" spans="25:29" hidden="1">
      <c r="Y433" s="152">
        <v>395</v>
      </c>
      <c r="Z433" s="153">
        <f t="shared" si="24"/>
        <v>23983967.944001697</v>
      </c>
      <c r="AA433" s="154">
        <f t="shared" si="25"/>
        <v>14797446.058641646</v>
      </c>
      <c r="AB433" s="155">
        <f t="shared" si="27"/>
        <v>9186521.8853600491</v>
      </c>
      <c r="AC433" s="155">
        <f t="shared" si="26"/>
        <v>5497115685.1573963</v>
      </c>
    </row>
    <row r="434" spans="25:29" hidden="1">
      <c r="Y434" s="152">
        <v>396</v>
      </c>
      <c r="Z434" s="153">
        <f t="shared" si="24"/>
        <v>23983967.944001697</v>
      </c>
      <c r="AA434" s="154">
        <f t="shared" si="25"/>
        <v>14822108.468739385</v>
      </c>
      <c r="AB434" s="155">
        <f t="shared" si="27"/>
        <v>9161859.4752623159</v>
      </c>
      <c r="AC434" s="155">
        <f t="shared" si="26"/>
        <v>5482293576.6886568</v>
      </c>
    </row>
    <row r="435" spans="25:29" hidden="1">
      <c r="Y435" s="152">
        <v>397</v>
      </c>
      <c r="Z435" s="153">
        <f t="shared" si="24"/>
        <v>23983967.944001697</v>
      </c>
      <c r="AA435" s="154">
        <f t="shared" si="25"/>
        <v>14846811.982853951</v>
      </c>
      <c r="AB435" s="155">
        <f t="shared" si="27"/>
        <v>9137155.9611477498</v>
      </c>
      <c r="AC435" s="155">
        <f t="shared" si="26"/>
        <v>5467446764.7058029</v>
      </c>
    </row>
    <row r="436" spans="25:29" hidden="1">
      <c r="Y436" s="152">
        <v>398</v>
      </c>
      <c r="Z436" s="153">
        <f t="shared" si="24"/>
        <v>23983967.944001697</v>
      </c>
      <c r="AA436" s="154">
        <f t="shared" si="25"/>
        <v>14871556.66949204</v>
      </c>
      <c r="AB436" s="155">
        <f t="shared" si="27"/>
        <v>9112411.274509659</v>
      </c>
      <c r="AC436" s="155">
        <f t="shared" si="26"/>
        <v>5452575208.0363111</v>
      </c>
    </row>
    <row r="437" spans="25:29" hidden="1">
      <c r="Y437" s="152">
        <v>399</v>
      </c>
      <c r="Z437" s="153">
        <f t="shared" si="24"/>
        <v>23983967.944001697</v>
      </c>
      <c r="AA437" s="154">
        <f t="shared" si="25"/>
        <v>14896342.597274527</v>
      </c>
      <c r="AB437" s="155">
        <f t="shared" si="27"/>
        <v>9087625.3467271719</v>
      </c>
      <c r="AC437" s="155">
        <f t="shared" si="26"/>
        <v>5437678865.4390364</v>
      </c>
    </row>
    <row r="438" spans="25:29" hidden="1">
      <c r="Y438" s="152">
        <v>400</v>
      </c>
      <c r="Z438" s="153">
        <f t="shared" si="24"/>
        <v>23983967.944001697</v>
      </c>
      <c r="AA438" s="154">
        <f t="shared" si="25"/>
        <v>14921169.83493665</v>
      </c>
      <c r="AB438" s="155">
        <f t="shared" si="27"/>
        <v>9062798.1090650503</v>
      </c>
      <c r="AC438" s="155">
        <f t="shared" si="26"/>
        <v>5422757695.6040993</v>
      </c>
    </row>
    <row r="439" spans="25:29" hidden="1">
      <c r="Y439" s="152">
        <v>401</v>
      </c>
      <c r="Z439" s="153">
        <f t="shared" si="24"/>
        <v>23983967.944001697</v>
      </c>
      <c r="AA439" s="154">
        <f t="shared" si="25"/>
        <v>14946038.451328211</v>
      </c>
      <c r="AB439" s="155">
        <f t="shared" si="27"/>
        <v>9037929.4926734846</v>
      </c>
      <c r="AC439" s="155">
        <f t="shared" si="26"/>
        <v>5407811657.152771</v>
      </c>
    </row>
    <row r="440" spans="25:29" hidden="1">
      <c r="Y440" s="152">
        <v>402</v>
      </c>
      <c r="Z440" s="153">
        <f t="shared" si="24"/>
        <v>23983967.944001697</v>
      </c>
      <c r="AA440" s="154">
        <f t="shared" si="25"/>
        <v>14970948.515413757</v>
      </c>
      <c r="AB440" s="155">
        <f t="shared" si="27"/>
        <v>9013019.4285879396</v>
      </c>
      <c r="AC440" s="155">
        <f t="shared" si="26"/>
        <v>5392840708.6373577</v>
      </c>
    </row>
    <row r="441" spans="25:29" hidden="1">
      <c r="Y441" s="152">
        <v>403</v>
      </c>
      <c r="Z441" s="153">
        <f t="shared" si="24"/>
        <v>23983967.944001697</v>
      </c>
      <c r="AA441" s="154">
        <f t="shared" si="25"/>
        <v>14995900.096272781</v>
      </c>
      <c r="AB441" s="155">
        <f t="shared" si="27"/>
        <v>8988067.8477289174</v>
      </c>
      <c r="AC441" s="155">
        <f t="shared" si="26"/>
        <v>5377844808.5410852</v>
      </c>
    </row>
    <row r="442" spans="25:29" hidden="1">
      <c r="Y442" s="152">
        <v>404</v>
      </c>
      <c r="Z442" s="153">
        <f t="shared" si="24"/>
        <v>23983967.944001697</v>
      </c>
      <c r="AA442" s="154">
        <f t="shared" si="25"/>
        <v>15020893.263099903</v>
      </c>
      <c r="AB442" s="155">
        <f t="shared" si="27"/>
        <v>8963074.6809017956</v>
      </c>
      <c r="AC442" s="155">
        <f t="shared" si="26"/>
        <v>5362823915.2779856</v>
      </c>
    </row>
    <row r="443" spans="25:29" hidden="1">
      <c r="Y443" s="152">
        <v>405</v>
      </c>
      <c r="Z443" s="153">
        <f t="shared" si="24"/>
        <v>23983967.944001697</v>
      </c>
      <c r="AA443" s="154">
        <f t="shared" si="25"/>
        <v>15045928.085205069</v>
      </c>
      <c r="AB443" s="155">
        <f t="shared" si="27"/>
        <v>8938039.8587966301</v>
      </c>
      <c r="AC443" s="155">
        <f t="shared" si="26"/>
        <v>5347777987.1927805</v>
      </c>
    </row>
    <row r="444" spans="25:29" hidden="1">
      <c r="Y444" s="152">
        <v>406</v>
      </c>
      <c r="Z444" s="153">
        <f t="shared" si="24"/>
        <v>23983967.944001697</v>
      </c>
      <c r="AA444" s="154">
        <f t="shared" si="25"/>
        <v>15071004.632013744</v>
      </c>
      <c r="AB444" s="155">
        <f t="shared" si="27"/>
        <v>8912963.3119879533</v>
      </c>
      <c r="AC444" s="155">
        <f t="shared" si="26"/>
        <v>5332706982.5607672</v>
      </c>
    </row>
    <row r="445" spans="25:29" hidden="1">
      <c r="Y445" s="152">
        <v>407</v>
      </c>
      <c r="Z445" s="153">
        <f t="shared" si="24"/>
        <v>23983967.944001697</v>
      </c>
      <c r="AA445" s="154">
        <f t="shared" si="25"/>
        <v>15096122.973067099</v>
      </c>
      <c r="AB445" s="155">
        <f t="shared" si="27"/>
        <v>8887844.9709345959</v>
      </c>
      <c r="AC445" s="155">
        <f t="shared" si="26"/>
        <v>5317610859.5876999</v>
      </c>
    </row>
    <row r="446" spans="25:29" hidden="1">
      <c r="Y446" s="152">
        <v>408</v>
      </c>
      <c r="Z446" s="153">
        <f t="shared" si="24"/>
        <v>23983967.944001697</v>
      </c>
      <c r="AA446" s="154">
        <f t="shared" si="25"/>
        <v>15121283.178022213</v>
      </c>
      <c r="AB446" s="155">
        <f t="shared" si="27"/>
        <v>8862684.7659794837</v>
      </c>
      <c r="AC446" s="155">
        <f t="shared" si="26"/>
        <v>5302489576.4096775</v>
      </c>
    </row>
    <row r="447" spans="25:29" hidden="1">
      <c r="Y447" s="152">
        <v>409</v>
      </c>
      <c r="Z447" s="153">
        <f t="shared" si="24"/>
        <v>23983967.944001697</v>
      </c>
      <c r="AA447" s="154">
        <f t="shared" si="25"/>
        <v>15146485.316652251</v>
      </c>
      <c r="AB447" s="155">
        <f t="shared" si="27"/>
        <v>8837482.6273494493</v>
      </c>
      <c r="AC447" s="155">
        <f t="shared" si="26"/>
        <v>5287343091.0930252</v>
      </c>
    </row>
    <row r="448" spans="25:29" hidden="1">
      <c r="Y448" s="152">
        <v>410</v>
      </c>
      <c r="Z448" s="153">
        <f t="shared" si="24"/>
        <v>23983967.944001697</v>
      </c>
      <c r="AA448" s="154">
        <f t="shared" si="25"/>
        <v>15171729.458846672</v>
      </c>
      <c r="AB448" s="155">
        <f t="shared" si="27"/>
        <v>8812238.4851550274</v>
      </c>
      <c r="AC448" s="155">
        <f t="shared" si="26"/>
        <v>5272171361.6341782</v>
      </c>
    </row>
    <row r="449" spans="25:29" hidden="1">
      <c r="Y449" s="152">
        <v>411</v>
      </c>
      <c r="Z449" s="153">
        <f t="shared" si="24"/>
        <v>23983967.944001697</v>
      </c>
      <c r="AA449" s="154">
        <f t="shared" si="25"/>
        <v>15197015.674611414</v>
      </c>
      <c r="AB449" s="155">
        <f t="shared" si="27"/>
        <v>8786952.269390285</v>
      </c>
      <c r="AC449" s="155">
        <f t="shared" si="26"/>
        <v>5256974345.9595671</v>
      </c>
    </row>
    <row r="450" spans="25:29" hidden="1">
      <c r="Y450" s="152">
        <v>412</v>
      </c>
      <c r="Z450" s="153">
        <f t="shared" si="24"/>
        <v>23983967.944001697</v>
      </c>
      <c r="AA450" s="154">
        <f t="shared" si="25"/>
        <v>15222344.0340691</v>
      </c>
      <c r="AB450" s="155">
        <f t="shared" si="27"/>
        <v>8761623.9099325985</v>
      </c>
      <c r="AC450" s="155">
        <f t="shared" si="26"/>
        <v>5241752001.925498</v>
      </c>
    </row>
    <row r="451" spans="25:29" hidden="1">
      <c r="Y451" s="152">
        <v>413</v>
      </c>
      <c r="Z451" s="153">
        <f t="shared" si="24"/>
        <v>23983967.944001697</v>
      </c>
      <c r="AA451" s="154">
        <f t="shared" si="25"/>
        <v>15247714.607459215</v>
      </c>
      <c r="AB451" s="155">
        <f t="shared" si="27"/>
        <v>8736253.3365424816</v>
      </c>
      <c r="AC451" s="155">
        <f t="shared" si="26"/>
        <v>5226504287.3180389</v>
      </c>
    </row>
    <row r="452" spans="25:29" hidden="1">
      <c r="Y452" s="152">
        <v>414</v>
      </c>
      <c r="Z452" s="153">
        <f t="shared" si="24"/>
        <v>23983967.944001697</v>
      </c>
      <c r="AA452" s="154">
        <f t="shared" si="25"/>
        <v>15273127.465138314</v>
      </c>
      <c r="AB452" s="155">
        <f t="shared" si="27"/>
        <v>8710840.4788633827</v>
      </c>
      <c r="AC452" s="155">
        <f t="shared" si="26"/>
        <v>5211231159.8529005</v>
      </c>
    </row>
    <row r="453" spans="25:29" hidden="1">
      <c r="Y453" s="152">
        <v>415</v>
      </c>
      <c r="Z453" s="153">
        <f t="shared" si="24"/>
        <v>23983967.944001697</v>
      </c>
      <c r="AA453" s="154">
        <f t="shared" si="25"/>
        <v>15298582.677580213</v>
      </c>
      <c r="AB453" s="155">
        <f t="shared" si="27"/>
        <v>8685385.2664214857</v>
      </c>
      <c r="AC453" s="155">
        <f t="shared" si="26"/>
        <v>5195932577.1753206</v>
      </c>
    </row>
    <row r="454" spans="25:29" hidden="1">
      <c r="Y454" s="152">
        <v>416</v>
      </c>
      <c r="Z454" s="153">
        <f t="shared" si="24"/>
        <v>23983967.944001697</v>
      </c>
      <c r="AA454" s="154">
        <f t="shared" si="25"/>
        <v>15324080.315376177</v>
      </c>
      <c r="AB454" s="155">
        <f t="shared" si="27"/>
        <v>8659887.6286255214</v>
      </c>
      <c r="AC454" s="155">
        <f t="shared" si="26"/>
        <v>5180608496.8599443</v>
      </c>
    </row>
    <row r="455" spans="25:29" hidden="1">
      <c r="Y455" s="152">
        <v>417</v>
      </c>
      <c r="Z455" s="153">
        <f t="shared" si="24"/>
        <v>23983967.944001697</v>
      </c>
      <c r="AA455" s="154">
        <f t="shared" si="25"/>
        <v>15349620.449235139</v>
      </c>
      <c r="AB455" s="155">
        <f t="shared" si="27"/>
        <v>8634347.4947665595</v>
      </c>
      <c r="AC455" s="155">
        <f t="shared" si="26"/>
        <v>5165258876.4107094</v>
      </c>
    </row>
    <row r="456" spans="25:29" hidden="1">
      <c r="Y456" s="152">
        <v>418</v>
      </c>
      <c r="Z456" s="153">
        <f t="shared" si="24"/>
        <v>23983967.944001697</v>
      </c>
      <c r="AA456" s="154">
        <f t="shared" si="25"/>
        <v>15375203.149983862</v>
      </c>
      <c r="AB456" s="155">
        <f t="shared" si="27"/>
        <v>8608764.7940178327</v>
      </c>
      <c r="AC456" s="155">
        <f t="shared" si="26"/>
        <v>5149883673.260726</v>
      </c>
    </row>
    <row r="457" spans="25:29" hidden="1">
      <c r="Y457" s="152">
        <v>419</v>
      </c>
      <c r="Z457" s="153">
        <f t="shared" si="24"/>
        <v>23983967.944001697</v>
      </c>
      <c r="AA457" s="154">
        <f t="shared" si="25"/>
        <v>15400828.488567172</v>
      </c>
      <c r="AB457" s="155">
        <f t="shared" si="27"/>
        <v>8583139.4554345272</v>
      </c>
      <c r="AC457" s="155">
        <f t="shared" si="26"/>
        <v>5134482844.7721586</v>
      </c>
    </row>
    <row r="458" spans="25:29" hidden="1">
      <c r="Y458" s="152">
        <v>420</v>
      </c>
      <c r="Z458" s="153">
        <f t="shared" si="24"/>
        <v>23983967.944001697</v>
      </c>
      <c r="AA458" s="154">
        <f t="shared" si="25"/>
        <v>15426496.536048114</v>
      </c>
      <c r="AB458" s="155">
        <f t="shared" si="27"/>
        <v>8557471.4079535827</v>
      </c>
      <c r="AC458" s="155">
        <f t="shared" si="26"/>
        <v>5119056348.2361107</v>
      </c>
    </row>
    <row r="459" spans="25:29" hidden="1">
      <c r="Y459" s="152">
        <v>421</v>
      </c>
      <c r="Z459" s="153">
        <f t="shared" si="24"/>
        <v>23983967.944001697</v>
      </c>
      <c r="AA459" s="154">
        <f t="shared" si="25"/>
        <v>15452207.363608195</v>
      </c>
      <c r="AB459" s="155">
        <f t="shared" si="27"/>
        <v>8531760.5803935025</v>
      </c>
      <c r="AC459" s="155">
        <f t="shared" si="26"/>
        <v>5103604140.8725023</v>
      </c>
    </row>
    <row r="460" spans="25:29" hidden="1">
      <c r="Y460" s="152">
        <v>422</v>
      </c>
      <c r="Z460" s="153">
        <f t="shared" si="24"/>
        <v>23983967.944001697</v>
      </c>
      <c r="AA460" s="154">
        <f t="shared" si="25"/>
        <v>15477961.042547544</v>
      </c>
      <c r="AB460" s="155">
        <f t="shared" si="27"/>
        <v>8506006.9014541563</v>
      </c>
      <c r="AC460" s="155">
        <f t="shared" si="26"/>
        <v>5088126179.8299551</v>
      </c>
    </row>
    <row r="461" spans="25:29" hidden="1">
      <c r="Y461" s="152">
        <v>423</v>
      </c>
      <c r="Z461" s="153">
        <f t="shared" si="24"/>
        <v>23983967.944001697</v>
      </c>
      <c r="AA461" s="154">
        <f t="shared" si="25"/>
        <v>15503757.644285124</v>
      </c>
      <c r="AB461" s="155">
        <f t="shared" si="27"/>
        <v>8480210.2997165769</v>
      </c>
      <c r="AC461" s="155">
        <f t="shared" si="26"/>
        <v>5072622422.1856699</v>
      </c>
    </row>
    <row r="462" spans="25:29" hidden="1">
      <c r="Y462" s="152">
        <v>424</v>
      </c>
      <c r="Z462" s="153">
        <f t="shared" si="24"/>
        <v>23983967.944001697</v>
      </c>
      <c r="AA462" s="154">
        <f t="shared" si="25"/>
        <v>15529597.24035893</v>
      </c>
      <c r="AB462" s="155">
        <f t="shared" si="27"/>
        <v>8454370.7036427669</v>
      </c>
      <c r="AC462" s="155">
        <f t="shared" si="26"/>
        <v>5057092824.9453106</v>
      </c>
    </row>
    <row r="463" spans="25:29" hidden="1">
      <c r="Y463" s="152">
        <v>425</v>
      </c>
      <c r="Z463" s="153">
        <f t="shared" si="24"/>
        <v>23983967.944001697</v>
      </c>
      <c r="AA463" s="154">
        <f t="shared" si="25"/>
        <v>15555479.902426198</v>
      </c>
      <c r="AB463" s="155">
        <f t="shared" si="27"/>
        <v>8428488.0415755026</v>
      </c>
      <c r="AC463" s="155">
        <f t="shared" si="26"/>
        <v>5041537345.0428848</v>
      </c>
    </row>
    <row r="464" spans="25:29" hidden="1">
      <c r="Y464" s="152">
        <v>426</v>
      </c>
      <c r="Z464" s="153">
        <f t="shared" si="24"/>
        <v>23983967.944001697</v>
      </c>
      <c r="AA464" s="154">
        <f t="shared" si="25"/>
        <v>15581405.702263571</v>
      </c>
      <c r="AB464" s="155">
        <f t="shared" si="27"/>
        <v>8402562.2417381257</v>
      </c>
      <c r="AC464" s="155">
        <f t="shared" si="26"/>
        <v>5025955939.340621</v>
      </c>
    </row>
    <row r="465" spans="25:29" hidden="1">
      <c r="Y465" s="152">
        <v>427</v>
      </c>
      <c r="Z465" s="153">
        <f t="shared" si="24"/>
        <v>23983967.944001697</v>
      </c>
      <c r="AA465" s="154">
        <f t="shared" si="25"/>
        <v>15607374.711767344</v>
      </c>
      <c r="AB465" s="155">
        <f t="shared" si="27"/>
        <v>8376593.2322343523</v>
      </c>
      <c r="AC465" s="155">
        <f t="shared" si="26"/>
        <v>5010348564.6288538</v>
      </c>
    </row>
    <row r="466" spans="25:29" hidden="1">
      <c r="Y466" s="152">
        <v>428</v>
      </c>
      <c r="Z466" s="153">
        <f t="shared" si="24"/>
        <v>23983967.944001697</v>
      </c>
      <c r="AA466" s="154">
        <f t="shared" si="25"/>
        <v>15633387.002953622</v>
      </c>
      <c r="AB466" s="155">
        <f t="shared" si="27"/>
        <v>8350580.9410480736</v>
      </c>
      <c r="AC466" s="155">
        <f t="shared" si="26"/>
        <v>4994715177.6259003</v>
      </c>
    </row>
    <row r="467" spans="25:29" hidden="1">
      <c r="Y467" s="152">
        <v>429</v>
      </c>
      <c r="Z467" s="153">
        <f t="shared" si="24"/>
        <v>23983967.944001697</v>
      </c>
      <c r="AA467" s="154">
        <f t="shared" si="25"/>
        <v>15659442.647958547</v>
      </c>
      <c r="AB467" s="155">
        <f t="shared" si="27"/>
        <v>8324525.296043152</v>
      </c>
      <c r="AC467" s="155">
        <f t="shared" si="26"/>
        <v>4979055734.9779415</v>
      </c>
    </row>
    <row r="468" spans="25:29" hidden="1">
      <c r="Y468" s="152">
        <v>430</v>
      </c>
      <c r="Z468" s="153">
        <f t="shared" si="24"/>
        <v>23983967.944001697</v>
      </c>
      <c r="AA468" s="154">
        <f t="shared" si="25"/>
        <v>15685541.719038477</v>
      </c>
      <c r="AB468" s="155">
        <f t="shared" si="27"/>
        <v>8298426.2249632217</v>
      </c>
      <c r="AC468" s="155">
        <f t="shared" si="26"/>
        <v>4963370193.2589035</v>
      </c>
    </row>
    <row r="469" spans="25:29" hidden="1">
      <c r="Y469" s="152">
        <v>431</v>
      </c>
      <c r="Z469" s="153">
        <f t="shared" si="24"/>
        <v>23983967.944001697</v>
      </c>
      <c r="AA469" s="154">
        <f t="shared" si="25"/>
        <v>15711684.28857021</v>
      </c>
      <c r="AB469" s="155">
        <f t="shared" si="27"/>
        <v>8272283.6554314904</v>
      </c>
      <c r="AC469" s="155">
        <f t="shared" si="26"/>
        <v>4947658508.9703331</v>
      </c>
    </row>
    <row r="470" spans="25:29" hidden="1">
      <c r="Y470" s="152">
        <v>432</v>
      </c>
      <c r="Z470" s="153">
        <f t="shared" si="24"/>
        <v>23983967.944001697</v>
      </c>
      <c r="AA470" s="154">
        <f t="shared" si="25"/>
        <v>15737870.429051157</v>
      </c>
      <c r="AB470" s="155">
        <f t="shared" si="27"/>
        <v>8246097.5149505381</v>
      </c>
      <c r="AC470" s="155">
        <f t="shared" si="26"/>
        <v>4931920638.5412817</v>
      </c>
    </row>
    <row r="471" spans="25:29" hidden="1">
      <c r="Y471" s="152">
        <v>433</v>
      </c>
      <c r="Z471" s="153">
        <f t="shared" si="24"/>
        <v>23983967.944001697</v>
      </c>
      <c r="AA471" s="154">
        <f t="shared" si="25"/>
        <v>15764100.213099577</v>
      </c>
      <c r="AB471" s="155">
        <f t="shared" si="27"/>
        <v>8219867.7309021214</v>
      </c>
      <c r="AC471" s="155">
        <f t="shared" si="26"/>
        <v>4916156538.3281822</v>
      </c>
    </row>
    <row r="472" spans="25:29" hidden="1">
      <c r="Y472" s="152">
        <v>434</v>
      </c>
      <c r="Z472" s="153">
        <f t="shared" si="24"/>
        <v>23983967.944001697</v>
      </c>
      <c r="AA472" s="154">
        <f t="shared" si="25"/>
        <v>15790373.713454744</v>
      </c>
      <c r="AB472" s="155">
        <f t="shared" si="27"/>
        <v>8193594.230546955</v>
      </c>
      <c r="AC472" s="155">
        <f t="shared" si="26"/>
        <v>4900366164.614727</v>
      </c>
    </row>
    <row r="473" spans="25:29" hidden="1">
      <c r="Y473" s="152">
        <v>435</v>
      </c>
      <c r="Z473" s="153">
        <f t="shared" si="24"/>
        <v>23983967.944001697</v>
      </c>
      <c r="AA473" s="154">
        <f t="shared" si="25"/>
        <v>15816691.002977168</v>
      </c>
      <c r="AB473" s="155">
        <f t="shared" si="27"/>
        <v>8167276.9410245297</v>
      </c>
      <c r="AC473" s="155">
        <f t="shared" si="26"/>
        <v>4884549473.6117496</v>
      </c>
    </row>
    <row r="474" spans="25:29" hidden="1">
      <c r="Y474" s="152">
        <v>436</v>
      </c>
      <c r="Z474" s="153">
        <f t="shared" si="24"/>
        <v>23983967.944001697</v>
      </c>
      <c r="AA474" s="154">
        <f t="shared" si="25"/>
        <v>15843052.154648796</v>
      </c>
      <c r="AB474" s="155">
        <f t="shared" si="27"/>
        <v>8140915.7893529013</v>
      </c>
      <c r="AC474" s="155">
        <f t="shared" si="26"/>
        <v>4868706421.4571009</v>
      </c>
    </row>
    <row r="475" spans="25:29" hidden="1">
      <c r="Y475" s="152">
        <v>437</v>
      </c>
      <c r="Z475" s="153">
        <f t="shared" si="24"/>
        <v>23983967.944001697</v>
      </c>
      <c r="AA475" s="154">
        <f t="shared" si="25"/>
        <v>15869457.241573213</v>
      </c>
      <c r="AB475" s="155">
        <f t="shared" si="27"/>
        <v>8114510.7024284862</v>
      </c>
      <c r="AC475" s="155">
        <f t="shared" si="26"/>
        <v>4852836964.2155275</v>
      </c>
    </row>
    <row r="476" spans="25:29" hidden="1">
      <c r="Y476" s="152">
        <v>438</v>
      </c>
      <c r="Z476" s="153">
        <f t="shared" si="24"/>
        <v>23983967.944001697</v>
      </c>
      <c r="AA476" s="154">
        <f t="shared" si="25"/>
        <v>15895906.336975832</v>
      </c>
      <c r="AB476" s="155">
        <f t="shared" si="27"/>
        <v>8088061.6070258636</v>
      </c>
      <c r="AC476" s="155">
        <f t="shared" si="26"/>
        <v>4836941057.8785515</v>
      </c>
    </row>
    <row r="477" spans="25:29" hidden="1">
      <c r="Y477" s="152">
        <v>439</v>
      </c>
      <c r="Z477" s="153">
        <f t="shared" si="24"/>
        <v>23983967.944001697</v>
      </c>
      <c r="AA477" s="154">
        <f t="shared" si="25"/>
        <v>15922399.514204128</v>
      </c>
      <c r="AB477" s="155">
        <f t="shared" si="27"/>
        <v>8061568.4297975712</v>
      </c>
      <c r="AC477" s="155">
        <f t="shared" si="26"/>
        <v>4821018658.3643475</v>
      </c>
    </row>
    <row r="478" spans="25:29" hidden="1">
      <c r="Y478" s="152">
        <v>440</v>
      </c>
      <c r="Z478" s="153">
        <f t="shared" si="24"/>
        <v>23983967.944001697</v>
      </c>
      <c r="AA478" s="154">
        <f t="shared" si="25"/>
        <v>15948936.8467278</v>
      </c>
      <c r="AB478" s="155">
        <f t="shared" si="27"/>
        <v>8035031.0972738983</v>
      </c>
      <c r="AC478" s="155">
        <f t="shared" si="26"/>
        <v>4805069721.5176201</v>
      </c>
    </row>
    <row r="479" spans="25:29" hidden="1">
      <c r="Y479" s="152">
        <v>441</v>
      </c>
      <c r="Z479" s="153">
        <f t="shared" si="24"/>
        <v>23983967.944001697</v>
      </c>
      <c r="AA479" s="154">
        <f t="shared" si="25"/>
        <v>15975518.408139011</v>
      </c>
      <c r="AB479" s="155">
        <f t="shared" si="27"/>
        <v>8008449.535862688</v>
      </c>
      <c r="AC479" s="155">
        <f t="shared" si="26"/>
        <v>4789094203.1094809</v>
      </c>
    </row>
    <row r="480" spans="25:29" hidden="1">
      <c r="Y480" s="152">
        <v>442</v>
      </c>
      <c r="Z480" s="153">
        <f t="shared" si="24"/>
        <v>23983967.944001697</v>
      </c>
      <c r="AA480" s="154">
        <f t="shared" si="25"/>
        <v>16002144.272152578</v>
      </c>
      <c r="AB480" s="155">
        <f t="shared" si="27"/>
        <v>7981823.6718491204</v>
      </c>
      <c r="AC480" s="155">
        <f t="shared" si="26"/>
        <v>4773092058.837328</v>
      </c>
    </row>
    <row r="481" spans="25:29" hidden="1">
      <c r="Y481" s="152">
        <v>443</v>
      </c>
      <c r="Z481" s="153">
        <f t="shared" si="24"/>
        <v>23983967.944001697</v>
      </c>
      <c r="AA481" s="154">
        <f t="shared" si="25"/>
        <v>16028814.512606166</v>
      </c>
      <c r="AB481" s="155">
        <f t="shared" si="27"/>
        <v>7955153.4313955326</v>
      </c>
      <c r="AC481" s="155">
        <f t="shared" si="26"/>
        <v>4757063244.3247213</v>
      </c>
    </row>
    <row r="482" spans="25:29" hidden="1">
      <c r="Y482" s="152">
        <v>444</v>
      </c>
      <c r="Z482" s="153">
        <f t="shared" si="24"/>
        <v>23983967.944001697</v>
      </c>
      <c r="AA482" s="154">
        <f t="shared" si="25"/>
        <v>16055529.203460509</v>
      </c>
      <c r="AB482" s="155">
        <f t="shared" si="27"/>
        <v>7928438.7405411871</v>
      </c>
      <c r="AC482" s="155">
        <f t="shared" si="26"/>
        <v>4741007715.1212606</v>
      </c>
    </row>
    <row r="483" spans="25:29" hidden="1">
      <c r="Y483" s="152">
        <v>445</v>
      </c>
      <c r="Z483" s="153">
        <f t="shared" si="24"/>
        <v>23983967.944001697</v>
      </c>
      <c r="AA483" s="154">
        <f t="shared" si="25"/>
        <v>16082288.418799609</v>
      </c>
      <c r="AB483" s="155">
        <f t="shared" si="27"/>
        <v>7901679.5252020881</v>
      </c>
      <c r="AC483" s="155">
        <f t="shared" si="26"/>
        <v>4724925426.7024612</v>
      </c>
    </row>
    <row r="484" spans="25:29" hidden="1">
      <c r="Y484" s="152">
        <v>446</v>
      </c>
      <c r="Z484" s="153">
        <f t="shared" si="24"/>
        <v>23983967.944001697</v>
      </c>
      <c r="AA484" s="154">
        <f t="shared" si="25"/>
        <v>16109092.232830944</v>
      </c>
      <c r="AB484" s="155">
        <f t="shared" si="27"/>
        <v>7874875.7111707553</v>
      </c>
      <c r="AC484" s="155">
        <f t="shared" si="26"/>
        <v>4708816334.4696302</v>
      </c>
    </row>
    <row r="485" spans="25:29" hidden="1">
      <c r="Y485" s="152">
        <v>447</v>
      </c>
      <c r="Z485" s="153">
        <f t="shared" si="24"/>
        <v>23983967.944001697</v>
      </c>
      <c r="AA485" s="154">
        <f t="shared" si="25"/>
        <v>16135940.71988566</v>
      </c>
      <c r="AB485" s="155">
        <f t="shared" si="27"/>
        <v>7848027.2241160367</v>
      </c>
      <c r="AC485" s="155">
        <f t="shared" si="26"/>
        <v>4692680393.7497444</v>
      </c>
    </row>
    <row r="486" spans="25:29" hidden="1">
      <c r="Y486" s="152">
        <v>448</v>
      </c>
      <c r="Z486" s="153">
        <f t="shared" si="24"/>
        <v>23983967.944001697</v>
      </c>
      <c r="AA486" s="154">
        <f t="shared" si="25"/>
        <v>16162833.954418801</v>
      </c>
      <c r="AB486" s="155">
        <f t="shared" si="27"/>
        <v>7821133.9895828953</v>
      </c>
      <c r="AC486" s="155">
        <f t="shared" si="26"/>
        <v>4676517559.7953253</v>
      </c>
    </row>
    <row r="487" spans="25:29" hidden="1">
      <c r="Y487" s="152">
        <v>449</v>
      </c>
      <c r="Z487" s="153">
        <f t="shared" si="24"/>
        <v>23983967.944001697</v>
      </c>
      <c r="AA487" s="154">
        <f t="shared" si="25"/>
        <v>16189772.011009503</v>
      </c>
      <c r="AB487" s="155">
        <f t="shared" si="27"/>
        <v>7794195.9329921976</v>
      </c>
      <c r="AC487" s="155">
        <f t="shared" si="26"/>
        <v>4660327787.7843161</v>
      </c>
    </row>
    <row r="488" spans="25:29" hidden="1">
      <c r="Y488" s="152">
        <v>450</v>
      </c>
      <c r="Z488" s="153">
        <f t="shared" ref="Z488:Z551" si="28">IF(Y488&lt;=$AB$32, PMT($AB$31/12,$AB$32,-$AB$30,0,1), 0)</f>
        <v>23983967.944001697</v>
      </c>
      <c r="AA488" s="154">
        <f t="shared" ref="AA488:AA551" si="29">IF(Y488&lt;=$AB$32,-PPMT($AB$31/12,Y488,$AB$32,$AB$30,,1),0)</f>
        <v>16216754.964361181</v>
      </c>
      <c r="AB488" s="155">
        <f t="shared" si="27"/>
        <v>7767212.9796405137</v>
      </c>
      <c r="AC488" s="155">
        <f t="shared" ref="AC488:AC551" si="30">AC487-AA488</f>
        <v>4644111032.8199549</v>
      </c>
    </row>
    <row r="489" spans="25:29" hidden="1">
      <c r="Y489" s="152">
        <v>451</v>
      </c>
      <c r="Z489" s="153">
        <f t="shared" si="28"/>
        <v>23983967.944001697</v>
      </c>
      <c r="AA489" s="154">
        <f t="shared" si="29"/>
        <v>16243782.889301786</v>
      </c>
      <c r="AB489" s="155">
        <f t="shared" ref="AB489:AB552" si="31">IF(Y489&lt;=$AB$32,-IPMT($AB$31/12,Y489,$AB$32,$AB$30,,1),0)</f>
        <v>7740185.0546999127</v>
      </c>
      <c r="AC489" s="155">
        <f t="shared" si="30"/>
        <v>4627867249.9306526</v>
      </c>
    </row>
    <row r="490" spans="25:29" hidden="1">
      <c r="Y490" s="152">
        <v>452</v>
      </c>
      <c r="Z490" s="153">
        <f t="shared" si="28"/>
        <v>23983967.944001697</v>
      </c>
      <c r="AA490" s="154">
        <f t="shared" si="29"/>
        <v>16270855.860783953</v>
      </c>
      <c r="AB490" s="155">
        <f t="shared" si="31"/>
        <v>7713112.0832177419</v>
      </c>
      <c r="AC490" s="155">
        <f t="shared" si="30"/>
        <v>4611596394.069869</v>
      </c>
    </row>
    <row r="491" spans="25:29" hidden="1">
      <c r="Y491" s="152">
        <v>453</v>
      </c>
      <c r="Z491" s="153">
        <f t="shared" si="28"/>
        <v>23983967.944001697</v>
      </c>
      <c r="AA491" s="154">
        <f t="shared" si="29"/>
        <v>16297973.953885261</v>
      </c>
      <c r="AB491" s="155">
        <f t="shared" si="31"/>
        <v>7685993.9901164351</v>
      </c>
      <c r="AC491" s="155">
        <f t="shared" si="30"/>
        <v>4595298420.115984</v>
      </c>
    </row>
    <row r="492" spans="25:29" hidden="1">
      <c r="Y492" s="152">
        <v>454</v>
      </c>
      <c r="Z492" s="153">
        <f t="shared" si="28"/>
        <v>23983967.944001697</v>
      </c>
      <c r="AA492" s="154">
        <f t="shared" si="29"/>
        <v>16325137.243808404</v>
      </c>
      <c r="AB492" s="155">
        <f t="shared" si="31"/>
        <v>7658830.7001932943</v>
      </c>
      <c r="AC492" s="155">
        <f t="shared" si="30"/>
        <v>4578973282.8721752</v>
      </c>
    </row>
    <row r="493" spans="25:29" hidden="1">
      <c r="Y493" s="152">
        <v>455</v>
      </c>
      <c r="Z493" s="153">
        <f t="shared" si="28"/>
        <v>23983967.944001697</v>
      </c>
      <c r="AA493" s="154">
        <f t="shared" si="29"/>
        <v>16352345.805881418</v>
      </c>
      <c r="AB493" s="155">
        <f t="shared" si="31"/>
        <v>7631622.1381202806</v>
      </c>
      <c r="AC493" s="155">
        <f t="shared" si="30"/>
        <v>4562620937.0662937</v>
      </c>
    </row>
    <row r="494" spans="25:29" hidden="1">
      <c r="Y494" s="152">
        <v>456</v>
      </c>
      <c r="Z494" s="153">
        <f t="shared" si="28"/>
        <v>23983967.944001697</v>
      </c>
      <c r="AA494" s="154">
        <f t="shared" si="29"/>
        <v>16379599.715557886</v>
      </c>
      <c r="AB494" s="155">
        <f t="shared" si="31"/>
        <v>7604368.2284438107</v>
      </c>
      <c r="AC494" s="155">
        <f t="shared" si="30"/>
        <v>4546241337.3507357</v>
      </c>
    </row>
    <row r="495" spans="25:29" hidden="1">
      <c r="Y495" s="152">
        <v>457</v>
      </c>
      <c r="Z495" s="153">
        <f t="shared" si="28"/>
        <v>23983967.944001697</v>
      </c>
      <c r="AA495" s="154">
        <f t="shared" si="29"/>
        <v>16406899.048417151</v>
      </c>
      <c r="AB495" s="155">
        <f t="shared" si="31"/>
        <v>7577068.8955845479</v>
      </c>
      <c r="AC495" s="155">
        <f t="shared" si="30"/>
        <v>4529834438.3023186</v>
      </c>
    </row>
    <row r="496" spans="25:29" hidden="1">
      <c r="Y496" s="152">
        <v>458</v>
      </c>
      <c r="Z496" s="153">
        <f t="shared" si="28"/>
        <v>23983967.944001697</v>
      </c>
      <c r="AA496" s="154">
        <f t="shared" si="29"/>
        <v>16434243.88016451</v>
      </c>
      <c r="AB496" s="155">
        <f t="shared" si="31"/>
        <v>7549724.0638371846</v>
      </c>
      <c r="AC496" s="155">
        <f t="shared" si="30"/>
        <v>4513400194.4221544</v>
      </c>
    </row>
    <row r="497" spans="25:29" hidden="1">
      <c r="Y497" s="152">
        <v>459</v>
      </c>
      <c r="Z497" s="153">
        <f t="shared" si="28"/>
        <v>23983967.944001697</v>
      </c>
      <c r="AA497" s="154">
        <f t="shared" si="29"/>
        <v>16461634.286631454</v>
      </c>
      <c r="AB497" s="155">
        <f t="shared" si="31"/>
        <v>7522333.6573702451</v>
      </c>
      <c r="AC497" s="155">
        <f t="shared" si="30"/>
        <v>4496938560.1355228</v>
      </c>
    </row>
    <row r="498" spans="25:29" hidden="1">
      <c r="Y498" s="152">
        <v>460</v>
      </c>
      <c r="Z498" s="153">
        <f t="shared" si="28"/>
        <v>23983967.944001697</v>
      </c>
      <c r="AA498" s="154">
        <f t="shared" si="29"/>
        <v>16489070.343775837</v>
      </c>
      <c r="AB498" s="155">
        <f t="shared" si="31"/>
        <v>7494897.6002258584</v>
      </c>
      <c r="AC498" s="155">
        <f t="shared" si="30"/>
        <v>4480449489.7917471</v>
      </c>
    </row>
    <row r="499" spans="25:29" hidden="1">
      <c r="Y499" s="152">
        <v>461</v>
      </c>
      <c r="Z499" s="153">
        <f t="shared" si="28"/>
        <v>23983967.944001697</v>
      </c>
      <c r="AA499" s="154">
        <f t="shared" si="29"/>
        <v>16516552.127682133</v>
      </c>
      <c r="AB499" s="155">
        <f t="shared" si="31"/>
        <v>7467415.8163195662</v>
      </c>
      <c r="AC499" s="155">
        <f t="shared" si="30"/>
        <v>4463932937.6640654</v>
      </c>
    </row>
    <row r="500" spans="25:29" hidden="1">
      <c r="Y500" s="152">
        <v>462</v>
      </c>
      <c r="Z500" s="153">
        <f t="shared" si="28"/>
        <v>23983967.944001697</v>
      </c>
      <c r="AA500" s="154">
        <f t="shared" si="29"/>
        <v>16544079.714561602</v>
      </c>
      <c r="AB500" s="155">
        <f t="shared" si="31"/>
        <v>7439888.2294400958</v>
      </c>
      <c r="AC500" s="155">
        <f t="shared" si="30"/>
        <v>4447388857.9495039</v>
      </c>
    </row>
    <row r="501" spans="25:29" hidden="1">
      <c r="Y501" s="152">
        <v>463</v>
      </c>
      <c r="Z501" s="153">
        <f t="shared" si="28"/>
        <v>23983967.944001697</v>
      </c>
      <c r="AA501" s="154">
        <f t="shared" si="29"/>
        <v>16571653.180752538</v>
      </c>
      <c r="AB501" s="155">
        <f t="shared" si="31"/>
        <v>7412314.7632491598</v>
      </c>
      <c r="AC501" s="155">
        <f t="shared" si="30"/>
        <v>4430817204.7687511</v>
      </c>
    </row>
    <row r="502" spans="25:29" hidden="1">
      <c r="Y502" s="152">
        <v>464</v>
      </c>
      <c r="Z502" s="153">
        <f t="shared" si="28"/>
        <v>23983967.944001697</v>
      </c>
      <c r="AA502" s="154">
        <f t="shared" si="29"/>
        <v>16599272.602720462</v>
      </c>
      <c r="AB502" s="155">
        <f t="shared" si="31"/>
        <v>7384695.3412812389</v>
      </c>
      <c r="AC502" s="155">
        <f t="shared" si="30"/>
        <v>4414217932.1660309</v>
      </c>
    </row>
    <row r="503" spans="25:29" hidden="1">
      <c r="Y503" s="152">
        <v>465</v>
      </c>
      <c r="Z503" s="153">
        <f t="shared" si="28"/>
        <v>23983967.944001697</v>
      </c>
      <c r="AA503" s="154">
        <f t="shared" si="29"/>
        <v>16626938.057058329</v>
      </c>
      <c r="AB503" s="155">
        <f t="shared" si="31"/>
        <v>7357029.886943371</v>
      </c>
      <c r="AC503" s="155">
        <f t="shared" si="30"/>
        <v>4397590994.1089725</v>
      </c>
    </row>
    <row r="504" spans="25:29" hidden="1">
      <c r="Y504" s="152">
        <v>466</v>
      </c>
      <c r="Z504" s="153">
        <f t="shared" si="28"/>
        <v>23983967.944001697</v>
      </c>
      <c r="AA504" s="154">
        <f t="shared" si="29"/>
        <v>16654649.620486757</v>
      </c>
      <c r="AB504" s="155">
        <f t="shared" si="31"/>
        <v>7329318.3235149421</v>
      </c>
      <c r="AC504" s="155">
        <f t="shared" si="30"/>
        <v>4380936344.4884853</v>
      </c>
    </row>
    <row r="505" spans="25:29" hidden="1">
      <c r="Y505" s="152">
        <v>467</v>
      </c>
      <c r="Z505" s="153">
        <f t="shared" si="28"/>
        <v>23983967.944001697</v>
      </c>
      <c r="AA505" s="154">
        <f t="shared" si="29"/>
        <v>16682407.369854238</v>
      </c>
      <c r="AB505" s="155">
        <f t="shared" si="31"/>
        <v>7301560.5741474628</v>
      </c>
      <c r="AC505" s="155">
        <f t="shared" si="30"/>
        <v>4364253937.1186314</v>
      </c>
    </row>
    <row r="506" spans="25:29" hidden="1">
      <c r="Y506" s="152">
        <v>468</v>
      </c>
      <c r="Z506" s="153">
        <f t="shared" si="28"/>
        <v>23983967.944001697</v>
      </c>
      <c r="AA506" s="154">
        <f t="shared" si="29"/>
        <v>16710211.382137325</v>
      </c>
      <c r="AB506" s="155">
        <f t="shared" si="31"/>
        <v>7273756.5618643742</v>
      </c>
      <c r="AC506" s="155">
        <f t="shared" si="30"/>
        <v>4347543725.7364941</v>
      </c>
    </row>
    <row r="507" spans="25:29" hidden="1">
      <c r="Y507" s="152">
        <v>469</v>
      </c>
      <c r="Z507" s="153">
        <f t="shared" si="28"/>
        <v>23983967.944001697</v>
      </c>
      <c r="AA507" s="154">
        <f t="shared" si="29"/>
        <v>16738061.734440887</v>
      </c>
      <c r="AB507" s="155">
        <f t="shared" si="31"/>
        <v>7245906.2095608106</v>
      </c>
      <c r="AC507" s="155">
        <f t="shared" si="30"/>
        <v>4330805664.0020533</v>
      </c>
    </row>
    <row r="508" spans="25:29" hidden="1">
      <c r="Y508" s="152">
        <v>470</v>
      </c>
      <c r="Z508" s="153">
        <f t="shared" si="28"/>
        <v>23983967.944001697</v>
      </c>
      <c r="AA508" s="154">
        <f t="shared" si="29"/>
        <v>16765958.503998293</v>
      </c>
      <c r="AB508" s="155">
        <f t="shared" si="31"/>
        <v>7218009.44000341</v>
      </c>
      <c r="AC508" s="155">
        <f t="shared" si="30"/>
        <v>4314039705.4980545</v>
      </c>
    </row>
    <row r="509" spans="25:29" hidden="1">
      <c r="Y509" s="152">
        <v>471</v>
      </c>
      <c r="Z509" s="153">
        <f t="shared" si="28"/>
        <v>23983967.944001697</v>
      </c>
      <c r="AA509" s="154">
        <f t="shared" si="29"/>
        <v>16793901.76817162</v>
      </c>
      <c r="AB509" s="155">
        <f t="shared" si="31"/>
        <v>7190066.1758300783</v>
      </c>
      <c r="AC509" s="155">
        <f t="shared" si="30"/>
        <v>4297245803.7298832</v>
      </c>
    </row>
    <row r="510" spans="25:29" hidden="1">
      <c r="Y510" s="152">
        <v>472</v>
      </c>
      <c r="Z510" s="153">
        <f t="shared" si="28"/>
        <v>23983967.944001697</v>
      </c>
      <c r="AA510" s="154">
        <f t="shared" si="29"/>
        <v>16821891.60445191</v>
      </c>
      <c r="AB510" s="155">
        <f t="shared" si="31"/>
        <v>7162076.3395497929</v>
      </c>
      <c r="AC510" s="155">
        <f t="shared" si="30"/>
        <v>4280423912.1254311</v>
      </c>
    </row>
    <row r="511" spans="25:29" hidden="1">
      <c r="Y511" s="152">
        <v>473</v>
      </c>
      <c r="Z511" s="153">
        <f t="shared" si="28"/>
        <v>23983967.944001697</v>
      </c>
      <c r="AA511" s="154">
        <f t="shared" si="29"/>
        <v>16849928.090459324</v>
      </c>
      <c r="AB511" s="155">
        <f t="shared" si="31"/>
        <v>7134039.8535423717</v>
      </c>
      <c r="AC511" s="155">
        <f t="shared" si="30"/>
        <v>4263573984.0349717</v>
      </c>
    </row>
    <row r="512" spans="25:29" hidden="1">
      <c r="Y512" s="152">
        <v>474</v>
      </c>
      <c r="Z512" s="153">
        <f t="shared" si="28"/>
        <v>23983967.944001697</v>
      </c>
      <c r="AA512" s="154">
        <f t="shared" si="29"/>
        <v>16878011.303943425</v>
      </c>
      <c r="AB512" s="155">
        <f t="shared" si="31"/>
        <v>7105956.6400582734</v>
      </c>
      <c r="AC512" s="155">
        <f t="shared" si="30"/>
        <v>4246695972.7310281</v>
      </c>
    </row>
    <row r="513" spans="25:29" hidden="1">
      <c r="Y513" s="152">
        <v>475</v>
      </c>
      <c r="Z513" s="153">
        <f t="shared" si="28"/>
        <v>23983967.944001697</v>
      </c>
      <c r="AA513" s="154">
        <f t="shared" si="29"/>
        <v>16906141.322783329</v>
      </c>
      <c r="AB513" s="155">
        <f t="shared" si="31"/>
        <v>7077826.6212183693</v>
      </c>
      <c r="AC513" s="155">
        <f t="shared" si="30"/>
        <v>4229789831.4082446</v>
      </c>
    </row>
    <row r="514" spans="25:29" hidden="1">
      <c r="Y514" s="152">
        <v>476</v>
      </c>
      <c r="Z514" s="153">
        <f t="shared" si="28"/>
        <v>23983967.944001697</v>
      </c>
      <c r="AA514" s="154">
        <f t="shared" si="29"/>
        <v>16934318.224987969</v>
      </c>
      <c r="AB514" s="155">
        <f t="shared" si="31"/>
        <v>7049649.7190137291</v>
      </c>
      <c r="AC514" s="155">
        <f t="shared" si="30"/>
        <v>4212855513.1832566</v>
      </c>
    </row>
    <row r="515" spans="25:29" hidden="1">
      <c r="Y515" s="152">
        <v>477</v>
      </c>
      <c r="Z515" s="153">
        <f t="shared" si="28"/>
        <v>23983967.944001697</v>
      </c>
      <c r="AA515" s="154">
        <f t="shared" si="29"/>
        <v>16962542.088696282</v>
      </c>
      <c r="AB515" s="155">
        <f t="shared" si="31"/>
        <v>7021425.8553054165</v>
      </c>
      <c r="AC515" s="155">
        <f t="shared" si="30"/>
        <v>4195892971.0945601</v>
      </c>
    </row>
    <row r="516" spans="25:29" hidden="1">
      <c r="Y516" s="152">
        <v>478</v>
      </c>
      <c r="Z516" s="153">
        <f t="shared" si="28"/>
        <v>23983967.944001697</v>
      </c>
      <c r="AA516" s="154">
        <f t="shared" si="29"/>
        <v>16990812.992177442</v>
      </c>
      <c r="AB516" s="155">
        <f t="shared" si="31"/>
        <v>6993154.9518242544</v>
      </c>
      <c r="AC516" s="155">
        <f t="shared" si="30"/>
        <v>4178902158.1023827</v>
      </c>
    </row>
    <row r="517" spans="25:29" hidden="1">
      <c r="Y517" s="152">
        <v>479</v>
      </c>
      <c r="Z517" s="153">
        <f t="shared" si="28"/>
        <v>23983967.944001697</v>
      </c>
      <c r="AA517" s="154">
        <f t="shared" si="29"/>
        <v>17019131.013831072</v>
      </c>
      <c r="AB517" s="155">
        <f t="shared" si="31"/>
        <v>6964836.9301706264</v>
      </c>
      <c r="AC517" s="155">
        <f t="shared" si="30"/>
        <v>4161883027.0885515</v>
      </c>
    </row>
    <row r="518" spans="25:29" hidden="1">
      <c r="Y518" s="152">
        <v>480</v>
      </c>
      <c r="Z518" s="153">
        <f t="shared" si="28"/>
        <v>23983967.944001697</v>
      </c>
      <c r="AA518" s="154">
        <f t="shared" si="29"/>
        <v>17047496.232187457</v>
      </c>
      <c r="AB518" s="155">
        <f t="shared" si="31"/>
        <v>6936471.7118142415</v>
      </c>
      <c r="AC518" s="155">
        <f t="shared" si="30"/>
        <v>4144835530.8563643</v>
      </c>
    </row>
    <row r="519" spans="25:29" hidden="1">
      <c r="Y519" s="152">
        <v>481</v>
      </c>
      <c r="Z519" s="153">
        <f t="shared" si="28"/>
        <v>23983967.944001697</v>
      </c>
      <c r="AA519" s="154">
        <f t="shared" si="29"/>
        <v>17075908.725907769</v>
      </c>
      <c r="AB519" s="155">
        <f t="shared" si="31"/>
        <v>6908059.2180939289</v>
      </c>
      <c r="AC519" s="155">
        <f t="shared" si="30"/>
        <v>4127759622.1304564</v>
      </c>
    </row>
    <row r="520" spans="25:29" hidden="1">
      <c r="Y520" s="152">
        <v>482</v>
      </c>
      <c r="Z520" s="153">
        <f t="shared" si="28"/>
        <v>23983967.944001697</v>
      </c>
      <c r="AA520" s="154">
        <f t="shared" si="29"/>
        <v>17104368.573784284</v>
      </c>
      <c r="AB520" s="155">
        <f t="shared" si="31"/>
        <v>6879599.3702174155</v>
      </c>
      <c r="AC520" s="155">
        <f t="shared" si="30"/>
        <v>4110655253.5566721</v>
      </c>
    </row>
    <row r="521" spans="25:29" hidden="1">
      <c r="Y521" s="152">
        <v>483</v>
      </c>
      <c r="Z521" s="153">
        <f t="shared" si="28"/>
        <v>23983967.944001697</v>
      </c>
      <c r="AA521" s="154">
        <f t="shared" si="29"/>
        <v>17132875.85474059</v>
      </c>
      <c r="AB521" s="155">
        <f t="shared" si="31"/>
        <v>6851092.0892611071</v>
      </c>
      <c r="AC521" s="155">
        <f t="shared" si="30"/>
        <v>4093522377.7019315</v>
      </c>
    </row>
    <row r="522" spans="25:29" hidden="1">
      <c r="Y522" s="152">
        <v>484</v>
      </c>
      <c r="Z522" s="153">
        <f t="shared" si="28"/>
        <v>23983967.944001697</v>
      </c>
      <c r="AA522" s="154">
        <f t="shared" si="29"/>
        <v>17161430.647831824</v>
      </c>
      <c r="AB522" s="155">
        <f t="shared" si="31"/>
        <v>6822537.2961698743</v>
      </c>
      <c r="AC522" s="155">
        <f t="shared" si="30"/>
        <v>4076360947.0540996</v>
      </c>
    </row>
    <row r="523" spans="25:29" hidden="1">
      <c r="Y523" s="152">
        <v>485</v>
      </c>
      <c r="Z523" s="153">
        <f t="shared" si="28"/>
        <v>23983967.944001697</v>
      </c>
      <c r="AA523" s="154">
        <f t="shared" si="29"/>
        <v>17190033.03224488</v>
      </c>
      <c r="AB523" s="155">
        <f t="shared" si="31"/>
        <v>6793934.9117568191</v>
      </c>
      <c r="AC523" s="155">
        <f t="shared" si="30"/>
        <v>4059170914.0218549</v>
      </c>
    </row>
    <row r="524" spans="25:29" hidden="1">
      <c r="Y524" s="152">
        <v>486</v>
      </c>
      <c r="Z524" s="153">
        <f t="shared" si="28"/>
        <v>23983967.944001697</v>
      </c>
      <c r="AA524" s="154">
        <f t="shared" si="29"/>
        <v>17218683.08729862</v>
      </c>
      <c r="AB524" s="155">
        <f t="shared" si="31"/>
        <v>6765284.8567030802</v>
      </c>
      <c r="AC524" s="155">
        <f t="shared" si="30"/>
        <v>4041952230.9345565</v>
      </c>
    </row>
    <row r="525" spans="25:29" hidden="1">
      <c r="Y525" s="152">
        <v>487</v>
      </c>
      <c r="Z525" s="153">
        <f t="shared" si="28"/>
        <v>23983967.944001697</v>
      </c>
      <c r="AA525" s="154">
        <f t="shared" si="29"/>
        <v>17247380.892444115</v>
      </c>
      <c r="AB525" s="155">
        <f t="shared" si="31"/>
        <v>6736587.0515575819</v>
      </c>
      <c r="AC525" s="155">
        <f t="shared" si="30"/>
        <v>4024704850.0421124</v>
      </c>
    </row>
    <row r="526" spans="25:29" hidden="1">
      <c r="Y526" s="152">
        <v>488</v>
      </c>
      <c r="Z526" s="153">
        <f t="shared" si="28"/>
        <v>23983967.944001697</v>
      </c>
      <c r="AA526" s="154">
        <f t="shared" si="29"/>
        <v>17276126.527264856</v>
      </c>
      <c r="AB526" s="155">
        <f t="shared" si="31"/>
        <v>6707841.4167368421</v>
      </c>
      <c r="AC526" s="155">
        <f t="shared" si="30"/>
        <v>4007428723.5148473</v>
      </c>
    </row>
    <row r="527" spans="25:29" hidden="1">
      <c r="Y527" s="152">
        <v>489</v>
      </c>
      <c r="Z527" s="153">
        <f t="shared" si="28"/>
        <v>23983967.944001697</v>
      </c>
      <c r="AA527" s="154">
        <f t="shared" si="29"/>
        <v>17304920.071476962</v>
      </c>
      <c r="AB527" s="155">
        <f t="shared" si="31"/>
        <v>6679047.8725247327</v>
      </c>
      <c r="AC527" s="155">
        <f t="shared" si="30"/>
        <v>3990123803.4433703</v>
      </c>
    </row>
    <row r="528" spans="25:29" hidden="1">
      <c r="Y528" s="152">
        <v>490</v>
      </c>
      <c r="Z528" s="153">
        <f t="shared" si="28"/>
        <v>23983967.944001697</v>
      </c>
      <c r="AA528" s="154">
        <f t="shared" si="29"/>
        <v>17333761.604929429</v>
      </c>
      <c r="AB528" s="155">
        <f t="shared" si="31"/>
        <v>6650206.3390722731</v>
      </c>
      <c r="AC528" s="155">
        <f t="shared" si="30"/>
        <v>3972790041.8384409</v>
      </c>
    </row>
    <row r="529" spans="25:29" hidden="1">
      <c r="Y529" s="152">
        <v>491</v>
      </c>
      <c r="Z529" s="153">
        <f t="shared" si="28"/>
        <v>23983967.944001697</v>
      </c>
      <c r="AA529" s="154">
        <f t="shared" si="29"/>
        <v>17362651.207604308</v>
      </c>
      <c r="AB529" s="155">
        <f t="shared" si="31"/>
        <v>6621316.7363973903</v>
      </c>
      <c r="AC529" s="155">
        <f t="shared" si="30"/>
        <v>3955427390.6308365</v>
      </c>
    </row>
    <row r="530" spans="25:29" hidden="1">
      <c r="Y530" s="152">
        <v>492</v>
      </c>
      <c r="Z530" s="153">
        <f t="shared" si="28"/>
        <v>23983967.944001697</v>
      </c>
      <c r="AA530" s="154">
        <f t="shared" si="29"/>
        <v>17391588.959616985</v>
      </c>
      <c r="AB530" s="155">
        <f t="shared" si="31"/>
        <v>6592378.9843847165</v>
      </c>
      <c r="AC530" s="155">
        <f t="shared" si="30"/>
        <v>3938035801.6712193</v>
      </c>
    </row>
    <row r="531" spans="25:29" hidden="1">
      <c r="Y531" s="152">
        <v>493</v>
      </c>
      <c r="Z531" s="153">
        <f t="shared" si="28"/>
        <v>23983967.944001697</v>
      </c>
      <c r="AA531" s="154">
        <f t="shared" si="29"/>
        <v>17420574.941216342</v>
      </c>
      <c r="AB531" s="155">
        <f t="shared" si="31"/>
        <v>6563393.0027853549</v>
      </c>
      <c r="AC531" s="155">
        <f t="shared" si="30"/>
        <v>3920615226.7300029</v>
      </c>
    </row>
    <row r="532" spans="25:29" hidden="1">
      <c r="Y532" s="152">
        <v>494</v>
      </c>
      <c r="Z532" s="153">
        <f t="shared" si="28"/>
        <v>23983967.944001697</v>
      </c>
      <c r="AA532" s="154">
        <f t="shared" si="29"/>
        <v>17449609.232785035</v>
      </c>
      <c r="AB532" s="155">
        <f t="shared" si="31"/>
        <v>6534358.7112166602</v>
      </c>
      <c r="AC532" s="155">
        <f t="shared" si="30"/>
        <v>3903165617.4972177</v>
      </c>
    </row>
    <row r="533" spans="25:29" hidden="1">
      <c r="Y533" s="152">
        <v>495</v>
      </c>
      <c r="Z533" s="153">
        <f t="shared" si="28"/>
        <v>23983967.944001697</v>
      </c>
      <c r="AA533" s="154">
        <f t="shared" si="29"/>
        <v>17478691.914839681</v>
      </c>
      <c r="AB533" s="155">
        <f t="shared" si="31"/>
        <v>6505276.0291620195</v>
      </c>
      <c r="AC533" s="155">
        <f t="shared" si="30"/>
        <v>3885686925.5823779</v>
      </c>
    </row>
    <row r="534" spans="25:29" hidden="1">
      <c r="Y534" s="152">
        <v>496</v>
      </c>
      <c r="Z534" s="153">
        <f t="shared" si="28"/>
        <v>23983967.944001697</v>
      </c>
      <c r="AA534" s="154">
        <f t="shared" si="29"/>
        <v>17507823.06803108</v>
      </c>
      <c r="AB534" s="155">
        <f t="shared" si="31"/>
        <v>6476144.8759706188</v>
      </c>
      <c r="AC534" s="155">
        <f t="shared" si="30"/>
        <v>3868179102.5143466</v>
      </c>
    </row>
    <row r="535" spans="25:29" hidden="1">
      <c r="Y535" s="152">
        <v>497</v>
      </c>
      <c r="Z535" s="153">
        <f t="shared" si="28"/>
        <v>23983967.944001697</v>
      </c>
      <c r="AA535" s="154">
        <f t="shared" si="29"/>
        <v>17537002.773144465</v>
      </c>
      <c r="AB535" s="155">
        <f t="shared" si="31"/>
        <v>6446965.1708572339</v>
      </c>
      <c r="AC535" s="155">
        <f t="shared" si="30"/>
        <v>3850642099.7412024</v>
      </c>
    </row>
    <row r="536" spans="25:29" hidden="1">
      <c r="Y536" s="152">
        <v>498</v>
      </c>
      <c r="Z536" s="153">
        <f t="shared" si="28"/>
        <v>23983967.944001697</v>
      </c>
      <c r="AA536" s="154">
        <f t="shared" si="29"/>
        <v>17566231.111099705</v>
      </c>
      <c r="AB536" s="155">
        <f t="shared" si="31"/>
        <v>6417736.8329019928</v>
      </c>
      <c r="AC536" s="155">
        <f t="shared" si="30"/>
        <v>3833075868.6301026</v>
      </c>
    </row>
    <row r="537" spans="25:29" hidden="1">
      <c r="Y537" s="152">
        <v>499</v>
      </c>
      <c r="Z537" s="153">
        <f t="shared" si="28"/>
        <v>23983967.944001697</v>
      </c>
      <c r="AA537" s="154">
        <f t="shared" si="29"/>
        <v>17595508.162951536</v>
      </c>
      <c r="AB537" s="155">
        <f t="shared" si="31"/>
        <v>6388459.7810501605</v>
      </c>
      <c r="AC537" s="155">
        <f t="shared" si="30"/>
        <v>3815480360.4671512</v>
      </c>
    </row>
    <row r="538" spans="25:29" hidden="1">
      <c r="Y538" s="152">
        <v>500</v>
      </c>
      <c r="Z538" s="153">
        <f t="shared" si="28"/>
        <v>23983967.944001697</v>
      </c>
      <c r="AA538" s="154">
        <f t="shared" si="29"/>
        <v>17624834.009889789</v>
      </c>
      <c r="AB538" s="155">
        <f t="shared" si="31"/>
        <v>6359133.9341119071</v>
      </c>
      <c r="AC538" s="155">
        <f t="shared" si="30"/>
        <v>3797855526.4572616</v>
      </c>
    </row>
    <row r="539" spans="25:29" hidden="1">
      <c r="Y539" s="152">
        <v>501</v>
      </c>
      <c r="Z539" s="153">
        <f t="shared" si="28"/>
        <v>23983967.944001697</v>
      </c>
      <c r="AA539" s="154">
        <f t="shared" si="29"/>
        <v>17654208.733239606</v>
      </c>
      <c r="AB539" s="155">
        <f t="shared" si="31"/>
        <v>6329759.2107620919</v>
      </c>
      <c r="AC539" s="155">
        <f t="shared" si="30"/>
        <v>3780201317.7240219</v>
      </c>
    </row>
    <row r="540" spans="25:29" hidden="1">
      <c r="Y540" s="152">
        <v>502</v>
      </c>
      <c r="Z540" s="153">
        <f t="shared" si="28"/>
        <v>23983967.944001697</v>
      </c>
      <c r="AA540" s="154">
        <f t="shared" si="29"/>
        <v>17683632.414461672</v>
      </c>
      <c r="AB540" s="155">
        <f t="shared" si="31"/>
        <v>6300335.5295400247</v>
      </c>
      <c r="AC540" s="155">
        <f t="shared" si="30"/>
        <v>3762517685.3095603</v>
      </c>
    </row>
    <row r="541" spans="25:29" hidden="1">
      <c r="Y541" s="152">
        <v>503</v>
      </c>
      <c r="Z541" s="153">
        <f t="shared" si="28"/>
        <v>23983967.944001697</v>
      </c>
      <c r="AA541" s="154">
        <f t="shared" si="29"/>
        <v>17713105.135152444</v>
      </c>
      <c r="AB541" s="155">
        <f t="shared" si="31"/>
        <v>6270862.8088492565</v>
      </c>
      <c r="AC541" s="155">
        <f t="shared" si="30"/>
        <v>3744804580.174408</v>
      </c>
    </row>
    <row r="542" spans="25:29" hidden="1">
      <c r="Y542" s="152">
        <v>504</v>
      </c>
      <c r="Z542" s="153">
        <f t="shared" si="28"/>
        <v>23983967.944001697</v>
      </c>
      <c r="AA542" s="154">
        <f t="shared" si="29"/>
        <v>17742626.977044363</v>
      </c>
      <c r="AB542" s="155">
        <f t="shared" si="31"/>
        <v>6241340.9669573354</v>
      </c>
      <c r="AC542" s="155">
        <f t="shared" si="30"/>
        <v>3727061953.1973634</v>
      </c>
    </row>
    <row r="543" spans="25:29" hidden="1">
      <c r="Y543" s="152">
        <v>505</v>
      </c>
      <c r="Z543" s="153">
        <f t="shared" si="28"/>
        <v>23983967.944001697</v>
      </c>
      <c r="AA543" s="154">
        <f t="shared" si="29"/>
        <v>17772198.022006102</v>
      </c>
      <c r="AB543" s="155">
        <f t="shared" si="31"/>
        <v>6211769.9219955951</v>
      </c>
      <c r="AC543" s="155">
        <f t="shared" si="30"/>
        <v>3709289755.1753573</v>
      </c>
    </row>
    <row r="544" spans="25:29" hidden="1">
      <c r="Y544" s="152">
        <v>506</v>
      </c>
      <c r="Z544" s="153">
        <f t="shared" si="28"/>
        <v>23983967.944001697</v>
      </c>
      <c r="AA544" s="154">
        <f t="shared" si="29"/>
        <v>17801818.352042779</v>
      </c>
      <c r="AB544" s="155">
        <f t="shared" si="31"/>
        <v>6182149.5919589177</v>
      </c>
      <c r="AC544" s="155">
        <f t="shared" si="30"/>
        <v>3691487936.8233147</v>
      </c>
    </row>
    <row r="545" spans="25:29" hidden="1">
      <c r="Y545" s="152">
        <v>507</v>
      </c>
      <c r="Z545" s="153">
        <f t="shared" si="28"/>
        <v>23983967.944001697</v>
      </c>
      <c r="AA545" s="154">
        <f t="shared" si="29"/>
        <v>17831488.049296189</v>
      </c>
      <c r="AB545" s="155">
        <f t="shared" si="31"/>
        <v>6152479.8947055126</v>
      </c>
      <c r="AC545" s="155">
        <f t="shared" si="30"/>
        <v>3673656448.7740183</v>
      </c>
    </row>
    <row r="546" spans="25:29" hidden="1">
      <c r="Y546" s="152">
        <v>508</v>
      </c>
      <c r="Z546" s="153">
        <f t="shared" si="28"/>
        <v>23983967.944001697</v>
      </c>
      <c r="AA546" s="154">
        <f t="shared" si="29"/>
        <v>17861207.196045015</v>
      </c>
      <c r="AB546" s="155">
        <f t="shared" si="31"/>
        <v>6122760.7479566867</v>
      </c>
      <c r="AC546" s="155">
        <f t="shared" si="30"/>
        <v>3655795241.5779734</v>
      </c>
    </row>
    <row r="547" spans="25:29" hidden="1">
      <c r="Y547" s="152">
        <v>509</v>
      </c>
      <c r="Z547" s="153">
        <f t="shared" si="28"/>
        <v>23983967.944001697</v>
      </c>
      <c r="AA547" s="154">
        <f t="shared" si="29"/>
        <v>17890975.874705087</v>
      </c>
      <c r="AB547" s="155">
        <f t="shared" si="31"/>
        <v>6092992.0692966105</v>
      </c>
      <c r="AC547" s="155">
        <f t="shared" si="30"/>
        <v>3637904265.7032681</v>
      </c>
    </row>
    <row r="548" spans="25:29" hidden="1">
      <c r="Y548" s="152">
        <v>510</v>
      </c>
      <c r="Z548" s="153">
        <f t="shared" si="28"/>
        <v>23983967.944001697</v>
      </c>
      <c r="AA548" s="154">
        <f t="shared" si="29"/>
        <v>17920794.167829596</v>
      </c>
      <c r="AB548" s="155">
        <f t="shared" si="31"/>
        <v>6063173.7761721024</v>
      </c>
      <c r="AC548" s="155">
        <f t="shared" si="30"/>
        <v>3619983471.5354385</v>
      </c>
    </row>
    <row r="549" spans="25:29" hidden="1">
      <c r="Y549" s="152">
        <v>511</v>
      </c>
      <c r="Z549" s="153">
        <f t="shared" si="28"/>
        <v>23983967.944001697</v>
      </c>
      <c r="AA549" s="154">
        <f t="shared" si="29"/>
        <v>17950662.158109315</v>
      </c>
      <c r="AB549" s="155">
        <f t="shared" si="31"/>
        <v>6033305.7858923851</v>
      </c>
      <c r="AC549" s="155">
        <f t="shared" si="30"/>
        <v>3602032809.3773293</v>
      </c>
    </row>
    <row r="550" spans="25:29" hidden="1">
      <c r="Y550" s="152">
        <v>512</v>
      </c>
      <c r="Z550" s="153">
        <f t="shared" si="28"/>
        <v>23983967.944001697</v>
      </c>
      <c r="AA550" s="154">
        <f t="shared" si="29"/>
        <v>17980579.928372826</v>
      </c>
      <c r="AB550" s="155">
        <f t="shared" si="31"/>
        <v>6003388.0156288715</v>
      </c>
      <c r="AC550" s="155">
        <f t="shared" si="30"/>
        <v>3584052229.4489565</v>
      </c>
    </row>
    <row r="551" spans="25:29" hidden="1">
      <c r="Y551" s="152">
        <v>513</v>
      </c>
      <c r="Z551" s="153">
        <f t="shared" si="28"/>
        <v>23983967.944001697</v>
      </c>
      <c r="AA551" s="154">
        <f t="shared" si="29"/>
        <v>18010547.561586779</v>
      </c>
      <c r="AB551" s="155">
        <f t="shared" si="31"/>
        <v>5973420.3824149175</v>
      </c>
      <c r="AC551" s="155">
        <f t="shared" si="30"/>
        <v>3566041681.8873696</v>
      </c>
    </row>
    <row r="552" spans="25:29" hidden="1">
      <c r="Y552" s="152">
        <v>514</v>
      </c>
      <c r="Z552" s="153">
        <f t="shared" ref="Z552:Z615" si="32">IF(Y552&lt;=$AB$32, PMT($AB$31/12,$AB$32,-$AB$30,0,1), 0)</f>
        <v>23983967.944001697</v>
      </c>
      <c r="AA552" s="154">
        <f t="shared" ref="AA552:AA615" si="33">IF(Y552&lt;=$AB$32,-PPMT($AB$31/12,Y552,$AB$32,$AB$30,,1),0)</f>
        <v>18040565.140856095</v>
      </c>
      <c r="AB552" s="155">
        <f t="shared" si="31"/>
        <v>5943402.8031456051</v>
      </c>
      <c r="AC552" s="155">
        <f t="shared" ref="AC552:AC615" si="34">AC551-AA552</f>
        <v>3548001116.7465134</v>
      </c>
    </row>
    <row r="553" spans="25:29" hidden="1">
      <c r="Y553" s="152">
        <v>515</v>
      </c>
      <c r="Z553" s="153">
        <f t="shared" si="32"/>
        <v>23983967.944001697</v>
      </c>
      <c r="AA553" s="154">
        <f t="shared" si="33"/>
        <v>18070632.749424186</v>
      </c>
      <c r="AB553" s="155">
        <f t="shared" ref="AB553:AB616" si="35">IF(Y553&lt;=$AB$32,-IPMT($AB$31/12,Y553,$AB$32,$AB$30,,1),0)</f>
        <v>5913335.1945775123</v>
      </c>
      <c r="AC553" s="155">
        <f t="shared" si="34"/>
        <v>3529930483.9970894</v>
      </c>
    </row>
    <row r="554" spans="25:29" hidden="1">
      <c r="Y554" s="152">
        <v>516</v>
      </c>
      <c r="Z554" s="153">
        <f t="shared" si="32"/>
        <v>23983967.944001697</v>
      </c>
      <c r="AA554" s="154">
        <f t="shared" si="33"/>
        <v>18100750.470673226</v>
      </c>
      <c r="AB554" s="155">
        <f t="shared" si="35"/>
        <v>5883217.4733284712</v>
      </c>
      <c r="AC554" s="155">
        <f t="shared" si="34"/>
        <v>3511829733.5264163</v>
      </c>
    </row>
    <row r="555" spans="25:29" hidden="1">
      <c r="Y555" s="152">
        <v>517</v>
      </c>
      <c r="Z555" s="153">
        <f t="shared" si="32"/>
        <v>23983967.944001697</v>
      </c>
      <c r="AA555" s="154">
        <f t="shared" si="33"/>
        <v>18130918.38812435</v>
      </c>
      <c r="AB555" s="155">
        <f t="shared" si="35"/>
        <v>5853049.5558773503</v>
      </c>
      <c r="AC555" s="155">
        <f t="shared" si="34"/>
        <v>3493698815.1382918</v>
      </c>
    </row>
    <row r="556" spans="25:29" hidden="1">
      <c r="Y556" s="152">
        <v>518</v>
      </c>
      <c r="Z556" s="153">
        <f t="shared" si="32"/>
        <v>23983967.944001697</v>
      </c>
      <c r="AA556" s="154">
        <f t="shared" si="33"/>
        <v>18161136.58543789</v>
      </c>
      <c r="AB556" s="155">
        <f t="shared" si="35"/>
        <v>5822831.3585638069</v>
      </c>
      <c r="AC556" s="155">
        <f t="shared" si="34"/>
        <v>3475537678.5528541</v>
      </c>
    </row>
    <row r="557" spans="25:29" hidden="1">
      <c r="Y557" s="152">
        <v>519</v>
      </c>
      <c r="Z557" s="153">
        <f t="shared" si="32"/>
        <v>23983967.944001697</v>
      </c>
      <c r="AA557" s="154">
        <f t="shared" si="33"/>
        <v>18191405.146413621</v>
      </c>
      <c r="AB557" s="155">
        <f t="shared" si="35"/>
        <v>5792562.7975880783</v>
      </c>
      <c r="AC557" s="155">
        <f t="shared" si="34"/>
        <v>3457346273.4064403</v>
      </c>
    </row>
    <row r="558" spans="25:29" hidden="1">
      <c r="Y558" s="152">
        <v>520</v>
      </c>
      <c r="Z558" s="153">
        <f t="shared" si="32"/>
        <v>23983967.944001697</v>
      </c>
      <c r="AA558" s="154">
        <f t="shared" si="33"/>
        <v>18221724.154990975</v>
      </c>
      <c r="AB558" s="155">
        <f t="shared" si="35"/>
        <v>5762243.7890107231</v>
      </c>
      <c r="AC558" s="155">
        <f t="shared" si="34"/>
        <v>3439124549.2514491</v>
      </c>
    </row>
    <row r="559" spans="25:29" hidden="1">
      <c r="Y559" s="152">
        <v>521</v>
      </c>
      <c r="Z559" s="153">
        <f t="shared" si="32"/>
        <v>23983967.944001697</v>
      </c>
      <c r="AA559" s="154">
        <f t="shared" si="33"/>
        <v>18252093.695249293</v>
      </c>
      <c r="AB559" s="155">
        <f t="shared" si="35"/>
        <v>5731874.248752404</v>
      </c>
      <c r="AC559" s="155">
        <f t="shared" si="34"/>
        <v>3420872455.5562</v>
      </c>
    </row>
    <row r="560" spans="25:29" hidden="1">
      <c r="Y560" s="152">
        <v>522</v>
      </c>
      <c r="Z560" s="153">
        <f t="shared" si="32"/>
        <v>23983967.944001697</v>
      </c>
      <c r="AA560" s="154">
        <f t="shared" si="33"/>
        <v>18282513.851408038</v>
      </c>
      <c r="AB560" s="155">
        <f t="shared" si="35"/>
        <v>5701454.0925936559</v>
      </c>
      <c r="AC560" s="155">
        <f t="shared" si="34"/>
        <v>3402589941.704792</v>
      </c>
    </row>
    <row r="561" spans="25:29" hidden="1">
      <c r="Y561" s="152">
        <v>523</v>
      </c>
      <c r="Z561" s="153">
        <f t="shared" si="32"/>
        <v>23983967.944001697</v>
      </c>
      <c r="AA561" s="154">
        <f t="shared" si="33"/>
        <v>18312984.707827058</v>
      </c>
      <c r="AB561" s="155">
        <f t="shared" si="35"/>
        <v>5670983.2361746412</v>
      </c>
      <c r="AC561" s="155">
        <f t="shared" si="34"/>
        <v>3384276956.9969649</v>
      </c>
    </row>
    <row r="562" spans="25:29" hidden="1">
      <c r="Y562" s="152">
        <v>524</v>
      </c>
      <c r="Z562" s="153">
        <f t="shared" si="32"/>
        <v>23983967.944001697</v>
      </c>
      <c r="AA562" s="154">
        <f t="shared" si="33"/>
        <v>18343506.349006768</v>
      </c>
      <c r="AB562" s="155">
        <f t="shared" si="35"/>
        <v>5640461.5949949306</v>
      </c>
      <c r="AC562" s="155">
        <f t="shared" si="34"/>
        <v>3365933450.6479583</v>
      </c>
    </row>
    <row r="563" spans="25:29" hidden="1">
      <c r="Y563" s="152">
        <v>525</v>
      </c>
      <c r="Z563" s="153">
        <f t="shared" si="32"/>
        <v>23983967.944001697</v>
      </c>
      <c r="AA563" s="154">
        <f t="shared" si="33"/>
        <v>18374078.859588444</v>
      </c>
      <c r="AB563" s="155">
        <f t="shared" si="35"/>
        <v>5609889.0844132518</v>
      </c>
      <c r="AC563" s="155">
        <f t="shared" si="34"/>
        <v>3347559371.7883697</v>
      </c>
    </row>
    <row r="564" spans="25:29" hidden="1">
      <c r="Y564" s="152">
        <v>526</v>
      </c>
      <c r="Z564" s="153">
        <f t="shared" si="32"/>
        <v>23983967.944001697</v>
      </c>
      <c r="AA564" s="154">
        <f t="shared" si="33"/>
        <v>18404702.324354425</v>
      </c>
      <c r="AB564" s="155">
        <f t="shared" si="35"/>
        <v>5579265.6196472719</v>
      </c>
      <c r="AC564" s="155">
        <f t="shared" si="34"/>
        <v>3329154669.464015</v>
      </c>
    </row>
    <row r="565" spans="25:29" hidden="1">
      <c r="Y565" s="152">
        <v>527</v>
      </c>
      <c r="Z565" s="153">
        <f t="shared" si="32"/>
        <v>23983967.944001697</v>
      </c>
      <c r="AA565" s="154">
        <f t="shared" si="33"/>
        <v>18435376.828228354</v>
      </c>
      <c r="AB565" s="155">
        <f t="shared" si="35"/>
        <v>5548591.1157733481</v>
      </c>
      <c r="AC565" s="155">
        <f t="shared" si="34"/>
        <v>3310719292.6357865</v>
      </c>
    </row>
    <row r="566" spans="25:29" hidden="1">
      <c r="Y566" s="152">
        <v>528</v>
      </c>
      <c r="Z566" s="153">
        <f t="shared" si="32"/>
        <v>23983967.944001697</v>
      </c>
      <c r="AA566" s="154">
        <f t="shared" si="33"/>
        <v>18466102.456275396</v>
      </c>
      <c r="AB566" s="155">
        <f t="shared" si="35"/>
        <v>5517865.487726301</v>
      </c>
      <c r="AC566" s="155">
        <f t="shared" si="34"/>
        <v>3292253190.1795111</v>
      </c>
    </row>
    <row r="567" spans="25:29" hidden="1">
      <c r="Y567" s="152">
        <v>529</v>
      </c>
      <c r="Z567" s="153">
        <f t="shared" si="32"/>
        <v>23983967.944001697</v>
      </c>
      <c r="AA567" s="154">
        <f t="shared" si="33"/>
        <v>18496879.293702524</v>
      </c>
      <c r="AB567" s="155">
        <f t="shared" si="35"/>
        <v>5487088.6502991738</v>
      </c>
      <c r="AC567" s="155">
        <f t="shared" si="34"/>
        <v>3273756310.8858085</v>
      </c>
    </row>
    <row r="568" spans="25:29" hidden="1">
      <c r="Y568" s="152">
        <v>530</v>
      </c>
      <c r="Z568" s="153">
        <f t="shared" si="32"/>
        <v>23983967.944001697</v>
      </c>
      <c r="AA568" s="154">
        <f t="shared" si="33"/>
        <v>18527707.425858695</v>
      </c>
      <c r="AB568" s="155">
        <f t="shared" si="35"/>
        <v>5456260.5181430047</v>
      </c>
      <c r="AC568" s="155">
        <f t="shared" si="34"/>
        <v>3255228603.45995</v>
      </c>
    </row>
    <row r="569" spans="25:29" hidden="1">
      <c r="Y569" s="152">
        <v>531</v>
      </c>
      <c r="Z569" s="153">
        <f t="shared" si="32"/>
        <v>23983967.944001697</v>
      </c>
      <c r="AA569" s="154">
        <f t="shared" si="33"/>
        <v>18558586.938235123</v>
      </c>
      <c r="AB569" s="155">
        <f t="shared" si="35"/>
        <v>5425381.0057665724</v>
      </c>
      <c r="AC569" s="155">
        <f t="shared" si="34"/>
        <v>3236670016.5217147</v>
      </c>
    </row>
    <row r="570" spans="25:29" hidden="1">
      <c r="Y570" s="152">
        <v>532</v>
      </c>
      <c r="Z570" s="153">
        <f t="shared" si="32"/>
        <v>23983967.944001697</v>
      </c>
      <c r="AA570" s="154">
        <f t="shared" si="33"/>
        <v>18589517.916465517</v>
      </c>
      <c r="AB570" s="155">
        <f t="shared" si="35"/>
        <v>5394450.0275361817</v>
      </c>
      <c r="AC570" s="155">
        <f t="shared" si="34"/>
        <v>3218080498.6052494</v>
      </c>
    </row>
    <row r="571" spans="25:29" hidden="1">
      <c r="Y571" s="152">
        <v>533</v>
      </c>
      <c r="Z571" s="153">
        <f t="shared" si="32"/>
        <v>23983967.944001697</v>
      </c>
      <c r="AA571" s="154">
        <f t="shared" si="33"/>
        <v>18620500.446326293</v>
      </c>
      <c r="AB571" s="155">
        <f t="shared" si="35"/>
        <v>5363467.4976754058</v>
      </c>
      <c r="AC571" s="155">
        <f t="shared" si="34"/>
        <v>3199459998.1589231</v>
      </c>
    </row>
    <row r="572" spans="25:29" hidden="1">
      <c r="Y572" s="152">
        <v>534</v>
      </c>
      <c r="Z572" s="153">
        <f t="shared" si="32"/>
        <v>23983967.944001697</v>
      </c>
      <c r="AA572" s="154">
        <f t="shared" si="33"/>
        <v>18651534.613736838</v>
      </c>
      <c r="AB572" s="155">
        <f t="shared" si="35"/>
        <v>5332433.3302648608</v>
      </c>
      <c r="AC572" s="155">
        <f t="shared" si="34"/>
        <v>3180808463.5451865</v>
      </c>
    </row>
    <row r="573" spans="25:29" hidden="1">
      <c r="Y573" s="152">
        <v>535</v>
      </c>
      <c r="Z573" s="153">
        <f t="shared" si="32"/>
        <v>23983967.944001697</v>
      </c>
      <c r="AA573" s="154">
        <f t="shared" si="33"/>
        <v>18682620.504759729</v>
      </c>
      <c r="AB573" s="155">
        <f t="shared" si="35"/>
        <v>5301347.4392419662</v>
      </c>
      <c r="AC573" s="155">
        <f t="shared" si="34"/>
        <v>3162125843.0404267</v>
      </c>
    </row>
    <row r="574" spans="25:29" hidden="1">
      <c r="Y574" s="152">
        <v>536</v>
      </c>
      <c r="Z574" s="153">
        <f t="shared" si="32"/>
        <v>23983967.944001697</v>
      </c>
      <c r="AA574" s="154">
        <f t="shared" si="33"/>
        <v>18713758.205600999</v>
      </c>
      <c r="AB574" s="155">
        <f t="shared" si="35"/>
        <v>5270209.7384007005</v>
      </c>
      <c r="AC574" s="155">
        <f t="shared" si="34"/>
        <v>3143412084.8348255</v>
      </c>
    </row>
    <row r="575" spans="25:29" hidden="1">
      <c r="Y575" s="152">
        <v>537</v>
      </c>
      <c r="Z575" s="153">
        <f t="shared" si="32"/>
        <v>23983967.944001697</v>
      </c>
      <c r="AA575" s="154">
        <f t="shared" si="33"/>
        <v>18744947.802610334</v>
      </c>
      <c r="AB575" s="155">
        <f t="shared" si="35"/>
        <v>5239020.1413913658</v>
      </c>
      <c r="AC575" s="155">
        <f t="shared" si="34"/>
        <v>3124667137.0322151</v>
      </c>
    </row>
    <row r="576" spans="25:29" hidden="1">
      <c r="Y576" s="152">
        <v>538</v>
      </c>
      <c r="Z576" s="153">
        <f t="shared" si="32"/>
        <v>23983967.944001697</v>
      </c>
      <c r="AA576" s="154">
        <f t="shared" si="33"/>
        <v>18776189.382281348</v>
      </c>
      <c r="AB576" s="155">
        <f t="shared" si="35"/>
        <v>5207778.561720348</v>
      </c>
      <c r="AC576" s="155">
        <f t="shared" si="34"/>
        <v>3105890947.6499338</v>
      </c>
    </row>
    <row r="577" spans="25:29" hidden="1">
      <c r="Y577" s="152">
        <v>539</v>
      </c>
      <c r="Z577" s="153">
        <f t="shared" si="32"/>
        <v>23983967.944001697</v>
      </c>
      <c r="AA577" s="154">
        <f t="shared" si="33"/>
        <v>18807483.031251818</v>
      </c>
      <c r="AB577" s="155">
        <f t="shared" si="35"/>
        <v>5176484.9127498791</v>
      </c>
      <c r="AC577" s="155">
        <f t="shared" si="34"/>
        <v>3087083464.6186819</v>
      </c>
    </row>
    <row r="578" spans="25:29" hidden="1">
      <c r="Y578" s="152">
        <v>540</v>
      </c>
      <c r="Z578" s="153">
        <f t="shared" si="32"/>
        <v>23983967.944001697</v>
      </c>
      <c r="AA578" s="154">
        <f t="shared" si="33"/>
        <v>18838828.836303905</v>
      </c>
      <c r="AB578" s="155">
        <f t="shared" si="35"/>
        <v>5145139.1076977924</v>
      </c>
      <c r="AC578" s="155">
        <f t="shared" si="34"/>
        <v>3068244635.7823782</v>
      </c>
    </row>
    <row r="579" spans="25:29" hidden="1">
      <c r="Y579" s="152">
        <v>541</v>
      </c>
      <c r="Z579" s="153">
        <f t="shared" si="32"/>
        <v>23983967.944001697</v>
      </c>
      <c r="AA579" s="154">
        <f t="shared" si="33"/>
        <v>18870226.884364411</v>
      </c>
      <c r="AB579" s="155">
        <f t="shared" si="35"/>
        <v>5113741.0596372858</v>
      </c>
      <c r="AC579" s="155">
        <f t="shared" si="34"/>
        <v>3049374408.8980136</v>
      </c>
    </row>
    <row r="580" spans="25:29" hidden="1">
      <c r="Y580" s="152">
        <v>542</v>
      </c>
      <c r="Z580" s="153">
        <f t="shared" si="32"/>
        <v>23983967.944001697</v>
      </c>
      <c r="AA580" s="154">
        <f t="shared" si="33"/>
        <v>18901677.262505021</v>
      </c>
      <c r="AB580" s="155">
        <f t="shared" si="35"/>
        <v>5082290.6814966779</v>
      </c>
      <c r="AC580" s="155">
        <f t="shared" si="34"/>
        <v>3030472731.6355085</v>
      </c>
    </row>
    <row r="581" spans="25:29" hidden="1">
      <c r="Y581" s="152">
        <v>543</v>
      </c>
      <c r="Z581" s="153">
        <f t="shared" si="32"/>
        <v>23983967.944001697</v>
      </c>
      <c r="AA581" s="154">
        <f t="shared" si="33"/>
        <v>18933180.057942528</v>
      </c>
      <c r="AB581" s="155">
        <f t="shared" si="35"/>
        <v>5050787.8860591697</v>
      </c>
      <c r="AC581" s="155">
        <f t="shared" si="34"/>
        <v>3011539551.5775661</v>
      </c>
    </row>
    <row r="582" spans="25:29" hidden="1">
      <c r="Y582" s="152">
        <v>544</v>
      </c>
      <c r="Z582" s="153">
        <f t="shared" si="32"/>
        <v>23983967.944001697</v>
      </c>
      <c r="AA582" s="154">
        <f t="shared" si="33"/>
        <v>18964735.3580391</v>
      </c>
      <c r="AB582" s="155">
        <f t="shared" si="35"/>
        <v>5019232.5859626001</v>
      </c>
      <c r="AC582" s="155">
        <f t="shared" si="34"/>
        <v>2992574816.2195272</v>
      </c>
    </row>
    <row r="583" spans="25:29" hidden="1">
      <c r="Y583" s="152">
        <v>545</v>
      </c>
      <c r="Z583" s="153">
        <f t="shared" si="32"/>
        <v>23983967.944001697</v>
      </c>
      <c r="AA583" s="154">
        <f t="shared" si="33"/>
        <v>18996343.250302497</v>
      </c>
      <c r="AB583" s="155">
        <f t="shared" si="35"/>
        <v>4987624.6936992025</v>
      </c>
      <c r="AC583" s="155">
        <f t="shared" si="34"/>
        <v>2973578472.9692249</v>
      </c>
    </row>
    <row r="584" spans="25:29" hidden="1">
      <c r="Y584" s="152">
        <v>546</v>
      </c>
      <c r="Z584" s="153">
        <f t="shared" si="32"/>
        <v>23983967.944001697</v>
      </c>
      <c r="AA584" s="154">
        <f t="shared" si="33"/>
        <v>19028003.822386336</v>
      </c>
      <c r="AB584" s="155">
        <f t="shared" si="35"/>
        <v>4955964.1216153642</v>
      </c>
      <c r="AC584" s="155">
        <f t="shared" si="34"/>
        <v>2954550469.1468387</v>
      </c>
    </row>
    <row r="585" spans="25:29" hidden="1">
      <c r="Y585" s="152">
        <v>547</v>
      </c>
      <c r="Z585" s="153">
        <f t="shared" si="32"/>
        <v>23983967.944001697</v>
      </c>
      <c r="AA585" s="154">
        <f t="shared" si="33"/>
        <v>19059717.162090313</v>
      </c>
      <c r="AB585" s="155">
        <f t="shared" si="35"/>
        <v>4924250.7819113862</v>
      </c>
      <c r="AC585" s="155">
        <f t="shared" si="34"/>
        <v>2935490751.9847484</v>
      </c>
    </row>
    <row r="586" spans="25:29" hidden="1">
      <c r="Y586" s="152">
        <v>548</v>
      </c>
      <c r="Z586" s="153">
        <f t="shared" si="32"/>
        <v>23983967.944001697</v>
      </c>
      <c r="AA586" s="154">
        <f t="shared" si="33"/>
        <v>19091483.357360464</v>
      </c>
      <c r="AB586" s="155">
        <f t="shared" si="35"/>
        <v>4892484.5866412353</v>
      </c>
      <c r="AC586" s="155">
        <f t="shared" si="34"/>
        <v>2916399268.627388</v>
      </c>
    </row>
    <row r="587" spans="25:29" hidden="1">
      <c r="Y587" s="152">
        <v>549</v>
      </c>
      <c r="Z587" s="153">
        <f t="shared" si="32"/>
        <v>23983967.944001697</v>
      </c>
      <c r="AA587" s="154">
        <f t="shared" si="33"/>
        <v>19123302.496289399</v>
      </c>
      <c r="AB587" s="155">
        <f t="shared" si="35"/>
        <v>4860665.4477123013</v>
      </c>
      <c r="AC587" s="155">
        <f t="shared" si="34"/>
        <v>2897275966.1310987</v>
      </c>
    </row>
    <row r="588" spans="25:29" hidden="1">
      <c r="Y588" s="152">
        <v>550</v>
      </c>
      <c r="Z588" s="153">
        <f t="shared" si="32"/>
        <v>23983967.944001697</v>
      </c>
      <c r="AA588" s="154">
        <f t="shared" si="33"/>
        <v>19155174.667116545</v>
      </c>
      <c r="AB588" s="155">
        <f t="shared" si="35"/>
        <v>4828793.2768851528</v>
      </c>
      <c r="AC588" s="155">
        <f t="shared" si="34"/>
        <v>2878120791.4639821</v>
      </c>
    </row>
    <row r="589" spans="25:29" hidden="1">
      <c r="Y589" s="152">
        <v>551</v>
      </c>
      <c r="Z589" s="153">
        <f t="shared" si="32"/>
        <v>23983967.944001697</v>
      </c>
      <c r="AA589" s="154">
        <f t="shared" si="33"/>
        <v>19187099.958228406</v>
      </c>
      <c r="AB589" s="155">
        <f t="shared" si="35"/>
        <v>4796867.9857732914</v>
      </c>
      <c r="AC589" s="155">
        <f t="shared" si="34"/>
        <v>2858933691.5057535</v>
      </c>
    </row>
    <row r="590" spans="25:29" hidden="1">
      <c r="Y590" s="152">
        <v>552</v>
      </c>
      <c r="Z590" s="153">
        <f t="shared" si="32"/>
        <v>23983967.944001697</v>
      </c>
      <c r="AA590" s="154">
        <f t="shared" si="33"/>
        <v>19219078.458158787</v>
      </c>
      <c r="AB590" s="155">
        <f t="shared" si="35"/>
        <v>4764889.4858429115</v>
      </c>
      <c r="AC590" s="155">
        <f t="shared" si="34"/>
        <v>2839714613.0475945</v>
      </c>
    </row>
    <row r="591" spans="25:29" hidden="1">
      <c r="Y591" s="152">
        <v>553</v>
      </c>
      <c r="Z591" s="153">
        <f t="shared" si="32"/>
        <v>23983967.944001697</v>
      </c>
      <c r="AA591" s="154">
        <f t="shared" si="33"/>
        <v>19251110.255589053</v>
      </c>
      <c r="AB591" s="155">
        <f t="shared" si="35"/>
        <v>4732857.6884126468</v>
      </c>
      <c r="AC591" s="155">
        <f t="shared" si="34"/>
        <v>2820463502.7920055</v>
      </c>
    </row>
    <row r="592" spans="25:29" hidden="1">
      <c r="Y592" s="152">
        <v>554</v>
      </c>
      <c r="Z592" s="153">
        <f t="shared" si="32"/>
        <v>23983967.944001697</v>
      </c>
      <c r="AA592" s="154">
        <f t="shared" si="33"/>
        <v>19283195.439348366</v>
      </c>
      <c r="AB592" s="155">
        <f t="shared" si="35"/>
        <v>4700772.5046533318</v>
      </c>
      <c r="AC592" s="155">
        <f t="shared" si="34"/>
        <v>2801180307.3526573</v>
      </c>
    </row>
    <row r="593" spans="25:29" hidden="1">
      <c r="Y593" s="152">
        <v>555</v>
      </c>
      <c r="Z593" s="153">
        <f t="shared" si="32"/>
        <v>23983967.944001697</v>
      </c>
      <c r="AA593" s="154">
        <f t="shared" si="33"/>
        <v>19315334.098413948</v>
      </c>
      <c r="AB593" s="155">
        <f t="shared" si="35"/>
        <v>4668633.8455877509</v>
      </c>
      <c r="AC593" s="155">
        <f t="shared" si="34"/>
        <v>2781864973.2542434</v>
      </c>
    </row>
    <row r="594" spans="25:29" hidden="1">
      <c r="Y594" s="152">
        <v>556</v>
      </c>
      <c r="Z594" s="153">
        <f t="shared" si="32"/>
        <v>23983967.944001697</v>
      </c>
      <c r="AA594" s="154">
        <f t="shared" si="33"/>
        <v>19347526.321911305</v>
      </c>
      <c r="AB594" s="155">
        <f t="shared" si="35"/>
        <v>4636441.6220903946</v>
      </c>
      <c r="AC594" s="155">
        <f t="shared" si="34"/>
        <v>2762517446.932332</v>
      </c>
    </row>
    <row r="595" spans="25:29" hidden="1">
      <c r="Y595" s="152">
        <v>557</v>
      </c>
      <c r="Z595" s="153">
        <f t="shared" si="32"/>
        <v>23983967.944001697</v>
      </c>
      <c r="AA595" s="154">
        <f t="shared" si="33"/>
        <v>19379772.19911449</v>
      </c>
      <c r="AB595" s="155">
        <f t="shared" si="35"/>
        <v>4604195.7448872095</v>
      </c>
      <c r="AC595" s="155">
        <f t="shared" si="34"/>
        <v>2743137674.7332177</v>
      </c>
    </row>
    <row r="596" spans="25:29" hidden="1">
      <c r="Y596" s="152">
        <v>558</v>
      </c>
      <c r="Z596" s="153">
        <f t="shared" si="32"/>
        <v>23983967.944001697</v>
      </c>
      <c r="AA596" s="154">
        <f t="shared" si="33"/>
        <v>19412071.819446344</v>
      </c>
      <c r="AB596" s="155">
        <f t="shared" si="35"/>
        <v>4571896.1245553503</v>
      </c>
      <c r="AC596" s="155">
        <f t="shared" si="34"/>
        <v>2723725602.9137712</v>
      </c>
    </row>
    <row r="597" spans="25:29" hidden="1">
      <c r="Y597" s="152">
        <v>559</v>
      </c>
      <c r="Z597" s="153">
        <f t="shared" si="32"/>
        <v>23983967.944001697</v>
      </c>
      <c r="AA597" s="154">
        <f t="shared" si="33"/>
        <v>19444425.272478759</v>
      </c>
      <c r="AB597" s="155">
        <f t="shared" si="35"/>
        <v>4539542.6715229414</v>
      </c>
      <c r="AC597" s="155">
        <f t="shared" si="34"/>
        <v>2704281177.6412926</v>
      </c>
    </row>
    <row r="598" spans="25:29" hidden="1">
      <c r="Y598" s="152">
        <v>560</v>
      </c>
      <c r="Z598" s="153">
        <f t="shared" si="32"/>
        <v>23983967.944001697</v>
      </c>
      <c r="AA598" s="154">
        <f t="shared" si="33"/>
        <v>19476832.647932891</v>
      </c>
      <c r="AB598" s="155">
        <f t="shared" si="35"/>
        <v>4507135.2960688099</v>
      </c>
      <c r="AC598" s="155">
        <f t="shared" si="34"/>
        <v>2684804344.9933596</v>
      </c>
    </row>
    <row r="599" spans="25:29" hidden="1">
      <c r="Y599" s="152">
        <v>561</v>
      </c>
      <c r="Z599" s="153">
        <f t="shared" si="32"/>
        <v>23983967.944001697</v>
      </c>
      <c r="AA599" s="154">
        <f t="shared" si="33"/>
        <v>19509294.035679441</v>
      </c>
      <c r="AB599" s="155">
        <f t="shared" si="35"/>
        <v>4474673.9083222542</v>
      </c>
      <c r="AC599" s="155">
        <f t="shared" si="34"/>
        <v>2665295050.9576802</v>
      </c>
    </row>
    <row r="600" spans="25:29" hidden="1">
      <c r="Y600" s="152">
        <v>562</v>
      </c>
      <c r="Z600" s="153">
        <f t="shared" si="32"/>
        <v>23983967.944001697</v>
      </c>
      <c r="AA600" s="154">
        <f t="shared" si="33"/>
        <v>19541809.52573891</v>
      </c>
      <c r="AB600" s="155">
        <f t="shared" si="35"/>
        <v>4442158.41826279</v>
      </c>
      <c r="AC600" s="155">
        <f t="shared" si="34"/>
        <v>2645753241.4319415</v>
      </c>
    </row>
    <row r="601" spans="25:29" hidden="1">
      <c r="Y601" s="152">
        <v>563</v>
      </c>
      <c r="Z601" s="153">
        <f t="shared" si="32"/>
        <v>23983967.944001697</v>
      </c>
      <c r="AA601" s="154">
        <f t="shared" si="33"/>
        <v>19574379.208281808</v>
      </c>
      <c r="AB601" s="155">
        <f t="shared" si="35"/>
        <v>4409588.7357198903</v>
      </c>
      <c r="AC601" s="155">
        <f t="shared" si="34"/>
        <v>2626178862.2236595</v>
      </c>
    </row>
    <row r="602" spans="25:29" hidden="1">
      <c r="Y602" s="152">
        <v>564</v>
      </c>
      <c r="Z602" s="153">
        <f t="shared" si="32"/>
        <v>23983967.944001697</v>
      </c>
      <c r="AA602" s="154">
        <f t="shared" si="33"/>
        <v>19607003.173628945</v>
      </c>
      <c r="AB602" s="155">
        <f t="shared" si="35"/>
        <v>4376964.770372754</v>
      </c>
      <c r="AC602" s="155">
        <f t="shared" si="34"/>
        <v>2606571859.0500307</v>
      </c>
    </row>
    <row r="603" spans="25:29" hidden="1">
      <c r="Y603" s="152">
        <v>565</v>
      </c>
      <c r="Z603" s="153">
        <f t="shared" si="32"/>
        <v>23983967.944001697</v>
      </c>
      <c r="AA603" s="154">
        <f t="shared" si="33"/>
        <v>19639681.51225166</v>
      </c>
      <c r="AB603" s="155">
        <f t="shared" si="35"/>
        <v>4344286.4317500386</v>
      </c>
      <c r="AC603" s="155">
        <f t="shared" si="34"/>
        <v>2586932177.5377789</v>
      </c>
    </row>
    <row r="604" spans="25:29" hidden="1">
      <c r="Y604" s="152">
        <v>566</v>
      </c>
      <c r="Z604" s="153">
        <f t="shared" si="32"/>
        <v>23983967.944001697</v>
      </c>
      <c r="AA604" s="154">
        <f t="shared" si="33"/>
        <v>19672414.314772077</v>
      </c>
      <c r="AB604" s="155">
        <f t="shared" si="35"/>
        <v>4311553.6292296192</v>
      </c>
      <c r="AC604" s="155">
        <f t="shared" si="34"/>
        <v>2567259763.2230067</v>
      </c>
    </row>
    <row r="605" spans="25:29" hidden="1">
      <c r="Y605" s="152">
        <v>567</v>
      </c>
      <c r="Z605" s="153">
        <f t="shared" si="32"/>
        <v>23983967.944001697</v>
      </c>
      <c r="AA605" s="154">
        <f t="shared" si="33"/>
        <v>19705201.671963364</v>
      </c>
      <c r="AB605" s="155">
        <f t="shared" si="35"/>
        <v>4278766.2720383331</v>
      </c>
      <c r="AC605" s="155">
        <f t="shared" si="34"/>
        <v>2547554561.5510435</v>
      </c>
    </row>
    <row r="606" spans="25:29" hidden="1">
      <c r="Y606" s="152">
        <v>568</v>
      </c>
      <c r="Z606" s="153">
        <f t="shared" si="32"/>
        <v>23983967.944001697</v>
      </c>
      <c r="AA606" s="154">
        <f t="shared" si="33"/>
        <v>19738043.67474997</v>
      </c>
      <c r="AB606" s="155">
        <f t="shared" si="35"/>
        <v>4245924.2692517284</v>
      </c>
      <c r="AC606" s="155">
        <f t="shared" si="34"/>
        <v>2527816517.8762937</v>
      </c>
    </row>
    <row r="607" spans="25:29" hidden="1">
      <c r="Y607" s="152">
        <v>569</v>
      </c>
      <c r="Z607" s="153">
        <f t="shared" si="32"/>
        <v>23983967.944001697</v>
      </c>
      <c r="AA607" s="154">
        <f t="shared" si="33"/>
        <v>19770940.414207887</v>
      </c>
      <c r="AB607" s="155">
        <f t="shared" si="35"/>
        <v>4213027.529793811</v>
      </c>
      <c r="AC607" s="155">
        <f t="shared" si="34"/>
        <v>2508045577.4620857</v>
      </c>
    </row>
    <row r="608" spans="25:29" hidden="1">
      <c r="Y608" s="152">
        <v>570</v>
      </c>
      <c r="Z608" s="153">
        <f t="shared" si="32"/>
        <v>23983967.944001697</v>
      </c>
      <c r="AA608" s="154">
        <f t="shared" si="33"/>
        <v>19803891.981564902</v>
      </c>
      <c r="AB608" s="155">
        <f t="shared" si="35"/>
        <v>4180075.9624367966</v>
      </c>
      <c r="AC608" s="155">
        <f t="shared" si="34"/>
        <v>2488241685.4805207</v>
      </c>
    </row>
    <row r="609" spans="25:29" hidden="1">
      <c r="Y609" s="152">
        <v>571</v>
      </c>
      <c r="Z609" s="153">
        <f t="shared" si="32"/>
        <v>23983967.944001697</v>
      </c>
      <c r="AA609" s="154">
        <f t="shared" si="33"/>
        <v>19836898.468200844</v>
      </c>
      <c r="AB609" s="155">
        <f t="shared" si="35"/>
        <v>4147069.4758008565</v>
      </c>
      <c r="AC609" s="155">
        <f t="shared" si="34"/>
        <v>2468404787.01232</v>
      </c>
    </row>
    <row r="610" spans="25:29" hidden="1">
      <c r="Y610" s="152">
        <v>572</v>
      </c>
      <c r="Z610" s="153">
        <f t="shared" si="32"/>
        <v>23983967.944001697</v>
      </c>
      <c r="AA610" s="154">
        <f t="shared" si="33"/>
        <v>19869959.965647843</v>
      </c>
      <c r="AB610" s="155">
        <f t="shared" si="35"/>
        <v>4114007.9783538552</v>
      </c>
      <c r="AC610" s="155">
        <f t="shared" si="34"/>
        <v>2448534827.0466723</v>
      </c>
    </row>
    <row r="611" spans="25:29" hidden="1">
      <c r="Y611" s="152">
        <v>573</v>
      </c>
      <c r="Z611" s="153">
        <f t="shared" si="32"/>
        <v>23983967.944001697</v>
      </c>
      <c r="AA611" s="154">
        <f t="shared" si="33"/>
        <v>19903076.565590587</v>
      </c>
      <c r="AB611" s="155">
        <f t="shared" si="35"/>
        <v>4080891.3784111082</v>
      </c>
      <c r="AC611" s="155">
        <f t="shared" si="34"/>
        <v>2428631750.481082</v>
      </c>
    </row>
    <row r="612" spans="25:29" hidden="1">
      <c r="Y612" s="152">
        <v>574</v>
      </c>
      <c r="Z612" s="153">
        <f t="shared" si="32"/>
        <v>23983967.944001697</v>
      </c>
      <c r="AA612" s="154">
        <f t="shared" si="33"/>
        <v>19936248.359866574</v>
      </c>
      <c r="AB612" s="155">
        <f t="shared" si="35"/>
        <v>4047719.584135124</v>
      </c>
      <c r="AC612" s="155">
        <f t="shared" si="34"/>
        <v>2408695502.1212153</v>
      </c>
    </row>
    <row r="613" spans="25:29" hidden="1">
      <c r="Y613" s="152">
        <v>575</v>
      </c>
      <c r="Z613" s="153">
        <f t="shared" si="32"/>
        <v>23983967.944001697</v>
      </c>
      <c r="AA613" s="154">
        <f t="shared" si="33"/>
        <v>19969475.440466352</v>
      </c>
      <c r="AB613" s="155">
        <f t="shared" si="35"/>
        <v>4014492.5035353471</v>
      </c>
      <c r="AC613" s="155">
        <f t="shared" si="34"/>
        <v>2388726026.6807489</v>
      </c>
    </row>
    <row r="614" spans="25:29" hidden="1">
      <c r="Y614" s="152">
        <v>576</v>
      </c>
      <c r="Z614" s="153">
        <f t="shared" si="32"/>
        <v>23983967.944001697</v>
      </c>
      <c r="AA614" s="154">
        <f t="shared" si="33"/>
        <v>20002757.899533793</v>
      </c>
      <c r="AB614" s="155">
        <f t="shared" si="35"/>
        <v>3981210.0444679023</v>
      </c>
      <c r="AC614" s="155">
        <f t="shared" si="34"/>
        <v>2368723268.7812152</v>
      </c>
    </row>
    <row r="615" spans="25:29" hidden="1">
      <c r="Y615" s="152">
        <v>577</v>
      </c>
      <c r="Z615" s="153">
        <f t="shared" si="32"/>
        <v>23983967.944001697</v>
      </c>
      <c r="AA615" s="154">
        <f t="shared" si="33"/>
        <v>20036095.829366352</v>
      </c>
      <c r="AB615" s="155">
        <f t="shared" si="35"/>
        <v>3947872.1146353465</v>
      </c>
      <c r="AC615" s="155">
        <f t="shared" si="34"/>
        <v>2348687172.951849</v>
      </c>
    </row>
    <row r="616" spans="25:29" hidden="1">
      <c r="Y616" s="152">
        <v>578</v>
      </c>
      <c r="Z616" s="153">
        <f t="shared" ref="Z616:Z679" si="36">IF(Y616&lt;=$AB$32, PMT($AB$31/12,$AB$32,-$AB$30,0,1), 0)</f>
        <v>23983967.944001697</v>
      </c>
      <c r="AA616" s="154">
        <f t="shared" ref="AA616:AA679" si="37">IF(Y616&lt;=$AB$32,-PPMT($AB$31/12,Y616,$AB$32,$AB$30,,1),0)</f>
        <v>20069489.322415296</v>
      </c>
      <c r="AB616" s="155">
        <f t="shared" si="35"/>
        <v>3914478.6215864029</v>
      </c>
      <c r="AC616" s="155">
        <f t="shared" ref="AC616:AC679" si="38">AC615-AA616</f>
        <v>2328617683.6294336</v>
      </c>
    </row>
    <row r="617" spans="25:29" hidden="1">
      <c r="Y617" s="152">
        <v>579</v>
      </c>
      <c r="Z617" s="153">
        <f t="shared" si="36"/>
        <v>23983967.944001697</v>
      </c>
      <c r="AA617" s="154">
        <f t="shared" si="37"/>
        <v>20102938.471285988</v>
      </c>
      <c r="AB617" s="155">
        <f t="shared" ref="AB617:AB680" si="39">IF(Y617&lt;=$AB$32,-IPMT($AB$31/12,Y617,$AB$32,$AB$30,,1),0)</f>
        <v>3881029.4727157094</v>
      </c>
      <c r="AC617" s="155">
        <f t="shared" si="38"/>
        <v>2308514745.1581478</v>
      </c>
    </row>
    <row r="618" spans="25:29" hidden="1">
      <c r="Y618" s="152">
        <v>580</v>
      </c>
      <c r="Z618" s="153">
        <f t="shared" si="36"/>
        <v>23983967.944001697</v>
      </c>
      <c r="AA618" s="154">
        <f t="shared" si="37"/>
        <v>20136443.368738133</v>
      </c>
      <c r="AB618" s="155">
        <f t="shared" si="39"/>
        <v>3847524.5752635668</v>
      </c>
      <c r="AC618" s="155">
        <f t="shared" si="38"/>
        <v>2288378301.7894096</v>
      </c>
    </row>
    <row r="619" spans="25:29" hidden="1">
      <c r="Y619" s="152">
        <v>581</v>
      </c>
      <c r="Z619" s="153">
        <f t="shared" si="36"/>
        <v>23983967.944001697</v>
      </c>
      <c r="AA619" s="154">
        <f t="shared" si="37"/>
        <v>20170004.107686028</v>
      </c>
      <c r="AB619" s="155">
        <f t="shared" si="39"/>
        <v>3813963.8363156701</v>
      </c>
      <c r="AC619" s="155">
        <f t="shared" si="38"/>
        <v>2268208297.6817236</v>
      </c>
    </row>
    <row r="620" spans="25:29" hidden="1">
      <c r="Y620" s="152">
        <v>582</v>
      </c>
      <c r="Z620" s="153">
        <f t="shared" si="36"/>
        <v>23983967.944001697</v>
      </c>
      <c r="AA620" s="154">
        <f t="shared" si="37"/>
        <v>20203620.781198837</v>
      </c>
      <c r="AB620" s="155">
        <f t="shared" si="39"/>
        <v>3780347.1628028597</v>
      </c>
      <c r="AC620" s="155">
        <f t="shared" si="38"/>
        <v>2248004676.9005246</v>
      </c>
    </row>
    <row r="621" spans="25:29" hidden="1">
      <c r="Y621" s="152">
        <v>583</v>
      </c>
      <c r="Z621" s="153">
        <f t="shared" si="36"/>
        <v>23983967.944001697</v>
      </c>
      <c r="AA621" s="154">
        <f t="shared" si="37"/>
        <v>20237293.48250084</v>
      </c>
      <c r="AB621" s="155">
        <f t="shared" si="39"/>
        <v>3746674.4615008621</v>
      </c>
      <c r="AC621" s="155">
        <f t="shared" si="38"/>
        <v>2227767383.4180236</v>
      </c>
    </row>
    <row r="622" spans="25:29" hidden="1">
      <c r="Y622" s="152">
        <v>584</v>
      </c>
      <c r="Z622" s="153">
        <f t="shared" si="36"/>
        <v>23983967.944001697</v>
      </c>
      <c r="AA622" s="154">
        <f t="shared" si="37"/>
        <v>20271022.304971673</v>
      </c>
      <c r="AB622" s="155">
        <f t="shared" si="39"/>
        <v>3712945.6390300272</v>
      </c>
      <c r="AC622" s="155">
        <f t="shared" si="38"/>
        <v>2207496361.1130519</v>
      </c>
    </row>
    <row r="623" spans="25:29" hidden="1">
      <c r="Y623" s="152">
        <v>585</v>
      </c>
      <c r="Z623" s="153">
        <f t="shared" si="36"/>
        <v>23983967.944001697</v>
      </c>
      <c r="AA623" s="154">
        <f t="shared" si="37"/>
        <v>20304807.342146624</v>
      </c>
      <c r="AB623" s="155">
        <f t="shared" si="39"/>
        <v>3679160.6018550741</v>
      </c>
      <c r="AC623" s="155">
        <f t="shared" si="38"/>
        <v>2187191553.7709055</v>
      </c>
    </row>
    <row r="624" spans="25:29" hidden="1">
      <c r="Y624" s="152">
        <v>586</v>
      </c>
      <c r="Z624" s="153">
        <f t="shared" si="36"/>
        <v>23983967.944001697</v>
      </c>
      <c r="AA624" s="154">
        <f t="shared" si="37"/>
        <v>20338648.687716868</v>
      </c>
      <c r="AB624" s="155">
        <f t="shared" si="39"/>
        <v>3645319.2562848297</v>
      </c>
      <c r="AC624" s="155">
        <f t="shared" si="38"/>
        <v>2166852905.0831885</v>
      </c>
    </row>
    <row r="625" spans="25:29" hidden="1">
      <c r="Y625" s="152">
        <v>587</v>
      </c>
      <c r="Z625" s="153">
        <f t="shared" si="36"/>
        <v>23983967.944001697</v>
      </c>
      <c r="AA625" s="154">
        <f t="shared" si="37"/>
        <v>20372546.435529731</v>
      </c>
      <c r="AB625" s="155">
        <f t="shared" si="39"/>
        <v>3611421.5084719681</v>
      </c>
      <c r="AC625" s="155">
        <f t="shared" si="38"/>
        <v>2146480358.6476588</v>
      </c>
    </row>
    <row r="626" spans="25:29" hidden="1">
      <c r="Y626" s="152">
        <v>588</v>
      </c>
      <c r="Z626" s="153">
        <f t="shared" si="36"/>
        <v>23983967.944001697</v>
      </c>
      <c r="AA626" s="154">
        <f t="shared" si="37"/>
        <v>20406500.679588947</v>
      </c>
      <c r="AB626" s="155">
        <f t="shared" si="39"/>
        <v>3577467.2644127524</v>
      </c>
      <c r="AC626" s="155">
        <f t="shared" si="38"/>
        <v>2126073857.9680698</v>
      </c>
    </row>
    <row r="627" spans="25:29" hidden="1">
      <c r="Y627" s="152">
        <v>589</v>
      </c>
      <c r="Z627" s="153">
        <f t="shared" si="36"/>
        <v>23983967.944001697</v>
      </c>
      <c r="AA627" s="154">
        <f t="shared" si="37"/>
        <v>20440511.514054928</v>
      </c>
      <c r="AB627" s="155">
        <f t="shared" si="39"/>
        <v>3543456.4299467709</v>
      </c>
      <c r="AC627" s="155">
        <f t="shared" si="38"/>
        <v>2105633346.4540148</v>
      </c>
    </row>
    <row r="628" spans="25:29" hidden="1">
      <c r="Y628" s="152">
        <v>590</v>
      </c>
      <c r="Z628" s="153">
        <f t="shared" si="36"/>
        <v>23983967.944001697</v>
      </c>
      <c r="AA628" s="154">
        <f t="shared" si="37"/>
        <v>20474579.033245016</v>
      </c>
      <c r="AB628" s="155">
        <f t="shared" si="39"/>
        <v>3509388.9107566793</v>
      </c>
      <c r="AC628" s="155">
        <f t="shared" si="38"/>
        <v>2085158767.4207697</v>
      </c>
    </row>
    <row r="629" spans="25:29" hidden="1">
      <c r="Y629" s="152">
        <v>591</v>
      </c>
      <c r="Z629" s="153">
        <f t="shared" si="36"/>
        <v>23983967.944001697</v>
      </c>
      <c r="AA629" s="154">
        <f t="shared" si="37"/>
        <v>20508703.331633762</v>
      </c>
      <c r="AB629" s="155">
        <f t="shared" si="39"/>
        <v>3475264.6123679378</v>
      </c>
      <c r="AC629" s="155">
        <f t="shared" si="38"/>
        <v>2064650064.0891359</v>
      </c>
    </row>
    <row r="630" spans="25:29" hidden="1">
      <c r="Y630" s="152">
        <v>592</v>
      </c>
      <c r="Z630" s="153">
        <f t="shared" si="36"/>
        <v>23983967.944001697</v>
      </c>
      <c r="AA630" s="154">
        <f t="shared" si="37"/>
        <v>20542884.50385315</v>
      </c>
      <c r="AB630" s="155">
        <f t="shared" si="39"/>
        <v>3441083.4401485478</v>
      </c>
      <c r="AC630" s="155">
        <f t="shared" si="38"/>
        <v>2044107179.5852828</v>
      </c>
    </row>
    <row r="631" spans="25:29" hidden="1">
      <c r="Y631" s="152">
        <v>593</v>
      </c>
      <c r="Z631" s="153">
        <f t="shared" si="36"/>
        <v>23983967.944001697</v>
      </c>
      <c r="AA631" s="154">
        <f t="shared" si="37"/>
        <v>20577122.644692905</v>
      </c>
      <c r="AB631" s="155">
        <f t="shared" si="39"/>
        <v>3406845.2993087927</v>
      </c>
      <c r="AC631" s="155">
        <f t="shared" si="38"/>
        <v>2023530056.9405899</v>
      </c>
    </row>
    <row r="632" spans="25:29" hidden="1">
      <c r="Y632" s="152">
        <v>594</v>
      </c>
      <c r="Z632" s="153">
        <f t="shared" si="36"/>
        <v>23983967.944001697</v>
      </c>
      <c r="AA632" s="154">
        <f t="shared" si="37"/>
        <v>20611417.849100728</v>
      </c>
      <c r="AB632" s="155">
        <f t="shared" si="39"/>
        <v>3372550.0949009713</v>
      </c>
      <c r="AC632" s="155">
        <f t="shared" si="38"/>
        <v>2002918639.0914891</v>
      </c>
    </row>
    <row r="633" spans="25:29" hidden="1">
      <c r="Y633" s="152">
        <v>595</v>
      </c>
      <c r="Z633" s="153">
        <f t="shared" si="36"/>
        <v>23983967.944001697</v>
      </c>
      <c r="AA633" s="154">
        <f t="shared" si="37"/>
        <v>20645770.212182563</v>
      </c>
      <c r="AB633" s="155">
        <f t="shared" si="39"/>
        <v>3338197.7318191361</v>
      </c>
      <c r="AC633" s="155">
        <f t="shared" si="38"/>
        <v>1982272868.8793066</v>
      </c>
    </row>
    <row r="634" spans="25:29" hidden="1">
      <c r="Y634" s="152">
        <v>596</v>
      </c>
      <c r="Z634" s="153">
        <f t="shared" si="36"/>
        <v>23983967.944001697</v>
      </c>
      <c r="AA634" s="154">
        <f t="shared" si="37"/>
        <v>20680179.829202868</v>
      </c>
      <c r="AB634" s="155">
        <f t="shared" si="39"/>
        <v>3303788.1147988322</v>
      </c>
      <c r="AC634" s="155">
        <f t="shared" si="38"/>
        <v>1961592689.0501037</v>
      </c>
    </row>
    <row r="635" spans="25:29" hidden="1">
      <c r="Y635" s="152">
        <v>597</v>
      </c>
      <c r="Z635" s="153">
        <f t="shared" si="36"/>
        <v>23983967.944001697</v>
      </c>
      <c r="AA635" s="154">
        <f t="shared" si="37"/>
        <v>20714646.795584872</v>
      </c>
      <c r="AB635" s="155">
        <f t="shared" si="39"/>
        <v>3269321.1484168265</v>
      </c>
      <c r="AC635" s="155">
        <f t="shared" si="38"/>
        <v>1940878042.2545187</v>
      </c>
    </row>
    <row r="636" spans="25:29" hidden="1">
      <c r="Y636" s="152">
        <v>598</v>
      </c>
      <c r="Z636" s="153">
        <f t="shared" si="36"/>
        <v>23983967.944001697</v>
      </c>
      <c r="AA636" s="154">
        <f t="shared" si="37"/>
        <v>20749171.206910845</v>
      </c>
      <c r="AB636" s="155">
        <f t="shared" si="39"/>
        <v>3234796.7370908521</v>
      </c>
      <c r="AC636" s="155">
        <f t="shared" si="38"/>
        <v>1920128871.0476079</v>
      </c>
    </row>
    <row r="637" spans="25:29" hidden="1">
      <c r="Y637" s="152">
        <v>599</v>
      </c>
      <c r="Z637" s="153">
        <f t="shared" si="36"/>
        <v>23983967.944001697</v>
      </c>
      <c r="AA637" s="154">
        <f t="shared" si="37"/>
        <v>20783753.158922359</v>
      </c>
      <c r="AB637" s="155">
        <f t="shared" si="39"/>
        <v>3200214.7850793344</v>
      </c>
      <c r="AC637" s="155">
        <f t="shared" si="38"/>
        <v>1899345117.8886855</v>
      </c>
    </row>
    <row r="638" spans="25:29" hidden="1">
      <c r="Y638" s="152">
        <v>600</v>
      </c>
      <c r="Z638" s="153">
        <f t="shared" si="36"/>
        <v>23983967.944001697</v>
      </c>
      <c r="AA638" s="154">
        <f t="shared" si="37"/>
        <v>20818392.74752057</v>
      </c>
      <c r="AB638" s="155">
        <f t="shared" si="39"/>
        <v>3165575.196481131</v>
      </c>
      <c r="AC638" s="155">
        <f t="shared" si="38"/>
        <v>1878526725.1411648</v>
      </c>
    </row>
    <row r="639" spans="25:29" hidden="1">
      <c r="Y639" s="152">
        <v>601</v>
      </c>
      <c r="Z639" s="153">
        <f t="shared" si="36"/>
        <v>23983967.944001697</v>
      </c>
      <c r="AA639" s="154">
        <f t="shared" si="37"/>
        <v>20853090.068766434</v>
      </c>
      <c r="AB639" s="155">
        <f t="shared" si="39"/>
        <v>3130877.8752352633</v>
      </c>
      <c r="AC639" s="155">
        <f t="shared" si="38"/>
        <v>1857673635.0723984</v>
      </c>
    </row>
    <row r="640" spans="25:29" hidden="1">
      <c r="Y640" s="152">
        <v>602</v>
      </c>
      <c r="Z640" s="153">
        <f t="shared" si="36"/>
        <v>23983967.944001697</v>
      </c>
      <c r="AA640" s="154">
        <f t="shared" si="37"/>
        <v>20887845.218881045</v>
      </c>
      <c r="AB640" s="155">
        <f t="shared" si="39"/>
        <v>3096122.7251206529</v>
      </c>
      <c r="AC640" s="155">
        <f t="shared" si="38"/>
        <v>1836785789.8535173</v>
      </c>
    </row>
    <row r="641" spans="25:29" hidden="1">
      <c r="Y641" s="152">
        <v>603</v>
      </c>
      <c r="Z641" s="153">
        <f t="shared" si="36"/>
        <v>23983967.944001697</v>
      </c>
      <c r="AA641" s="154">
        <f t="shared" si="37"/>
        <v>20922658.29424585</v>
      </c>
      <c r="AB641" s="155">
        <f t="shared" si="39"/>
        <v>3061309.6497558504</v>
      </c>
      <c r="AC641" s="155">
        <f t="shared" si="38"/>
        <v>1815863131.5592713</v>
      </c>
    </row>
    <row r="642" spans="25:29" hidden="1">
      <c r="Y642" s="152">
        <v>604</v>
      </c>
      <c r="Z642" s="153">
        <f t="shared" si="36"/>
        <v>23983967.944001697</v>
      </c>
      <c r="AA642" s="154">
        <f t="shared" si="37"/>
        <v>20957529.391402926</v>
      </c>
      <c r="AB642" s="155">
        <f t="shared" si="39"/>
        <v>3026438.552598774</v>
      </c>
      <c r="AC642" s="155">
        <f t="shared" si="38"/>
        <v>1794905602.1678684</v>
      </c>
    </row>
    <row r="643" spans="25:29" hidden="1">
      <c r="Y643" s="152">
        <v>605</v>
      </c>
      <c r="Z643" s="153">
        <f t="shared" si="36"/>
        <v>23983967.944001697</v>
      </c>
      <c r="AA643" s="154">
        <f t="shared" si="37"/>
        <v>20992458.607055262</v>
      </c>
      <c r="AB643" s="155">
        <f t="shared" si="39"/>
        <v>2991509.3369464357</v>
      </c>
      <c r="AC643" s="155">
        <f t="shared" si="38"/>
        <v>1773913143.5608132</v>
      </c>
    </row>
    <row r="644" spans="25:29" hidden="1">
      <c r="Y644" s="152">
        <v>606</v>
      </c>
      <c r="Z644" s="153">
        <f t="shared" si="36"/>
        <v>23983967.944001697</v>
      </c>
      <c r="AA644" s="154">
        <f t="shared" si="37"/>
        <v>21027446.03806702</v>
      </c>
      <c r="AB644" s="155">
        <f t="shared" si="39"/>
        <v>2956521.905934677</v>
      </c>
      <c r="AC644" s="155">
        <f t="shared" si="38"/>
        <v>1752885697.5227461</v>
      </c>
    </row>
    <row r="645" spans="25:29" hidden="1">
      <c r="Y645" s="152">
        <v>607</v>
      </c>
      <c r="Z645" s="153">
        <f t="shared" si="36"/>
        <v>23983967.944001697</v>
      </c>
      <c r="AA645" s="154">
        <f t="shared" si="37"/>
        <v>21062491.781463802</v>
      </c>
      <c r="AB645" s="155">
        <f t="shared" si="39"/>
        <v>2921476.1625378989</v>
      </c>
      <c r="AC645" s="155">
        <f t="shared" si="38"/>
        <v>1731823205.7412822</v>
      </c>
    </row>
    <row r="646" spans="25:29" hidden="1">
      <c r="Y646" s="152">
        <v>608</v>
      </c>
      <c r="Z646" s="153">
        <f t="shared" si="36"/>
        <v>23983967.944001697</v>
      </c>
      <c r="AA646" s="154">
        <f t="shared" si="37"/>
        <v>21097595.934432905</v>
      </c>
      <c r="AB646" s="155">
        <f t="shared" si="39"/>
        <v>2886372.0095687923</v>
      </c>
      <c r="AC646" s="155">
        <f t="shared" si="38"/>
        <v>1710725609.8068492</v>
      </c>
    </row>
    <row r="647" spans="25:29" hidden="1">
      <c r="Y647" s="152">
        <v>609</v>
      </c>
      <c r="Z647" s="153">
        <f t="shared" si="36"/>
        <v>23983967.944001697</v>
      </c>
      <c r="AA647" s="154">
        <f t="shared" si="37"/>
        <v>21132758.594323628</v>
      </c>
      <c r="AB647" s="155">
        <f t="shared" si="39"/>
        <v>2851209.3496780708</v>
      </c>
      <c r="AC647" s="155">
        <f t="shared" si="38"/>
        <v>1689592851.2125256</v>
      </c>
    </row>
    <row r="648" spans="25:29" hidden="1">
      <c r="Y648" s="152">
        <v>610</v>
      </c>
      <c r="Z648" s="153">
        <f t="shared" si="36"/>
        <v>23983967.944001697</v>
      </c>
      <c r="AA648" s="154">
        <f t="shared" si="37"/>
        <v>21167979.858647499</v>
      </c>
      <c r="AB648" s="155">
        <f t="shared" si="39"/>
        <v>2815988.0853541987</v>
      </c>
      <c r="AC648" s="155">
        <f t="shared" si="38"/>
        <v>1668424871.353878</v>
      </c>
    </row>
    <row r="649" spans="25:29" hidden="1">
      <c r="Y649" s="152">
        <v>611</v>
      </c>
      <c r="Z649" s="153">
        <f t="shared" si="36"/>
        <v>23983967.944001697</v>
      </c>
      <c r="AA649" s="154">
        <f t="shared" si="37"/>
        <v>21203259.825078581</v>
      </c>
      <c r="AB649" s="155">
        <f t="shared" si="39"/>
        <v>2780708.1189231193</v>
      </c>
      <c r="AC649" s="155">
        <f t="shared" si="38"/>
        <v>1647221611.5287995</v>
      </c>
    </row>
    <row r="650" spans="25:29" hidden="1">
      <c r="Y650" s="152">
        <v>612</v>
      </c>
      <c r="Z650" s="153">
        <f t="shared" si="36"/>
        <v>23983967.944001697</v>
      </c>
      <c r="AA650" s="154">
        <f t="shared" si="37"/>
        <v>21238598.591453712</v>
      </c>
      <c r="AB650" s="155">
        <f t="shared" si="39"/>
        <v>2745369.3525479878</v>
      </c>
      <c r="AC650" s="155">
        <f t="shared" si="38"/>
        <v>1625983012.9373457</v>
      </c>
    </row>
    <row r="651" spans="25:29" hidden="1">
      <c r="Y651" s="152">
        <v>613</v>
      </c>
      <c r="Z651" s="153">
        <f t="shared" si="36"/>
        <v>23983967.944001697</v>
      </c>
      <c r="AA651" s="154">
        <f t="shared" si="37"/>
        <v>21273996.255772803</v>
      </c>
      <c r="AB651" s="155">
        <f t="shared" si="39"/>
        <v>2709971.6882288987</v>
      </c>
      <c r="AC651" s="155">
        <f t="shared" si="38"/>
        <v>1604709016.6815729</v>
      </c>
    </row>
    <row r="652" spans="25:29" hidden="1">
      <c r="Y652" s="152">
        <v>614</v>
      </c>
      <c r="Z652" s="153">
        <f t="shared" si="36"/>
        <v>23983967.944001697</v>
      </c>
      <c r="AA652" s="154">
        <f t="shared" si="37"/>
        <v>21309452.916199088</v>
      </c>
      <c r="AB652" s="155">
        <f t="shared" si="39"/>
        <v>2674515.0278026103</v>
      </c>
      <c r="AC652" s="155">
        <f t="shared" si="38"/>
        <v>1583399563.7653737</v>
      </c>
    </row>
    <row r="653" spans="25:29" hidden="1">
      <c r="Y653" s="152">
        <v>615</v>
      </c>
      <c r="Z653" s="153">
        <f t="shared" si="36"/>
        <v>23983967.944001697</v>
      </c>
      <c r="AA653" s="154">
        <f t="shared" si="37"/>
        <v>21344968.671059418</v>
      </c>
      <c r="AB653" s="155">
        <f t="shared" si="39"/>
        <v>2638999.272942279</v>
      </c>
      <c r="AC653" s="155">
        <f t="shared" si="38"/>
        <v>1562054595.0943143</v>
      </c>
    </row>
    <row r="654" spans="25:29" hidden="1">
      <c r="Y654" s="152">
        <v>616</v>
      </c>
      <c r="Z654" s="153">
        <f t="shared" si="36"/>
        <v>23983967.944001697</v>
      </c>
      <c r="AA654" s="154">
        <f t="shared" si="37"/>
        <v>21380543.61884452</v>
      </c>
      <c r="AB654" s="155">
        <f t="shared" si="39"/>
        <v>2603424.32515718</v>
      </c>
      <c r="AC654" s="155">
        <f t="shared" si="38"/>
        <v>1540674051.4754698</v>
      </c>
    </row>
    <row r="655" spans="25:29" hidden="1">
      <c r="Y655" s="152">
        <v>617</v>
      </c>
      <c r="Z655" s="153">
        <f t="shared" si="36"/>
        <v>23983967.944001697</v>
      </c>
      <c r="AA655" s="154">
        <f t="shared" si="37"/>
        <v>21416177.85820926</v>
      </c>
      <c r="AB655" s="155">
        <f t="shared" si="39"/>
        <v>2567790.0857924386</v>
      </c>
      <c r="AC655" s="155">
        <f t="shared" si="38"/>
        <v>1519257873.6172605</v>
      </c>
    </row>
    <row r="656" spans="25:29" hidden="1">
      <c r="Y656" s="152">
        <v>618</v>
      </c>
      <c r="Z656" s="153">
        <f t="shared" si="36"/>
        <v>23983967.944001697</v>
      </c>
      <c r="AA656" s="154">
        <f t="shared" si="37"/>
        <v>21451871.487972941</v>
      </c>
      <c r="AB656" s="155">
        <f t="shared" si="39"/>
        <v>2532096.4560287567</v>
      </c>
      <c r="AC656" s="155">
        <f t="shared" si="38"/>
        <v>1497806002.1292875</v>
      </c>
    </row>
    <row r="657" spans="25:29" hidden="1">
      <c r="Y657" s="152">
        <v>619</v>
      </c>
      <c r="Z657" s="153">
        <f t="shared" si="36"/>
        <v>23983967.944001697</v>
      </c>
      <c r="AA657" s="154">
        <f t="shared" si="37"/>
        <v>21487624.607119564</v>
      </c>
      <c r="AB657" s="155">
        <f t="shared" si="39"/>
        <v>2496343.3368821354</v>
      </c>
      <c r="AC657" s="155">
        <f t="shared" si="38"/>
        <v>1476318377.5221679</v>
      </c>
    </row>
    <row r="658" spans="25:29" hidden="1">
      <c r="Y658" s="152">
        <v>620</v>
      </c>
      <c r="Z658" s="153">
        <f t="shared" si="36"/>
        <v>23983967.944001697</v>
      </c>
      <c r="AA658" s="154">
        <f t="shared" si="37"/>
        <v>21523437.314798094</v>
      </c>
      <c r="AB658" s="155">
        <f t="shared" si="39"/>
        <v>2460530.6292036027</v>
      </c>
      <c r="AC658" s="155">
        <f t="shared" si="38"/>
        <v>1454794940.2073698</v>
      </c>
    </row>
    <row r="659" spans="25:29" hidden="1">
      <c r="Y659" s="152">
        <v>621</v>
      </c>
      <c r="Z659" s="153">
        <f t="shared" si="36"/>
        <v>23983967.944001697</v>
      </c>
      <c r="AA659" s="154">
        <f t="shared" si="37"/>
        <v>21559309.71032276</v>
      </c>
      <c r="AB659" s="155">
        <f t="shared" si="39"/>
        <v>2424658.2336789388</v>
      </c>
      <c r="AC659" s="155">
        <f t="shared" si="38"/>
        <v>1433235630.4970469</v>
      </c>
    </row>
    <row r="660" spans="25:29" hidden="1">
      <c r="Y660" s="152">
        <v>622</v>
      </c>
      <c r="Z660" s="153">
        <f t="shared" si="36"/>
        <v>23983967.944001697</v>
      </c>
      <c r="AA660" s="154">
        <f t="shared" si="37"/>
        <v>21595241.893173296</v>
      </c>
      <c r="AB660" s="155">
        <f t="shared" si="39"/>
        <v>2388726.050828401</v>
      </c>
      <c r="AC660" s="155">
        <f t="shared" si="38"/>
        <v>1411640388.6038737</v>
      </c>
    </row>
    <row r="661" spans="25:29" hidden="1">
      <c r="Y661" s="152">
        <v>623</v>
      </c>
      <c r="Z661" s="153">
        <f t="shared" si="36"/>
        <v>23983967.944001697</v>
      </c>
      <c r="AA661" s="154">
        <f t="shared" si="37"/>
        <v>21631233.962995254</v>
      </c>
      <c r="AB661" s="155">
        <f t="shared" si="39"/>
        <v>2352733.9810064454</v>
      </c>
      <c r="AC661" s="155">
        <f t="shared" si="38"/>
        <v>1390009154.6408784</v>
      </c>
    </row>
    <row r="662" spans="25:29" hidden="1">
      <c r="Y662" s="152">
        <v>624</v>
      </c>
      <c r="Z662" s="153">
        <f t="shared" si="36"/>
        <v>23983967.944001697</v>
      </c>
      <c r="AA662" s="154">
        <f t="shared" si="37"/>
        <v>21667286.019600242</v>
      </c>
      <c r="AB662" s="155">
        <f t="shared" si="39"/>
        <v>2316681.9244014537</v>
      </c>
      <c r="AC662" s="155">
        <f t="shared" si="38"/>
        <v>1368341868.6212783</v>
      </c>
    </row>
    <row r="663" spans="25:29" hidden="1">
      <c r="Y663" s="152">
        <v>625</v>
      </c>
      <c r="Z663" s="153">
        <f t="shared" si="36"/>
        <v>23983967.944001697</v>
      </c>
      <c r="AA663" s="154">
        <f t="shared" si="37"/>
        <v>21703398.162966244</v>
      </c>
      <c r="AB663" s="155">
        <f t="shared" si="39"/>
        <v>2280569.7810354531</v>
      </c>
      <c r="AC663" s="155">
        <f t="shared" si="38"/>
        <v>1346638470.458312</v>
      </c>
    </row>
    <row r="664" spans="25:29" hidden="1">
      <c r="Y664" s="152">
        <v>626</v>
      </c>
      <c r="Z664" s="153">
        <f t="shared" si="36"/>
        <v>23983967.944001697</v>
      </c>
      <c r="AA664" s="154">
        <f t="shared" si="37"/>
        <v>21739570.493237857</v>
      </c>
      <c r="AB664" s="155">
        <f t="shared" si="39"/>
        <v>2244397.450763843</v>
      </c>
      <c r="AC664" s="155">
        <f t="shared" si="38"/>
        <v>1324898899.9650741</v>
      </c>
    </row>
    <row r="665" spans="25:29" hidden="1">
      <c r="Y665" s="152">
        <v>627</v>
      </c>
      <c r="Z665" s="153">
        <f t="shared" si="36"/>
        <v>23983967.944001697</v>
      </c>
      <c r="AA665" s="154">
        <f t="shared" si="37"/>
        <v>21775803.110726587</v>
      </c>
      <c r="AB665" s="155">
        <f t="shared" si="39"/>
        <v>2208164.8332751133</v>
      </c>
      <c r="AC665" s="155">
        <f t="shared" si="38"/>
        <v>1303123096.8543475</v>
      </c>
    </row>
    <row r="666" spans="25:29" hidden="1">
      <c r="Y666" s="152">
        <v>628</v>
      </c>
      <c r="Z666" s="153">
        <f t="shared" si="36"/>
        <v>23983967.944001697</v>
      </c>
      <c r="AA666" s="154">
        <f t="shared" si="37"/>
        <v>21812096.11591113</v>
      </c>
      <c r="AB666" s="155">
        <f t="shared" si="39"/>
        <v>2171871.828090569</v>
      </c>
      <c r="AC666" s="155">
        <f t="shared" si="38"/>
        <v>1281311000.7384362</v>
      </c>
    </row>
    <row r="667" spans="25:29" hidden="1">
      <c r="Y667" s="152">
        <v>629</v>
      </c>
      <c r="Z667" s="153">
        <f t="shared" si="36"/>
        <v>23983967.944001697</v>
      </c>
      <c r="AA667" s="154">
        <f t="shared" si="37"/>
        <v>21848449.609437648</v>
      </c>
      <c r="AB667" s="155">
        <f t="shared" si="39"/>
        <v>2135518.3345640502</v>
      </c>
      <c r="AC667" s="155">
        <f t="shared" si="38"/>
        <v>1259462551.1289985</v>
      </c>
    </row>
    <row r="668" spans="25:29" hidden="1">
      <c r="Y668" s="152">
        <v>630</v>
      </c>
      <c r="Z668" s="153">
        <f t="shared" si="36"/>
        <v>23983967.944001697</v>
      </c>
      <c r="AA668" s="154">
        <f t="shared" si="37"/>
        <v>21884863.692120042</v>
      </c>
      <c r="AB668" s="155">
        <f t="shared" si="39"/>
        <v>2099104.2518816544</v>
      </c>
      <c r="AC668" s="155">
        <f t="shared" si="38"/>
        <v>1237577687.4368784</v>
      </c>
    </row>
    <row r="669" spans="25:29" hidden="1">
      <c r="Y669" s="152">
        <v>631</v>
      </c>
      <c r="Z669" s="153">
        <f t="shared" si="36"/>
        <v>23983967.944001697</v>
      </c>
      <c r="AA669" s="154">
        <f t="shared" si="37"/>
        <v>21921338.464940246</v>
      </c>
      <c r="AB669" s="155">
        <f t="shared" si="39"/>
        <v>2062629.4790614536</v>
      </c>
      <c r="AC669" s="155">
        <f t="shared" si="38"/>
        <v>1215656348.9719381</v>
      </c>
    </row>
    <row r="670" spans="25:29" hidden="1">
      <c r="Y670" s="152">
        <v>632</v>
      </c>
      <c r="Z670" s="153">
        <f t="shared" si="36"/>
        <v>23983967.944001697</v>
      </c>
      <c r="AA670" s="154">
        <f t="shared" si="37"/>
        <v>21957874.02904848</v>
      </c>
      <c r="AB670" s="155">
        <f t="shared" si="39"/>
        <v>2026093.9149532199</v>
      </c>
      <c r="AC670" s="155">
        <f t="shared" si="38"/>
        <v>1193698474.9428897</v>
      </c>
    </row>
    <row r="671" spans="25:29" hidden="1">
      <c r="Y671" s="152">
        <v>633</v>
      </c>
      <c r="Z671" s="153">
        <f t="shared" si="36"/>
        <v>23983967.944001697</v>
      </c>
      <c r="AA671" s="154">
        <f t="shared" si="37"/>
        <v>21994470.485763557</v>
      </c>
      <c r="AB671" s="155">
        <f t="shared" si="39"/>
        <v>1989497.4582381395</v>
      </c>
      <c r="AC671" s="155">
        <f t="shared" si="38"/>
        <v>1171704004.4571261</v>
      </c>
    </row>
    <row r="672" spans="25:29" hidden="1">
      <c r="Y672" s="152">
        <v>634</v>
      </c>
      <c r="Z672" s="153">
        <f t="shared" si="36"/>
        <v>23983967.944001697</v>
      </c>
      <c r="AA672" s="154">
        <f t="shared" si="37"/>
        <v>22031127.936573166</v>
      </c>
      <c r="AB672" s="155">
        <f t="shared" si="39"/>
        <v>1952840.0074285334</v>
      </c>
      <c r="AC672" s="155">
        <f t="shared" si="38"/>
        <v>1149672876.5205529</v>
      </c>
    </row>
    <row r="673" spans="25:29" hidden="1">
      <c r="Y673" s="152">
        <v>635</v>
      </c>
      <c r="Z673" s="153">
        <f t="shared" si="36"/>
        <v>23983967.944001697</v>
      </c>
      <c r="AA673" s="154">
        <f t="shared" si="37"/>
        <v>22067846.483134121</v>
      </c>
      <c r="AB673" s="155">
        <f t="shared" si="39"/>
        <v>1916121.4608675784</v>
      </c>
      <c r="AC673" s="155">
        <f t="shared" si="38"/>
        <v>1127605030.0374188</v>
      </c>
    </row>
    <row r="674" spans="25:29" hidden="1">
      <c r="Y674" s="152">
        <v>636</v>
      </c>
      <c r="Z674" s="153">
        <f t="shared" si="36"/>
        <v>23983967.944001697</v>
      </c>
      <c r="AA674" s="154">
        <f t="shared" si="37"/>
        <v>22104626.227272678</v>
      </c>
      <c r="AB674" s="155">
        <f t="shared" si="39"/>
        <v>1879341.7167290214</v>
      </c>
      <c r="AC674" s="155">
        <f t="shared" si="38"/>
        <v>1105500403.8101461</v>
      </c>
    </row>
    <row r="675" spans="25:29" hidden="1">
      <c r="Y675" s="152">
        <v>637</v>
      </c>
      <c r="Z675" s="153">
        <f t="shared" si="36"/>
        <v>23983967.944001697</v>
      </c>
      <c r="AA675" s="154">
        <f t="shared" si="37"/>
        <v>22141467.270984795</v>
      </c>
      <c r="AB675" s="155">
        <f t="shared" si="39"/>
        <v>1842500.6730169004</v>
      </c>
      <c r="AC675" s="155">
        <f t="shared" si="38"/>
        <v>1083358936.5391612</v>
      </c>
    </row>
    <row r="676" spans="25:29" hidden="1">
      <c r="Y676" s="152">
        <v>638</v>
      </c>
      <c r="Z676" s="153">
        <f t="shared" si="36"/>
        <v>23983967.944001697</v>
      </c>
      <c r="AA676" s="154">
        <f t="shared" si="37"/>
        <v>22178369.716436442</v>
      </c>
      <c r="AB676" s="155">
        <f t="shared" si="39"/>
        <v>1805598.2275652587</v>
      </c>
      <c r="AC676" s="155">
        <f t="shared" si="38"/>
        <v>1061180566.8227248</v>
      </c>
    </row>
    <row r="677" spans="25:29" hidden="1">
      <c r="Y677" s="152">
        <v>639</v>
      </c>
      <c r="Z677" s="153">
        <f t="shared" si="36"/>
        <v>23983967.944001697</v>
      </c>
      <c r="AA677" s="154">
        <f t="shared" si="37"/>
        <v>22215333.665963832</v>
      </c>
      <c r="AB677" s="155">
        <f t="shared" si="39"/>
        <v>1768634.2780378649</v>
      </c>
      <c r="AC677" s="155">
        <f t="shared" si="38"/>
        <v>1038965233.1567609</v>
      </c>
    </row>
    <row r="678" spans="25:29" hidden="1">
      <c r="Y678" s="152">
        <v>640</v>
      </c>
      <c r="Z678" s="153">
        <f t="shared" si="36"/>
        <v>23983967.944001697</v>
      </c>
      <c r="AA678" s="154">
        <f t="shared" si="37"/>
        <v>22252359.222073771</v>
      </c>
      <c r="AB678" s="155">
        <f t="shared" si="39"/>
        <v>1731608.721927925</v>
      </c>
      <c r="AC678" s="155">
        <f t="shared" si="38"/>
        <v>1016712873.9346871</v>
      </c>
    </row>
    <row r="679" spans="25:29" hidden="1">
      <c r="Y679" s="152">
        <v>641</v>
      </c>
      <c r="Z679" s="153">
        <f t="shared" si="36"/>
        <v>23983967.944001697</v>
      </c>
      <c r="AA679" s="154">
        <f t="shared" si="37"/>
        <v>22289446.487443894</v>
      </c>
      <c r="AB679" s="155">
        <f t="shared" si="39"/>
        <v>1694521.4565578019</v>
      </c>
      <c r="AC679" s="155">
        <f t="shared" si="38"/>
        <v>994423427.44724321</v>
      </c>
    </row>
    <row r="680" spans="25:29" hidden="1">
      <c r="Y680" s="152">
        <v>642</v>
      </c>
      <c r="Z680" s="153">
        <f t="shared" ref="Z680:Z743" si="40">IF(Y680&lt;=$AB$32, PMT($AB$31/12,$AB$32,-$AB$30,0,1), 0)</f>
        <v>23983967.944001697</v>
      </c>
      <c r="AA680" s="154">
        <f t="shared" ref="AA680:AA743" si="41">IF(Y680&lt;=$AB$32,-PPMT($AB$31/12,Y680,$AB$32,$AB$30,,1),0)</f>
        <v>22326595.56492297</v>
      </c>
      <c r="AB680" s="155">
        <f t="shared" si="39"/>
        <v>1657372.3790787291</v>
      </c>
      <c r="AC680" s="155">
        <f t="shared" ref="AC680:AC743" si="42">AC679-AA680</f>
        <v>972096831.88232028</v>
      </c>
    </row>
    <row r="681" spans="25:29" hidden="1">
      <c r="Y681" s="152">
        <v>643</v>
      </c>
      <c r="Z681" s="153">
        <f t="shared" si="40"/>
        <v>23983967.944001697</v>
      </c>
      <c r="AA681" s="154">
        <f t="shared" si="41"/>
        <v>22363806.557531174</v>
      </c>
      <c r="AB681" s="155">
        <f t="shared" ref="AB681:AB744" si="43">IF(Y681&lt;=$AB$32,-IPMT($AB$31/12,Y681,$AB$32,$AB$30,,1),0)</f>
        <v>1620161.3864705239</v>
      </c>
      <c r="AC681" s="155">
        <f t="shared" si="42"/>
        <v>949733025.32478917</v>
      </c>
    </row>
    <row r="682" spans="25:29" hidden="1">
      <c r="Y682" s="152">
        <v>644</v>
      </c>
      <c r="Z682" s="153">
        <f t="shared" si="40"/>
        <v>23983967.944001697</v>
      </c>
      <c r="AA682" s="154">
        <f t="shared" si="41"/>
        <v>22401079.568460394</v>
      </c>
      <c r="AB682" s="155">
        <f t="shared" si="43"/>
        <v>1582888.3755413052</v>
      </c>
      <c r="AC682" s="155">
        <f t="shared" si="42"/>
        <v>927331945.75632882</v>
      </c>
    </row>
    <row r="683" spans="25:29" hidden="1">
      <c r="Y683" s="152">
        <v>645</v>
      </c>
      <c r="Z683" s="153">
        <f t="shared" si="40"/>
        <v>23983967.944001697</v>
      </c>
      <c r="AA683" s="154">
        <f t="shared" si="41"/>
        <v>22438414.701074492</v>
      </c>
      <c r="AB683" s="155">
        <f t="shared" si="43"/>
        <v>1545553.2429272048</v>
      </c>
      <c r="AC683" s="155">
        <f t="shared" si="42"/>
        <v>904893531.05525434</v>
      </c>
    </row>
    <row r="684" spans="25:29" hidden="1">
      <c r="Y684" s="152">
        <v>646</v>
      </c>
      <c r="Z684" s="153">
        <f t="shared" si="40"/>
        <v>23983967.944001697</v>
      </c>
      <c r="AA684" s="154">
        <f t="shared" si="41"/>
        <v>22475812.058909617</v>
      </c>
      <c r="AB684" s="155">
        <f t="shared" si="43"/>
        <v>1508155.8850920806</v>
      </c>
      <c r="AC684" s="155">
        <f t="shared" si="42"/>
        <v>882417718.99634469</v>
      </c>
    </row>
    <row r="685" spans="25:29" hidden="1">
      <c r="Y685" s="152">
        <v>647</v>
      </c>
      <c r="Z685" s="153">
        <f t="shared" si="40"/>
        <v>23983967.944001697</v>
      </c>
      <c r="AA685" s="154">
        <f t="shared" si="41"/>
        <v>22513271.745674469</v>
      </c>
      <c r="AB685" s="155">
        <f t="shared" si="43"/>
        <v>1470696.1983272312</v>
      </c>
      <c r="AC685" s="155">
        <f t="shared" si="42"/>
        <v>859904447.25067019</v>
      </c>
    </row>
    <row r="686" spans="25:29" hidden="1">
      <c r="Y686" s="152">
        <v>648</v>
      </c>
      <c r="Z686" s="153">
        <f t="shared" si="40"/>
        <v>23983967.944001697</v>
      </c>
      <c r="AA686" s="154">
        <f t="shared" si="41"/>
        <v>22550793.865250591</v>
      </c>
      <c r="AB686" s="155">
        <f t="shared" si="43"/>
        <v>1433174.0787511072</v>
      </c>
      <c r="AC686" s="155">
        <f t="shared" si="42"/>
        <v>837353653.38541961</v>
      </c>
    </row>
    <row r="687" spans="25:29" hidden="1">
      <c r="Y687" s="152">
        <v>649</v>
      </c>
      <c r="Z687" s="153">
        <f t="shared" si="40"/>
        <v>23983967.944001697</v>
      </c>
      <c r="AA687" s="154">
        <f t="shared" si="41"/>
        <v>22588378.521692675</v>
      </c>
      <c r="AB687" s="155">
        <f t="shared" si="43"/>
        <v>1395589.4223090226</v>
      </c>
      <c r="AC687" s="155">
        <f t="shared" si="42"/>
        <v>814765274.86372697</v>
      </c>
    </row>
    <row r="688" spans="25:29" hidden="1">
      <c r="Y688" s="152">
        <v>650</v>
      </c>
      <c r="Z688" s="153">
        <f t="shared" si="40"/>
        <v>23983967.944001697</v>
      </c>
      <c r="AA688" s="154">
        <f t="shared" si="41"/>
        <v>22626025.819228832</v>
      </c>
      <c r="AB688" s="155">
        <f t="shared" si="43"/>
        <v>1357942.1247728684</v>
      </c>
      <c r="AC688" s="155">
        <f t="shared" si="42"/>
        <v>792139249.04449809</v>
      </c>
    </row>
    <row r="689" spans="25:29" hidden="1">
      <c r="Y689" s="152">
        <v>651</v>
      </c>
      <c r="Z689" s="153">
        <f t="shared" si="40"/>
        <v>23983967.944001697</v>
      </c>
      <c r="AA689" s="154">
        <f t="shared" si="41"/>
        <v>22663735.862260878</v>
      </c>
      <c r="AB689" s="155">
        <f t="shared" si="43"/>
        <v>1320232.0817408201</v>
      </c>
      <c r="AC689" s="155">
        <f t="shared" si="42"/>
        <v>769475513.18223715</v>
      </c>
    </row>
    <row r="690" spans="25:29" hidden="1">
      <c r="Y690" s="152">
        <v>652</v>
      </c>
      <c r="Z690" s="153">
        <f t="shared" si="40"/>
        <v>23983967.944001697</v>
      </c>
      <c r="AA690" s="154">
        <f t="shared" si="41"/>
        <v>22701508.755364645</v>
      </c>
      <c r="AB690" s="155">
        <f t="shared" si="43"/>
        <v>1282459.1886370522</v>
      </c>
      <c r="AC690" s="155">
        <f t="shared" si="42"/>
        <v>746774004.42687249</v>
      </c>
    </row>
    <row r="691" spans="25:29" hidden="1">
      <c r="Y691" s="152">
        <v>653</v>
      </c>
      <c r="Z691" s="153">
        <f t="shared" si="40"/>
        <v>23983967.944001697</v>
      </c>
      <c r="AA691" s="154">
        <f t="shared" si="41"/>
        <v>22739344.603290252</v>
      </c>
      <c r="AB691" s="155">
        <f t="shared" si="43"/>
        <v>1244623.3407114444</v>
      </c>
      <c r="AC691" s="155">
        <f t="shared" si="42"/>
        <v>724034659.82358229</v>
      </c>
    </row>
    <row r="692" spans="25:29" hidden="1">
      <c r="Y692" s="152">
        <v>654</v>
      </c>
      <c r="Z692" s="153">
        <f t="shared" si="40"/>
        <v>23983967.944001697</v>
      </c>
      <c r="AA692" s="154">
        <f t="shared" si="41"/>
        <v>22777243.510962404</v>
      </c>
      <c r="AB692" s="155">
        <f t="shared" si="43"/>
        <v>1206724.4330392936</v>
      </c>
      <c r="AC692" s="155">
        <f t="shared" si="42"/>
        <v>701257416.31261992</v>
      </c>
    </row>
    <row r="693" spans="25:29" hidden="1">
      <c r="Y693" s="152">
        <v>655</v>
      </c>
      <c r="Z693" s="153">
        <f t="shared" si="40"/>
        <v>23983967.944001697</v>
      </c>
      <c r="AA693" s="154">
        <f t="shared" si="41"/>
        <v>22815205.583480675</v>
      </c>
      <c r="AB693" s="155">
        <f t="shared" si="43"/>
        <v>1168762.3605210234</v>
      </c>
      <c r="AC693" s="155">
        <f t="shared" si="42"/>
        <v>678442210.72913921</v>
      </c>
    </row>
    <row r="694" spans="25:29" hidden="1">
      <c r="Y694" s="152">
        <v>656</v>
      </c>
      <c r="Z694" s="153">
        <f t="shared" si="40"/>
        <v>23983967.944001697</v>
      </c>
      <c r="AA694" s="154">
        <f t="shared" si="41"/>
        <v>22853230.926119808</v>
      </c>
      <c r="AB694" s="155">
        <f t="shared" si="43"/>
        <v>1130737.0178818887</v>
      </c>
      <c r="AC694" s="155">
        <f t="shared" si="42"/>
        <v>655588979.8030194</v>
      </c>
    </row>
    <row r="695" spans="25:29" hidden="1">
      <c r="Y695" s="152">
        <v>657</v>
      </c>
      <c r="Z695" s="153">
        <f t="shared" si="40"/>
        <v>23983967.944001697</v>
      </c>
      <c r="AA695" s="154">
        <f t="shared" si="41"/>
        <v>22891319.64433001</v>
      </c>
      <c r="AB695" s="155">
        <f t="shared" si="43"/>
        <v>1092648.2996716893</v>
      </c>
      <c r="AC695" s="155">
        <f t="shared" si="42"/>
        <v>632697660.15868938</v>
      </c>
    </row>
    <row r="696" spans="25:29" hidden="1">
      <c r="Y696" s="152">
        <v>658</v>
      </c>
      <c r="Z696" s="153">
        <f t="shared" si="40"/>
        <v>23983967.944001697</v>
      </c>
      <c r="AA696" s="154">
        <f t="shared" si="41"/>
        <v>22929471.843737226</v>
      </c>
      <c r="AB696" s="155">
        <f t="shared" si="43"/>
        <v>1054496.1002644724</v>
      </c>
      <c r="AC696" s="155">
        <f t="shared" si="42"/>
        <v>609768188.31495214</v>
      </c>
    </row>
    <row r="697" spans="25:29" hidden="1">
      <c r="Y697" s="152">
        <v>659</v>
      </c>
      <c r="Z697" s="153">
        <f t="shared" si="40"/>
        <v>23983967.944001697</v>
      </c>
      <c r="AA697" s="154">
        <f t="shared" si="41"/>
        <v>22967687.630143452</v>
      </c>
      <c r="AB697" s="155">
        <f t="shared" si="43"/>
        <v>1016280.3138582439</v>
      </c>
      <c r="AC697" s="155">
        <f t="shared" si="42"/>
        <v>586800500.68480873</v>
      </c>
    </row>
    <row r="698" spans="25:29" hidden="1">
      <c r="Y698" s="152">
        <v>660</v>
      </c>
      <c r="Z698" s="153">
        <f t="shared" si="40"/>
        <v>23983967.944001697</v>
      </c>
      <c r="AA698" s="154">
        <f t="shared" si="41"/>
        <v>23005967.109527025</v>
      </c>
      <c r="AB698" s="155">
        <f t="shared" si="43"/>
        <v>978000.83447467128</v>
      </c>
      <c r="AC698" s="155">
        <f t="shared" si="42"/>
        <v>563794533.57528174</v>
      </c>
    </row>
    <row r="699" spans="25:29" hidden="1">
      <c r="Y699" s="152">
        <v>661</v>
      </c>
      <c r="Z699" s="153">
        <f t="shared" si="40"/>
        <v>23983967.944001697</v>
      </c>
      <c r="AA699" s="154">
        <f t="shared" si="41"/>
        <v>23044310.388042904</v>
      </c>
      <c r="AB699" s="155">
        <f t="shared" si="43"/>
        <v>939657.55595879292</v>
      </c>
      <c r="AC699" s="155">
        <f t="shared" si="42"/>
        <v>540750223.18723881</v>
      </c>
    </row>
    <row r="700" spans="25:29" hidden="1">
      <c r="Y700" s="152">
        <v>662</v>
      </c>
      <c r="Z700" s="153">
        <f t="shared" si="40"/>
        <v>23983967.944001697</v>
      </c>
      <c r="AA700" s="154">
        <f t="shared" si="41"/>
        <v>23082717.572022978</v>
      </c>
      <c r="AB700" s="155">
        <f t="shared" si="43"/>
        <v>901250.37197872135</v>
      </c>
      <c r="AC700" s="155">
        <f t="shared" si="42"/>
        <v>517667505.61521584</v>
      </c>
    </row>
    <row r="701" spans="25:29" hidden="1">
      <c r="Y701" s="152">
        <v>663</v>
      </c>
      <c r="Z701" s="153">
        <f t="shared" si="40"/>
        <v>23983967.944001697</v>
      </c>
      <c r="AA701" s="154">
        <f t="shared" si="41"/>
        <v>23121188.767976347</v>
      </c>
      <c r="AB701" s="155">
        <f t="shared" si="43"/>
        <v>862779.17602534953</v>
      </c>
      <c r="AC701" s="155">
        <f t="shared" si="42"/>
        <v>494546316.84723949</v>
      </c>
    </row>
    <row r="702" spans="25:29" hidden="1">
      <c r="Y702" s="152">
        <v>664</v>
      </c>
      <c r="Z702" s="153">
        <f t="shared" si="40"/>
        <v>23983967.944001697</v>
      </c>
      <c r="AA702" s="154">
        <f t="shared" si="41"/>
        <v>23159724.082589641</v>
      </c>
      <c r="AB702" s="155">
        <f t="shared" si="43"/>
        <v>824243.86141205591</v>
      </c>
      <c r="AC702" s="155">
        <f t="shared" si="42"/>
        <v>471386592.76464987</v>
      </c>
    </row>
    <row r="703" spans="25:29" hidden="1">
      <c r="Y703" s="152">
        <v>665</v>
      </c>
      <c r="Z703" s="153">
        <f t="shared" si="40"/>
        <v>23983967.944001697</v>
      </c>
      <c r="AA703" s="154">
        <f t="shared" si="41"/>
        <v>23198323.62272729</v>
      </c>
      <c r="AB703" s="155">
        <f t="shared" si="43"/>
        <v>785644.32127440639</v>
      </c>
      <c r="AC703" s="155">
        <f t="shared" si="42"/>
        <v>448188269.14192259</v>
      </c>
    </row>
    <row r="704" spans="25:29" hidden="1">
      <c r="Y704" s="152">
        <v>666</v>
      </c>
      <c r="Z704" s="153">
        <f t="shared" si="40"/>
        <v>23983967.944001697</v>
      </c>
      <c r="AA704" s="154">
        <f t="shared" si="41"/>
        <v>23236987.495431837</v>
      </c>
      <c r="AB704" s="155">
        <f t="shared" si="43"/>
        <v>746980.44856986089</v>
      </c>
      <c r="AC704" s="155">
        <f t="shared" si="42"/>
        <v>424951281.64649075</v>
      </c>
    </row>
    <row r="705" spans="25:29" hidden="1">
      <c r="Y705" s="152">
        <v>667</v>
      </c>
      <c r="Z705" s="153">
        <f t="shared" si="40"/>
        <v>23983967.944001697</v>
      </c>
      <c r="AA705" s="154">
        <f t="shared" si="41"/>
        <v>23275715.807924222</v>
      </c>
      <c r="AB705" s="155">
        <f t="shared" si="43"/>
        <v>708252.13607747445</v>
      </c>
      <c r="AC705" s="155">
        <f t="shared" si="42"/>
        <v>401675565.83856654</v>
      </c>
    </row>
    <row r="706" spans="25:29" hidden="1">
      <c r="Y706" s="152">
        <v>668</v>
      </c>
      <c r="Z706" s="153">
        <f t="shared" si="40"/>
        <v>23983967.944001697</v>
      </c>
      <c r="AA706" s="154">
        <f t="shared" si="41"/>
        <v>23314508.667604096</v>
      </c>
      <c r="AB706" s="155">
        <f t="shared" si="43"/>
        <v>669459.27639760089</v>
      </c>
      <c r="AC706" s="155">
        <f t="shared" si="42"/>
        <v>378361057.17096245</v>
      </c>
    </row>
    <row r="707" spans="25:29" hidden="1">
      <c r="Y707" s="152">
        <v>669</v>
      </c>
      <c r="Z707" s="153">
        <f t="shared" si="40"/>
        <v>23983967.944001697</v>
      </c>
      <c r="AA707" s="154">
        <f t="shared" si="41"/>
        <v>23353366.182050105</v>
      </c>
      <c r="AB707" s="155">
        <f t="shared" si="43"/>
        <v>630601.76195159392</v>
      </c>
      <c r="AC707" s="155">
        <f t="shared" si="42"/>
        <v>355007690.98891234</v>
      </c>
    </row>
    <row r="708" spans="25:29" hidden="1">
      <c r="Y708" s="152">
        <v>670</v>
      </c>
      <c r="Z708" s="153">
        <f t="shared" si="40"/>
        <v>23983967.944001697</v>
      </c>
      <c r="AA708" s="154">
        <f t="shared" si="41"/>
        <v>23392288.459020186</v>
      </c>
      <c r="AB708" s="155">
        <f t="shared" si="43"/>
        <v>591679.48498151056</v>
      </c>
      <c r="AC708" s="155">
        <f t="shared" si="42"/>
        <v>331615402.52989215</v>
      </c>
    </row>
    <row r="709" spans="25:29" hidden="1">
      <c r="Y709" s="152">
        <v>671</v>
      </c>
      <c r="Z709" s="153">
        <f t="shared" si="40"/>
        <v>23983967.944001697</v>
      </c>
      <c r="AA709" s="154">
        <f t="shared" si="41"/>
        <v>23431275.606451884</v>
      </c>
      <c r="AB709" s="155">
        <f t="shared" si="43"/>
        <v>552692.33754981018</v>
      </c>
      <c r="AC709" s="155">
        <f t="shared" si="42"/>
        <v>308184126.92344028</v>
      </c>
    </row>
    <row r="710" spans="25:29" hidden="1">
      <c r="Y710" s="152">
        <v>672</v>
      </c>
      <c r="Z710" s="153">
        <f t="shared" si="40"/>
        <v>23983967.944001697</v>
      </c>
      <c r="AA710" s="154">
        <f t="shared" si="41"/>
        <v>23470327.732462641</v>
      </c>
      <c r="AB710" s="155">
        <f t="shared" si="43"/>
        <v>513640.21153905708</v>
      </c>
      <c r="AC710" s="155">
        <f t="shared" si="42"/>
        <v>284713799.19097763</v>
      </c>
    </row>
    <row r="711" spans="25:29" hidden="1">
      <c r="Y711" s="152">
        <v>673</v>
      </c>
      <c r="Z711" s="153">
        <f t="shared" si="40"/>
        <v>23983967.944001697</v>
      </c>
      <c r="AA711" s="154">
        <f t="shared" si="41"/>
        <v>23509444.945350077</v>
      </c>
      <c r="AB711" s="155">
        <f t="shared" si="43"/>
        <v>474522.9986516193</v>
      </c>
      <c r="AC711" s="155">
        <f t="shared" si="42"/>
        <v>261204354.24562755</v>
      </c>
    </row>
    <row r="712" spans="25:29" hidden="1">
      <c r="Y712" s="152">
        <v>674</v>
      </c>
      <c r="Z712" s="153">
        <f t="shared" si="40"/>
        <v>23983967.944001697</v>
      </c>
      <c r="AA712" s="154">
        <f t="shared" si="41"/>
        <v>23548627.353592329</v>
      </c>
      <c r="AB712" s="155">
        <f t="shared" si="43"/>
        <v>435340.59040936909</v>
      </c>
      <c r="AC712" s="155">
        <f t="shared" si="42"/>
        <v>237655726.89203522</v>
      </c>
    </row>
    <row r="713" spans="25:29" hidden="1">
      <c r="Y713" s="152">
        <v>675</v>
      </c>
      <c r="Z713" s="153">
        <f t="shared" si="40"/>
        <v>23983967.944001697</v>
      </c>
      <c r="AA713" s="154">
        <f t="shared" si="41"/>
        <v>23587875.065848317</v>
      </c>
      <c r="AB713" s="155">
        <f t="shared" si="43"/>
        <v>396092.87815338193</v>
      </c>
      <c r="AC713" s="155">
        <f t="shared" si="42"/>
        <v>214067851.8261869</v>
      </c>
    </row>
    <row r="714" spans="25:29" hidden="1">
      <c r="Y714" s="152">
        <v>676</v>
      </c>
      <c r="Z714" s="153">
        <f t="shared" si="40"/>
        <v>23983967.944001697</v>
      </c>
      <c r="AA714" s="154">
        <f t="shared" si="41"/>
        <v>23627188.19095806</v>
      </c>
      <c r="AB714" s="155">
        <f t="shared" si="43"/>
        <v>356779.7530436347</v>
      </c>
      <c r="AC714" s="155">
        <f t="shared" si="42"/>
        <v>190440663.63522884</v>
      </c>
    </row>
    <row r="715" spans="25:29" hidden="1">
      <c r="Y715" s="152">
        <v>677</v>
      </c>
      <c r="Z715" s="153">
        <f t="shared" si="40"/>
        <v>23983967.944001697</v>
      </c>
      <c r="AA715" s="154">
        <f t="shared" si="41"/>
        <v>23666566.837942995</v>
      </c>
      <c r="AB715" s="155">
        <f t="shared" si="43"/>
        <v>317401.10605870461</v>
      </c>
      <c r="AC715" s="155">
        <f t="shared" si="42"/>
        <v>166774096.79728585</v>
      </c>
    </row>
    <row r="716" spans="25:29" hidden="1">
      <c r="Y716" s="152">
        <v>678</v>
      </c>
      <c r="Z716" s="153">
        <f t="shared" si="40"/>
        <v>23983967.944001697</v>
      </c>
      <c r="AA716" s="154">
        <f t="shared" si="41"/>
        <v>23706011.116006229</v>
      </c>
      <c r="AB716" s="155">
        <f t="shared" si="43"/>
        <v>277956.82799546624</v>
      </c>
      <c r="AC716" s="155">
        <f t="shared" si="42"/>
        <v>143068085.68127963</v>
      </c>
    </row>
    <row r="717" spans="25:29" hidden="1">
      <c r="Y717" s="152">
        <v>679</v>
      </c>
      <c r="Z717" s="153">
        <f t="shared" si="40"/>
        <v>23983967.944001697</v>
      </c>
      <c r="AA717" s="154">
        <f t="shared" si="41"/>
        <v>23745521.13453291</v>
      </c>
      <c r="AB717" s="155">
        <f t="shared" si="43"/>
        <v>238446.80946878929</v>
      </c>
      <c r="AC717" s="155">
        <f t="shared" si="42"/>
        <v>119322564.54674672</v>
      </c>
    </row>
    <row r="718" spans="25:29" hidden="1">
      <c r="Y718" s="152">
        <v>680</v>
      </c>
      <c r="Z718" s="153">
        <f t="shared" si="40"/>
        <v>23983967.944001697</v>
      </c>
      <c r="AA718" s="154">
        <f t="shared" si="41"/>
        <v>23785097.003090464</v>
      </c>
      <c r="AB718" s="155">
        <f t="shared" si="43"/>
        <v>198870.94091123439</v>
      </c>
      <c r="AC718" s="155">
        <f t="shared" si="42"/>
        <v>95537467.54365626</v>
      </c>
    </row>
    <row r="719" spans="25:29" hidden="1">
      <c r="Y719" s="152">
        <v>681</v>
      </c>
      <c r="Z719" s="153">
        <f t="shared" si="40"/>
        <v>23983967.944001697</v>
      </c>
      <c r="AA719" s="154">
        <f t="shared" si="41"/>
        <v>23824738.831428949</v>
      </c>
      <c r="AB719" s="155">
        <f t="shared" si="43"/>
        <v>159229.11257275028</v>
      </c>
      <c r="AC719" s="155">
        <f t="shared" si="42"/>
        <v>71712728.712227315</v>
      </c>
    </row>
    <row r="720" spans="25:29" hidden="1">
      <c r="Y720" s="152">
        <v>682</v>
      </c>
      <c r="Z720" s="153">
        <f t="shared" si="40"/>
        <v>23983967.944001697</v>
      </c>
      <c r="AA720" s="154">
        <f t="shared" si="41"/>
        <v>23864446.729481328</v>
      </c>
      <c r="AB720" s="155">
        <f t="shared" si="43"/>
        <v>119521.2145203687</v>
      </c>
      <c r="AC720" s="155">
        <f t="shared" si="42"/>
        <v>47848281.98274599</v>
      </c>
    </row>
    <row r="721" spans="25:29" hidden="1">
      <c r="Y721" s="152">
        <v>683</v>
      </c>
      <c r="Z721" s="153">
        <f t="shared" si="40"/>
        <v>23983967.944001697</v>
      </c>
      <c r="AA721" s="154">
        <f t="shared" si="41"/>
        <v>23904220.807363797</v>
      </c>
      <c r="AB721" s="155">
        <f t="shared" si="43"/>
        <v>79747.136637899792</v>
      </c>
      <c r="AC721" s="155">
        <f t="shared" si="42"/>
        <v>23944061.175382193</v>
      </c>
    </row>
    <row r="722" spans="25:29" hidden="1">
      <c r="Y722" s="152">
        <v>684</v>
      </c>
      <c r="Z722" s="153">
        <f t="shared" si="40"/>
        <v>23983967.944001697</v>
      </c>
      <c r="AA722" s="154">
        <f t="shared" si="41"/>
        <v>23944061.175376073</v>
      </c>
      <c r="AB722" s="155">
        <f t="shared" si="43"/>
        <v>39906.768625626792</v>
      </c>
      <c r="AC722" s="155">
        <f t="shared" si="42"/>
        <v>6.1206519603729248E-6</v>
      </c>
    </row>
    <row r="723" spans="25:29" hidden="1">
      <c r="Y723" s="152">
        <v>685</v>
      </c>
      <c r="Z723" s="153">
        <f t="shared" si="40"/>
        <v>0</v>
      </c>
      <c r="AA723" s="154">
        <f t="shared" si="41"/>
        <v>0</v>
      </c>
      <c r="AB723" s="155">
        <f t="shared" si="43"/>
        <v>0</v>
      </c>
      <c r="AC723" s="155">
        <f t="shared" si="42"/>
        <v>6.1206519603729248E-6</v>
      </c>
    </row>
    <row r="724" spans="25:29" hidden="1">
      <c r="Y724" s="152">
        <v>686</v>
      </c>
      <c r="Z724" s="153">
        <f t="shared" si="40"/>
        <v>0</v>
      </c>
      <c r="AA724" s="154">
        <f t="shared" si="41"/>
        <v>0</v>
      </c>
      <c r="AB724" s="155">
        <f t="shared" si="43"/>
        <v>0</v>
      </c>
      <c r="AC724" s="155">
        <f t="shared" si="42"/>
        <v>6.1206519603729248E-6</v>
      </c>
    </row>
    <row r="725" spans="25:29" hidden="1">
      <c r="Y725" s="152">
        <v>687</v>
      </c>
      <c r="Z725" s="153">
        <f t="shared" si="40"/>
        <v>0</v>
      </c>
      <c r="AA725" s="154">
        <f t="shared" si="41"/>
        <v>0</v>
      </c>
      <c r="AB725" s="155">
        <f t="shared" si="43"/>
        <v>0</v>
      </c>
      <c r="AC725" s="155">
        <f t="shared" si="42"/>
        <v>6.1206519603729248E-6</v>
      </c>
    </row>
    <row r="726" spans="25:29" hidden="1">
      <c r="Y726" s="152">
        <v>688</v>
      </c>
      <c r="Z726" s="153">
        <f t="shared" si="40"/>
        <v>0</v>
      </c>
      <c r="AA726" s="154">
        <f t="shared" si="41"/>
        <v>0</v>
      </c>
      <c r="AB726" s="155">
        <f t="shared" si="43"/>
        <v>0</v>
      </c>
      <c r="AC726" s="155">
        <f t="shared" si="42"/>
        <v>6.1206519603729248E-6</v>
      </c>
    </row>
    <row r="727" spans="25:29" hidden="1">
      <c r="Y727" s="152">
        <v>689</v>
      </c>
      <c r="Z727" s="153">
        <f t="shared" si="40"/>
        <v>0</v>
      </c>
      <c r="AA727" s="154">
        <f t="shared" si="41"/>
        <v>0</v>
      </c>
      <c r="AB727" s="155">
        <f t="shared" si="43"/>
        <v>0</v>
      </c>
      <c r="AC727" s="155">
        <f t="shared" si="42"/>
        <v>6.1206519603729248E-6</v>
      </c>
    </row>
    <row r="728" spans="25:29" hidden="1">
      <c r="Y728" s="152">
        <v>690</v>
      </c>
      <c r="Z728" s="153">
        <f t="shared" si="40"/>
        <v>0</v>
      </c>
      <c r="AA728" s="154">
        <f t="shared" si="41"/>
        <v>0</v>
      </c>
      <c r="AB728" s="155">
        <f t="shared" si="43"/>
        <v>0</v>
      </c>
      <c r="AC728" s="155">
        <f t="shared" si="42"/>
        <v>6.1206519603729248E-6</v>
      </c>
    </row>
    <row r="729" spans="25:29" hidden="1">
      <c r="Y729" s="152">
        <v>691</v>
      </c>
      <c r="Z729" s="153">
        <f t="shared" si="40"/>
        <v>0</v>
      </c>
      <c r="AA729" s="154">
        <f t="shared" si="41"/>
        <v>0</v>
      </c>
      <c r="AB729" s="155">
        <f t="shared" si="43"/>
        <v>0</v>
      </c>
      <c r="AC729" s="155">
        <f t="shared" si="42"/>
        <v>6.1206519603729248E-6</v>
      </c>
    </row>
    <row r="730" spans="25:29" hidden="1">
      <c r="Y730" s="152">
        <v>692</v>
      </c>
      <c r="Z730" s="153">
        <f t="shared" si="40"/>
        <v>0</v>
      </c>
      <c r="AA730" s="154">
        <f t="shared" si="41"/>
        <v>0</v>
      </c>
      <c r="AB730" s="155">
        <f t="shared" si="43"/>
        <v>0</v>
      </c>
      <c r="AC730" s="155">
        <f t="shared" si="42"/>
        <v>6.1206519603729248E-6</v>
      </c>
    </row>
    <row r="731" spans="25:29" hidden="1">
      <c r="Y731" s="152">
        <v>693</v>
      </c>
      <c r="Z731" s="153">
        <f t="shared" si="40"/>
        <v>0</v>
      </c>
      <c r="AA731" s="154">
        <f t="shared" si="41"/>
        <v>0</v>
      </c>
      <c r="AB731" s="155">
        <f t="shared" si="43"/>
        <v>0</v>
      </c>
      <c r="AC731" s="155">
        <f t="shared" si="42"/>
        <v>6.1206519603729248E-6</v>
      </c>
    </row>
    <row r="732" spans="25:29" hidden="1">
      <c r="Y732" s="152">
        <v>694</v>
      </c>
      <c r="Z732" s="153">
        <f t="shared" si="40"/>
        <v>0</v>
      </c>
      <c r="AA732" s="154">
        <f t="shared" si="41"/>
        <v>0</v>
      </c>
      <c r="AB732" s="155">
        <f t="shared" si="43"/>
        <v>0</v>
      </c>
      <c r="AC732" s="155">
        <f t="shared" si="42"/>
        <v>6.1206519603729248E-6</v>
      </c>
    </row>
    <row r="733" spans="25:29" hidden="1">
      <c r="Y733" s="152">
        <v>695</v>
      </c>
      <c r="Z733" s="153">
        <f t="shared" si="40"/>
        <v>0</v>
      </c>
      <c r="AA733" s="154">
        <f t="shared" si="41"/>
        <v>0</v>
      </c>
      <c r="AB733" s="155">
        <f t="shared" si="43"/>
        <v>0</v>
      </c>
      <c r="AC733" s="155">
        <f t="shared" si="42"/>
        <v>6.1206519603729248E-6</v>
      </c>
    </row>
    <row r="734" spans="25:29" hidden="1">
      <c r="Y734" s="152">
        <v>696</v>
      </c>
      <c r="Z734" s="153">
        <f t="shared" si="40"/>
        <v>0</v>
      </c>
      <c r="AA734" s="154">
        <f t="shared" si="41"/>
        <v>0</v>
      </c>
      <c r="AB734" s="155">
        <f t="shared" si="43"/>
        <v>0</v>
      </c>
      <c r="AC734" s="155">
        <f t="shared" si="42"/>
        <v>6.1206519603729248E-6</v>
      </c>
    </row>
    <row r="735" spans="25:29" hidden="1">
      <c r="Y735" s="152">
        <v>697</v>
      </c>
      <c r="Z735" s="153">
        <f t="shared" si="40"/>
        <v>0</v>
      </c>
      <c r="AA735" s="154">
        <f t="shared" si="41"/>
        <v>0</v>
      </c>
      <c r="AB735" s="155">
        <f t="shared" si="43"/>
        <v>0</v>
      </c>
      <c r="AC735" s="155">
        <f t="shared" si="42"/>
        <v>6.1206519603729248E-6</v>
      </c>
    </row>
    <row r="736" spans="25:29" hidden="1">
      <c r="Y736" s="152">
        <v>698</v>
      </c>
      <c r="Z736" s="153">
        <f t="shared" si="40"/>
        <v>0</v>
      </c>
      <c r="AA736" s="154">
        <f t="shared" si="41"/>
        <v>0</v>
      </c>
      <c r="AB736" s="155">
        <f t="shared" si="43"/>
        <v>0</v>
      </c>
      <c r="AC736" s="155">
        <f t="shared" si="42"/>
        <v>6.1206519603729248E-6</v>
      </c>
    </row>
    <row r="737" spans="25:29" hidden="1">
      <c r="Y737" s="152">
        <v>699</v>
      </c>
      <c r="Z737" s="153">
        <f t="shared" si="40"/>
        <v>0</v>
      </c>
      <c r="AA737" s="154">
        <f t="shared" si="41"/>
        <v>0</v>
      </c>
      <c r="AB737" s="155">
        <f t="shared" si="43"/>
        <v>0</v>
      </c>
      <c r="AC737" s="155">
        <f t="shared" si="42"/>
        <v>6.1206519603729248E-6</v>
      </c>
    </row>
    <row r="738" spans="25:29" hidden="1">
      <c r="Y738" s="152">
        <v>700</v>
      </c>
      <c r="Z738" s="153">
        <f t="shared" si="40"/>
        <v>0</v>
      </c>
      <c r="AA738" s="154">
        <f t="shared" si="41"/>
        <v>0</v>
      </c>
      <c r="AB738" s="155">
        <f t="shared" si="43"/>
        <v>0</v>
      </c>
      <c r="AC738" s="155">
        <f t="shared" si="42"/>
        <v>6.1206519603729248E-6</v>
      </c>
    </row>
    <row r="739" spans="25:29" hidden="1">
      <c r="Y739" s="152">
        <v>701</v>
      </c>
      <c r="Z739" s="153">
        <f t="shared" si="40"/>
        <v>0</v>
      </c>
      <c r="AA739" s="154">
        <f t="shared" si="41"/>
        <v>0</v>
      </c>
      <c r="AB739" s="155">
        <f t="shared" si="43"/>
        <v>0</v>
      </c>
      <c r="AC739" s="155">
        <f t="shared" si="42"/>
        <v>6.1206519603729248E-6</v>
      </c>
    </row>
    <row r="740" spans="25:29" hidden="1">
      <c r="Y740" s="152">
        <v>702</v>
      </c>
      <c r="Z740" s="153">
        <f t="shared" si="40"/>
        <v>0</v>
      </c>
      <c r="AA740" s="154">
        <f t="shared" si="41"/>
        <v>0</v>
      </c>
      <c r="AB740" s="155">
        <f t="shared" si="43"/>
        <v>0</v>
      </c>
      <c r="AC740" s="155">
        <f t="shared" si="42"/>
        <v>6.1206519603729248E-6</v>
      </c>
    </row>
    <row r="741" spans="25:29" hidden="1">
      <c r="Y741" s="152">
        <v>703</v>
      </c>
      <c r="Z741" s="153">
        <f t="shared" si="40"/>
        <v>0</v>
      </c>
      <c r="AA741" s="154">
        <f t="shared" si="41"/>
        <v>0</v>
      </c>
      <c r="AB741" s="155">
        <f t="shared" si="43"/>
        <v>0</v>
      </c>
      <c r="AC741" s="155">
        <f t="shared" si="42"/>
        <v>6.1206519603729248E-6</v>
      </c>
    </row>
    <row r="742" spans="25:29" hidden="1">
      <c r="Y742" s="152">
        <v>704</v>
      </c>
      <c r="Z742" s="153">
        <f t="shared" si="40"/>
        <v>0</v>
      </c>
      <c r="AA742" s="154">
        <f t="shared" si="41"/>
        <v>0</v>
      </c>
      <c r="AB742" s="155">
        <f t="shared" si="43"/>
        <v>0</v>
      </c>
      <c r="AC742" s="155">
        <f t="shared" si="42"/>
        <v>6.1206519603729248E-6</v>
      </c>
    </row>
    <row r="743" spans="25:29" hidden="1">
      <c r="Y743" s="152">
        <v>705</v>
      </c>
      <c r="Z743" s="153">
        <f t="shared" si="40"/>
        <v>0</v>
      </c>
      <c r="AA743" s="154">
        <f t="shared" si="41"/>
        <v>0</v>
      </c>
      <c r="AB743" s="155">
        <f t="shared" si="43"/>
        <v>0</v>
      </c>
      <c r="AC743" s="155">
        <f t="shared" si="42"/>
        <v>6.1206519603729248E-6</v>
      </c>
    </row>
    <row r="744" spans="25:29" hidden="1">
      <c r="Y744" s="152">
        <v>706</v>
      </c>
      <c r="Z744" s="153">
        <f t="shared" ref="Z744:Z758" si="44">IF(Y744&lt;=$AB$32, PMT($AB$31/12,$AB$32,-$AB$30,0,1), 0)</f>
        <v>0</v>
      </c>
      <c r="AA744" s="154">
        <f t="shared" ref="AA744:AA758" si="45">IF(Y744&lt;=$AB$32,-PPMT($AB$31/12,Y744,$AB$32,$AB$30,,1),0)</f>
        <v>0</v>
      </c>
      <c r="AB744" s="155">
        <f t="shared" si="43"/>
        <v>0</v>
      </c>
      <c r="AC744" s="155">
        <f t="shared" ref="AC744:AC758" si="46">AC743-AA744</f>
        <v>6.1206519603729248E-6</v>
      </c>
    </row>
    <row r="745" spans="25:29" hidden="1">
      <c r="Y745" s="152">
        <v>707</v>
      </c>
      <c r="Z745" s="153">
        <f t="shared" si="44"/>
        <v>0</v>
      </c>
      <c r="AA745" s="154">
        <f t="shared" si="45"/>
        <v>0</v>
      </c>
      <c r="AB745" s="155">
        <f t="shared" ref="AB745:AB758" si="47">IF(Y745&lt;=$AB$32,-IPMT($AB$31/12,Y745,$AB$32,$AB$30,,1),0)</f>
        <v>0</v>
      </c>
      <c r="AC745" s="155">
        <f t="shared" si="46"/>
        <v>6.1206519603729248E-6</v>
      </c>
    </row>
    <row r="746" spans="25:29" hidden="1">
      <c r="Y746" s="152">
        <v>708</v>
      </c>
      <c r="Z746" s="153">
        <f t="shared" si="44"/>
        <v>0</v>
      </c>
      <c r="AA746" s="154">
        <f t="shared" si="45"/>
        <v>0</v>
      </c>
      <c r="AB746" s="155">
        <f t="shared" si="47"/>
        <v>0</v>
      </c>
      <c r="AC746" s="155">
        <f t="shared" si="46"/>
        <v>6.1206519603729248E-6</v>
      </c>
    </row>
    <row r="747" spans="25:29" hidden="1">
      <c r="Y747" s="152">
        <v>709</v>
      </c>
      <c r="Z747" s="153">
        <f t="shared" si="44"/>
        <v>0</v>
      </c>
      <c r="AA747" s="154">
        <f t="shared" si="45"/>
        <v>0</v>
      </c>
      <c r="AB747" s="155">
        <f t="shared" si="47"/>
        <v>0</v>
      </c>
      <c r="AC747" s="155">
        <f t="shared" si="46"/>
        <v>6.1206519603729248E-6</v>
      </c>
    </row>
    <row r="748" spans="25:29" hidden="1">
      <c r="Y748" s="152">
        <v>710</v>
      </c>
      <c r="Z748" s="153">
        <f t="shared" si="44"/>
        <v>0</v>
      </c>
      <c r="AA748" s="154">
        <f t="shared" si="45"/>
        <v>0</v>
      </c>
      <c r="AB748" s="155">
        <f t="shared" si="47"/>
        <v>0</v>
      </c>
      <c r="AC748" s="155">
        <f t="shared" si="46"/>
        <v>6.1206519603729248E-6</v>
      </c>
    </row>
    <row r="749" spans="25:29" hidden="1">
      <c r="Y749" s="152">
        <v>711</v>
      </c>
      <c r="Z749" s="153">
        <f t="shared" si="44"/>
        <v>0</v>
      </c>
      <c r="AA749" s="154">
        <f t="shared" si="45"/>
        <v>0</v>
      </c>
      <c r="AB749" s="155">
        <f t="shared" si="47"/>
        <v>0</v>
      </c>
      <c r="AC749" s="155">
        <f t="shared" si="46"/>
        <v>6.1206519603729248E-6</v>
      </c>
    </row>
    <row r="750" spans="25:29" hidden="1">
      <c r="Y750" s="152">
        <v>712</v>
      </c>
      <c r="Z750" s="153">
        <f t="shared" si="44"/>
        <v>0</v>
      </c>
      <c r="AA750" s="154">
        <f t="shared" si="45"/>
        <v>0</v>
      </c>
      <c r="AB750" s="155">
        <f t="shared" si="47"/>
        <v>0</v>
      </c>
      <c r="AC750" s="155">
        <f t="shared" si="46"/>
        <v>6.1206519603729248E-6</v>
      </c>
    </row>
    <row r="751" spans="25:29" hidden="1">
      <c r="Y751" s="152">
        <v>713</v>
      </c>
      <c r="Z751" s="153">
        <f t="shared" si="44"/>
        <v>0</v>
      </c>
      <c r="AA751" s="154">
        <f t="shared" si="45"/>
        <v>0</v>
      </c>
      <c r="AB751" s="155">
        <f t="shared" si="47"/>
        <v>0</v>
      </c>
      <c r="AC751" s="155">
        <f t="shared" si="46"/>
        <v>6.1206519603729248E-6</v>
      </c>
    </row>
    <row r="752" spans="25:29" hidden="1">
      <c r="Y752" s="152">
        <v>714</v>
      </c>
      <c r="Z752" s="153">
        <f t="shared" si="44"/>
        <v>0</v>
      </c>
      <c r="AA752" s="154">
        <f t="shared" si="45"/>
        <v>0</v>
      </c>
      <c r="AB752" s="155">
        <f t="shared" si="47"/>
        <v>0</v>
      </c>
      <c r="AC752" s="155">
        <f t="shared" si="46"/>
        <v>6.1206519603729248E-6</v>
      </c>
    </row>
    <row r="753" spans="23:138" hidden="1">
      <c r="Y753" s="152">
        <v>715</v>
      </c>
      <c r="Z753" s="153">
        <f t="shared" si="44"/>
        <v>0</v>
      </c>
      <c r="AA753" s="154">
        <f t="shared" si="45"/>
        <v>0</v>
      </c>
      <c r="AB753" s="155">
        <f t="shared" si="47"/>
        <v>0</v>
      </c>
      <c r="AC753" s="155">
        <f t="shared" si="46"/>
        <v>6.1206519603729248E-6</v>
      </c>
    </row>
    <row r="754" spans="23:138" hidden="1">
      <c r="Y754" s="152">
        <v>716</v>
      </c>
      <c r="Z754" s="153">
        <f t="shared" si="44"/>
        <v>0</v>
      </c>
      <c r="AA754" s="154">
        <f t="shared" si="45"/>
        <v>0</v>
      </c>
      <c r="AB754" s="155">
        <f t="shared" si="47"/>
        <v>0</v>
      </c>
      <c r="AC754" s="155">
        <f t="shared" si="46"/>
        <v>6.1206519603729248E-6</v>
      </c>
    </row>
    <row r="755" spans="23:138" hidden="1">
      <c r="Y755" s="152">
        <v>717</v>
      </c>
      <c r="Z755" s="153">
        <f t="shared" si="44"/>
        <v>0</v>
      </c>
      <c r="AA755" s="154">
        <f t="shared" si="45"/>
        <v>0</v>
      </c>
      <c r="AB755" s="155">
        <f t="shared" si="47"/>
        <v>0</v>
      </c>
      <c r="AC755" s="155">
        <f t="shared" si="46"/>
        <v>6.1206519603729248E-6</v>
      </c>
    </row>
    <row r="756" spans="23:138" hidden="1">
      <c r="Y756" s="152">
        <v>718</v>
      </c>
      <c r="Z756" s="153">
        <f t="shared" si="44"/>
        <v>0</v>
      </c>
      <c r="AA756" s="154">
        <f t="shared" si="45"/>
        <v>0</v>
      </c>
      <c r="AB756" s="155">
        <f t="shared" si="47"/>
        <v>0</v>
      </c>
      <c r="AC756" s="155">
        <f t="shared" si="46"/>
        <v>6.1206519603729248E-6</v>
      </c>
    </row>
    <row r="757" spans="23:138" hidden="1">
      <c r="Y757" s="152">
        <v>719</v>
      </c>
      <c r="Z757" s="153">
        <f t="shared" si="44"/>
        <v>0</v>
      </c>
      <c r="AA757" s="154">
        <f t="shared" si="45"/>
        <v>0</v>
      </c>
      <c r="AB757" s="155">
        <f t="shared" si="47"/>
        <v>0</v>
      </c>
      <c r="AC757" s="155">
        <f t="shared" si="46"/>
        <v>6.1206519603729248E-6</v>
      </c>
    </row>
    <row r="758" spans="23:138" hidden="1">
      <c r="Y758" s="152">
        <v>720</v>
      </c>
      <c r="Z758" s="153">
        <f t="shared" si="44"/>
        <v>0</v>
      </c>
      <c r="AA758" s="154">
        <f t="shared" si="45"/>
        <v>0</v>
      </c>
      <c r="AB758" s="155">
        <f t="shared" si="47"/>
        <v>0</v>
      </c>
      <c r="AC758" s="155">
        <f t="shared" si="46"/>
        <v>6.1206519603729248E-6</v>
      </c>
    </row>
    <row r="759" spans="23:138">
      <c r="W759" s="104" t="s">
        <v>204</v>
      </c>
      <c r="BF759" s="104" t="s">
        <v>199</v>
      </c>
      <c r="CO759" s="178" t="s">
        <v>203</v>
      </c>
      <c r="CP759" s="178"/>
      <c r="CQ759" s="178"/>
      <c r="CR759" s="178"/>
      <c r="CS759" s="178"/>
      <c r="CT759" s="178"/>
      <c r="CU759" s="178"/>
      <c r="CV759" s="178"/>
      <c r="CW759" s="178"/>
      <c r="CX759" s="178"/>
      <c r="CY759" s="178"/>
      <c r="CZ759" s="178"/>
      <c r="DA759" s="178"/>
      <c r="DB759" s="178"/>
      <c r="DC759" s="178"/>
      <c r="DD759" s="178"/>
      <c r="DE759" s="178"/>
      <c r="DF759" s="178"/>
      <c r="DG759" s="178"/>
      <c r="DH759" s="178"/>
      <c r="DI759" s="178"/>
      <c r="DJ759" s="178"/>
      <c r="DK759" s="178"/>
      <c r="DL759" s="178"/>
      <c r="DM759" s="178"/>
      <c r="DN759" s="178"/>
      <c r="DO759" s="178"/>
      <c r="DP759" s="178"/>
      <c r="DQ759" s="178"/>
      <c r="DR759" s="178"/>
      <c r="DS759" s="178"/>
      <c r="DT759" s="178"/>
      <c r="DU759" s="178"/>
      <c r="DY759" s="181" t="s">
        <v>195</v>
      </c>
      <c r="DZ759" s="181"/>
      <c r="EA759" s="181"/>
      <c r="EB759" s="181"/>
      <c r="EC759" s="181"/>
      <c r="ED759" s="181"/>
      <c r="EE759" s="181"/>
      <c r="EF759" s="181"/>
      <c r="EG759" s="181"/>
      <c r="EH759" s="181"/>
    </row>
    <row r="760" spans="23:138">
      <c r="W760" s="104" t="s">
        <v>205</v>
      </c>
      <c r="BF760" s="104" t="s">
        <v>200</v>
      </c>
      <c r="CO760" s="178" t="s">
        <v>198</v>
      </c>
      <c r="CP760" s="178"/>
      <c r="CQ760" s="178"/>
      <c r="CR760" s="178"/>
      <c r="CS760" s="178"/>
      <c r="CT760" s="178"/>
      <c r="CU760" s="178"/>
      <c r="CV760" s="178"/>
      <c r="CW760" s="178"/>
      <c r="CX760" s="178"/>
      <c r="CY760" s="178"/>
      <c r="CZ760" s="178"/>
      <c r="DA760" s="178"/>
      <c r="DB760" s="178"/>
      <c r="DC760" s="178"/>
      <c r="DD760" s="178"/>
      <c r="DE760" s="178"/>
      <c r="DF760" s="178"/>
      <c r="DG760" s="178"/>
      <c r="DH760" s="178"/>
      <c r="DI760" s="178"/>
      <c r="DJ760" s="178"/>
      <c r="DK760" s="178"/>
      <c r="DL760" s="178"/>
      <c r="DM760" s="178"/>
      <c r="DN760" s="178"/>
      <c r="DO760" s="178"/>
      <c r="DP760" s="178"/>
      <c r="DQ760" s="178"/>
      <c r="DR760" s="178"/>
      <c r="DS760" s="178"/>
      <c r="DT760" s="178"/>
      <c r="DU760" s="178"/>
      <c r="DY760" s="178" t="s">
        <v>196</v>
      </c>
      <c r="DZ760" s="178"/>
      <c r="EA760" s="178"/>
      <c r="EB760" s="178"/>
      <c r="EC760" s="178"/>
      <c r="ED760" s="178"/>
      <c r="EE760" s="178"/>
      <c r="EF760" s="178"/>
      <c r="EG760" s="178"/>
      <c r="EH760" s="178"/>
    </row>
    <row r="761" spans="23:138" ht="23.25" customHeight="1">
      <c r="W761" s="104" t="s">
        <v>206</v>
      </c>
      <c r="BF761" s="104" t="s">
        <v>201</v>
      </c>
    </row>
    <row r="762" spans="23:138">
      <c r="W762" s="104" t="s">
        <v>207</v>
      </c>
      <c r="BF762" s="104" t="s">
        <v>202</v>
      </c>
    </row>
    <row r="763" spans="23:138" ht="23.25" customHeight="1">
      <c r="W763" s="160" t="s">
        <v>208</v>
      </c>
      <c r="X763" s="160"/>
      <c r="Y763" s="160"/>
      <c r="Z763" s="160"/>
      <c r="AA763" s="160"/>
      <c r="AB763" s="160"/>
      <c r="AC763" s="160"/>
      <c r="AD763" s="160"/>
      <c r="AE763" s="160"/>
      <c r="AK763" s="160"/>
      <c r="AL763" s="160"/>
      <c r="AM763" s="160"/>
      <c r="AN763" s="160"/>
      <c r="AO763" s="160"/>
      <c r="AP763" s="158"/>
      <c r="AQ763" s="158"/>
      <c r="AR763" s="158"/>
      <c r="AS763" s="158"/>
      <c r="AT763" s="159"/>
      <c r="AU763" s="159"/>
      <c r="AV763" s="159"/>
      <c r="AW763" s="159"/>
      <c r="AX763" s="159"/>
      <c r="AY763" s="159"/>
      <c r="AZ763" s="158"/>
      <c r="BA763" s="158"/>
      <c r="BB763" s="158"/>
      <c r="BC763" s="158"/>
    </row>
    <row r="764" spans="23:138">
      <c r="W764" s="158"/>
      <c r="X764" s="158"/>
      <c r="Y764" s="158"/>
      <c r="AK764" s="158"/>
      <c r="AL764" s="158"/>
      <c r="AP764" s="158"/>
      <c r="AT764" s="159"/>
      <c r="AU764" s="159"/>
      <c r="AZ764" s="158"/>
    </row>
    <row r="765" spans="23:138" ht="23.25" customHeight="1">
      <c r="W765" s="158"/>
      <c r="X765" s="158"/>
      <c r="Y765" s="158"/>
      <c r="Z765" s="161"/>
      <c r="AA765" s="161"/>
      <c r="AB765" s="161"/>
      <c r="AC765" s="158"/>
      <c r="AD765" s="158"/>
      <c r="AE765" s="158"/>
      <c r="AK765" s="160"/>
      <c r="AL765" s="160"/>
      <c r="AM765" s="160"/>
      <c r="AN765" s="160"/>
      <c r="AO765" s="160"/>
      <c r="AP765" s="158"/>
      <c r="AQ765" s="158"/>
      <c r="AR765" s="158"/>
      <c r="AS765" s="158"/>
      <c r="AT765" s="159"/>
      <c r="AU765" s="159"/>
      <c r="AV765" s="159"/>
      <c r="AW765" s="159"/>
      <c r="AX765" s="159"/>
      <c r="AY765" s="159"/>
      <c r="AZ765" s="158"/>
      <c r="BA765" s="158"/>
      <c r="BB765" s="158"/>
      <c r="BC765" s="158"/>
    </row>
    <row r="766" spans="23:138">
      <c r="W766" s="158"/>
      <c r="X766" s="158"/>
      <c r="Y766" s="158"/>
      <c r="AK766" s="158"/>
      <c r="AL766" s="158"/>
      <c r="AP766" s="158"/>
      <c r="AT766" s="157"/>
      <c r="AU766" s="157"/>
      <c r="AZ766" s="158"/>
    </row>
    <row r="767" spans="23:138" ht="23.25" customHeight="1">
      <c r="W767" s="158"/>
      <c r="X767" s="158"/>
      <c r="Y767" s="158"/>
      <c r="Z767" s="158"/>
      <c r="AA767" s="158"/>
      <c r="AB767" s="158"/>
      <c r="AC767" s="158"/>
      <c r="AD767" s="158"/>
      <c r="AE767" s="158"/>
      <c r="AK767" s="160"/>
      <c r="AL767" s="160"/>
      <c r="AM767" s="160"/>
      <c r="AN767" s="160"/>
      <c r="AO767" s="160"/>
      <c r="AP767" s="160"/>
      <c r="AQ767" s="158"/>
      <c r="AR767" s="158"/>
      <c r="AS767" s="158"/>
      <c r="AT767" s="159"/>
      <c r="AU767" s="159"/>
      <c r="AV767" s="159"/>
      <c r="AW767" s="159"/>
      <c r="AX767" s="159"/>
      <c r="AY767" s="159"/>
      <c r="AZ767" s="158"/>
      <c r="BA767" s="158"/>
      <c r="BB767" s="158"/>
      <c r="BC767" s="158"/>
    </row>
    <row r="768" spans="23:138" ht="23.25" customHeight="1">
      <c r="W768" s="158"/>
      <c r="X768" s="158"/>
      <c r="Y768" s="158"/>
      <c r="Z768" s="158"/>
      <c r="AA768" s="158"/>
      <c r="AB768" s="158"/>
      <c r="AC768" s="158"/>
      <c r="AD768" s="158"/>
      <c r="AE768" s="158"/>
      <c r="AK768" s="160"/>
      <c r="AL768" s="160"/>
      <c r="AM768" s="160"/>
      <c r="AN768" s="160"/>
      <c r="AO768" s="160"/>
      <c r="AP768" s="160"/>
      <c r="AQ768" s="158"/>
      <c r="AR768" s="158"/>
      <c r="AS768" s="158"/>
      <c r="AT768" s="159"/>
      <c r="AU768" s="159"/>
      <c r="AV768" s="159"/>
      <c r="AW768" s="159"/>
      <c r="AX768" s="159"/>
      <c r="AY768" s="159"/>
      <c r="AZ768" s="158"/>
      <c r="BA768" s="158"/>
      <c r="BB768" s="158"/>
      <c r="BC768" s="158"/>
    </row>
    <row r="769" spans="23:55" ht="23.25" customHeight="1">
      <c r="W769" s="158"/>
      <c r="X769" s="158"/>
      <c r="Y769" s="158"/>
      <c r="Z769" s="158"/>
      <c r="AA769" s="158"/>
      <c r="AB769" s="158"/>
      <c r="AC769" s="158"/>
      <c r="AD769" s="158"/>
      <c r="AE769" s="158"/>
      <c r="AK769" s="160"/>
      <c r="AL769" s="160"/>
      <c r="AM769" s="160"/>
      <c r="AN769" s="160"/>
      <c r="AO769" s="160"/>
      <c r="AP769" s="160"/>
      <c r="AQ769" s="158"/>
      <c r="AR769" s="158"/>
      <c r="AS769" s="158"/>
      <c r="AT769" s="159"/>
      <c r="AU769" s="159"/>
      <c r="AV769" s="159"/>
      <c r="AW769" s="159"/>
      <c r="AX769" s="159"/>
      <c r="AY769" s="159"/>
      <c r="AZ769" s="158"/>
      <c r="BA769" s="158"/>
      <c r="BB769" s="158"/>
      <c r="BC769" s="158"/>
    </row>
    <row r="770" spans="23:55">
      <c r="AK770" s="160"/>
      <c r="AL770" s="160"/>
      <c r="AM770" s="160"/>
      <c r="AN770" s="160"/>
      <c r="AO770" s="160"/>
      <c r="AP770" s="160"/>
      <c r="AQ770" s="158"/>
      <c r="AR770" s="158"/>
      <c r="AS770" s="158"/>
      <c r="AT770" s="159"/>
      <c r="AU770" s="159"/>
      <c r="AV770" s="159"/>
    </row>
    <row r="771" spans="23:55">
      <c r="AK771" s="160"/>
      <c r="AL771" s="160"/>
      <c r="AM771" s="160"/>
      <c r="AN771" s="160"/>
      <c r="AO771" s="160"/>
      <c r="AP771" s="160"/>
      <c r="AQ771" s="158"/>
      <c r="AR771" s="158"/>
      <c r="AS771" s="158"/>
      <c r="AT771" s="159"/>
      <c r="AU771" s="159"/>
      <c r="AV771" s="159"/>
    </row>
    <row r="772" spans="23:55">
      <c r="AK772" s="160"/>
      <c r="AL772" s="160"/>
      <c r="AM772" s="160"/>
      <c r="AN772" s="160"/>
      <c r="AO772" s="160"/>
      <c r="AP772" s="160"/>
      <c r="AQ772" s="158"/>
      <c r="AR772" s="158"/>
      <c r="AS772" s="158"/>
      <c r="AT772" s="159"/>
      <c r="AU772" s="159"/>
      <c r="AV772" s="159"/>
    </row>
  </sheetData>
  <sheetProtection selectLockedCells="1"/>
  <mergeCells count="123">
    <mergeCell ref="AS9:AU9"/>
    <mergeCell ref="AG12:AH12"/>
    <mergeCell ref="AI12:AJ12"/>
    <mergeCell ref="Z14:AA14"/>
    <mergeCell ref="AA15:AC15"/>
    <mergeCell ref="AD15:AG15"/>
    <mergeCell ref="W7:AE7"/>
    <mergeCell ref="W9:Y9"/>
    <mergeCell ref="Z9:AC9"/>
    <mergeCell ref="AE9:AH9"/>
    <mergeCell ref="AI9:AJ9"/>
    <mergeCell ref="X25:Z25"/>
    <mergeCell ref="AA25:AC25"/>
    <mergeCell ref="AE25:AH25"/>
    <mergeCell ref="AI25:AL25"/>
    <mergeCell ref="Y30:Z32"/>
    <mergeCell ref="AB30:AC30"/>
    <mergeCell ref="AB31:AC31"/>
    <mergeCell ref="AB32:AC32"/>
    <mergeCell ref="AJ15:AL15"/>
    <mergeCell ref="Z17:AA17"/>
    <mergeCell ref="AA19:AC19"/>
    <mergeCell ref="AD19:AG19"/>
    <mergeCell ref="Y23:Z23"/>
    <mergeCell ref="AH23:AI23"/>
    <mergeCell ref="AO25:AR25"/>
    <mergeCell ref="AS25:AV25"/>
    <mergeCell ref="BZ12:CA12"/>
    <mergeCell ref="CB12:CC12"/>
    <mergeCell ref="BY9:BZ9"/>
    <mergeCell ref="CB9:CD9"/>
    <mergeCell ref="CE9:CH9"/>
    <mergeCell ref="CI9:CL9"/>
    <mergeCell ref="BA23:BB23"/>
    <mergeCell ref="AR23:AS23"/>
    <mergeCell ref="AQ12:AR12"/>
    <mergeCell ref="AS12:AT12"/>
    <mergeCell ref="AT15:AV15"/>
    <mergeCell ref="AW15:AZ15"/>
    <mergeCell ref="BF9:BH9"/>
    <mergeCell ref="BI9:BL9"/>
    <mergeCell ref="BN9:BQ9"/>
    <mergeCell ref="BR9:BS9"/>
    <mergeCell ref="BU9:BX9"/>
    <mergeCell ref="AM15:AP15"/>
    <mergeCell ref="AV9:AY9"/>
    <mergeCell ref="AZ9:BC9"/>
    <mergeCell ref="AL9:AO9"/>
    <mergeCell ref="AP9:AQ9"/>
    <mergeCell ref="BH23:BI23"/>
    <mergeCell ref="BQ23:BR23"/>
    <mergeCell ref="CA23:CB23"/>
    <mergeCell ref="CJ23:CK23"/>
    <mergeCell ref="BG25:BI25"/>
    <mergeCell ref="BJ25:BL25"/>
    <mergeCell ref="BX25:CA25"/>
    <mergeCell ref="CB25:CE25"/>
    <mergeCell ref="BO16:BQ16"/>
    <mergeCell ref="BR16:BU16"/>
    <mergeCell ref="BO20:BQ20"/>
    <mergeCell ref="BR20:BU20"/>
    <mergeCell ref="CP12:CR12"/>
    <mergeCell ref="CS12:CV12"/>
    <mergeCell ref="DA20:DC20"/>
    <mergeCell ref="DD20:DG20"/>
    <mergeCell ref="CR23:CS23"/>
    <mergeCell ref="CZ23:DA23"/>
    <mergeCell ref="DJ23:DK23"/>
    <mergeCell ref="DQ23:DR23"/>
    <mergeCell ref="DH9:DI9"/>
    <mergeCell ref="DK9:DM9"/>
    <mergeCell ref="DN9:DQ9"/>
    <mergeCell ref="DR9:DU9"/>
    <mergeCell ref="DB12:DC12"/>
    <mergeCell ref="DD12:DE12"/>
    <mergeCell ref="CO9:CQ9"/>
    <mergeCell ref="CR9:CU9"/>
    <mergeCell ref="CW9:CZ9"/>
    <mergeCell ref="DA9:DB9"/>
    <mergeCell ref="DD9:DG9"/>
    <mergeCell ref="DN12:DP12"/>
    <mergeCell ref="DQ12:DT12"/>
    <mergeCell ref="R14:T14"/>
    <mergeCell ref="N14:Q14"/>
    <mergeCell ref="K14:M14"/>
    <mergeCell ref="F14:J14"/>
    <mergeCell ref="B14:E14"/>
    <mergeCell ref="R12:T13"/>
    <mergeCell ref="N12:Q13"/>
    <mergeCell ref="K12:M13"/>
    <mergeCell ref="F12:J13"/>
    <mergeCell ref="B12:E13"/>
    <mergeCell ref="R10:T11"/>
    <mergeCell ref="N10:Q11"/>
    <mergeCell ref="K10:M11"/>
    <mergeCell ref="F10:J11"/>
    <mergeCell ref="B10:E11"/>
    <mergeCell ref="R9:T9"/>
    <mergeCell ref="N9:Q9"/>
    <mergeCell ref="K9:M9"/>
    <mergeCell ref="F9:J9"/>
    <mergeCell ref="B9:E9"/>
    <mergeCell ref="DY20:DZ20"/>
    <mergeCell ref="DY19:DZ19"/>
    <mergeCell ref="DY18:DZ18"/>
    <mergeCell ref="DY17:DZ17"/>
    <mergeCell ref="DY15:DZ15"/>
    <mergeCell ref="DY11:DZ11"/>
    <mergeCell ref="DY9:DZ9"/>
    <mergeCell ref="EG12:EH12"/>
    <mergeCell ref="EG11:EH11"/>
    <mergeCell ref="EF9:EH9"/>
    <mergeCell ref="DY760:EH760"/>
    <mergeCell ref="CO759:DU759"/>
    <mergeCell ref="CO760:DU760"/>
    <mergeCell ref="DY26:EH26"/>
    <mergeCell ref="DY27:EH27"/>
    <mergeCell ref="DY28:EH28"/>
    <mergeCell ref="DY29:EH29"/>
    <mergeCell ref="DY759:EH759"/>
    <mergeCell ref="DY21:DZ21"/>
    <mergeCell ref="CP25:CR25"/>
    <mergeCell ref="CS25:CU25"/>
  </mergeCells>
  <phoneticPr fontId="4" type="noConversion"/>
  <conditionalFormatting sqref="Y39:Y758">
    <cfRule type="cellIs" dxfId="0" priority="1" operator="equal">
      <formula>#REF!</formula>
    </cfRule>
  </conditionalFormatting>
  <pageMargins left="0.22" right="0.18" top="0.36" bottom="0.22" header="0.3" footer="0.19"/>
  <pageSetup paperSize="9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Sheet1</vt:lpstr>
      <vt:lpstr>Sheet2</vt:lpstr>
      <vt:lpstr>은퇴연금시뮬레이션_2</vt:lpstr>
      <vt:lpstr>은퇴연금시뮬레이션_2!Print_Area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minho kim</dc:creator>
  <cp:lastModifiedBy>minho kim</cp:lastModifiedBy>
  <dcterms:created xsi:type="dcterms:W3CDTF">2026-04-08T00:44:01Z</dcterms:created>
  <dcterms:modified xsi:type="dcterms:W3CDTF">2026-04-22T01:35:11Z</dcterms:modified>
</cp:coreProperties>
</file>